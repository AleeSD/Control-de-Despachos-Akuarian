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4\almacen\ESTADISTICAS CLIENTES\CLIENTES ACTUALES\AKUARIAN\PROGRAMACION DE DESPACHOS\"/>
    </mc:Choice>
  </mc:AlternateContent>
  <xr:revisionPtr revIDLastSave="0" documentId="13_ncr:1_{80B01D9D-DFFC-465E-B512-84221A71861E}" xr6:coauthVersionLast="47" xr6:coauthVersionMax="47" xr10:uidLastSave="{00000000-0000-0000-0000-000000000000}"/>
  <bookViews>
    <workbookView showHorizontalScroll="0" showVerticalScroll="0" xWindow="-120" yWindow="-120" windowWidth="29040" windowHeight="15720" xr2:uid="{00000000-000D-0000-FFFF-FFFF00000000}"/>
  </bookViews>
  <sheets>
    <sheet name="Programación" sheetId="1" r:id="rId1"/>
    <sheet name="Consolidado" sheetId="2" r:id="rId2"/>
  </sheets>
  <definedNames>
    <definedName name="_xlnm._FilterDatabase" localSheetId="1" hidden="1">Consolidado!$A$4:$J$77</definedName>
    <definedName name="_xlnm._FilterDatabase" localSheetId="0" hidden="1">Programación!$A$1:$S$1896</definedName>
    <definedName name="mobile" localSheetId="0">Programación!#REF!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85" i="1" l="1"/>
  <c r="E1878" i="1"/>
  <c r="E1808" i="1"/>
  <c r="E1804" i="1"/>
  <c r="E1802" i="1"/>
  <c r="E1801" i="1"/>
  <c r="E1770" i="1"/>
  <c r="E1774" i="1"/>
  <c r="E1709" i="1"/>
  <c r="E1708" i="1"/>
  <c r="E1707" i="1"/>
  <c r="E1676" i="1"/>
  <c r="E1681" i="1"/>
  <c r="E1600" i="1"/>
  <c r="E1599" i="1"/>
  <c r="E1594" i="1"/>
  <c r="E1593" i="1"/>
  <c r="E1602" i="1"/>
  <c r="E1601" i="1"/>
  <c r="E1592" i="1"/>
  <c r="E1591" i="1"/>
  <c r="E1589" i="1"/>
  <c r="D1402" i="1"/>
  <c r="E1292" i="1"/>
  <c r="E1288" i="1"/>
  <c r="E1264" i="1"/>
  <c r="E1258" i="1"/>
  <c r="E1254" i="1"/>
  <c r="E1250" i="1"/>
  <c r="E1207" i="1"/>
  <c r="E1203" i="1"/>
  <c r="E1199" i="1"/>
  <c r="E1144" i="1"/>
  <c r="E1103" i="1" l="1"/>
  <c r="E1104" i="1"/>
  <c r="E1046" i="1"/>
  <c r="E1033" i="1" l="1"/>
  <c r="E1031" i="1"/>
  <c r="E1030" i="1"/>
  <c r="E941" i="1" l="1"/>
  <c r="E940" i="1"/>
  <c r="E939" i="1"/>
  <c r="E936" i="1"/>
  <c r="E891" i="1" l="1"/>
  <c r="E889" i="1"/>
  <c r="E886" i="1"/>
  <c r="E880" i="1"/>
  <c r="E834" i="1"/>
  <c r="E838" i="1"/>
  <c r="E835" i="1"/>
  <c r="E804" i="1"/>
  <c r="E796" i="1"/>
  <c r="E793" i="1"/>
  <c r="E771" i="1"/>
  <c r="E763" i="1"/>
  <c r="E752" i="1"/>
  <c r="E727" i="1"/>
  <c r="E655" i="1"/>
  <c r="E651" i="1"/>
  <c r="E556" i="1"/>
  <c r="E554" i="1"/>
  <c r="E553" i="1"/>
  <c r="E552" i="1"/>
  <c r="E551" i="1"/>
  <c r="E548" i="1"/>
  <c r="E257" i="1" l="1"/>
  <c r="E255" i="1"/>
  <c r="E252" i="1"/>
  <c r="E204" i="1"/>
  <c r="E196" i="1"/>
  <c r="E199" i="1"/>
  <c r="D186" i="1"/>
  <c r="E174" i="1"/>
  <c r="E52" i="1"/>
  <c r="E35" i="1"/>
  <c r="E34" i="1"/>
  <c r="E30" i="1"/>
  <c r="E29" i="1"/>
  <c r="E27" i="1"/>
  <c r="E26" i="1"/>
  <c r="E27" i="2" l="1"/>
  <c r="B2" i="2"/>
</calcChain>
</file>

<file path=xl/sharedStrings.xml><?xml version="1.0" encoding="utf-8"?>
<sst xmlns="http://schemas.openxmlformats.org/spreadsheetml/2006/main" count="21733" uniqueCount="2869">
  <si>
    <t>Referencia del pedido</t>
  </si>
  <si>
    <t>Orden de Compra</t>
  </si>
  <si>
    <t>Fecha de Entrega</t>
  </si>
  <si>
    <t>Vendedor</t>
  </si>
  <si>
    <t>Cantidad</t>
  </si>
  <si>
    <t>Bultos</t>
  </si>
  <si>
    <t>Codigo</t>
  </si>
  <si>
    <t>Nombre</t>
  </si>
  <si>
    <t>Cliente</t>
  </si>
  <si>
    <t>RUC</t>
  </si>
  <si>
    <t>Telefono</t>
  </si>
  <si>
    <t>Descripcion</t>
  </si>
  <si>
    <t>Distrito</t>
  </si>
  <si>
    <t>Observaciones</t>
  </si>
  <si>
    <t>LB07696</t>
  </si>
  <si>
    <t>LB1660IN</t>
  </si>
  <si>
    <t>LB3915IN</t>
  </si>
  <si>
    <t>HDS248COKE</t>
  </si>
  <si>
    <t>CR9550013</t>
  </si>
  <si>
    <t>CR03857</t>
  </si>
  <si>
    <t>CR00762</t>
  </si>
  <si>
    <t>CR00761</t>
  </si>
  <si>
    <t>CR9564256</t>
  </si>
  <si>
    <t>CR03856</t>
  </si>
  <si>
    <t>CR05600</t>
  </si>
  <si>
    <t>CR02210</t>
  </si>
  <si>
    <t>CR03800</t>
  </si>
  <si>
    <t>CR9520001</t>
  </si>
  <si>
    <t>LB3014IN</t>
  </si>
  <si>
    <t>LB3011IN</t>
  </si>
  <si>
    <t>LB3096IN</t>
  </si>
  <si>
    <t>LB1661IN</t>
  </si>
  <si>
    <t>LB6943949928988_6UND</t>
  </si>
  <si>
    <t>CR02261</t>
  </si>
  <si>
    <t>CR07082</t>
  </si>
  <si>
    <t>CR02211</t>
  </si>
  <si>
    <t>CR06220</t>
  </si>
  <si>
    <t>LB3717IN</t>
  </si>
  <si>
    <t>LB2207IN</t>
  </si>
  <si>
    <t>IMPORTACIONES DSABA E.I.R.L.</t>
  </si>
  <si>
    <t>PR00411</t>
  </si>
  <si>
    <t>MULTICOSAS TIENDAS DEL PERU S.A.C</t>
  </si>
  <si>
    <t>CR00695</t>
  </si>
  <si>
    <t>CR00320</t>
  </si>
  <si>
    <t>PR00409</t>
  </si>
  <si>
    <t>CR02251</t>
  </si>
  <si>
    <t>CR05680</t>
  </si>
  <si>
    <t>IMPORTACION &amp; EXPORTACION NICOLL E.I.R.L.</t>
  </si>
  <si>
    <t>CR0971</t>
  </si>
  <si>
    <t xml:space="preserve">Observaciones </t>
  </si>
  <si>
    <t>RECIBI CONFORME</t>
  </si>
  <si>
    <t>REPORTE DE ENTREGA DE PRODUCTO AKUARIAN SAC</t>
  </si>
  <si>
    <t>PR1795419</t>
  </si>
  <si>
    <t>HDS248RD</t>
  </si>
  <si>
    <t>CR4307</t>
  </si>
  <si>
    <t>ENTREGUE CONFORMA</t>
  </si>
  <si>
    <t>CR06292</t>
  </si>
  <si>
    <t>USHDPV0003</t>
  </si>
  <si>
    <t>Hora Citas Agendadas</t>
  </si>
  <si>
    <t>CR05672</t>
  </si>
  <si>
    <t>6:00 AM A 7:30 AM L-J</t>
  </si>
  <si>
    <t>LB6943949928681</t>
  </si>
  <si>
    <t>CR1787375</t>
  </si>
  <si>
    <t>08 AM A 12 PM</t>
  </si>
  <si>
    <t>LB6942469400387</t>
  </si>
  <si>
    <t>LB1795813</t>
  </si>
  <si>
    <t>BELMOND PERU S.A.</t>
  </si>
  <si>
    <t>Recojo muestras</t>
  </si>
  <si>
    <t>LB08430</t>
  </si>
  <si>
    <t>HDS248COKE_CR06755</t>
  </si>
  <si>
    <t>LB1710860</t>
  </si>
  <si>
    <t>CR00321</t>
  </si>
  <si>
    <t>FECHA</t>
  </si>
  <si>
    <t>N/A</t>
  </si>
  <si>
    <t>HDR565COKE_CR06755</t>
  </si>
  <si>
    <t>LA VICTORIA</t>
  </si>
  <si>
    <t>NORMA FLORES</t>
  </si>
  <si>
    <t>PUNTA NEGRA</t>
  </si>
  <si>
    <t>Vasos en Forma de Lata (Juego de 6 Piezas) 473 ml. / 16 oz.</t>
  </si>
  <si>
    <t>ASLI GOURMET S.A.C.</t>
  </si>
  <si>
    <t>LB8710964602104_4UND</t>
  </si>
  <si>
    <t>FAMY HOGAR S.A.C.</t>
  </si>
  <si>
    <t>COMERCIAL YANET E.I.R.LTDA</t>
  </si>
  <si>
    <t>Super Tarro Cervecero 1 lt. / 33.8 oz.</t>
  </si>
  <si>
    <t>Tarro Cervecero 300 ml. / 10 oz.</t>
  </si>
  <si>
    <t>LB6942469400264</t>
  </si>
  <si>
    <t>Boston Vaso Refresco 477 ml. / 16.1 oz</t>
  </si>
  <si>
    <t>Colchón Nubo Intense 2 Plazas 1.35 X 1.90</t>
  </si>
  <si>
    <t>CENCOSUD RETAIL PERU S.A. WONG BENAVIDES</t>
  </si>
  <si>
    <t>Copa Belgian Beer 6 Piezas 429 ml. / 14.5 oz.</t>
  </si>
  <si>
    <t>Gibraltar Vaso Cooler con Duratuff 355 ml. / 12 oz.</t>
  </si>
  <si>
    <t>Máquina Vaporera De Hot-Dog Coca Cola Nostalgia</t>
  </si>
  <si>
    <t>Tarro Cafetero Apolo 345 ml / 11.7 oz.</t>
  </si>
  <si>
    <t>Vinajera con Tapa de Vidrio 177 ml. / 6 oz.</t>
  </si>
  <si>
    <t>Arbor Copas de Vino 6 Piezas 414 ml. / 14 oz.</t>
  </si>
  <si>
    <t>Arbor Copas de Vino 6 Piezas 399 ml. / 13.5 oz.</t>
  </si>
  <si>
    <t>Super Sham Vasos 6 Piezas 310 ml. / 10.5 oz.</t>
  </si>
  <si>
    <t>Tempo Vasos de Whisky 6 Piezas 277 ml. / 9.4 oz.</t>
  </si>
  <si>
    <t>Super Sham Vasos 6 Piezas 355 ml. / 12 oz.</t>
  </si>
  <si>
    <t>OFICINA</t>
  </si>
  <si>
    <t>Canal Comercial</t>
  </si>
  <si>
    <t>GUIA REMISION</t>
  </si>
  <si>
    <t>Fondo Grueso Vaso HB 350 ml. / 11.8 oz.</t>
  </si>
  <si>
    <t>Azucarera de Vidrio con Tapa de Vidrio 375 ml. / 12.6 oz.</t>
  </si>
  <si>
    <t>Tarro Irish Coffee 251 ml. / 8.5 oz.</t>
  </si>
  <si>
    <t>Rombus Vaso HB 465 ml. / 15.72 oz.</t>
  </si>
  <si>
    <t>Copa Sundae para Postres 205 ml. / 6.9 oz.</t>
  </si>
  <si>
    <t>Suprema Copa Multiusos 610 ml. / 20.6 oz.</t>
  </si>
  <si>
    <t>Tequilero Doble 41 ml. / 1.4 oz.</t>
  </si>
  <si>
    <t>Cenicero Triangular 8.6 cm.</t>
  </si>
  <si>
    <t>Flanera 175 ml. / 5.9 oz.</t>
  </si>
  <si>
    <t>México Jarra 1.77 lt. / 59.8 oz.</t>
  </si>
  <si>
    <t>Chopp Cervecero Chilis 473  ml. / 16 oz.</t>
  </si>
  <si>
    <t>Tazón Tempo 11 cm.</t>
  </si>
  <si>
    <t>Selene Plato para Torta (Dia. 33 cm)</t>
  </si>
  <si>
    <t>Tazón Tempo 15 cm.</t>
  </si>
  <si>
    <t>Home Decor Copón Brandy Extra Grande 28.89 cm.</t>
  </si>
  <si>
    <t>Juego de Cacerola más Tapa 1.87 lt. / 63.2 oz.</t>
  </si>
  <si>
    <t>Juego de Cacerola más Tapa 3 lt. / 101 oz.</t>
  </si>
  <si>
    <t>Garrafa Jarra Vino 1 lt. / 33.8 oz.</t>
  </si>
  <si>
    <t>Garrafa Jarra Vino 567 ml. / 19.2 oz.</t>
  </si>
  <si>
    <t>Máquina Vaporera de Hot-Dog Estilo Retro Nostalgia</t>
  </si>
  <si>
    <t>Arbor Copas Largas para Champage 6 Piezas 170 ml. / 5.25 oz.</t>
  </si>
  <si>
    <t>VASO OF SIENA 270 ML. / 9 OZ.</t>
  </si>
  <si>
    <t>VASO HB SIENA 370 ML. / 12.5 OZ.</t>
  </si>
  <si>
    <t>COPA IMPERIA 525 ML. / 18 OZ.</t>
  </si>
  <si>
    <t>VASO OF NOVARA 260 ML. / 9 OZ.</t>
  </si>
  <si>
    <t>FLANERA 175 ML. / 6 OZ.</t>
  </si>
  <si>
    <t>Boston Vaso HB 377 ml. / 12.7 oz</t>
  </si>
  <si>
    <t>CESAR RAMIREZ</t>
  </si>
  <si>
    <t>JARRA CASALE 1.7 LT. / 57.5 OZ.</t>
  </si>
  <si>
    <t>VASO HB NOVARA 350 ML. / 12 OZ.</t>
  </si>
  <si>
    <t>VASO DOF NOVARA 350 ML. / 12 OZ.</t>
  </si>
  <si>
    <t>Cocktails Copa Poco Grande 6 Piezas 392 ml. / 13 ¼ oz.</t>
  </si>
  <si>
    <t>SUPERMERCADOS PERUANOS SOCIEDAD ANONIMA 'O ' S.P.S</t>
  </si>
  <si>
    <t>L-V 08:00 AM - 06:00 PM</t>
  </si>
  <si>
    <t>Copa Malteada 355 ml. / 12 oz.</t>
  </si>
  <si>
    <t>L-S 09AM-12:30 PM / 3-5PM</t>
  </si>
  <si>
    <t>PLASTIC MANUFACTURING S.A.C.</t>
  </si>
  <si>
    <t>Muse Weizenbier Vaso 467 ml. / 15.80 oz.</t>
  </si>
  <si>
    <t>VASO TEQUILERO DOBLE 60 ML. / 2 OZ.</t>
  </si>
  <si>
    <t>SUPER VASO SIENA 650 ML. / 22 OZ.</t>
  </si>
  <si>
    <t>DISTRIBUIDOR PROV.</t>
  </si>
  <si>
    <t>RETAIL MODERNO - SPSA</t>
  </si>
  <si>
    <t>RESTAURANTE</t>
  </si>
  <si>
    <t>CENCOSUD RETAIL PERU S.A. WONG LA MOLINA</t>
  </si>
  <si>
    <t>CENCOSUD RETAIL PERU S.A. WONG ALDABAS</t>
  </si>
  <si>
    <t>CENCOSUD RETAIL PERU S.A. WONG CHACARILLA</t>
  </si>
  <si>
    <t>CENCOSUD RETAIL PERU S.A. WONG CAMACHO</t>
  </si>
  <si>
    <t>VASO REFRESCO SIENA 485 ML. / 16.5 OZ.</t>
  </si>
  <si>
    <t>VASO TEQUILERO 45 ML. / 1.5 OZ.</t>
  </si>
  <si>
    <t>V232690</t>
  </si>
  <si>
    <t>V232590</t>
  </si>
  <si>
    <t>V262690</t>
  </si>
  <si>
    <t>V262490</t>
  </si>
  <si>
    <t>V388290</t>
  </si>
  <si>
    <t>V335290</t>
  </si>
  <si>
    <t>V257690</t>
  </si>
  <si>
    <t>V387990</t>
  </si>
  <si>
    <t>V388090</t>
  </si>
  <si>
    <t>Tequilero 31 ml. / 1 oz.</t>
  </si>
  <si>
    <t>V257790</t>
  </si>
  <si>
    <t>V275190</t>
  </si>
  <si>
    <t>SUPER TARRO CERVECERO 1 LT. / 34 OZ.</t>
  </si>
  <si>
    <t>CENCOSUD RETAIL PERU S.A. WONG SAN BORJA</t>
  </si>
  <si>
    <t>César Ramírez</t>
  </si>
  <si>
    <t>CARPA AZUL RESTAURANT S.R.L.</t>
  </si>
  <si>
    <t>7:00 a  9:30 am</t>
  </si>
  <si>
    <t>LB09132_VASO</t>
  </si>
  <si>
    <t>Embassy Copa para Brandy 518 ml. / 17.5 oz.</t>
  </si>
  <si>
    <t>SIGNATURE KENTFIELD COPA PARA BRANDY 473 ML. / 16 OZ.</t>
  </si>
  <si>
    <t>TAZA DE MEDIR DE 240 ML. / 8.1 OZ.</t>
  </si>
  <si>
    <t>V261590</t>
  </si>
  <si>
    <t>V257890</t>
  </si>
  <si>
    <t>V222890</t>
  </si>
  <si>
    <t>CHOPP CERVECERO 360 ML. / 12.16 OZ.</t>
  </si>
  <si>
    <t>TAZA DE MEDIR DE 500 ML. / 16.9 OZ.</t>
  </si>
  <si>
    <t>001-00000695</t>
  </si>
  <si>
    <t>001-00000697</t>
  </si>
  <si>
    <t>001-00000699</t>
  </si>
  <si>
    <t>PLASTIQUERIA PAZ SUR SOCIEDAD ANONIMA CERRADA</t>
  </si>
  <si>
    <t>MOLINA HUANCA WALTER</t>
  </si>
  <si>
    <t>001-00000750</t>
  </si>
  <si>
    <t>2025-60006461</t>
  </si>
  <si>
    <t>MAMBRINO S.A.C. Lucio Caffe San Miguel</t>
  </si>
  <si>
    <t>001-00000755</t>
  </si>
  <si>
    <t>001-00000756</t>
  </si>
  <si>
    <t>001-00000757</t>
  </si>
  <si>
    <t>001-00000758</t>
  </si>
  <si>
    <t>001-00000759</t>
  </si>
  <si>
    <t>001-00000760</t>
  </si>
  <si>
    <t>001-00000761</t>
  </si>
  <si>
    <t>001-00000762</t>
  </si>
  <si>
    <t>001-00000763</t>
  </si>
  <si>
    <t>V257990</t>
  </si>
  <si>
    <t>1 Máquina Vaporera De Hot Dog Coca Cola Nostalgia con 2 Vasos para Refresco Verd</t>
  </si>
  <si>
    <t>1 Máquina con Rodillo Freidor para Hot-Dog Coca-Cola Nostalgia con 2 Vasos para</t>
  </si>
  <si>
    <t>Selene Juego de Recipientes para Almacenar (8 Piezas)</t>
  </si>
  <si>
    <t>VASO REFRESCO NOVARA 470 ML. / 15.89 OZ.</t>
  </si>
  <si>
    <t>LUIS MANUEL RABANAL APESTEGUI</t>
  </si>
  <si>
    <t>SM WORLDWIDE SOLUTIONS S.A.C.</t>
  </si>
  <si>
    <t>OTTO GUSTAVO KRUGER CASTILLO</t>
  </si>
  <si>
    <t>ANA MARIA BALAREZO MANRIQUE</t>
  </si>
  <si>
    <t>RODRIGUEZ VENTURA JOSE ROBERTO</t>
  </si>
  <si>
    <t>EL SUPER S.A.C.</t>
  </si>
  <si>
    <t>L-V 09:00 AM - 07:00 PM</t>
  </si>
  <si>
    <t>L-S 08:30 AM - 07:00 PM</t>
  </si>
  <si>
    <t>L-V 02:00 PM (Hora Exacta)</t>
  </si>
  <si>
    <t>JR. JULIO MENDOZA MERINO NRO. 880 VELSAN EXPRRESS S.A.C</t>
  </si>
  <si>
    <t>AV. ARICA NRO. 1000 CERCADO DE CHICLAYO LAMBAYEQUE - CHICLAY</t>
  </si>
  <si>
    <t>T001-0020083</t>
  </si>
  <si>
    <t>T001-0020077</t>
  </si>
  <si>
    <t>T001-0020082</t>
  </si>
  <si>
    <t>T001-0020078</t>
  </si>
  <si>
    <t>T001-0020080</t>
  </si>
  <si>
    <t>T001-0020081</t>
  </si>
  <si>
    <t>T001-0020084</t>
  </si>
  <si>
    <t>T001-0020079</t>
  </si>
  <si>
    <t>PICK AK 003</t>
  </si>
  <si>
    <t>001-00000764</t>
  </si>
  <si>
    <t>1572149726203-01</t>
  </si>
  <si>
    <t>ANGELINA CABREL VALVERDE</t>
  </si>
  <si>
    <t>T001-0020085</t>
  </si>
  <si>
    <t>001-00000765</t>
  </si>
  <si>
    <t>T001-0020086</t>
  </si>
  <si>
    <t>L-V 08:00 AM - 01:00 PM</t>
  </si>
  <si>
    <t>001-00000767</t>
  </si>
  <si>
    <t>001-00000768</t>
  </si>
  <si>
    <t>001-00000769</t>
  </si>
  <si>
    <t>001-00000770</t>
  </si>
  <si>
    <t>001-00000771</t>
  </si>
  <si>
    <t>Spksy Copa Gin Tonic / Vino 580 ml / 19.6 oz. (4 Piezas)</t>
  </si>
  <si>
    <t>CLAUDIA MARIA DEL CARMEN MERINO ELCOROBARRUTIA</t>
  </si>
  <si>
    <t>LESLY JANET ENRIQUEZ SEVILLANO</t>
  </si>
  <si>
    <t>LIFE INMOBILIARIA Y CONSULTORA S.A.C.</t>
  </si>
  <si>
    <t>L-S 09:00 AM - 08:00 PM</t>
  </si>
  <si>
    <t>HORA CITA 08:00 AM</t>
  </si>
  <si>
    <t>PRO. ANDAHUAYLAS NRO. 226 INT. 2</t>
  </si>
  <si>
    <t>JR. MANUEL RUIZ NRO. 566 ---- CASCO URBANO ÁNCASH - SANTA - CHIMBOTE</t>
  </si>
  <si>
    <t>T001-0020087</t>
  </si>
  <si>
    <t>T001-0020088</t>
  </si>
  <si>
    <t>T001-0020089</t>
  </si>
  <si>
    <t>T001-0020090</t>
  </si>
  <si>
    <t>001-00000773</t>
  </si>
  <si>
    <t>T001-0020091</t>
  </si>
  <si>
    <t>001-00000774</t>
  </si>
  <si>
    <t>T001-0020092</t>
  </si>
  <si>
    <t>001-00000775</t>
  </si>
  <si>
    <t>T001-0020093</t>
  </si>
  <si>
    <t>001-00000776</t>
  </si>
  <si>
    <t>T001-0020094</t>
  </si>
  <si>
    <t>001-00000777</t>
  </si>
  <si>
    <t>T001-0020095</t>
  </si>
  <si>
    <t>001-00000780</t>
  </si>
  <si>
    <t>T001-0020096</t>
  </si>
  <si>
    <t>9:00 AM A 12:00 PM L-V</t>
  </si>
  <si>
    <t>09 AM A 14 PM L-J</t>
  </si>
  <si>
    <t>12:00 PM A 15:00 PM L-V</t>
  </si>
  <si>
    <t>5:00 AM - 09:00 AM / 09:00 PM - 01:00 AM L-V</t>
  </si>
  <si>
    <t>6:00 AM A 8:00 AM L-V</t>
  </si>
  <si>
    <t>CAMBIO</t>
  </si>
  <si>
    <t>001-00000655-1</t>
  </si>
  <si>
    <t>001-00000783</t>
  </si>
  <si>
    <t>001-00000784</t>
  </si>
  <si>
    <t>001-00000785</t>
  </si>
  <si>
    <t>T001-0020100</t>
  </si>
  <si>
    <t>T001-0020099</t>
  </si>
  <si>
    <t>T001-0020098</t>
  </si>
  <si>
    <t>T001-0020097</t>
  </si>
  <si>
    <t>T001-0020101</t>
  </si>
  <si>
    <t>001-00000818</t>
  </si>
  <si>
    <t>POR DETERMINAR</t>
  </si>
  <si>
    <t>AV. BAUSATE Y MEZA 638</t>
  </si>
  <si>
    <t>ROMIS E.I.R.L. TRANS SERVIS JC S.S.C</t>
  </si>
  <si>
    <t>JR. 28 DE JULIO NRO. 236 URB. CERCADO</t>
  </si>
  <si>
    <t>Tipo de Entrega</t>
  </si>
  <si>
    <t>001-00000873</t>
  </si>
  <si>
    <t>Citation Gourmet Copa para Margarita 436 ml. / 14 3/4 oz.</t>
  </si>
  <si>
    <t>PRO. ANDAHUAYLAS NRO. 735</t>
  </si>
  <si>
    <t>3ER. PISO URB. LOS ROSALES MZ. B LT. 2</t>
  </si>
  <si>
    <t>INVERSIONES TURISTICAS AQP S.A.C. EMPRESA DE TRANSPORTES PEPITO  E.I.R.L</t>
  </si>
  <si>
    <t>001-00001034</t>
  </si>
  <si>
    <t xml:space="preserve">AV. A NRO. 101 (ALTURA AUTOPISTA PANAM. SUR KM. 45.5) </t>
  </si>
  <si>
    <t>001-00001056</t>
  </si>
  <si>
    <t>CENCOSUD RETAIL PERU S.A.</t>
  </si>
  <si>
    <t>AV. TOMAS VALLE Y PANAMERICANA NORTE S/N</t>
  </si>
  <si>
    <t>INDEPENDENCIA</t>
  </si>
  <si>
    <t>12:00 PM A 15:00 PM L-D</t>
  </si>
  <si>
    <t>Metro Independencia</t>
  </si>
  <si>
    <t>RETAIL MODERNO - CENCOSUD</t>
  </si>
  <si>
    <t>001-00001059</t>
  </si>
  <si>
    <t>BOULEVARD SUR PLAZA PANAMERICANA SUR KM 97.5</t>
  </si>
  <si>
    <t>LIMA - CAÑETE - ASIA</t>
  </si>
  <si>
    <t>8AM A 16 PM L-S</t>
  </si>
  <si>
    <t>Wong Asia</t>
  </si>
  <si>
    <t>001-00001060</t>
  </si>
  <si>
    <t>LB6943949925635_6UND</t>
  </si>
  <si>
    <t>Juego de 6 Vasos Pub Inglés 591 ml. / 20 oz.</t>
  </si>
  <si>
    <t>MLC MALECON BALTA 650</t>
  </si>
  <si>
    <t>MIRAFLORES</t>
  </si>
  <si>
    <t>10:00 PM A 6:00 AM</t>
  </si>
  <si>
    <t>Wong Bajada Balta</t>
  </si>
  <si>
    <t>LB2393IN</t>
  </si>
  <si>
    <t>Arbor Vasos para Bebidas 6 Piezas 355 ml. / 12 oz.</t>
  </si>
  <si>
    <t>001-00001061</t>
  </si>
  <si>
    <t>CAL. DOS DE MAYO 1099</t>
  </si>
  <si>
    <t>SAN ISIDRO</t>
  </si>
  <si>
    <t>Wong 2 de Mayo</t>
  </si>
  <si>
    <t>LB6943949917579_6UND</t>
  </si>
  <si>
    <t>Cosmopolitan Vasos para Martini (6 Piezas) 244 ml. / 8.25 oz.</t>
  </si>
  <si>
    <t>001-00001064</t>
  </si>
  <si>
    <t>AV. LA MARINA ESQ. AV. UNIVERSITARIA S/N</t>
  </si>
  <si>
    <t>SAN MIGUEL</t>
  </si>
  <si>
    <t>Wong San Miguel</t>
  </si>
  <si>
    <t>001-00001069</t>
  </si>
  <si>
    <t>BL1300000694</t>
  </si>
  <si>
    <t>LB56617</t>
  </si>
  <si>
    <t>CR57027</t>
  </si>
  <si>
    <t>CR01487</t>
  </si>
  <si>
    <t>CR89554</t>
  </si>
  <si>
    <t>CR443809</t>
  </si>
  <si>
    <t>LB1710962</t>
  </si>
  <si>
    <t>LB2208IN</t>
  </si>
  <si>
    <t>LB2312IN</t>
  </si>
  <si>
    <t>LB2391IN</t>
  </si>
  <si>
    <t>LB2394IN</t>
  </si>
  <si>
    <t>LB18IN</t>
  </si>
  <si>
    <t>LB1710966</t>
  </si>
  <si>
    <t>CR89388</t>
  </si>
  <si>
    <t>Selene Juego de Servir 6-en-1 (2 Piezas)</t>
  </si>
  <si>
    <t>Baker's Premium Juego de Bandejas para Hornear y Servir de Vidrio (4 Piezas)</t>
  </si>
  <si>
    <t>JARRA DE VIDRIO DE FUEGO DIRECTO (1.5 LT.) MÁS TAPA DE PLÁSTICO</t>
  </si>
  <si>
    <t>VINA COPA FLAUTA 6 PIEZAS 177 ML. / 6 OZ.</t>
  </si>
  <si>
    <t>Classic Copa Sangría 4 Piezas 569 ml. / 19 ¼ oz.</t>
  </si>
  <si>
    <t>Impressions Blue Ribbon Vaso para Bebidas 4 Piezas 495 ml. / 16 ¾ oz.</t>
  </si>
  <si>
    <t>Tempo Vasos para Bebidas 6 Piezas 310 ml. / 10.5 oz.</t>
  </si>
  <si>
    <t>Vibe Vasos Largos 6 Piezas 518 ml. / 17.5 oz.</t>
  </si>
  <si>
    <t>Arbor Vasos de Whisky 6 Piezas 207 ml. / 7 oz.</t>
  </si>
  <si>
    <t>Arbor Vasos de Whisky 6 Piezas 355 ml. / 12 oz.</t>
  </si>
  <si>
    <t>Flare Pilsner Vaso Cervecero 6 Piezas 325 ml. / 11 oz.</t>
  </si>
  <si>
    <t>Impressions Blue Ribbon Vaso Double Old Fashioned 4 Piezas 370 ml. / 12.5 oz.</t>
  </si>
  <si>
    <t>Vina Copa Grande para Vino Blanco 6 Piezas 547 ml. / 18.5 oz.</t>
  </si>
  <si>
    <t>INSTITUCIONAL - BRV PERÚ</t>
  </si>
  <si>
    <t>BRV PERU S.A.C.</t>
  </si>
  <si>
    <t>09:15AM-1 PM / 2-4:15 PM</t>
  </si>
  <si>
    <t>ALMACÉN URBANO</t>
  </si>
  <si>
    <t>AV. MATERIALES 3049</t>
  </si>
  <si>
    <t>LIMA</t>
  </si>
  <si>
    <t>001-00001070</t>
  </si>
  <si>
    <t>001-00001071</t>
  </si>
  <si>
    <t>001-00001072</t>
  </si>
  <si>
    <t>001-00001073</t>
  </si>
  <si>
    <t>001-00001074</t>
  </si>
  <si>
    <t>HDR565COKE</t>
  </si>
  <si>
    <t>LB3717INVASO</t>
  </si>
  <si>
    <t>CR06142</t>
  </si>
  <si>
    <t>LB1796402</t>
  </si>
  <si>
    <t>CR1797334</t>
  </si>
  <si>
    <t>CR05868</t>
  </si>
  <si>
    <t>CR02854</t>
  </si>
  <si>
    <t>CR02851</t>
  </si>
  <si>
    <t>CR02714</t>
  </si>
  <si>
    <t>CR11402</t>
  </si>
  <si>
    <t>CR03688</t>
  </si>
  <si>
    <t>CR03603</t>
  </si>
  <si>
    <t>Máquina con Rodillo Freidor para Hot-Dog Coca-Cola Nostalgia</t>
  </si>
  <si>
    <t>Cocktails Copa Poco Grande 392 ml. / 13 ¼ oz.</t>
  </si>
  <si>
    <t>Vaso Portavela Rectangular 355 ml. / 12 oz.</t>
  </si>
  <si>
    <t>Selene Tazón para Servir 22.8 cm.</t>
  </si>
  <si>
    <t>Florero Bala 25.4 cm.</t>
  </si>
  <si>
    <t>Florero Harlow 22.6 cm.</t>
  </si>
  <si>
    <t>Florero Elite 19 cm.</t>
  </si>
  <si>
    <t>Florero Sidney 20.32 cm.</t>
  </si>
  <si>
    <t>Florero Hana 21.59 cm.</t>
  </si>
  <si>
    <t>Cantina Vaso Cervecero de Vidrio Decorado 4 Piezas 390 ml. / 13.1 oz.</t>
  </si>
  <si>
    <t>Kristalino Hielera 1.56 lt. / 52.8 oz.</t>
  </si>
  <si>
    <t>Camelot Hielera 1.56 lt.</t>
  </si>
  <si>
    <t>LUIS ENRIQUE ARZUBIAGA RIOS</t>
  </si>
  <si>
    <t>CORPORACION IBEROAMERICANA DE TURISMO S.A.C.</t>
  </si>
  <si>
    <t>TIN SEN SA</t>
  </si>
  <si>
    <t>SABOYA SALDAÑA LIZ RAQUEL</t>
  </si>
  <si>
    <t>8:00 a 1:00 pm</t>
  </si>
  <si>
    <t>L-V 09:00 AM - 06:00 PM</t>
  </si>
  <si>
    <t>8:00 am a  3:00 pm</t>
  </si>
  <si>
    <t>10:30 am a 12pm</t>
  </si>
  <si>
    <t>10:00 am a 1:00 pm</t>
  </si>
  <si>
    <t>Av. Nicolás Arriola 1412</t>
  </si>
  <si>
    <t>AV JAVIER PRADO ESTE 7173 URB COVIMA DEP 302 PISO 3</t>
  </si>
  <si>
    <t>Jr. Ocoña 185</t>
  </si>
  <si>
    <t>Jr. Ucayali 564</t>
  </si>
  <si>
    <t>JULIO CESAR TELLO 147</t>
  </si>
  <si>
    <t>SAN LUIS</t>
  </si>
  <si>
    <t>LA MOLINA</t>
  </si>
  <si>
    <t>LINCE</t>
  </si>
  <si>
    <t>MARKETPLACE - FALABELLA</t>
  </si>
  <si>
    <t>HOTEL</t>
  </si>
  <si>
    <t>DISTRIBUIDOR LOCAL</t>
  </si>
  <si>
    <t>INSTITUCIONAL</t>
  </si>
  <si>
    <t>51+992650099</t>
  </si>
  <si>
    <t>51+994088611</t>
  </si>
  <si>
    <t>T001-0020420</t>
  </si>
  <si>
    <t>T001-0020421</t>
  </si>
  <si>
    <t>T001-0020422</t>
  </si>
  <si>
    <t>T001-0020424</t>
  </si>
  <si>
    <t>T001-0020423</t>
  </si>
  <si>
    <t>T001-0020425</t>
  </si>
  <si>
    <t>T001-0020426</t>
  </si>
  <si>
    <t>T001-0020415</t>
  </si>
  <si>
    <t>T001-0020416</t>
  </si>
  <si>
    <t>T001-0020417</t>
  </si>
  <si>
    <t>T001-0020418</t>
  </si>
  <si>
    <t>T001-0020419</t>
  </si>
  <si>
    <t>001-00001076</t>
  </si>
  <si>
    <t>CR02700</t>
  </si>
  <si>
    <t>Vaso Portavela Hurricane 11.2 cm.</t>
  </si>
  <si>
    <t>CARMEN ROSA PLASENCIA CONTRERAS DE MORENO</t>
  </si>
  <si>
    <t>CALLE LA RINCONADA MZ K LOTE 37</t>
  </si>
  <si>
    <t>51+997468404</t>
  </si>
  <si>
    <t>T001-0020427</t>
  </si>
  <si>
    <t>GUERRERO PAREDES NOELIA ANGELICA</t>
  </si>
  <si>
    <t>SURQUILLO</t>
  </si>
  <si>
    <t>9:00 Am a 12:00 Pm</t>
  </si>
  <si>
    <t>LB636874</t>
  </si>
  <si>
    <t>Copa Renaissance Copa Chanpagne Multiusos 266 ml. / 9 oz.</t>
  </si>
  <si>
    <t>GS IMPORT DEL PERU E.I.R.L.</t>
  </si>
  <si>
    <t>CAMBIO MANO A MANO</t>
  </si>
  <si>
    <t>RECOJO PRODUCTO</t>
  </si>
  <si>
    <t>001-00001080</t>
  </si>
  <si>
    <t>001-00001081</t>
  </si>
  <si>
    <t>001-00001082</t>
  </si>
  <si>
    <t>001-00001083</t>
  </si>
  <si>
    <t>001-00001084</t>
  </si>
  <si>
    <t>001-00001085</t>
  </si>
  <si>
    <t>001-00001086</t>
  </si>
  <si>
    <t>001-00001087</t>
  </si>
  <si>
    <t>037246-2026</t>
  </si>
  <si>
    <t>1600723071043-01</t>
  </si>
  <si>
    <t>V16325915PLZV-01</t>
  </si>
  <si>
    <t>1601000109097-01</t>
  </si>
  <si>
    <t>INSTITUCIONAL - REWARDS</t>
  </si>
  <si>
    <t>MARKETPLACE - OECHSLE</t>
  </si>
  <si>
    <t>MARKETPLACE - PLAZA VEA</t>
  </si>
  <si>
    <t>MARKETPLACE - PROMART</t>
  </si>
  <si>
    <t>LB08019</t>
  </si>
  <si>
    <t>LB56285</t>
  </si>
  <si>
    <t>CFF1000</t>
  </si>
  <si>
    <t>PR00453</t>
  </si>
  <si>
    <t>09F-C28517-06</t>
  </si>
  <si>
    <t>CR06164</t>
  </si>
  <si>
    <t>HDT600RETRORED</t>
  </si>
  <si>
    <t>Selene Fuente de Vidrio con Pie de Tres Pisos (3 Piezas)</t>
  </si>
  <si>
    <t>Selene Botanero (3 Piezas)</t>
  </si>
  <si>
    <t>Fuente de Chocolate en Cascada de Acero Inoxidable Nostalgia</t>
  </si>
  <si>
    <t>Juego de Cacerolas con Tapa de Vidrio (6 Piezas)</t>
  </si>
  <si>
    <t>Lámina Adhesiva Transparente Con-Tact® Encaje Blanco Frosty™ (45 x 274 cm.)</t>
  </si>
  <si>
    <t>Home Decor Votivo Cuadrado Chico 300 ml. / 10.2 oz.</t>
  </si>
  <si>
    <t>Máquina Tostadora de Hot-Dog Estilo Retro Nostalgia</t>
  </si>
  <si>
    <t>REWARDS PERU S.A.C.</t>
  </si>
  <si>
    <t>COMUNICACIONES PCCEL. A EIRL</t>
  </si>
  <si>
    <t>MELVIN JOHAN ESCUDERO INFANTAS</t>
  </si>
  <si>
    <t>ADELA ISABEL SANCHEZ SARMIENTO</t>
  </si>
  <si>
    <t>ROMINA ALEJANDRA LOPEZ ESCOBEDO</t>
  </si>
  <si>
    <t>RICARDO GOMEZ LUCANA</t>
  </si>
  <si>
    <t>9:00am  a 1:00 pm</t>
  </si>
  <si>
    <t>JIRON CARHUAZ 1323</t>
  </si>
  <si>
    <t>Calle Colon 110</t>
  </si>
  <si>
    <t>Av. Paseo de la Republica 5271</t>
  </si>
  <si>
    <t>JR. DANIEL HERNANDEZ 240</t>
  </si>
  <si>
    <t>AVENIDA JAVIER PRADO OESTE 1485</t>
  </si>
  <si>
    <t>PJE. JAIME QUEVEDO MZ. P1 LOTE 11 URB. HONOR Y LEALTAD</t>
  </si>
  <si>
    <t>AVENIDA BRASIL 2980 DPTO 803</t>
  </si>
  <si>
    <t>LA MARINA 211</t>
  </si>
  <si>
    <t>BREÑA</t>
  </si>
  <si>
    <t>LOS OLIVOS</t>
  </si>
  <si>
    <t>SANTIAGO DE SURCO</t>
  </si>
  <si>
    <t>MAGDALENA DEL MAR</t>
  </si>
  <si>
    <t>PUEBLO LIBRE</t>
  </si>
  <si>
    <t>T001-0020430</t>
  </si>
  <si>
    <t>T001-0020431</t>
  </si>
  <si>
    <t>T001-0020435</t>
  </si>
  <si>
    <t>T001-0020433</t>
  </si>
  <si>
    <t>001-00001075</t>
  </si>
  <si>
    <t>T001-0020432</t>
  </si>
  <si>
    <t>51+900083356</t>
  </si>
  <si>
    <t>51+995951427</t>
  </si>
  <si>
    <t>51+987947919</t>
  </si>
  <si>
    <t>51+997915712</t>
  </si>
  <si>
    <t>51+986654153</t>
  </si>
  <si>
    <t>51+976822520</t>
  </si>
  <si>
    <t>T001-0020434</t>
  </si>
  <si>
    <t>T001-0020436</t>
  </si>
  <si>
    <t>T001-0020437</t>
  </si>
  <si>
    <t>T001-0020438</t>
  </si>
  <si>
    <t>De 9 a 1  o de 2 a 5</t>
  </si>
  <si>
    <t>PDA Zebra TC26</t>
  </si>
  <si>
    <t>PRODUCTO PARA SERVICIO TECNICO</t>
  </si>
  <si>
    <t>STG PERU S.A.C</t>
  </si>
  <si>
    <t>0001-000024</t>
  </si>
  <si>
    <t>Calle Conde de hinchón 823 San Isidro</t>
  </si>
  <si>
    <t>001-00001089</t>
  </si>
  <si>
    <t>001-00001090</t>
  </si>
  <si>
    <t>001-00001091</t>
  </si>
  <si>
    <t>001-00001092</t>
  </si>
  <si>
    <t>2026-60000003</t>
  </si>
  <si>
    <t>2026-30000001</t>
  </si>
  <si>
    <t>REST. - MAMBRINO</t>
  </si>
  <si>
    <t>CR1704680</t>
  </si>
  <si>
    <t>LB6942469400455</t>
  </si>
  <si>
    <t>HDT600RR_CR06755</t>
  </si>
  <si>
    <t>Copa Malteada Tara 355 ml. / 12 oz.</t>
  </si>
  <si>
    <t>Gibraltar Vaso Cooler con Duratuff 473 ml. / 16 oz..</t>
  </si>
  <si>
    <t>1 Máquina Tostadora de Hot-Dog Nostalgia (Retro) con 2 Vasos para Refresco Verde</t>
  </si>
  <si>
    <t>ALEXANDRA ARAMBURU UMBERT</t>
  </si>
  <si>
    <t>8:00 a 12:00 pm</t>
  </si>
  <si>
    <t>8:00 a 9:00 am</t>
  </si>
  <si>
    <t>8:00 a 11:00 am</t>
  </si>
  <si>
    <t>Lucio Caffe Jockey Plaza</t>
  </si>
  <si>
    <t>Lucio Caffe Santa Cruz</t>
  </si>
  <si>
    <t>Lucio Caffe San Miguel</t>
  </si>
  <si>
    <t>Lucio Caffe Larcomar</t>
  </si>
  <si>
    <t>Lucio Caffe Primavera</t>
  </si>
  <si>
    <t>Lucio Caffe Dos de Mayo</t>
  </si>
  <si>
    <t>Lucio 28 de Julio</t>
  </si>
  <si>
    <t>Lucio Centro Civico</t>
  </si>
  <si>
    <t>Lucio Centro Armedariz</t>
  </si>
  <si>
    <t>Lucio Caminos del Inca</t>
  </si>
  <si>
    <t>La Bodega de Primavera</t>
  </si>
  <si>
    <t xml:space="preserve">La Bodega de Armendariz </t>
  </si>
  <si>
    <t>La Bodega de Dos de Mayo</t>
  </si>
  <si>
    <t xml:space="preserve">La Bodega de Jockey Plaza </t>
  </si>
  <si>
    <t xml:space="preserve">La Bodega San Miguel </t>
  </si>
  <si>
    <t>La Bodega Aviación</t>
  </si>
  <si>
    <t>La Bodega La Rambla</t>
  </si>
  <si>
    <t>SAN BORJA</t>
  </si>
  <si>
    <t>AV. JAVIER PRADO ESTE 4200 INT. 8E (C.C. JOCKEY PLAZA)</t>
  </si>
  <si>
    <t>AV. ANGAMOS 1095 URB. SANTA CRUZ</t>
  </si>
  <si>
    <t>AV. LA MARINA 2000 INT. T258 (C.C. PLAZA SAN MIGUEL)</t>
  </si>
  <si>
    <t xml:space="preserve">AV. MALECON DE LA RESERVA 610 INT. 239 (C. C. LARCOMAR) </t>
  </si>
  <si>
    <t>AV. PRIMAVERA 716</t>
  </si>
  <si>
    <t>AV. DOS DE MAYO 694</t>
  </si>
  <si>
    <t>AV. 28 DE JULIO 1005 INT. 201 URB. SAN ANTONIO (C. C. 28 DE JULIO)</t>
  </si>
  <si>
    <t>AV. INCA GARCILAZO DE LA VEGA 1337 INT. LC-137 LC-139 R-3/4 (C. C. RP Centro Cívico)</t>
  </si>
  <si>
    <t>AV. ARMENDARIZ 215</t>
  </si>
  <si>
    <t>AV. CAMINOS DEL INCA 1330 - INT. 101 URB. LAS GARDENIAS</t>
  </si>
  <si>
    <t>AV. PRIMAVERA 712 - CHACARILLA DEL ESTANQUE</t>
  </si>
  <si>
    <t>AV. ARMENDARIZ 299</t>
  </si>
  <si>
    <t>AV. DOS DE MAYO 715</t>
  </si>
  <si>
    <t>AV. JAVIER PRADO ESTE 4200 INT. 15E (C.C. JOCKEY PLAZA)</t>
  </si>
  <si>
    <t>AV. UNIVERSITARIA 2000 T252-253 (C.C. PLAZA SAN MIGUEL)</t>
  </si>
  <si>
    <t>AV. ANGAMOS ESTE NRO. 2681 INT. R302 C.H. LAS TORRES DE LIMATAMBO (C. C. RP PRIMAVERA)</t>
  </si>
  <si>
    <t>AV. JAVIER PRADO ESTE NRO. 2050 INT. M-2R URB. SAN BORJA NORTE (C. C. LA RAMBLA SAN BORJA)</t>
  </si>
  <si>
    <t>CERRO AZUL 190 DPTO 104</t>
  </si>
  <si>
    <t>51+998186357</t>
  </si>
  <si>
    <t>MAMBRINO S.A.C. Lucio Caffe Jockey Plaza</t>
  </si>
  <si>
    <t>MAMBRINO S.A.C. Lucio Caffe Primavera</t>
  </si>
  <si>
    <t>MAMBRINO S.A.C. Lucio Caminos del Inca</t>
  </si>
  <si>
    <t>MAMBRINO S.A.C. La Bodega de Primavera</t>
  </si>
  <si>
    <t xml:space="preserve">MAMBRINO S.A.C. La Bodega de Jockey Plaza </t>
  </si>
  <si>
    <t>MAMBRINO S.A.C. La Bodega Aviación</t>
  </si>
  <si>
    <t>MAMBRINO S.A.C. La Bodega La Rambla</t>
  </si>
  <si>
    <t>T001-0020462</t>
  </si>
  <si>
    <t>T001-0020461</t>
  </si>
  <si>
    <t>T001-0020460</t>
  </si>
  <si>
    <t>T001-0020459</t>
  </si>
  <si>
    <t>T001-0020463</t>
  </si>
  <si>
    <t>T001-0020464</t>
  </si>
  <si>
    <t>001-00001088</t>
  </si>
  <si>
    <t>CR02247</t>
  </si>
  <si>
    <t>Chabela Copa Multiusos 620 ml. / 20.9 oz.</t>
  </si>
  <si>
    <t>CINCO MILLAS SAC</t>
  </si>
  <si>
    <t>AV. CIRCUNVALACIÓN DEL CLUB G NRO. 134 INT. 104 URB. GOLF LO LIMA - LIMA - SANTIAGO DE SURCO</t>
  </si>
  <si>
    <t>T001-0020439</t>
  </si>
  <si>
    <t>8:30am  a 11:00 am</t>
  </si>
  <si>
    <t>César Vigo móvil 987-311-326.</t>
  </si>
  <si>
    <t xml:space="preserve"> 987-311-326</t>
  </si>
  <si>
    <t>MAMBRINO S.A.C .Lucio Caffe Santa Cruz</t>
  </si>
  <si>
    <t>MAMBRINO S.A.C. Lucio Caffe Larcomar</t>
  </si>
  <si>
    <t>MAMBRINO S.A.C. Lucio Caffe Dos de Mayo</t>
  </si>
  <si>
    <t>MAMBRINO S.A.C. Lucio 28 de Julio</t>
  </si>
  <si>
    <t>MAMBRINO S.A.C. Lucio Centro Civico</t>
  </si>
  <si>
    <t>MAMBRINO S.A.C. Lucio Centro Armedariz</t>
  </si>
  <si>
    <t>MAMBRINO S.A.C. La Bodega de Armendariz</t>
  </si>
  <si>
    <t>MAMBRINO S.A.C. La Bodega de Dos de Mayo</t>
  </si>
  <si>
    <t>MAMBRINO S.A.C. La Bodega San Miguel</t>
  </si>
  <si>
    <t>T001-0020465</t>
  </si>
  <si>
    <t>T001-0020441</t>
  </si>
  <si>
    <t>T001-0020440</t>
  </si>
  <si>
    <t>T001-0020466</t>
  </si>
  <si>
    <t>T001-0020467</t>
  </si>
  <si>
    <t>T001-0020476</t>
  </si>
  <si>
    <t>T001-0020469</t>
  </si>
  <si>
    <t>T001-0020470</t>
  </si>
  <si>
    <t>T001-0020471</t>
  </si>
  <si>
    <t>T001-0020474</t>
  </si>
  <si>
    <t>T001-0020472</t>
  </si>
  <si>
    <t>T001-0020473</t>
  </si>
  <si>
    <t>T001-0020475</t>
  </si>
  <si>
    <t>001-00001093</t>
  </si>
  <si>
    <t>CR04390</t>
  </si>
  <si>
    <t>CR06714</t>
  </si>
  <si>
    <t>GALLARDO NAVARRO LUIS ALBERTO</t>
  </si>
  <si>
    <t>HDS248RD_CR11402</t>
  </si>
  <si>
    <t>LB2311IN</t>
  </si>
  <si>
    <t>Tarro Irish Coffee Pequeño 142 ml. / 4.8 oz.</t>
  </si>
  <si>
    <t>Fondo Grueso Vaso DOF 328 ml. / 11 oz.</t>
  </si>
  <si>
    <t>1 Máquina Vaporera de Hot-Dog Nostalgia (Retro) con Juego de Vasos Cerveceros de</t>
  </si>
  <si>
    <t>Vibe Vasos Old Fashioned 6 Piezas 355 ml. / 12 oz.</t>
  </si>
  <si>
    <t>001-00001094</t>
  </si>
  <si>
    <t>001-00001096</t>
  </si>
  <si>
    <t>001-00001099</t>
  </si>
  <si>
    <t>001-00001097</t>
  </si>
  <si>
    <t>001-00001098</t>
  </si>
  <si>
    <t>001-00001100</t>
  </si>
  <si>
    <t>T001-0020477</t>
  </si>
  <si>
    <t>T001-0020478</t>
  </si>
  <si>
    <t>T001-0020479</t>
  </si>
  <si>
    <t>T001-0020480</t>
  </si>
  <si>
    <t>T001-0020481</t>
  </si>
  <si>
    <t>T001-0020482</t>
  </si>
  <si>
    <t>001-00001095</t>
  </si>
  <si>
    <t>001-00001101</t>
  </si>
  <si>
    <t>001-00001102</t>
  </si>
  <si>
    <t>001-00001103</t>
  </si>
  <si>
    <t>001-00001104</t>
  </si>
  <si>
    <t>001-00001105</t>
  </si>
  <si>
    <t>001-00001106</t>
  </si>
  <si>
    <t>001-00001107</t>
  </si>
  <si>
    <t>001-00001108</t>
  </si>
  <si>
    <t>001-00001109</t>
  </si>
  <si>
    <t>001-00001110</t>
  </si>
  <si>
    <t>8 AM A 11 AM</t>
  </si>
  <si>
    <t>10 AM A 14 PM</t>
  </si>
  <si>
    <t>10 AM A 14 PM L-S</t>
  </si>
  <si>
    <t>14:00 PM a 16:00 PM L-S</t>
  </si>
  <si>
    <t>05:00 AM - 09:00 AM / 09:00 PM - 01:00 AM L-V</t>
  </si>
  <si>
    <t>10 AM a 12 AM L-S</t>
  </si>
  <si>
    <t>12 PM A 15 PM</t>
  </si>
  <si>
    <t>Wong Ovalo Gutierrez</t>
  </si>
  <si>
    <t>Wong Aurora</t>
  </si>
  <si>
    <t>Wong Benavides</t>
  </si>
  <si>
    <t>Metro San Miguel</t>
  </si>
  <si>
    <t>Wong Chacarilla</t>
  </si>
  <si>
    <t>Wong San Borja</t>
  </si>
  <si>
    <t>Wong Camacho</t>
  </si>
  <si>
    <t>Wong La Planicie</t>
  </si>
  <si>
    <t>Wong Aldava</t>
  </si>
  <si>
    <t>Wong Tomas Marsano</t>
  </si>
  <si>
    <t>Wong Ate</t>
  </si>
  <si>
    <t>AV. PASEO DE LA REPUBLICA N° 5453, 2DO. PISO</t>
  </si>
  <si>
    <t>JIRÓN LAMBAYEQUE 3763</t>
  </si>
  <si>
    <t>AV. SANTA CRUZ 771</t>
  </si>
  <si>
    <t>CALLE LUIS ARIAS SCHREIBER 270 URB. AURORA</t>
  </si>
  <si>
    <t>AV. BENAVIDES Y REP. DE PANAMA 1475</t>
  </si>
  <si>
    <t>AV. LA MARINA Y PARQUE LAS LEYENDAS S/N</t>
  </si>
  <si>
    <t>MONTE BELLO 150</t>
  </si>
  <si>
    <t>CALLE UCELLO 162</t>
  </si>
  <si>
    <t>AV. JAVIER PRADO ESTE 5055 URB.  CAMACHO</t>
  </si>
  <si>
    <t>AV. RICARDO ELIAS APARICIO 751 LOTE C</t>
  </si>
  <si>
    <t>AV. ALFREDO BENAVIDES 5250</t>
  </si>
  <si>
    <t>AV. SANTIAGO DE SURCO 4647 URB. PROLONGACIÓN BENAVIDES</t>
  </si>
  <si>
    <t>AV. LA MOLINA 378 ASC. FUNDO INQUISIDOR</t>
  </si>
  <si>
    <t>SAN MARTIN DE PORRES</t>
  </si>
  <si>
    <t>ATE</t>
  </si>
  <si>
    <t>51+970372592</t>
  </si>
  <si>
    <t>51+949288830</t>
  </si>
  <si>
    <t>12PM A 14 PM L-S</t>
  </si>
  <si>
    <t>T001-0020484</t>
  </si>
  <si>
    <t>T001-0020485</t>
  </si>
  <si>
    <t>T001-0020486</t>
  </si>
  <si>
    <t>T001-0020488</t>
  </si>
  <si>
    <t>001-00001112</t>
  </si>
  <si>
    <t>001-00001113</t>
  </si>
  <si>
    <t>001-00001114</t>
  </si>
  <si>
    <t>001-00001115</t>
  </si>
  <si>
    <t>001-00001116</t>
  </si>
  <si>
    <t>1601620119645-01</t>
  </si>
  <si>
    <t>09F-C9T33-12</t>
  </si>
  <si>
    <t>LB866288_4UND</t>
  </si>
  <si>
    <t>CFF1000_PCM405WMLN</t>
  </si>
  <si>
    <t>05F-C5T30-06</t>
  </si>
  <si>
    <t>06F-C8M02-06</t>
  </si>
  <si>
    <t>Lámina Adhesiva Con-Tact® Madera de Roble Claro (45.72 cm. x 274.32 cm.)</t>
  </si>
  <si>
    <t>Tarros para Beber 488 ml. / 16.5 oz. (4 Piezas)</t>
  </si>
  <si>
    <t>Fuente de Chocolate de Acero en Cascada Inox Nostalgia y Máquina de Algodó</t>
  </si>
  <si>
    <t>Cobertor para Estantes No Adhesivo Con-Tact® Zig-Zag Transparente (30.48 cm. x 1</t>
  </si>
  <si>
    <t>Lámina Con-Tact® Metal FX™ Acero Inoxidable (45.72 cm. x 182.88 cm.)</t>
  </si>
  <si>
    <t>JORGE MARIO CHAVEZ SALAS</t>
  </si>
  <si>
    <t>ELIZABETH ROCIO VALVERDE PALOMARES</t>
  </si>
  <si>
    <t>NESSUS HOTELES PERU S.A.</t>
  </si>
  <si>
    <t>SOFIA MARIA GARCIA CALDERON VALDIVIESO</t>
  </si>
  <si>
    <t>NADIA STEFANIA MONTALVA PACHAS</t>
  </si>
  <si>
    <t>CALLE SAN MARTÍN 727</t>
  </si>
  <si>
    <t>SEGOVIA 188 DPTO 201</t>
  </si>
  <si>
    <t>JR ANCASH 1 DPTO B 304</t>
  </si>
  <si>
    <t>CALLE LA REPUBLICA 970</t>
  </si>
  <si>
    <t>CALLE LA AMISTAD 134</t>
  </si>
  <si>
    <t>EL AGUSTINO</t>
  </si>
  <si>
    <t>SANTA ANITA</t>
  </si>
  <si>
    <t>51+944967129</t>
  </si>
  <si>
    <t>51+987472881</t>
  </si>
  <si>
    <t>51+962378254</t>
  </si>
  <si>
    <t>51+982493032</t>
  </si>
  <si>
    <t>51+946574256</t>
  </si>
  <si>
    <t>T001-0020489</t>
  </si>
  <si>
    <t>T001-0020490</t>
  </si>
  <si>
    <t>T001-0020492</t>
  </si>
  <si>
    <t>T001-0020491</t>
  </si>
  <si>
    <t>T001-0020493</t>
  </si>
  <si>
    <t>T001-0020499</t>
  </si>
  <si>
    <t>T001-0020495</t>
  </si>
  <si>
    <t>T001-0020496</t>
  </si>
  <si>
    <t>T001-0020497</t>
  </si>
  <si>
    <t>T001-0020498</t>
  </si>
  <si>
    <t>001-00001118</t>
  </si>
  <si>
    <t>001-00001119</t>
  </si>
  <si>
    <t>001-00001120</t>
  </si>
  <si>
    <t>001-00001121</t>
  </si>
  <si>
    <t>LB6943949928865</t>
  </si>
  <si>
    <t>Brilliance Copa sin Tallo 375 ml. / 12.7 oz.</t>
  </si>
  <si>
    <t>XIOMAR DEL PILAR OLIVARES TACO</t>
  </si>
  <si>
    <t>9:00 a 1:00 pm</t>
  </si>
  <si>
    <t>10:00 am  a 5:00 pm</t>
  </si>
  <si>
    <t>Calle Las Acacias 171</t>
  </si>
  <si>
    <t>Av. Camino Real 1239</t>
  </si>
  <si>
    <t>Jirón Puno 655</t>
  </si>
  <si>
    <t>Contacto Carolina Leiva 977-804 261</t>
  </si>
  <si>
    <t>Contacto Srta. Angela Córdova móvil 941-616 821</t>
  </si>
  <si>
    <t>Contacto Srta. Xiomara Olivares  915-337-895</t>
  </si>
  <si>
    <t>T001-0020500</t>
  </si>
  <si>
    <t>T001-0020501</t>
  </si>
  <si>
    <t>T001-0020502</t>
  </si>
  <si>
    <t>T001-0020503</t>
  </si>
  <si>
    <t>001-00001122</t>
  </si>
  <si>
    <t>GASTRONOMIA SIN LIMITES S.R.L.</t>
  </si>
  <si>
    <t>LB10615905601404</t>
  </si>
  <si>
    <t>SPKSY Copa Martini Multiusos 192 ml. / 6.5 oz.</t>
  </si>
  <si>
    <t>AV JOSE PARDO NRO. 610 INT. 19 SOTANO CENTRO COMERCIAL LAT LIMA - LIMA - MIRAFLORES</t>
  </si>
  <si>
    <t>T001-0020506</t>
  </si>
  <si>
    <t>L-S 11:00 AM - 01:00 PM</t>
  </si>
  <si>
    <t>T001-0020504</t>
  </si>
  <si>
    <t>T001-0020505</t>
  </si>
  <si>
    <t>001-00001123</t>
  </si>
  <si>
    <t>001-00001124</t>
  </si>
  <si>
    <t>001-00001125</t>
  </si>
  <si>
    <t>001-00001126</t>
  </si>
  <si>
    <t>001-00001127</t>
  </si>
  <si>
    <t>001-00001128</t>
  </si>
  <si>
    <t>001-00001129</t>
  </si>
  <si>
    <t>001-00001130</t>
  </si>
  <si>
    <t>1602543101679-01</t>
  </si>
  <si>
    <t>1602540133823-01</t>
  </si>
  <si>
    <t>1602580134605-01</t>
  </si>
  <si>
    <t>V16365046PLZV-01</t>
  </si>
  <si>
    <t>CR07512</t>
  </si>
  <si>
    <t>CR55478</t>
  </si>
  <si>
    <t>HDT600COKE</t>
  </si>
  <si>
    <t>04F-C8P01-06</t>
  </si>
  <si>
    <t>06F-C8Q01-06</t>
  </si>
  <si>
    <t>09F-C9A0D-12</t>
  </si>
  <si>
    <t>09F-C9A7X3-12</t>
  </si>
  <si>
    <t>09F-C9W03-12</t>
  </si>
  <si>
    <t>09F-C9A3G3-12</t>
  </si>
  <si>
    <t>09F-C9AD43-12</t>
  </si>
  <si>
    <t>09F-C9V03-12</t>
  </si>
  <si>
    <t>CR9520153</t>
  </si>
  <si>
    <t>CR03364</t>
  </si>
  <si>
    <t>LU1708213</t>
  </si>
  <si>
    <t>Vina Copa para Martini 237 ml. / 8 oz.</t>
  </si>
  <si>
    <t>Plato de Vidrio para Hornear 21.1 cm. x 21.1 cm. x 4.6 cm.</t>
  </si>
  <si>
    <t>Máquina Tostadora de Hot-Dog Coca-Cola Nostalgia</t>
  </si>
  <si>
    <t>COBERTOR PREMIUM PARA ESTANTES NO ADHESIVO CON-TACT® ACANALADO TRANSPARANTE (50.</t>
  </si>
  <si>
    <t>Cobertor Premium para Estantes No Adhesivo Con-Tact® Acanalado Transparente (30.</t>
  </si>
  <si>
    <t>Lámina Adhesiva Con-Tact® Caña (45.72 cm. x 274.32 cm.)</t>
  </si>
  <si>
    <t>Lámina Adhesiva Con-Tact® Moderna Khaki (45.72 cm. x 274.32 cm.)</t>
  </si>
  <si>
    <t>Lámina Adhesiva Con-Tact® Puntos Grises (45.72 cm. x 274.32 cm.)</t>
  </si>
  <si>
    <t>Lámina Adhesiva Con-Tact® Mercedes Gris (45.72 cm. x 274.32 cm.)</t>
  </si>
  <si>
    <t>Lámina Adhesiva Con-Tact® Seaward (45.72 cm. x 274.32 cm.)</t>
  </si>
  <si>
    <t>Lámina Adhesiva Con-Tact® Abbey Sage (45.72 cm. x 274.32 cm.)</t>
  </si>
  <si>
    <t>Florero en Forma de Pecera 20.96 cm. x 25.4 cm.</t>
  </si>
  <si>
    <t>Selene Tazón de Servir de Vidrio 25.4 cm. X 11.7 cm.</t>
  </si>
  <si>
    <t>COPA NIEVE MALTEADA FDO LISO</t>
  </si>
  <si>
    <t>LUIS ENRIQUE CASTRO SALAZAR</t>
  </si>
  <si>
    <t>ERIKA SOFIA JANAMPA GUTIERREZ</t>
  </si>
  <si>
    <t>UNIVRSO VISUAL 360º S.A.C.</t>
  </si>
  <si>
    <t>ELEANA GUADALUPE AMELIA SALAZAR REYNA</t>
  </si>
  <si>
    <t>SAN MIGUEL DAMMERT JOHANNA</t>
  </si>
  <si>
    <t>MARGORETH CONNIE DESVETHLANNA ZEVALLOS RAMIREZ</t>
  </si>
  <si>
    <t>L.G. NEGOCIOS S.A.C.</t>
  </si>
  <si>
    <t>9:00 am  a 2:00 pm</t>
  </si>
  <si>
    <t>ELÍAS AGUIRRE 277</t>
  </si>
  <si>
    <t>AV JORGE CHÁVEZ 1893 INTERIOR 19</t>
  </si>
  <si>
    <t>Jirón Mallash 4921 URB Parque Naranjal 2da Etapa</t>
  </si>
  <si>
    <t>CL LOS TULIPANES 375</t>
  </si>
  <si>
    <t>JIRÓN CARLOS BACA FLOR 460</t>
  </si>
  <si>
    <t>AV MELLO FRANCO 630 DPTO 704</t>
  </si>
  <si>
    <t>JESUS MARIA</t>
  </si>
  <si>
    <t>JR. HUALLAGA NRO. 650 INT. 417 LIMA - LIMA - LIMA</t>
  </si>
  <si>
    <t>Contacto Sr. Valenzuela  móvil 960628425</t>
  </si>
  <si>
    <t>51+962319154</t>
  </si>
  <si>
    <t>51+965406783</t>
  </si>
  <si>
    <t>51+997780770</t>
  </si>
  <si>
    <t>51+945416185</t>
  </si>
  <si>
    <t>51+992547375</t>
  </si>
  <si>
    <t>T001-0020507</t>
  </si>
  <si>
    <t>T001-0020508</t>
  </si>
  <si>
    <t>T001-0020509</t>
  </si>
  <si>
    <t>T001-0020510</t>
  </si>
  <si>
    <t>T001-0020511</t>
  </si>
  <si>
    <t>T001-0020512</t>
  </si>
  <si>
    <t>T001-0020513</t>
  </si>
  <si>
    <t>T001-0020514</t>
  </si>
  <si>
    <t>INVERSIONES JAFER SOCIEDAD ANONIMA CERRADA</t>
  </si>
  <si>
    <t>CITA</t>
  </si>
  <si>
    <t>L-V 09:00 AM - 01:00 PM</t>
  </si>
  <si>
    <t>Contacto: Sra. Janet 983406070</t>
  </si>
  <si>
    <t>T001-0020235</t>
  </si>
  <si>
    <t>001-00001131</t>
  </si>
  <si>
    <t>001-00001132</t>
  </si>
  <si>
    <t>001-00001133</t>
  </si>
  <si>
    <t>001-00001134</t>
  </si>
  <si>
    <t>VENTA P. WEB</t>
  </si>
  <si>
    <t>CR06755</t>
  </si>
  <si>
    <t>CR03886</t>
  </si>
  <si>
    <t>Coca-Cola Vaso para Refresco Verde Original 510 ml. / 17.2 oz.</t>
  </si>
  <si>
    <t>México Jarra 1 lt. / 33.8 oz.</t>
  </si>
  <si>
    <t>SEBASTIAN ENRIQUE CASTILLO ANGELES</t>
  </si>
  <si>
    <t>CONSORCIO DE IMPORTACIONES Y EXPORTACIONES LOCERIA</t>
  </si>
  <si>
    <t>VALU REPRESENTACIONES DISTRIBUCIONES S.R.L.</t>
  </si>
  <si>
    <t>A PARTIR DE LAS 11 AM</t>
  </si>
  <si>
    <t>L-V 8 AM-6 PM / S 8-AM 4 PM</t>
  </si>
  <si>
    <t>EMPRESA DE TRANSPORTES DE CARGA PEPITO E.I.R.L.</t>
  </si>
  <si>
    <t>AVENIDA HORACIO URTEAGA 502 DPTO 1001</t>
  </si>
  <si>
    <t>Jiron puno 616 interior 2</t>
  </si>
  <si>
    <t>Jr. Tarata 480, Barrios Altos</t>
  </si>
  <si>
    <t>Jr. Tarata 480, Barrios Altos  </t>
  </si>
  <si>
    <t>LLAMAR 30 MIN ANTES</t>
  </si>
  <si>
    <t>T001-0020515</t>
  </si>
  <si>
    <t>T001-0020516</t>
  </si>
  <si>
    <t>T001-0020517</t>
  </si>
  <si>
    <t>T001-0020518</t>
  </si>
  <si>
    <t>001-00000902-1</t>
  </si>
  <si>
    <t>51+924571131</t>
  </si>
  <si>
    <t>001-00001111</t>
  </si>
  <si>
    <t>T001-0020519</t>
  </si>
  <si>
    <t>INMOBILIARIA DE TURISMO S A</t>
  </si>
  <si>
    <t>MINIMARKET K &amp; M S.A.C.</t>
  </si>
  <si>
    <t>GUZMAN MINAYA ROQUE MARTIN</t>
  </si>
  <si>
    <t>NATURAE INMOBILIARIA S.A.C.</t>
  </si>
  <si>
    <t>20136847237</t>
  </si>
  <si>
    <t>20615184439</t>
  </si>
  <si>
    <t>10079747021</t>
  </si>
  <si>
    <t>20602927882</t>
  </si>
  <si>
    <t>LB10615905926774</t>
  </si>
  <si>
    <t>LB10615905924152</t>
  </si>
  <si>
    <t>LB56880</t>
  </si>
  <si>
    <t>LB32802</t>
  </si>
  <si>
    <t>LB3715_3</t>
  </si>
  <si>
    <t>LB08429</t>
  </si>
  <si>
    <t>LB6943949921286</t>
  </si>
  <si>
    <t>LB072689</t>
  </si>
  <si>
    <t>LB6943949907518</t>
  </si>
  <si>
    <t>LB10615905926781</t>
  </si>
  <si>
    <t>Vaso Carats Beverage 414 ml. /14 oz.</t>
  </si>
  <si>
    <t>Vaso Hobstar DOF 355 ml. / 12 oz.</t>
  </si>
  <si>
    <t>Tiki Vaso Estilo Piña 502 ml. / 17 oz.</t>
  </si>
  <si>
    <t>Tiki Vaso para Bebidas Estilo Bambú 473 ml. / 16 oz.</t>
  </si>
  <si>
    <t>Embassy Copa Poco Grande 311 ml. / 10 ½ oz</t>
  </si>
  <si>
    <t>Citation Gourmet Copa para Margarita 266 ml. / 9 oz..</t>
  </si>
  <si>
    <t>Brilliance Copa para Vino 350 ml. / 11.75 oz.</t>
  </si>
  <si>
    <t>Vina Copa Ballon 540 ml. / 18 ¼ oz.</t>
  </si>
  <si>
    <t>Embassy Copa para Coctel 222 ml. / 7.5 oz..</t>
  </si>
  <si>
    <t>MEZCLADOR PARA COCKTAIL CARATS 747 ML / 25.25 OZ.</t>
  </si>
  <si>
    <t>001-00001135</t>
  </si>
  <si>
    <t>001-00001136</t>
  </si>
  <si>
    <t>001-00001137</t>
  </si>
  <si>
    <t>001-00001139</t>
  </si>
  <si>
    <t>CAL. PANCHO FIERRO NRO. 194 URB. EL OLIVAR LIMA - LIMA - SAN ISIDRO</t>
  </si>
  <si>
    <t>CAL. LOS DEPORTES ANEXO SANTA MZ. O LT. 15 LIMA - CAÑETE - ASIA</t>
  </si>
  <si>
    <t>CAÑETE - ASIA</t>
  </si>
  <si>
    <t>JR J.J. PASO 120 LIMA - LIMA - PUEBLO LIBRE</t>
  </si>
  <si>
    <t>AV. PASEO DE LA REPUBLICA NRO. 5181 DPTO. 2002 LIMA - LIMA - SURQUILLO</t>
  </si>
  <si>
    <t>T001-0020520</t>
  </si>
  <si>
    <t>T001-0020521</t>
  </si>
  <si>
    <t>T001-0020522</t>
  </si>
  <si>
    <t>T001-0020523</t>
  </si>
  <si>
    <t xml:space="preserve"> Itala Gracia móvil 962-673399 </t>
  </si>
  <si>
    <t xml:space="preserve">962-673399 </t>
  </si>
  <si>
    <t>L-V 8:00 am a 12:30 pm</t>
  </si>
  <si>
    <t>967715640 Sr. Roque</t>
  </si>
  <si>
    <t>L-V 8:00 am a 13:00 pm</t>
  </si>
  <si>
    <t>001-00001142</t>
  </si>
  <si>
    <t>001-00001143</t>
  </si>
  <si>
    <t>001-00001144</t>
  </si>
  <si>
    <t>001-00001145</t>
  </si>
  <si>
    <t>001-00001146</t>
  </si>
  <si>
    <t>001-00001147</t>
  </si>
  <si>
    <t>001-00001148</t>
  </si>
  <si>
    <t>001-00001149</t>
  </si>
  <si>
    <t>PR-2013-GG</t>
  </si>
  <si>
    <t>PR-2013-CB</t>
  </si>
  <si>
    <t>PR-2013-DP</t>
  </si>
  <si>
    <t>PR-2005-BR</t>
  </si>
  <si>
    <t>PR-2005-MB</t>
  </si>
  <si>
    <t>PR-2005-PG</t>
  </si>
  <si>
    <t>TPX-6007-HYDRA</t>
  </si>
  <si>
    <t>TPX-6007-LIME</t>
  </si>
  <si>
    <t>TPX-6009-HYDRA</t>
  </si>
  <si>
    <t>TPX-6009-LIME</t>
  </si>
  <si>
    <t>TPX-6005-HYDRA</t>
  </si>
  <si>
    <t>TPX-6005-LIME</t>
  </si>
  <si>
    <t>TPX-2076-HYDRA</t>
  </si>
  <si>
    <t>CR01601</t>
  </si>
  <si>
    <t>CR00424</t>
  </si>
  <si>
    <t>CR02181</t>
  </si>
  <si>
    <t>CR05013</t>
  </si>
  <si>
    <t>Prime Lonchera con Partición Color Verde Glacial 1200 ml.</t>
  </si>
  <si>
    <t>Prime Lonchera con Arcilla Color Arcilla Beige 1200 ml.</t>
  </si>
  <si>
    <t>Prime Lonchera con Partición Color Rosa 1200 ml.</t>
  </si>
  <si>
    <t>Prime Kids Lonchera Color Roja con Diseños 600 ml.</t>
  </si>
  <si>
    <t>Prime Kids Lonchera Color Azul con Diseños 600 ml.</t>
  </si>
  <si>
    <t>Prime Kids Lonchera Color Verde con Diseños 600 ml.</t>
  </si>
  <si>
    <t>Eskimo Cooler con Asa de Plástico Color Hydra 11 lt. / 11.6 qt.</t>
  </si>
  <si>
    <t>Eskimo Cooler con Asa de Plástico Color Lima 11 lt. / 11.6 qt.</t>
  </si>
  <si>
    <t>Eskimo Cooler con Asa de Plástico Color Hydra 34.5 lt. / 36.4 qt.</t>
  </si>
  <si>
    <t>Eskimo Cooler con Asa de Plástico Color Lima 34.5 lt. / 36.4 qt.</t>
  </si>
  <si>
    <t>Eskimo Cooler con Asa de Plástico Color Hydra 57 lt. / 60 qt.</t>
  </si>
  <si>
    <t>Eskimo Cooler con Asa de Plástico Color Lima 57 lt. / 60 qt.</t>
  </si>
  <si>
    <t>Platino Cooler con Dispensador Color Hydra 20 lt. / 5 gal.</t>
  </si>
  <si>
    <t>Plato Banana Split 22.8 cm.</t>
  </si>
  <si>
    <t>Juego de Cacerola con Tapa de Vidrio 948 ml. / 32 oz.</t>
  </si>
  <si>
    <t>Copa Sherbet para Postres 135 ml. / 4.6 oz.</t>
  </si>
  <si>
    <t>Home Decor Pecera 10 cm.</t>
  </si>
  <si>
    <t>Oficina</t>
  </si>
  <si>
    <t>OTROS</t>
  </si>
  <si>
    <t>MENAJES Y CRISTALES E.I.R.L.</t>
  </si>
  <si>
    <t>BRAND SERVICE PERU SOCIEDAD ANONIMA CERRADA</t>
  </si>
  <si>
    <t>MADUEÑO ALVIS DE ZAMATA LIVIA YOLANDA</t>
  </si>
  <si>
    <t>CHAVEZ MERMA ASUNCION JENNY</t>
  </si>
  <si>
    <t>RAMOS FLORES MARTHA HAYDEE</t>
  </si>
  <si>
    <t>HUAYLLA ANCASI JUSTINA</t>
  </si>
  <si>
    <t>L-V 8 AM - 6 PM / S 8 AM - 4 PM</t>
  </si>
  <si>
    <t>2pm a 6pm</t>
  </si>
  <si>
    <t>ANTES DEL MEDIODIA</t>
  </si>
  <si>
    <t>TRANSPORTES LEON DEL SUR EXPRESS</t>
  </si>
  <si>
    <t>Av. Javier Prado Este 175</t>
  </si>
  <si>
    <t>JR. MENDOZA MERINO NO. 820</t>
  </si>
  <si>
    <t>T001-0020524</t>
  </si>
  <si>
    <t>Sr. Luis se llevara el pedido</t>
  </si>
  <si>
    <t>T001-0020526</t>
  </si>
  <si>
    <t>T001-0020527</t>
  </si>
  <si>
    <t>001-00001150</t>
  </si>
  <si>
    <t>001-00001151</t>
  </si>
  <si>
    <t>LB6943949928988</t>
  </si>
  <si>
    <t>LB09123</t>
  </si>
  <si>
    <t>Vaso en Forma de Lata 473 ml. / 16 oz.</t>
  </si>
  <si>
    <t>Signature Kentfield Copa Estate para Cualquier Tipo de Bebida 4 Piezas 473 ml.</t>
  </si>
  <si>
    <t>ELIZABETH CRISTINA CALLUPE DAVILA</t>
  </si>
  <si>
    <t>10 - 11am</t>
  </si>
  <si>
    <t>AV. VILLA DEL MAR LOTE 8 URB. SEMIRUSTICA VILLARICA</t>
  </si>
  <si>
    <t>AV. DE LAS ARTES NORTE 170</t>
  </si>
  <si>
    <t>VILLA EL SALVADOR</t>
  </si>
  <si>
    <t>001-00000103</t>
  </si>
  <si>
    <t>EXPRESO GRAEL SOCIEDAD ANONIMA CERRADA</t>
  </si>
  <si>
    <t>AV. PROLONGACION ANDAHUAYLAS NRO. 619 - LA VICTORIA</t>
  </si>
  <si>
    <t>001-00001152</t>
  </si>
  <si>
    <t>001-00001153</t>
  </si>
  <si>
    <t>LB6943949928681_6UND</t>
  </si>
  <si>
    <t>LB6943949918699_4UND</t>
  </si>
  <si>
    <t>Muse Weizenbier Juego de 6 Vasos 467 ml. / 15.80 oz.</t>
  </si>
  <si>
    <t>Tarro Escandinavia (Juego de 4 Unidades) 355 ml. / 12 oz..</t>
  </si>
  <si>
    <t>MIA MARKET AUTOSERVICIOS MULTIPLES SOCIEDAD COMERCIAL DE RES</t>
  </si>
  <si>
    <t>L - S 8AM A 4PM</t>
  </si>
  <si>
    <t>LLEGAR ANTES DEL MEDIODIA</t>
  </si>
  <si>
    <t>TRANSPORTES GENERALES SAN JORGE EIRLTDA</t>
  </si>
  <si>
    <t>CC SUR PLAZA BOULEVARD - PLAYA ASIA , KM 97.5 , CAÑETE, LIMA</t>
  </si>
  <si>
    <t>JR. HUÁNUCO 2229</t>
  </si>
  <si>
    <t>T001-0020529</t>
  </si>
  <si>
    <t>T001-0020530</t>
  </si>
  <si>
    <t>T001-0020528</t>
  </si>
  <si>
    <t>T001-0020534</t>
  </si>
  <si>
    <t>001-00001154</t>
  </si>
  <si>
    <t>001-00001155</t>
  </si>
  <si>
    <t>001-00001156</t>
  </si>
  <si>
    <t>BMAT-C02503-04</t>
  </si>
  <si>
    <t>Piso para baño Antideslizante Con-Tact® PiedrasPequeñasTransparentes (88x40 cm)</t>
  </si>
  <si>
    <t>MANUEL ALEXANDER PALOMINO CUMPEN</t>
  </si>
  <si>
    <t>SANDRA MELISA MARCOS LEON</t>
  </si>
  <si>
    <t>10am a 1pm</t>
  </si>
  <si>
    <t>AV OSCAR R BENAVIDES 1194</t>
  </si>
  <si>
    <t>AVENIDA PARDO MIRAFLORES 901 DPTO 904</t>
  </si>
  <si>
    <t>51+914764086</t>
  </si>
  <si>
    <t>51+998588868</t>
  </si>
  <si>
    <t>PRO. ANDAHUAYLAS NRO. 735 LIMA - LIMA - LA VICTORIA</t>
  </si>
  <si>
    <t>T001-0020531</t>
  </si>
  <si>
    <t>T001-0020532</t>
  </si>
  <si>
    <t>T001-0020533</t>
  </si>
  <si>
    <t>001-00001157</t>
  </si>
  <si>
    <t>KU CAM SENG S.A.C.</t>
  </si>
  <si>
    <t>JR. HUALLAGA NRO. 812 CERCADO DE LIMA LIMA - LIMA - LIMA</t>
  </si>
  <si>
    <t>T001-0020535</t>
  </si>
  <si>
    <t xml:space="preserve"> 998186487 Sr. Roberto Llamar media hora antes de llegar al destino</t>
  </si>
  <si>
    <t>L-S 10:00 AM - 13:00 PM</t>
  </si>
  <si>
    <t>001-00001158</t>
  </si>
  <si>
    <t>996752772 sra. Hermelinda. Llamar media hora antes de llegar al destino</t>
  </si>
  <si>
    <t>T001-0020536</t>
  </si>
  <si>
    <t>LB0B616</t>
  </si>
  <si>
    <t>LB0B925</t>
  </si>
  <si>
    <t>Set de Bar Chilcano (11 Piezas)</t>
  </si>
  <si>
    <t>Set de Bar Whiskey (11 Piezas)</t>
  </si>
  <si>
    <t>JR. PUNO NRO. 642 URB. BARRIOS ALTOS INT. 123 LIMA - LIMA - LIMA</t>
  </si>
  <si>
    <t>001-00001156-1</t>
  </si>
  <si>
    <t>001-00001167</t>
  </si>
  <si>
    <t>001-00001168</t>
  </si>
  <si>
    <t>001-00001169</t>
  </si>
  <si>
    <t>001-00001170</t>
  </si>
  <si>
    <t>MONTE BELLO 150 LIMA - LIMA - SANTIAGO DE SURCO</t>
  </si>
  <si>
    <t>Craft Beer Juego de 6 Vasos 473 ml. / 16 oz.</t>
  </si>
  <si>
    <t>LB6943949928360_6UND</t>
  </si>
  <si>
    <t>MORELLA KIEFFER GARLAND</t>
  </si>
  <si>
    <t>JIRÓN PEREZ ROCA 318 DPTO 301 LIMA - LIMA - BARRANCO</t>
  </si>
  <si>
    <t>BARRANCO</t>
  </si>
  <si>
    <t>CR90160</t>
  </si>
  <si>
    <t>Perfect Signature Auden Copa para Vino sin Tallo 4 Piezas 621 ml. / 21 oz.</t>
  </si>
  <si>
    <t>DNI75255418</t>
  </si>
  <si>
    <t>T001-0020537</t>
  </si>
  <si>
    <t>001-00001172</t>
  </si>
  <si>
    <t>001-00001171</t>
  </si>
  <si>
    <t>T001-0020544</t>
  </si>
  <si>
    <t>T001-0020538</t>
  </si>
  <si>
    <t>T001-0020539</t>
  </si>
  <si>
    <t>T001-0020540</t>
  </si>
  <si>
    <t>AV. ALFREDO BENAVIDES , 5250 LIMA - LIMA - SANTIAGO DE SURCO</t>
  </si>
  <si>
    <t>Wong Aldabas</t>
  </si>
  <si>
    <t>T001-0020541</t>
  </si>
  <si>
    <t>CENCOSUD RETAIL PERU S.A. METRO LIMATAMBO</t>
  </si>
  <si>
    <t>AV. AVIACIÓN ESQ AV. ANGAMOS , C.H. LIMATAMBO , S/N , SAN BORJA , LIMA</t>
  </si>
  <si>
    <t>11 AM A 16 PM</t>
  </si>
  <si>
    <t>001-00001173</t>
  </si>
  <si>
    <t>Metro Lima Tambo</t>
  </si>
  <si>
    <t>T001-0020542</t>
  </si>
  <si>
    <t>001-00001174</t>
  </si>
  <si>
    <t>T001-0020543</t>
  </si>
  <si>
    <t>001-00001175</t>
  </si>
  <si>
    <t>001-00001176</t>
  </si>
  <si>
    <t>001-00001177</t>
  </si>
  <si>
    <t>001-00001178</t>
  </si>
  <si>
    <t>001-00001179</t>
  </si>
  <si>
    <t>AV. RAUL FERRERO MZ D LOTE 1 URB. LOS SIRUS - II ETAPA</t>
  </si>
  <si>
    <t>Wong La Molina</t>
  </si>
  <si>
    <t>001-00001180</t>
  </si>
  <si>
    <t>LB6943949918729_4UND</t>
  </si>
  <si>
    <t>Tarro Stein (Juego de 4 Piezas) 355 ml. / 12 oz..</t>
  </si>
  <si>
    <t>001-00001181</t>
  </si>
  <si>
    <t>001-00001182</t>
  </si>
  <si>
    <t>001-00001183</t>
  </si>
  <si>
    <t>001-00001184</t>
  </si>
  <si>
    <t>001-00001185</t>
  </si>
  <si>
    <t>001-00001186</t>
  </si>
  <si>
    <t>001-00001187</t>
  </si>
  <si>
    <t>AV PROLONGACION PASEO DE LA REPUBLICA URB MATELLINI S/N</t>
  </si>
  <si>
    <t>CHORRILLOS</t>
  </si>
  <si>
    <t>11 AM A 15 PM</t>
  </si>
  <si>
    <t xml:space="preserve">CENCOSUD RETAIL PERU S.A. </t>
  </si>
  <si>
    <t>Metro Matellini</t>
  </si>
  <si>
    <t>001-00001188</t>
  </si>
  <si>
    <t>001-00001189</t>
  </si>
  <si>
    <t>001-00001190</t>
  </si>
  <si>
    <t>001-00001191</t>
  </si>
  <si>
    <t>001-00001192</t>
  </si>
  <si>
    <t>001-00001193</t>
  </si>
  <si>
    <t>CR1793155</t>
  </si>
  <si>
    <t>CR06386</t>
  </si>
  <si>
    <t>CR06647</t>
  </si>
  <si>
    <t>LB6942469402336</t>
  </si>
  <si>
    <t>Tequilero Doble Especial 59 ml. / 2 oz.</t>
  </si>
  <si>
    <t>Fondo Grueso Vaso para Refresco 483 ml. / 16.3 oz.</t>
  </si>
  <si>
    <t>Brasilia Vaso HB 355 ml. / 12 oz.</t>
  </si>
  <si>
    <t>FLORERO CILINDRICO 755 ML. / 25.5 OZ.</t>
  </si>
  <si>
    <t>PAOLA PATIÑO RABINES</t>
  </si>
  <si>
    <t>DNI41675596</t>
  </si>
  <si>
    <t>9:00 AM - 12:30 PM / 3:00 PM - 5:00 PM</t>
  </si>
  <si>
    <t>PASAJE LA ESPAÑOLA 179</t>
  </si>
  <si>
    <t>CHORILLOS</t>
  </si>
  <si>
    <t>+51 970 372 592</t>
  </si>
  <si>
    <t>915-337-895</t>
  </si>
  <si>
    <t>977-804 261</t>
  </si>
  <si>
    <t>51+978189605</t>
  </si>
  <si>
    <t>T001-0020547</t>
  </si>
  <si>
    <t>T001-0020548</t>
  </si>
  <si>
    <t>T001-0020549</t>
  </si>
  <si>
    <t>T001-0020550</t>
  </si>
  <si>
    <t>T001-0020551</t>
  </si>
  <si>
    <t>T001-0020552</t>
  </si>
  <si>
    <t>T001-0020553</t>
  </si>
  <si>
    <t>T001-0020554</t>
  </si>
  <si>
    <t>T001-0020558</t>
  </si>
  <si>
    <t>T001-0020555</t>
  </si>
  <si>
    <t>T001-0020556</t>
  </si>
  <si>
    <t>T001-0020557</t>
  </si>
  <si>
    <t>T001-0020559</t>
  </si>
  <si>
    <t>T001-0020560</t>
  </si>
  <si>
    <t>T001-0020545</t>
  </si>
  <si>
    <t>T001-0020546</t>
  </si>
  <si>
    <t>T001-0020561</t>
  </si>
  <si>
    <t>T001-0020562</t>
  </si>
  <si>
    <t>001-00001202</t>
  </si>
  <si>
    <t>JANET ROSANA BENDEZU AYUQUE</t>
  </si>
  <si>
    <t>001-00001203</t>
  </si>
  <si>
    <t>04F-C8T01-06</t>
  </si>
  <si>
    <t>MARIA ISABEL AGUILERA MENDOZA</t>
  </si>
  <si>
    <t>001-00001194</t>
  </si>
  <si>
    <t>001-00001195</t>
  </si>
  <si>
    <t>001-00001196</t>
  </si>
  <si>
    <t>001-00001197</t>
  </si>
  <si>
    <t>001-00001198</t>
  </si>
  <si>
    <t>001-00001199</t>
  </si>
  <si>
    <t>001-00001200</t>
  </si>
  <si>
    <t>001-00001201</t>
  </si>
  <si>
    <t>001-00001204</t>
  </si>
  <si>
    <t>MULTISERVICIOS JHON ANDERSON E.I.R.L.</t>
  </si>
  <si>
    <t>INVERSIONES PACIFICO RETAIL S.A.C.</t>
  </si>
  <si>
    <t>INVERSIONES AMAZONICAS M &amp; L SOCIEDAD ANONIMA CERRADA</t>
  </si>
  <si>
    <t>QUISPE APAZA LUISA</t>
  </si>
  <si>
    <t>PERLA GUTIERREZ IVAN EVARISTO</t>
  </si>
  <si>
    <t>ALZAMORA LOPEZ MARCO ANTONIO</t>
  </si>
  <si>
    <t>CORONEL CALSIN VICTOR LORENZO</t>
  </si>
  <si>
    <t>LB57221</t>
  </si>
  <si>
    <t>LB1710884</t>
  </si>
  <si>
    <t>CR14477</t>
  </si>
  <si>
    <t>CR03454</t>
  </si>
  <si>
    <t>CR07872</t>
  </si>
  <si>
    <t>CR14485</t>
  </si>
  <si>
    <t>TPX-3010-HYDRA</t>
  </si>
  <si>
    <t>TPX-3010-TANGERINE</t>
  </si>
  <si>
    <t>TPX-3010-LIME</t>
  </si>
  <si>
    <t>TPX-2067-HYDRA</t>
  </si>
  <si>
    <t>TPX-7200-BLUE</t>
  </si>
  <si>
    <t>TPX-7200-GREEN</t>
  </si>
  <si>
    <t>GARRAFA SALMA CON TAPA 1 LT. / 33.8 OZ. [P. ANT.]</t>
  </si>
  <si>
    <t>Rombus Vaso DOF 352 ml. / 11.90 oz.</t>
  </si>
  <si>
    <t>Quickeep Aqua</t>
  </si>
  <si>
    <t>Tarro Cafetero 399 ml / 13.5 oz.</t>
  </si>
  <si>
    <t>Tazón Corvino para Café 451 ml. / 15.25 oz.</t>
  </si>
  <si>
    <t>Quickeep Morado</t>
  </si>
  <si>
    <t>Prudence Cooler con Asa de Plástico Color Hydra 20 lt. / 21.1 qt.</t>
  </si>
  <si>
    <t>Prudence Cooler con Asa de Plástico Color Mandarina 20 lt. / 21.1 qt.</t>
  </si>
  <si>
    <t>Prudence Cooler con Asa de Plástico Color Lima 20 lt. / 21.1 qt.</t>
  </si>
  <si>
    <t>Saga Jarra de Plástico Color Hydra 2.5 lt. / 3 gal.</t>
  </si>
  <si>
    <t>Passion Cooler con Asa de Tela Colo Azúl 8 lt. / 10.5 qt.</t>
  </si>
  <si>
    <t>Passion Cooler con Asa de Tela Colo Verde 8 lt. / 10.5 qt.</t>
  </si>
  <si>
    <t>Cobertor Premium para Estantes No Adhesivo Con-Tact® Acanalado Transparente (40.</t>
  </si>
  <si>
    <t>L-V 8 AM - 6 PM</t>
  </si>
  <si>
    <t>L-V 8:30AM - 1:00PM / 2:00 - 5:30PM // S &lt;1:00PM</t>
  </si>
  <si>
    <t>TRANSPORTES ARAGON S.A.C.</t>
  </si>
  <si>
    <t>K8 XPRESS S.A.C.</t>
  </si>
  <si>
    <t>SAN JUAN DE LURIGANCHO</t>
  </si>
  <si>
    <t>URB. SAN AMADEO DE GARAGAY MZ. E LT. 5</t>
  </si>
  <si>
    <t>PARCELA II MZ. H-1 LT. 6 (CALLE LOS FORJADORES) PARQUE INDUS</t>
  </si>
  <si>
    <t>AV. LURIGANCHO NRO. 1468 COO. TRES PIRAMIDES LIMA - LIMA - S</t>
  </si>
  <si>
    <t>CALLE LOS DAMASCOS MZ V LOTE 17 URB CERES 2DA ETAPA</t>
  </si>
  <si>
    <t>JIRÓN CHOTA 1547</t>
  </si>
  <si>
    <t>001-00001162</t>
  </si>
  <si>
    <t>L Y S INVERSIONES PLASTIC E.I.R.L.</t>
  </si>
  <si>
    <t>JR. ABTAO NRO. 670 LIMA - LIMA - LA VICTORIA</t>
  </si>
  <si>
    <t xml:space="preserve"> LA VICTORIA</t>
  </si>
  <si>
    <t>RICHARD EXPRESS SOCIEDAD ANONIMA CERRADA - RICHARD EXPRESS</t>
  </si>
  <si>
    <t>T001-0020566</t>
  </si>
  <si>
    <t>T001-0020567</t>
  </si>
  <si>
    <t>T001-0020568</t>
  </si>
  <si>
    <t>T001-0020570</t>
  </si>
  <si>
    <t>T001-0020571</t>
  </si>
  <si>
    <t>T001-0020572</t>
  </si>
  <si>
    <t>RECOJO</t>
  </si>
  <si>
    <t>0001-000024-1</t>
  </si>
  <si>
    <t xml:space="preserve">RECOJO PRODUCTO </t>
  </si>
  <si>
    <t>001-00001205</t>
  </si>
  <si>
    <t>AV. CARLOS VIILLARAN 500 PLAZA SANTA CATALINA, LOCAL L119 LIMA - LIMA - LA VICTORIA</t>
  </si>
  <si>
    <t>001-00001206</t>
  </si>
  <si>
    <t>001-00001207</t>
  </si>
  <si>
    <t>001-00001208</t>
  </si>
  <si>
    <t>001-00001209</t>
  </si>
  <si>
    <t>1605733161121-01</t>
  </si>
  <si>
    <t>BMAT-C04579-04</t>
  </si>
  <si>
    <t>04F-C7H5G-06</t>
  </si>
  <si>
    <t>04F-C8S01-06</t>
  </si>
  <si>
    <t>PISO PARA BAÑO ANTIDESLIZANTE CON-TACT® PLATA METÁLICO (78.0 CM. X 36 CM.)</t>
  </si>
  <si>
    <t>Cobertor con Diseño No Adhesivo Con-Tact® Bon Appetite (45.72 cm. x 121.92 cm.)</t>
  </si>
  <si>
    <t>Cobertor Premium para Estantes No Adhesivo Con-Tact® Acanalado Transparente (45.</t>
  </si>
  <si>
    <t>ANDRES RAUSELLI GUEVARA LEON</t>
  </si>
  <si>
    <t>VIRGINIA LUCIA BAYLY DUCASSI</t>
  </si>
  <si>
    <t>DNI10735336</t>
  </si>
  <si>
    <t>DNI43904361</t>
  </si>
  <si>
    <t>DNI10058971</t>
  </si>
  <si>
    <t>CALLE TORIBIO POLO 322 DPTO 601</t>
  </si>
  <si>
    <t>CALLE ALFREDO SALAZAR 980 PISO 5</t>
  </si>
  <si>
    <t>51+967168186</t>
  </si>
  <si>
    <t>51+997541935</t>
  </si>
  <si>
    <t>T001-0020574</t>
  </si>
  <si>
    <t>T001-0020575</t>
  </si>
  <si>
    <t>T001-0020576</t>
  </si>
  <si>
    <t>T001-0020577</t>
  </si>
  <si>
    <t>T001-0020578</t>
  </si>
  <si>
    <t>L-V 08:30 AM 11:00 AM</t>
  </si>
  <si>
    <t>Contacto Srta. Vanesa  941 104 612</t>
  </si>
  <si>
    <t xml:space="preserve"> 941 104 612</t>
  </si>
  <si>
    <t>CR4312</t>
  </si>
  <si>
    <t>CR1719071</t>
  </si>
  <si>
    <t>CR1705585</t>
  </si>
  <si>
    <t>CR0B533</t>
  </si>
  <si>
    <t>CR15488</t>
  </si>
  <si>
    <t>CR05681</t>
  </si>
  <si>
    <t>CR05539</t>
  </si>
  <si>
    <t>CR05468</t>
  </si>
  <si>
    <t>CR05697</t>
  </si>
  <si>
    <t>CR03917</t>
  </si>
  <si>
    <t>CR95932</t>
  </si>
  <si>
    <t>CR05437</t>
  </si>
  <si>
    <t>CR0B476</t>
  </si>
  <si>
    <t>CR0B470</t>
  </si>
  <si>
    <t>CR1794301</t>
  </si>
  <si>
    <t>CR17154</t>
  </si>
  <si>
    <t>Tarro Cafetero Cavana 486 ml / 16.4 oz</t>
  </si>
  <si>
    <t>Save'n Store Tazón Grande 2.8 lt. / 100.1 oz.</t>
  </si>
  <si>
    <t>Save'n Store Tazón Mediano 1.6 lt. / 56.3 oz.</t>
  </si>
  <si>
    <t>Matrushka Juego para Servir de Vidrio (3 Piezas)</t>
  </si>
  <si>
    <t>Tazón de Medir de 2 Tazas 500 ml. / 16.9 oz.</t>
  </si>
  <si>
    <t>Tarro Cervecero 375 ml. / 12.7 oz.</t>
  </si>
  <si>
    <t>Eiffel Salero con Tapa de Metal 32 ml. / 1 oz.</t>
  </si>
  <si>
    <t>Astro Salero con Tapa de Metal 170 ml. / 5.7 oz.</t>
  </si>
  <si>
    <t>Tarro Cervecero Estriado 473 ml. / 16 oz.</t>
  </si>
  <si>
    <t>Camelot Jarra 2 lt. / 67.7 oz.</t>
  </si>
  <si>
    <t>Polka Juego de Vaso más Jarra (2 Piezas)</t>
  </si>
  <si>
    <t>Eiffel Salero con Tapa de Metal 33 ml. / 1.1 oz.</t>
  </si>
  <si>
    <t>Green Juice Frasco DOF con Tapa de Plástico 450 ml. / 15.2 oz.</t>
  </si>
  <si>
    <t>Green Juice Frasco HB con Tapa Plástica 715 ml. / 24.1 oz.</t>
  </si>
  <si>
    <t>Molde Multiusos 1.83 lt. / 62 oz.</t>
  </si>
  <si>
    <t>Tazón de Medir de 1 Taza 250 ml. / 8.4 oz.</t>
  </si>
  <si>
    <t>MORENO PEREZ MARIO</t>
  </si>
  <si>
    <t>EQUIPOS GASTRONOMICOS S.R.L.</t>
  </si>
  <si>
    <t>ARONI PONCE RITA MERY</t>
  </si>
  <si>
    <t>001-00001161</t>
  </si>
  <si>
    <t>001-00001165</t>
  </si>
  <si>
    <t>001-00001210</t>
  </si>
  <si>
    <t>001-00001214</t>
  </si>
  <si>
    <t>T001-0020579</t>
  </si>
  <si>
    <t>T001-0020580</t>
  </si>
  <si>
    <t>JIRON SEBASTIAN BARRANCA 1024 - LA VICTORIA</t>
  </si>
  <si>
    <t>CREACIONES GERALDO Y SARITA SOCIEDAD ANONIMA-CREACIONES</t>
  </si>
  <si>
    <t>JR. MENDOZA MERINO NO. 820 - LA VICTORIA</t>
  </si>
  <si>
    <t>TRANSPORTES LEON DEL SUR EXPRESS SOCIEDAD ANONIMA CERRADA</t>
  </si>
  <si>
    <t>T001-0020582</t>
  </si>
  <si>
    <t>T001-0020581</t>
  </si>
  <si>
    <t>PESA-PO-032362</t>
  </si>
  <si>
    <t>CAL.LAS ACACIAS NRO. 171 LIMA - LIMA - MIRAFLORES</t>
  </si>
  <si>
    <t>JR PUNO 642 INT 131 GALERIA LA ZONA LIMA - LIMA - LIMA</t>
  </si>
  <si>
    <t>L-V 09:00 AM - 13:00 PM</t>
  </si>
  <si>
    <t xml:space="preserve"> L-V 11:00 AM - 13:00 PM</t>
  </si>
  <si>
    <t xml:space="preserve">Contacto Felix 934 426 748 </t>
  </si>
  <si>
    <t xml:space="preserve">934 426 748 </t>
  </si>
  <si>
    <t>001-00001211</t>
  </si>
  <si>
    <t>001-00001212</t>
  </si>
  <si>
    <t>001-00001213</t>
  </si>
  <si>
    <t>001-00001215</t>
  </si>
  <si>
    <t>001-00001216</t>
  </si>
  <si>
    <t>001-00001217</t>
  </si>
  <si>
    <t>001-00001218</t>
  </si>
  <si>
    <t>001-00001219</t>
  </si>
  <si>
    <t>1606350201239-01</t>
  </si>
  <si>
    <t>V16448127PLZV-01</t>
  </si>
  <si>
    <t>EMPRESA COMERCIALIZADORA BAEZ EMPRESA INDIVIDUAL DE RESPONSA</t>
  </si>
  <si>
    <t>COMUSAL E.I.R.L.</t>
  </si>
  <si>
    <t>ANTHONY ESTRELLA</t>
  </si>
  <si>
    <t>09F-C9I63-12</t>
  </si>
  <si>
    <t>04F-C7HT6-06</t>
  </si>
  <si>
    <t>04F-C8S02-06</t>
  </si>
  <si>
    <t>Lámina Adhesiva Con-Tact® Aspen Aloe (45.72 cm. x 274.32 cm.)</t>
  </si>
  <si>
    <t>Cobertor con Diseño No Adhesivo Con-Tact® Aspen Aloe (45.72 cm. x 121.92 cm.)</t>
  </si>
  <si>
    <t>Cobertor Premium para Estantes No Adhesivo Con-Tact® Acanalado Blanco (45.72 cm.</t>
  </si>
  <si>
    <t>DISTRIBUIDOR PROVINCIA</t>
  </si>
  <si>
    <t>[Agencia] L-V 8:30AM - 1:00PM / 2:00 - 5:30PM // S &lt;6:30PM</t>
  </si>
  <si>
    <t>[Agencia] L-S 8:00 AM - 6:00 PM</t>
  </si>
  <si>
    <t>JR. APTAO NRO. 732</t>
  </si>
  <si>
    <t>AV. ISABEL LA CATOLICA 1139</t>
  </si>
  <si>
    <t>CALLE SEBASTIAN TELLERIA 382</t>
  </si>
  <si>
    <t>AV. PASEO DE LA REPUBLICA NRO. 6223 URB. SAN ANTONIO</t>
  </si>
  <si>
    <t>CALLE LAS CAMELIAS 57 PISO 2</t>
  </si>
  <si>
    <t>QUISA EXPRESS S.A.C.</t>
  </si>
  <si>
    <t>AMAZON SERVICIOS LOGISTICOS CUSCO</t>
  </si>
  <si>
    <t>FRANCO ORTIZ HERNANDO</t>
  </si>
  <si>
    <t>SABINA MENDIVIL TUCHIA DE TAI</t>
  </si>
  <si>
    <t>GEKO S.A.C.</t>
  </si>
  <si>
    <t>001-00001220</t>
  </si>
  <si>
    <t>001-00001221</t>
  </si>
  <si>
    <t>001-00001222</t>
  </si>
  <si>
    <t>001-00001223</t>
  </si>
  <si>
    <t>001-00001224</t>
  </si>
  <si>
    <t>001-00001225</t>
  </si>
  <si>
    <t>001-00001226</t>
  </si>
  <si>
    <t>LB3717_3</t>
  </si>
  <si>
    <t>LB6943949913564</t>
  </si>
  <si>
    <t>LB6942469402718</t>
  </si>
  <si>
    <t>TPX-2041-HYDRA</t>
  </si>
  <si>
    <t>TPX-6006-HYDRA</t>
  </si>
  <si>
    <t>TPX-6006-LIME</t>
  </si>
  <si>
    <t>Embassy Copa Poco Grande 392 ml. / 13 1/4 oz.</t>
  </si>
  <si>
    <t>Endeavor Vaso Rocks 207 ml. / 7 oz.</t>
  </si>
  <si>
    <t>PERCEPTION COPA COCKTAIL 251 ML./ 8.5 ML.</t>
  </si>
  <si>
    <t>Classic Cooler con Dispensador Color Hydra 12 lt. / 3 gal.</t>
  </si>
  <si>
    <t>Eskimo Cooler con Asa de Plástico Color Hydra 4.5 lt. / 4.75 qt.</t>
  </si>
  <si>
    <t>Eskimo Cooler con Asa de Plástico Color Lima 4.5 lt. / 4.75 qt.</t>
  </si>
  <si>
    <t>CASTELO CONDORI MARITZA</t>
  </si>
  <si>
    <t>OLARTE PAITAN OSWALDO NARCIZO</t>
  </si>
  <si>
    <t>BRILLANT E.I.R.L</t>
  </si>
  <si>
    <t>9:00 AM - 12:30 PM Y DE 3:00 PM - 5:00 PM</t>
  </si>
  <si>
    <t>CAL. LOS DEPORTES ANEXO SANTA MZ. O LT. 15</t>
  </si>
  <si>
    <t>T001-0020583</t>
  </si>
  <si>
    <t>T001-0020584</t>
  </si>
  <si>
    <t>T001-0020585</t>
  </si>
  <si>
    <t>T001-0020586</t>
  </si>
  <si>
    <t>T001-0020587</t>
  </si>
  <si>
    <t>T001-0020588</t>
  </si>
  <si>
    <t>T001-0020589</t>
  </si>
  <si>
    <t>FRANQUICIAS ALIMENTARIAS S.A.</t>
  </si>
  <si>
    <t>LB6943949907372</t>
  </si>
  <si>
    <t>Endeavor Vaso para Bebidas 414 ml. / 14 oz.</t>
  </si>
  <si>
    <t>PC00023941</t>
  </si>
  <si>
    <t>001-00001160</t>
  </si>
  <si>
    <t>ROSA MARIA ASUNTA APAZA CONDORI</t>
  </si>
  <si>
    <t>DNI02378321</t>
  </si>
  <si>
    <t>JR. HUÁNUCO 2229, LA VICTORIA</t>
  </si>
  <si>
    <t>T001-0020594</t>
  </si>
  <si>
    <t>001-00001230</t>
  </si>
  <si>
    <t>Cliente recogio del almacen</t>
  </si>
  <si>
    <t>001-00000105</t>
  </si>
  <si>
    <t>AV. A NRO. 101 (ALTURA AUTOPISTA PANAM. SUR KM. 45.5) LIMA - LIMA - PUNTA NEGRA</t>
  </si>
  <si>
    <t>T001-0020595</t>
  </si>
  <si>
    <t>AGENCIA MARVISUR - LIMA NORTE</t>
  </si>
  <si>
    <t>JR HUMBOLDT 976 ESQ. CON JR. MANUEL CISNEROS 433-463</t>
  </si>
  <si>
    <t xml:space="preserve"> L-S 8:00 AM - 8:00 PM</t>
  </si>
  <si>
    <t>RECOJO MUESTRAS</t>
  </si>
  <si>
    <t>001-00001231</t>
  </si>
  <si>
    <t>001-00001232</t>
  </si>
  <si>
    <t>T001-0020597</t>
  </si>
  <si>
    <t>T001-0020598</t>
  </si>
  <si>
    <t>T001-0020596</t>
  </si>
  <si>
    <t>FRIDA PRISCILA GONZALEZ LAZARO</t>
  </si>
  <si>
    <t>DIETHELL COLUMBUS MURATA</t>
  </si>
  <si>
    <t>DNI72424089</t>
  </si>
  <si>
    <t>DNI40826681</t>
  </si>
  <si>
    <t>AV. GIUSEPPE GARIBALDI 320 LIMA - LIMA - JESÚS MARÍA</t>
  </si>
  <si>
    <t>AGENCIA MARVISUR - VILLA EL SALVADOR I RECOGO EN AGENCIA / PERSONAS QUE VAN A RECEPCIONAR: FRIDA PRISCILA GONZALEZ LAZARO, DNI 72424089; O
MARCOS DANIEL PRECIADO ZUÑIGA, DNI 43086135</t>
  </si>
  <si>
    <t>L-S 8:00 AM - 8:00 PM</t>
  </si>
  <si>
    <t>001-00001233</t>
  </si>
  <si>
    <t>001-00001234</t>
  </si>
  <si>
    <t>001-00001235</t>
  </si>
  <si>
    <t>001-00001236</t>
  </si>
  <si>
    <t>001-00001237</t>
  </si>
  <si>
    <t>2026-60000131</t>
  </si>
  <si>
    <t>2026-60000132</t>
  </si>
  <si>
    <t>2026-30000103</t>
  </si>
  <si>
    <t>HARLEY SOLANSH VIDAL SANCHEZ</t>
  </si>
  <si>
    <t>MAMBRINO S.A.C.</t>
  </si>
  <si>
    <t>LINCOL BELL AGUILAR SAQUICORAY</t>
  </si>
  <si>
    <t>CR1795331</t>
  </si>
  <si>
    <t>Bravo Vaso Pilsner 325 ml. / 11 oz.</t>
  </si>
  <si>
    <t>10:00 a. m.</t>
  </si>
  <si>
    <t>[Agencia] L-S 9:00 AM - 8:00 PM</t>
  </si>
  <si>
    <t>CD VES</t>
  </si>
  <si>
    <t>Lucio Aviación</t>
  </si>
  <si>
    <t>La Bodega de Borgoño</t>
  </si>
  <si>
    <t xml:space="preserve">La Bodega Mega Plaza </t>
  </si>
  <si>
    <t>DJ TRANSCOM</t>
  </si>
  <si>
    <t>AV. ANGAMOS ESTE NRO. 2681 INT. R301 C.H. LAS TORRES DE LIMATAMBO (C. C. RP PRIMAVERA)</t>
  </si>
  <si>
    <t>JR. GENERAL BORGOÑA 784</t>
  </si>
  <si>
    <t>AV. ALFREDO MENDIOLA 3698 TIENDA R-03 (C.C. MEGAPLAZA-NORTE)</t>
  </si>
  <si>
    <t>PRO. ANDAHUAYLAS NRO. 599</t>
  </si>
  <si>
    <t>VILLA EL SLVADOR</t>
  </si>
  <si>
    <t>T001-0020599</t>
  </si>
  <si>
    <t>T001-0020600</t>
  </si>
  <si>
    <t>001-00001238</t>
  </si>
  <si>
    <t>001-00001239</t>
  </si>
  <si>
    <t>001-00001240</t>
  </si>
  <si>
    <t>001-00001241</t>
  </si>
  <si>
    <t>2026-60000140</t>
  </si>
  <si>
    <t>1607390220666-01</t>
  </si>
  <si>
    <t>LB6943949913373</t>
  </si>
  <si>
    <t>LB6943949906986</t>
  </si>
  <si>
    <t>CR06116</t>
  </si>
  <si>
    <t>CESAR BENJAMIN BARBOZA WIMPON</t>
  </si>
  <si>
    <t>SERGIO RAUL FLORES HUIMAN</t>
  </si>
  <si>
    <t>PESCADOS CAPITALES S.A.C.</t>
  </si>
  <si>
    <t>EMBASSY COPA PARA CHAMPAGNE 133 ML. / 4.5 OZ.</t>
  </si>
  <si>
    <t>Endeavor Vaso para Expreso 110 ml. / 3.7 oz.</t>
  </si>
  <si>
    <t>Home Decor Votivo Roly Poly 142 ml. / 5 oz.</t>
  </si>
  <si>
    <t>DNI07830780</t>
  </si>
  <si>
    <t>DNI09824872</t>
  </si>
  <si>
    <t>De 9:00 a 11:00</t>
  </si>
  <si>
    <t>CALLE EL ESCORIAL 436</t>
  </si>
  <si>
    <t>AV ARENALES 431</t>
  </si>
  <si>
    <t>AV. MARISCAL JOSE DE LA MAR NRO. 1337 URB. SANTA CRUZ</t>
  </si>
  <si>
    <t>51+997595713</t>
  </si>
  <si>
    <t>51+940211962</t>
  </si>
  <si>
    <t>T001-0020602</t>
  </si>
  <si>
    <t>T001-0020603</t>
  </si>
  <si>
    <t>T001-0020604</t>
  </si>
  <si>
    <t>T001-0020605</t>
  </si>
  <si>
    <t>T001-0020606</t>
  </si>
  <si>
    <t>T001-0020607</t>
  </si>
  <si>
    <t>T001-0020608</t>
  </si>
  <si>
    <t>T001-0020609</t>
  </si>
  <si>
    <t>T001-0020610</t>
  </si>
  <si>
    <t>T001-0020620</t>
  </si>
  <si>
    <t>T001-0020611</t>
  </si>
  <si>
    <t>T001-0020612</t>
  </si>
  <si>
    <t>T001-0020622</t>
  </si>
  <si>
    <t>T001-0020613</t>
  </si>
  <si>
    <t>T001-0020614</t>
  </si>
  <si>
    <t>T001-0020615</t>
  </si>
  <si>
    <t>T001-0020616</t>
  </si>
  <si>
    <t>T001-0020617</t>
  </si>
  <si>
    <t>T001-0020618</t>
  </si>
  <si>
    <t>T001-0020619</t>
  </si>
  <si>
    <t>T001-0020621</t>
  </si>
  <si>
    <t>T001-0020601</t>
  </si>
  <si>
    <t>T001-0020623</t>
  </si>
  <si>
    <t>T001-0020624</t>
  </si>
  <si>
    <t>001-00001242</t>
  </si>
  <si>
    <t>001-00001243</t>
  </si>
  <si>
    <t>001-00001244</t>
  </si>
  <si>
    <t>001-00001245</t>
  </si>
  <si>
    <t>001-00001246</t>
  </si>
  <si>
    <t>001-00001247</t>
  </si>
  <si>
    <t>V16483530PLZV-01</t>
  </si>
  <si>
    <t>JF SUPPLIERS S.A.C.</t>
  </si>
  <si>
    <t>IMPORTACIONES GLEVA S.A.C.</t>
  </si>
  <si>
    <t>BERTHA DEL ROSARIO CASTAÑEDA GIRON</t>
  </si>
  <si>
    <t>LIZETH LEONOR GUILLER HUAMAN</t>
  </si>
  <si>
    <t>IRIS DEL VALLE VALERA RANGEL</t>
  </si>
  <si>
    <t>ALVARO DEL CARPIO ROMERO</t>
  </si>
  <si>
    <t>DNI10730747</t>
  </si>
  <si>
    <t>DNI71051440</t>
  </si>
  <si>
    <t>DNI40204089</t>
  </si>
  <si>
    <t>09F-C9A9G3-12</t>
  </si>
  <si>
    <t>LB5668</t>
  </si>
  <si>
    <t>Lámina Adhesiva Con-Tact® Primavera Té Verde (45.72 cm. x 274.32 cm.)</t>
  </si>
  <si>
    <t>Chopp Escandinavia 444 ml. (2 piezas)</t>
  </si>
  <si>
    <t>10 a.m.</t>
  </si>
  <si>
    <t>JIRÓN MONTERO ROSAS 1199</t>
  </si>
  <si>
    <t>MANUEL JESUS GONZALES 470 PISO 1</t>
  </si>
  <si>
    <t>AV ALFREDO PALACIO 620 PISO 4</t>
  </si>
  <si>
    <t>SAENZ PENA 212 DPTO 404</t>
  </si>
  <si>
    <t>COMAS</t>
  </si>
  <si>
    <t>CALLAO</t>
  </si>
  <si>
    <t>MARKETPLACE - REAL PLAZA</t>
  </si>
  <si>
    <t>51+992930588</t>
  </si>
  <si>
    <t>51+902848561</t>
  </si>
  <si>
    <t>51+925352629</t>
  </si>
  <si>
    <t>51+014225682</t>
  </si>
  <si>
    <t>T001-0020625</t>
  </si>
  <si>
    <t>T001-0020626</t>
  </si>
  <si>
    <t>T001-0020627</t>
  </si>
  <si>
    <t>T001-0020628</t>
  </si>
  <si>
    <t>DIAS LEON ALBERTO JOSE</t>
  </si>
  <si>
    <t>20109072177</t>
  </si>
  <si>
    <t>10093365238</t>
  </si>
  <si>
    <t>001-00001248</t>
  </si>
  <si>
    <t>001-00001249</t>
  </si>
  <si>
    <t>001-00001250</t>
  </si>
  <si>
    <t>001-00001251</t>
  </si>
  <si>
    <t>001-00001252</t>
  </si>
  <si>
    <t>001-00001253</t>
  </si>
  <si>
    <t>001-00001254</t>
  </si>
  <si>
    <t>001-00001255</t>
  </si>
  <si>
    <t>001-00001256</t>
  </si>
  <si>
    <t>001-00001257</t>
  </si>
  <si>
    <t>001-00001258</t>
  </si>
  <si>
    <t>001-00001259</t>
  </si>
  <si>
    <t>001-00001260</t>
  </si>
  <si>
    <t>001-00001261</t>
  </si>
  <si>
    <t>001-00001262</t>
  </si>
  <si>
    <t>001-00001263</t>
  </si>
  <si>
    <t>001-00001264</t>
  </si>
  <si>
    <t>12:00 PM A 14 PM L-S</t>
  </si>
  <si>
    <t>AV. JAVIER PRADO ESTE CDRA. 51 , S/N LIMA - LIMA - LA MOLINA</t>
  </si>
  <si>
    <t>T001-0020629</t>
  </si>
  <si>
    <t>T001-0020630</t>
  </si>
  <si>
    <t>T001-0020631</t>
  </si>
  <si>
    <t>T001-0020632</t>
  </si>
  <si>
    <t>T001-0020633</t>
  </si>
  <si>
    <t>Metro Chorrillos</t>
  </si>
  <si>
    <t>T001-0020634</t>
  </si>
  <si>
    <t>T001-0020636</t>
  </si>
  <si>
    <t>T001-0020638</t>
  </si>
  <si>
    <t>AV. PROLONGACION PASEO DE LA REPUBLICA LIMA - LIMA - CHORRILLOS</t>
  </si>
  <si>
    <t>T001-0020635</t>
  </si>
  <si>
    <t>T001-0020637</t>
  </si>
  <si>
    <t>T001-0020639</t>
  </si>
  <si>
    <t>T001-0020640</t>
  </si>
  <si>
    <t>T001-0020641</t>
  </si>
  <si>
    <t>T001-0020642</t>
  </si>
  <si>
    <t>T001-0020643</t>
  </si>
  <si>
    <t>JR OCOÑA 185 CERCADO DE LIMA</t>
  </si>
  <si>
    <t>08:00 AM A 15:00 PM L-V</t>
  </si>
  <si>
    <t xml:space="preserve"> 924-968 850</t>
  </si>
  <si>
    <t>contacto Sr. Carlos Ortiz móvil 924-968 850</t>
  </si>
  <si>
    <t>HORA CITA 10:00 AM</t>
  </si>
  <si>
    <t>001-00001265</t>
  </si>
  <si>
    <t>001-00001266</t>
  </si>
  <si>
    <t>001-00001267</t>
  </si>
  <si>
    <t>001-00001268</t>
  </si>
  <si>
    <t>2026-30000135</t>
  </si>
  <si>
    <t>REST. - FRANQ. ALIMENT.</t>
  </si>
  <si>
    <t>MARYORIT DENNIS PAREDES PALOMINO</t>
  </si>
  <si>
    <t>JESSICA INES ESPINOZA ORTEGA</t>
  </si>
  <si>
    <t>Fridays Almacen Ransa</t>
  </si>
  <si>
    <t>AV. ARGENTINA NRO. 2833 Z.I. INDUSTRIAL</t>
  </si>
  <si>
    <t>CALLE JOSE CARLOS MARIATEGUI MZ A LOTE 06- B</t>
  </si>
  <si>
    <t>BOLOGNESI 373 DPTO 902</t>
  </si>
  <si>
    <t>T001-0020645</t>
  </si>
  <si>
    <t>T001-0020646</t>
  </si>
  <si>
    <t>T001-0020647</t>
  </si>
  <si>
    <t>T001-0020648</t>
  </si>
  <si>
    <t>T001-0020649</t>
  </si>
  <si>
    <t>001-00001272</t>
  </si>
  <si>
    <t>T001-0020650</t>
  </si>
  <si>
    <t>001-00001274</t>
  </si>
  <si>
    <t>1608610242147-0</t>
  </si>
  <si>
    <t>LORENA SOLEDAD QUINCOT ZAVALA</t>
  </si>
  <si>
    <t>AVENIDA ANGAMOS OESTE 1624 LIMA - LIMA - SAN ISIDRO</t>
  </si>
  <si>
    <t>DNI09530742</t>
  </si>
  <si>
    <t>FLORERO EN FORMA DE PECERA 20.96 CM. X 25.4 CM. / 10 IN. X 8.25 IN.</t>
  </si>
  <si>
    <t>LB9520153</t>
  </si>
  <si>
    <t>T001-0020651</t>
  </si>
  <si>
    <t>2026-30000154</t>
  </si>
  <si>
    <t>001-00001269</t>
  </si>
  <si>
    <t>001-00001270</t>
  </si>
  <si>
    <t>001-00001271</t>
  </si>
  <si>
    <t>001-00001273</t>
  </si>
  <si>
    <t>001-00001275</t>
  </si>
  <si>
    <t>001-00001276</t>
  </si>
  <si>
    <t>INDUSTRIAS METALICAS HNOS DE LA CRUZ SOCIEDAD ANONIMA CERRAD</t>
  </si>
  <si>
    <t>DE LA CRUZ CAMPOS RAUL</t>
  </si>
  <si>
    <t>PEÑA GARCIA IRMA</t>
  </si>
  <si>
    <t>ANDREA BRITO</t>
  </si>
  <si>
    <t>CÉSAR RAMÍREZ</t>
  </si>
  <si>
    <t>TPX-9052-BLUE</t>
  </si>
  <si>
    <t>CR9550014</t>
  </si>
  <si>
    <t>CR05006</t>
  </si>
  <si>
    <t>Proximo Cooler con Dispensador y Asa Lateral Color Azúl 2.5 lt / 0.6 gal.</t>
  </si>
  <si>
    <t>Cenicero Cuadrado 9.3 x 9.3 cm.</t>
  </si>
  <si>
    <t>Home Decor Pecera 20 cm.</t>
  </si>
  <si>
    <t>[Agencia] L-V 9:00 AM - 7:00 PM</t>
  </si>
  <si>
    <t>[Agencia] L-V 8:30 AM - 7:00 PM / S &lt;5:00 PM</t>
  </si>
  <si>
    <t>[Agencia] L-S 9:00 AM - 6:30 PM</t>
  </si>
  <si>
    <t>TRANS  SERVIS  JC  S.A.C. / EXPRESO PIURA</t>
  </si>
  <si>
    <t>LOGISTICA INTEGRAL G &amp; A E.I.R.L</t>
  </si>
  <si>
    <t>EMPRESA DE TRANSPORTES ROMERO S.R.L.</t>
  </si>
  <si>
    <t>JR. ITALIA NRO. 469 P.J. MATUTE</t>
  </si>
  <si>
    <t>CALLE TREINTA MZA. C1 LOTE 6 COOP. STA. AURELIA.</t>
  </si>
  <si>
    <t>RAMON ESPINOZA 348</t>
  </si>
  <si>
    <t>RIMAC</t>
  </si>
  <si>
    <t>51+943034346</t>
  </si>
  <si>
    <t>001-00001277</t>
  </si>
  <si>
    <t>001-00001278</t>
  </si>
  <si>
    <t>001-00001279</t>
  </si>
  <si>
    <t>001-00001280</t>
  </si>
  <si>
    <t>001-00001281</t>
  </si>
  <si>
    <t>001-00001282</t>
  </si>
  <si>
    <t>001-00001283</t>
  </si>
  <si>
    <t>001-00001284</t>
  </si>
  <si>
    <t>1609040248674-01</t>
  </si>
  <si>
    <t>V16519099PLZV-01</t>
  </si>
  <si>
    <t>09F-C9013-12</t>
  </si>
  <si>
    <t>LOCERIA Y CRISTALERIA VIRGEN DE LA PUERTA EMPRESA INDIVIDUAL</t>
  </si>
  <si>
    <t>ENRIQUE ARNAEZ BRASCHI</t>
  </si>
  <si>
    <t>MARISABEL RAMIREZ</t>
  </si>
  <si>
    <t>ANDRES GUEVARA LEON</t>
  </si>
  <si>
    <t>NOEL TRUJILLO HIDALGO</t>
  </si>
  <si>
    <t>Lámina Adhesiva Con-Tact® Knotty Pine (45.72 cm. x 274.32 cm.)</t>
  </si>
  <si>
    <t>POR DEFINIR</t>
  </si>
  <si>
    <t>Av. Circunvalación del Golf los Incas 134</t>
  </si>
  <si>
    <t>Jr. José María Quiroga 229 DPTO 101</t>
  </si>
  <si>
    <t>Calle Las Moras 391</t>
  </si>
  <si>
    <t>Calle Toribio Polo 322 DPTO 601</t>
  </si>
  <si>
    <t>Ca 20, Mz A1 Lt 12 Sector R Los Alamos PISO 1</t>
  </si>
  <si>
    <t>PACHACAMAC</t>
  </si>
  <si>
    <t>T001-0020653</t>
  </si>
  <si>
    <t>T001-0020654</t>
  </si>
  <si>
    <t>T001-0020652</t>
  </si>
  <si>
    <t>T001-0020657</t>
  </si>
  <si>
    <t>T001-0020658</t>
  </si>
  <si>
    <t>T001-0020659</t>
  </si>
  <si>
    <t>T001-0020660</t>
  </si>
  <si>
    <t>T001-0020661</t>
  </si>
  <si>
    <t>T001-0020662</t>
  </si>
  <si>
    <t>T001-0020663</t>
  </si>
  <si>
    <t>001-00001286</t>
  </si>
  <si>
    <t>001-00001287</t>
  </si>
  <si>
    <t>001-00001288</t>
  </si>
  <si>
    <t>001-00001289</t>
  </si>
  <si>
    <t>001-00001290</t>
  </si>
  <si>
    <t>1609630258989-01</t>
  </si>
  <si>
    <t>OPERADORA A &amp; B S.A.C.</t>
  </si>
  <si>
    <t>NEW DEAL S.A.C.</t>
  </si>
  <si>
    <t>GERALDINE BASUALDO LARRAZABAL</t>
  </si>
  <si>
    <t>ISABEL ROCIO MIRANDA HERMOZA</t>
  </si>
  <si>
    <t>10:30am a 1pm</t>
  </si>
  <si>
    <t>8:00am a 11:00 am</t>
  </si>
  <si>
    <t>RESTAURANT FRANKLIN - SAN ISIDRO</t>
  </si>
  <si>
    <t>RESTAURANT FRANKLIN - EL POLO I</t>
  </si>
  <si>
    <t>Jr. Huallaga nro. 810-812</t>
  </si>
  <si>
    <t>Av. Álvarez Calderón 194</t>
  </si>
  <si>
    <t>CC EL POLO I 2DO PISO DE INTERBANK</t>
  </si>
  <si>
    <t>CALLE CANCHAQUE 159 URB. MIGUEL GRAU</t>
  </si>
  <si>
    <t>TORRE DE LA MERCED 232 PISO 3</t>
  </si>
  <si>
    <t>51+920305388</t>
  </si>
  <si>
    <t>51+935984441</t>
  </si>
  <si>
    <t>T001-0020665</t>
  </si>
  <si>
    <t>T001-0020666</t>
  </si>
  <si>
    <t>T001-0020667</t>
  </si>
  <si>
    <t>T001-0020668</t>
  </si>
  <si>
    <t>T001-0020669</t>
  </si>
  <si>
    <t>001-00001292</t>
  </si>
  <si>
    <t>001-00001293</t>
  </si>
  <si>
    <t>001-00001291</t>
  </si>
  <si>
    <t>PO-PEA-31924</t>
  </si>
  <si>
    <t>V16535789PLZV-01</t>
  </si>
  <si>
    <t>BLUE MARLIN BEACH CLUB S.A.</t>
  </si>
  <si>
    <t>MARIA INES CARMELA CASTRO MENDIVIL E.I.R.L.</t>
  </si>
  <si>
    <t>CR23186</t>
  </si>
  <si>
    <t>Nob Hill Vaso Hi-Ball 237 ml. / 8 oz..</t>
  </si>
  <si>
    <t>hasta las 11:00 am</t>
  </si>
  <si>
    <t>AV. A NRO. 101 (ALTURA AUTOPISTA PANAM. SUR KM. 45.5)</t>
  </si>
  <si>
    <t>AV. 28 DE JULIO NRO. 151 URB. MIRAFLORES</t>
  </si>
  <si>
    <t>AV. LOS CEDROS NRO. 625 LIMA - LIMA - SAN ISIDRO</t>
  </si>
  <si>
    <t>T001-0020670</t>
  </si>
  <si>
    <t>T001-0020671</t>
  </si>
  <si>
    <t>PJ. HUAMANGA NRO. 155 URB. BALCONCILLO LIMA - LIMA - LA VICTORIA</t>
  </si>
  <si>
    <t xml:space="preserve"> L-V 9:00 am a 1:00pm.</t>
  </si>
  <si>
    <t xml:space="preserve"> Contacto Percy 989372072 llamar 30 minutos antes de llegar</t>
  </si>
  <si>
    <t>001-00001294</t>
  </si>
  <si>
    <t>001-00001295</t>
  </si>
  <si>
    <t>001-00001296</t>
  </si>
  <si>
    <t>001-00001297</t>
  </si>
  <si>
    <t>BL1300000712</t>
  </si>
  <si>
    <t>V16542903PLZV-01</t>
  </si>
  <si>
    <t>REPRESENTACIONES CAWO EIRL</t>
  </si>
  <si>
    <t>INVERSIONES VERCINTH SOCIEDAD ANONIMA CERRADA - IN</t>
  </si>
  <si>
    <t>KEVIN HANSI FOELSTER MALLMA</t>
  </si>
  <si>
    <t>DNI77489094</t>
  </si>
  <si>
    <t>HARLEY VIDAL</t>
  </si>
  <si>
    <t>1pm a 6pm</t>
  </si>
  <si>
    <t>12pm a 2pm</t>
  </si>
  <si>
    <t>JR. DANTE NRO. 1097 LIMA - LIMA - SURQUILLO</t>
  </si>
  <si>
    <t>AV. MATERIALES 3049, LIMA, CERCADO DE LIMA</t>
  </si>
  <si>
    <t>JR. AYACUCHO 881 INT. 102</t>
  </si>
  <si>
    <t>PASAJE 4 MZ.H1 - LT.16</t>
  </si>
  <si>
    <t>SAN JUAN DE MIRAFLORES</t>
  </si>
  <si>
    <t>917366099 David. Llamar media hora antes</t>
  </si>
  <si>
    <t>51+981806605</t>
  </si>
  <si>
    <t>L-V 08:00 AM - 06:00 PM // S &lt;1:00 PM</t>
  </si>
  <si>
    <t>T001-0020672</t>
  </si>
  <si>
    <t>T001-0020673</t>
  </si>
  <si>
    <t>T001-0020674</t>
  </si>
  <si>
    <t>T001-0020675</t>
  </si>
  <si>
    <t>T001-0020676</t>
  </si>
  <si>
    <t>001-00001298</t>
  </si>
  <si>
    <t>001-00001299</t>
  </si>
  <si>
    <t>001-00001301</t>
  </si>
  <si>
    <t>001-00001302</t>
  </si>
  <si>
    <t>1610500275264-01</t>
  </si>
  <si>
    <t>VINATEA Y TOYAMA ABOG.SOC.CIVIL DE R.L.</t>
  </si>
  <si>
    <t>[Agencia] L-S 8:30 AM - 7:00 PM</t>
  </si>
  <si>
    <t>[B2C] L-V 08:00 AM - 06:00 PM // S &lt;1:00 PM</t>
  </si>
  <si>
    <t>[Agencia] L-V 8:00 AM - 6:00 PM // S &lt;4:00 PM</t>
  </si>
  <si>
    <t>VELSAN EXPRESS S.A.C.</t>
  </si>
  <si>
    <t>JR. JULIO MENDOZA MERINO NRO. 880</t>
  </si>
  <si>
    <t>CALLE ESQUILACHE 371</t>
  </si>
  <si>
    <t>T001-0020677</t>
  </si>
  <si>
    <t>T001-0020679</t>
  </si>
  <si>
    <t>T001-0020678</t>
  </si>
  <si>
    <t>T001-0020680</t>
  </si>
  <si>
    <t>JASIEL LAOS</t>
  </si>
  <si>
    <t>51+947850549</t>
  </si>
  <si>
    <t>001-00001303</t>
  </si>
  <si>
    <t>001-00001304</t>
  </si>
  <si>
    <t>001-00001305</t>
  </si>
  <si>
    <t>V16554742PLZV-01</t>
  </si>
  <si>
    <t>PC00024475</t>
  </si>
  <si>
    <t>MARIA BELEN RAMIREZ VELEZ</t>
  </si>
  <si>
    <t>LB6943949928971</t>
  </si>
  <si>
    <t>Vaso en Forma de Lata 376 ml. / 12.7 oz.</t>
  </si>
  <si>
    <t>RANSA SECO</t>
  </si>
  <si>
    <t>AV. PASEO DE LA REPUBLICA NRO. 5453 LIMA - LIMA - SURQUILLO</t>
  </si>
  <si>
    <t>AVENIDA GRAU 700</t>
  </si>
  <si>
    <t>51+945531662</t>
  </si>
  <si>
    <t>T001-0020681</t>
  </si>
  <si>
    <t>T001-0020682</t>
  </si>
  <si>
    <t>001-00001306</t>
  </si>
  <si>
    <t>001-00001307</t>
  </si>
  <si>
    <t>1610720278860-01</t>
  </si>
  <si>
    <t>CR06625</t>
  </si>
  <si>
    <t>Fondo Grueso Vaso HB 361 ml. / 12.2 oz.</t>
  </si>
  <si>
    <t>JEAN PIERRE MACAZANA FLORES</t>
  </si>
  <si>
    <t>DNI47481640</t>
  </si>
  <si>
    <t>JR. UCAYALI NRO. 564 LIMA - LIMA - LIMA</t>
  </si>
  <si>
    <t>AV CORDILLERA BLANCA MANZANA F11 LOTE 5B 3RA ZONA</t>
  </si>
  <si>
    <t>51+949311069</t>
  </si>
  <si>
    <t>001-00001308</t>
  </si>
  <si>
    <t>CENTER GLASS EIRL</t>
  </si>
  <si>
    <t>JR. PUNO NRO. 1089 (SEGUNDO PISO) LIMA - LIMA - LIMA</t>
  </si>
  <si>
    <t xml:space="preserve"> Contacto 998328225 Sr. Paucar</t>
  </si>
  <si>
    <t>L-S 10:30am a 12pm</t>
  </si>
  <si>
    <t>contacto Sra. Lily móvil +51994088611</t>
  </si>
  <si>
    <t>JR. GASPAR HERNÁNDEZ 700 LIMA - LIMA - LIMA</t>
  </si>
  <si>
    <t>T001-0020686</t>
  </si>
  <si>
    <t>T001-0020685</t>
  </si>
  <si>
    <t>T001-0020684</t>
  </si>
  <si>
    <t>T001-0020683</t>
  </si>
  <si>
    <t>001-00001309</t>
  </si>
  <si>
    <t>1611263265940-01</t>
  </si>
  <si>
    <t>PR1795422</t>
  </si>
  <si>
    <t>Molde para Pye 1.7 lt. / 57.8 oz.</t>
  </si>
  <si>
    <t>ANA ISABEL CUELLAR GALVEZ</t>
  </si>
  <si>
    <t>AV. ALFREDO BENAVIDES 115</t>
  </si>
  <si>
    <t>51+944562755</t>
  </si>
  <si>
    <t>T001-0020687</t>
  </si>
  <si>
    <t>001-00001234-R</t>
  </si>
  <si>
    <t>001-00001310</t>
  </si>
  <si>
    <t>001-00001311</t>
  </si>
  <si>
    <t>001-00001312</t>
  </si>
  <si>
    <t>V16577633PLZV-01</t>
  </si>
  <si>
    <t>V278190</t>
  </si>
  <si>
    <t>LB92414</t>
  </si>
  <si>
    <t>LB92412</t>
  </si>
  <si>
    <t>VASO DOF ATENEZ 350 ML. / 12 OZ.</t>
  </si>
  <si>
    <t>Infinium Classic Copa para Margarita 355 ml. / 12 oz.</t>
  </si>
  <si>
    <t>Infinium Classic Copa Martini 237 ml. / 8 oz.</t>
  </si>
  <si>
    <t>LUZ MARIA DEL PILAR DULANTO GUINEA</t>
  </si>
  <si>
    <t>DNI76042956</t>
  </si>
  <si>
    <t>Entrega de muestras</t>
  </si>
  <si>
    <t xml:space="preserve">Salida de muestras </t>
  </si>
  <si>
    <t>AVENIDA ROCA Y BOLOÑA 955 LIMA - LIMA - MIRAFLORES</t>
  </si>
  <si>
    <t>T001-0020688</t>
  </si>
  <si>
    <t>001-00001313</t>
  </si>
  <si>
    <t>001-00001314</t>
  </si>
  <si>
    <t>PC00024730</t>
  </si>
  <si>
    <t>LB554987</t>
  </si>
  <si>
    <t>LB92404</t>
  </si>
  <si>
    <t>LB92407</t>
  </si>
  <si>
    <t>Infinium Classic Copa para Vino 355 ml. / 12 oz.</t>
  </si>
  <si>
    <t>Infinium Classic Vaso Double Old Fashioned Apilable 355 ml. / 12 oz.</t>
  </si>
  <si>
    <t>Infinium Classic Vaso Cooler Apilable 473 ml. / 16 oz.</t>
  </si>
  <si>
    <t>8am - 1pm</t>
  </si>
  <si>
    <t>JR J.J. PASO 120</t>
  </si>
  <si>
    <t>JR. GASPAR HERNÁNDEZ 700</t>
  </si>
  <si>
    <t>T001-0020690</t>
  </si>
  <si>
    <t>T001-0020691</t>
  </si>
  <si>
    <t>HORA DE CITA 11:00 AM</t>
  </si>
  <si>
    <t>001-00001315</t>
  </si>
  <si>
    <t>001-00001316</t>
  </si>
  <si>
    <t>001-00001317</t>
  </si>
  <si>
    <t>001-00001318</t>
  </si>
  <si>
    <t>001-00001319</t>
  </si>
  <si>
    <t>001-00001320</t>
  </si>
  <si>
    <t>NEGOCIACIONES MULTIPLES VEMO S.A.C.</t>
  </si>
  <si>
    <t>ARZAPALO HUAYNATES KATERYN DEL PILAR</t>
  </si>
  <si>
    <t>SILVESTRE GOMEZ NORMA</t>
  </si>
  <si>
    <t>LOCERIA CHANG S.A.C.</t>
  </si>
  <si>
    <t>TPX-2077-HYDRA</t>
  </si>
  <si>
    <t>TPX-2077-LIME</t>
  </si>
  <si>
    <t>TPX-2076-LIME</t>
  </si>
  <si>
    <t>Platino Cooler con Dispensador Color Hydra 40 lt. / 10 gal.</t>
  </si>
  <si>
    <t>Platino Cooler con Dispensador Color Lima 40 lt. / 10 gal.</t>
  </si>
  <si>
    <t>Platino Cooler con Dispensador Color Lima 20 lt. / 5 gal.</t>
  </si>
  <si>
    <t>[Agencia] L-S 8:00 AM - 7:00 PM</t>
  </si>
  <si>
    <t>EMPRESA DE TRANSPORTE LOGISTICA MI JOSE ANGEL S.R.L.</t>
  </si>
  <si>
    <t>SERVICIOS TRANSPORTE MILENIO AL PERU S.A.C.</t>
  </si>
  <si>
    <t>JR ABTAO 831</t>
  </si>
  <si>
    <t>T00-0020693</t>
  </si>
  <si>
    <t>T00-0020694</t>
  </si>
  <si>
    <t>T001-0020692</t>
  </si>
  <si>
    <t>001-00000108</t>
  </si>
  <si>
    <t>AV. SAN LORENZO 155</t>
  </si>
  <si>
    <t>Horario : 11am - 4pm</t>
  </si>
  <si>
    <t>(Espalda mercado 1 Surquillo)</t>
  </si>
  <si>
    <t>T001-0020695</t>
  </si>
  <si>
    <t>JR. MARISCAL LEONCIO PRADO NRO. 348 (ESPALDA MERCADO 1 SURQU LIMA - LIMA - SURQUILLO</t>
  </si>
  <si>
    <t>986 932 225</t>
  </si>
  <si>
    <t>001-00001321</t>
  </si>
  <si>
    <t>001-00001322</t>
  </si>
  <si>
    <t>001-00001323</t>
  </si>
  <si>
    <t>BUENO SALAS SUSAN MARLENI</t>
  </si>
  <si>
    <t>CR00763</t>
  </si>
  <si>
    <t>Vaso Portavela 6.35 cm.</t>
  </si>
  <si>
    <t>SPSA CD PUNTA NEGRA</t>
  </si>
  <si>
    <t>VISTA ALEGRE DE VILLA MZ C1 LOTE 2 CALLE MATEO PUMACAHUA</t>
  </si>
  <si>
    <t>AV. PASEO DE LA REPUBLICA 5271 SURQUILLO</t>
  </si>
  <si>
    <t>51+994985563</t>
  </si>
  <si>
    <t>T001-0020697</t>
  </si>
  <si>
    <t>T001-0020696</t>
  </si>
  <si>
    <t>horario de 9am a 1pm o de 3pm a 5pm</t>
  </si>
  <si>
    <t>994 985 563 Joven Luis . Llamar 15min antes de llegar al destino</t>
  </si>
  <si>
    <t>001-00001324</t>
  </si>
  <si>
    <t>Horario de atención: 9am – 6pm</t>
  </si>
  <si>
    <t>978 049 686- 999 678 901</t>
  </si>
  <si>
    <t xml:space="preserve">AV. JOSE LEAL 460 LINCE </t>
  </si>
  <si>
    <t>PERUVIAN TOURS AGENCY SOCIEDAD ANONIMA CERRADA</t>
  </si>
  <si>
    <t>Infinium Classic Garrafa 1.73 lt. / 61 oz.</t>
  </si>
  <si>
    <t>CR92420</t>
  </si>
  <si>
    <t>T001-0020698</t>
  </si>
  <si>
    <t>CR92174</t>
  </si>
  <si>
    <t>Infinium Classic Tapa de Garrafa 1.73 lt. / 61 oz.</t>
  </si>
  <si>
    <t>TRANSPORTE SEGETUC SRL Diego Nieto, celular 978 049 686 / Jorge Moreno,  celular 999 678 901</t>
  </si>
  <si>
    <t>T001-0020699</t>
  </si>
  <si>
    <t>001-00001325</t>
  </si>
  <si>
    <t>T001-0020700</t>
  </si>
  <si>
    <t>037868-2026</t>
  </si>
  <si>
    <t>L-S 10:30 AM A 12 PM</t>
  </si>
  <si>
    <t>SABADO 9:00 AM  A 1:00 PM</t>
  </si>
  <si>
    <t>LB0B554</t>
  </si>
  <si>
    <t>Perfect Collection Copa Gintonic 4 Piezas 600 ml. / 20.3 oz.</t>
  </si>
  <si>
    <t>T001-0020701</t>
  </si>
  <si>
    <t>001-00001330</t>
  </si>
  <si>
    <t>001-00001326</t>
  </si>
  <si>
    <t>CR04304</t>
  </si>
  <si>
    <t>LIBBE Vaso Portavela Rectangular 355 ml. / 12 oz.</t>
  </si>
  <si>
    <t>CRISA Tarro Irish Coffee 251 ml. / 8.5 oz.</t>
  </si>
  <si>
    <t>CRISA Irish Taza Acapulco para Café 266 ml. / 9 oz.</t>
  </si>
  <si>
    <t>001-00001332</t>
  </si>
  <si>
    <t>001-00001333</t>
  </si>
  <si>
    <t>LIBBE Vaso en Forma de Lata 473 ml. / 16 oz.</t>
  </si>
  <si>
    <t>SOCIEDAD GASTRONOMICA EL PARQUE S.R.L.</t>
  </si>
  <si>
    <t>LOGT-OC-1439</t>
  </si>
  <si>
    <t>AV. PRIMAVERA 1067 SOTANO 2 SANTIAGO DE SURCO</t>
  </si>
  <si>
    <t>PREMIUM BURGER PERU S.A.C</t>
  </si>
  <si>
    <t>El horario de atención es de 9:00 a 12:00</t>
  </si>
  <si>
    <t>LOGT-OC-1440</t>
  </si>
  <si>
    <t>001-00001331</t>
  </si>
  <si>
    <t>Chopp Cervecero Chilis 473 ml. / 16 oz.</t>
  </si>
  <si>
    <t>001-00001334</t>
  </si>
  <si>
    <t>V16640189PLZV-01</t>
  </si>
  <si>
    <t>NEW WOMAN S.A.C.</t>
  </si>
  <si>
    <t>JIRÓN NEVADO COROPUNA 201</t>
  </si>
  <si>
    <t>T001-0020705</t>
  </si>
  <si>
    <t>PC00025088</t>
  </si>
  <si>
    <t>T001-0020706</t>
  </si>
  <si>
    <t>HORA DE CITA 09:00</t>
  </si>
  <si>
    <t>SAN MIGUE</t>
  </si>
  <si>
    <t>Dejar el pedido en OPEN San Miguel</t>
  </si>
  <si>
    <t>AV. DE LA MARINA 2355 (CC OPEN LA MARINA) LIMA - LIMA - SAN MIGUEL</t>
  </si>
  <si>
    <t>T001-0020708</t>
  </si>
  <si>
    <t>MANUEL CISNEROS 261 LA VICTORIA</t>
  </si>
  <si>
    <t>001-00001328</t>
  </si>
  <si>
    <t>TRANSPORTES LUCHINE CARGO S.A.C.</t>
  </si>
  <si>
    <t>T001-0020709</t>
  </si>
  <si>
    <t xml:space="preserve">CESAR RAMIREZ </t>
  </si>
  <si>
    <t>THE LORD COMPANY SOCIEDAD ANONIMA CERRADA</t>
  </si>
  <si>
    <t>20602263267</t>
  </si>
  <si>
    <t>001-00001329</t>
  </si>
  <si>
    <t>T001-0020710</t>
  </si>
  <si>
    <t>CR15762</t>
  </si>
  <si>
    <t>Juego de Jarra más Vasos [Mantel Ensueño] (5 Piezas)</t>
  </si>
  <si>
    <t>L-V 08:00 AM - 07:00 PM</t>
  </si>
  <si>
    <t xml:space="preserve">KOZUE HOGAR S.A.C.  </t>
  </si>
  <si>
    <t>JR. HIPOLITO UNANUE NRO. 808</t>
  </si>
  <si>
    <t>GPP CARGO S.A.C.</t>
  </si>
  <si>
    <t>001-00001336</t>
  </si>
  <si>
    <t>001-00001337</t>
  </si>
  <si>
    <t>T001-0020711</t>
  </si>
  <si>
    <t>T001-0020712</t>
  </si>
  <si>
    <t>JR. OCOÑA NRO. 185 CERCADO DE LIMA LIMA - LIMA - LIMA</t>
  </si>
  <si>
    <t>Boston Vaso DOF 290 ml. / 9.8 oz.</t>
  </si>
  <si>
    <t>CR06221</t>
  </si>
  <si>
    <t>001-00001338</t>
  </si>
  <si>
    <t>001-00001339</t>
  </si>
  <si>
    <t>COMERCIAL TAURO EIRLTDA</t>
  </si>
  <si>
    <t>CR06166</t>
  </si>
  <si>
    <t>Home Decor Votivo Cuadrado Grande 710 ml. / 24 oz.</t>
  </si>
  <si>
    <t>TRANSPORTE R &amp; J EXPRESS S.A.C.</t>
  </si>
  <si>
    <t>JR. ALEXANDER VON HUMBOLDT NRO. 625</t>
  </si>
  <si>
    <t>T001-0020720</t>
  </si>
  <si>
    <t>001-00001341</t>
  </si>
  <si>
    <t>001-00001342</t>
  </si>
  <si>
    <t>2026-60000330</t>
  </si>
  <si>
    <t>2026-60000292</t>
  </si>
  <si>
    <t>MAMBRINO S.A.C. Lucio Aviacion</t>
  </si>
  <si>
    <t>T001-0020721</t>
  </si>
  <si>
    <t>T001-0020722</t>
  </si>
  <si>
    <t>T001-0020723</t>
  </si>
  <si>
    <t>T001-0020724</t>
  </si>
  <si>
    <t>T001-0020725</t>
  </si>
  <si>
    <t>T001-0020726</t>
  </si>
  <si>
    <t>T001-0020727</t>
  </si>
  <si>
    <t>T001-0020728</t>
  </si>
  <si>
    <t>T001-0020729</t>
  </si>
  <si>
    <t>T001-0020730</t>
  </si>
  <si>
    <t>MAMBRINO S.A.C. La Bodega Mega Plaza</t>
  </si>
  <si>
    <t>T001-0020714</t>
  </si>
  <si>
    <t>T001-0020715</t>
  </si>
  <si>
    <t>T001-0020713</t>
  </si>
  <si>
    <t>T001-0020716</t>
  </si>
  <si>
    <t>T001-0020717</t>
  </si>
  <si>
    <t>T001-0020718</t>
  </si>
  <si>
    <t>T001-0020719</t>
  </si>
  <si>
    <t>001-00001343</t>
  </si>
  <si>
    <t>2026-130000222</t>
  </si>
  <si>
    <t>MAMBRINO S.A.C. Oliver Mega Plaza</t>
  </si>
  <si>
    <t>T001-0020731</t>
  </si>
  <si>
    <t>AV. ALFREDO MENDIOLA 3698 TIENDA R-04 (C.C. MEGAPLAZA-NORTE) LIMA - LIMA - INDEPENDENCIA</t>
  </si>
  <si>
    <t>Oliver Mega Plaza</t>
  </si>
  <si>
    <t>001-00001340</t>
  </si>
  <si>
    <t>HORA DE CITA 08:00 AM</t>
  </si>
  <si>
    <t>T001-0020732</t>
  </si>
  <si>
    <t>037952-2026</t>
  </si>
  <si>
    <t>T001-0020733</t>
  </si>
  <si>
    <t>001-00001344</t>
  </si>
  <si>
    <t>001-00001345</t>
  </si>
  <si>
    <t>V16686330PLZV-0</t>
  </si>
  <si>
    <t>ROLAND FERNANDO ASENJO HUERTAS</t>
  </si>
  <si>
    <t>DNI07485079</t>
  </si>
  <si>
    <t>51+949154305</t>
  </si>
  <si>
    <t>SOLIDARIDAD MZ.TT2 - LT.36 LIMA - LIMA - LOS OLIVOS</t>
  </si>
  <si>
    <t xml:space="preserve"> LOS OLIVOS</t>
  </si>
  <si>
    <t>T001-0020734</t>
  </si>
  <si>
    <t>001-00001346</t>
  </si>
  <si>
    <t>T001-0020735</t>
  </si>
  <si>
    <t>T001-0020736</t>
  </si>
  <si>
    <t>001-00001348</t>
  </si>
  <si>
    <t>001-00001347</t>
  </si>
  <si>
    <t>FIORELLA CORDOVA</t>
  </si>
  <si>
    <t>JR AMERICO VESPUCIO 335 SAN MIGUEL</t>
  </si>
  <si>
    <t>CONTACTO Sra. Fiorella Cordova</t>
  </si>
  <si>
    <t>CONG-001</t>
  </si>
  <si>
    <t>Congeladora blackline 251L chest freez blanco</t>
  </si>
  <si>
    <t>0001-000151</t>
  </si>
  <si>
    <t>SI-001</t>
  </si>
  <si>
    <t>SILLAS</t>
  </si>
  <si>
    <t>SI-002</t>
  </si>
  <si>
    <t>BOLSO MARRON</t>
  </si>
  <si>
    <t xml:space="preserve"> Contacto Percy 989372072 llamar 30 minutos antes de llegar Referencia: Emergencia pediatrica de niño</t>
  </si>
  <si>
    <t>JR. TARATA 480, BARRIOS ALTOS</t>
  </si>
  <si>
    <t xml:space="preserve"> L-V 9:00 am a 12:00pm.</t>
  </si>
  <si>
    <t>Contacto: Sra. Janet 983406070 CAMBIO MANO A MANO POR DEFECTOS DE FABRICA.
PEDIDO ORIGINAL: 001-00001134</t>
  </si>
  <si>
    <t>T001-0020739</t>
  </si>
  <si>
    <t>T001-0020738</t>
  </si>
  <si>
    <t>001-00001349</t>
  </si>
  <si>
    <t>001-00001350</t>
  </si>
  <si>
    <t>001-00001351</t>
  </si>
  <si>
    <t>001-00001352</t>
  </si>
  <si>
    <t>001-00001353</t>
  </si>
  <si>
    <t>001-00001354</t>
  </si>
  <si>
    <t>001-00001355</t>
  </si>
  <si>
    <t>PESA-PO-033260</t>
  </si>
  <si>
    <t>SLI LOGISTICS S.A.C.</t>
  </si>
  <si>
    <t>LB10615905926798</t>
  </si>
  <si>
    <t>Vaso Hobstar Cooler 473 ml. / 16 oz.</t>
  </si>
  <si>
    <t>Av. Jose Pardo Nro. 610 Int. 19</t>
  </si>
  <si>
    <t>Jr. Andahuaylas 251 SS 104</t>
  </si>
  <si>
    <t>T001-0020740</t>
  </si>
  <si>
    <t>T001-0020741</t>
  </si>
  <si>
    <t>T001-0020742</t>
  </si>
  <si>
    <t>9:30 a 1:00 pm</t>
  </si>
  <si>
    <t>T001-0020743</t>
  </si>
  <si>
    <t>T001-0020744</t>
  </si>
  <si>
    <t>001-00001356</t>
  </si>
  <si>
    <t>LB3823</t>
  </si>
  <si>
    <t xml:space="preserve">Catalina Vaso Alto para Cerveza Multi usos 429 ml </t>
  </si>
  <si>
    <t>0001-000152</t>
  </si>
  <si>
    <t>ISAAC ALBENIZ 391 DPTO 301</t>
  </si>
  <si>
    <t>REFRI-037</t>
  </si>
  <si>
    <t>Refrigeradora LG GT24BPP Top Freezer Door Cooling 241L Plateado</t>
  </si>
  <si>
    <t>FREIDO-001</t>
  </si>
  <si>
    <t>Freidora de aire digital Winia Waf-70dcb 7 litros</t>
  </si>
  <si>
    <t>T001-0020745</t>
  </si>
  <si>
    <t>Producto varios</t>
  </si>
  <si>
    <t>CJA-001</t>
  </si>
  <si>
    <t>INVERSIONES INTEGRALES TANFER S.A.C. - ITANFER S.A</t>
  </si>
  <si>
    <t>CR05336</t>
  </si>
  <si>
    <t>Copa Sundae para Postres 207 ml. / 7 oz.</t>
  </si>
  <si>
    <t>JIRON GOMEZ DEL CARPIO 168 - SURQUILLO - LIMA - LIMA</t>
  </si>
  <si>
    <t>L-V 09:00 AM - 12:00 PM</t>
  </si>
  <si>
    <t>001-00001358</t>
  </si>
  <si>
    <t>T001-0020747</t>
  </si>
  <si>
    <t>Contacto Mauricio 997 402 221</t>
  </si>
  <si>
    <t>997 402 221</t>
  </si>
  <si>
    <t>001-00001359</t>
  </si>
  <si>
    <t>T001-0020748</t>
  </si>
  <si>
    <t>LUIS LOPEZ RITZ</t>
  </si>
  <si>
    <t>CE 002924538</t>
  </si>
  <si>
    <t>001-00001357</t>
  </si>
  <si>
    <t>LB09125</t>
  </si>
  <si>
    <t>CR00901</t>
  </si>
  <si>
    <t>Signature Kentfield Copa Grande para Vino 4 Piezas 769 ml. / 26 oz.</t>
  </si>
  <si>
    <t>Frost Tazón Molcajete 320 ml. / 11 oz.</t>
  </si>
  <si>
    <t>OBSEQUIO LUIS LOPEZ</t>
  </si>
  <si>
    <t>001-00001360</t>
  </si>
  <si>
    <t>001-00001361</t>
  </si>
  <si>
    <t>001-00001362</t>
  </si>
  <si>
    <t>001-00001363</t>
  </si>
  <si>
    <t>1616833379048-01</t>
  </si>
  <si>
    <t>V16730226PLZV-01</t>
  </si>
  <si>
    <t>CIVITANO S.A.C.</t>
  </si>
  <si>
    <t>CARLOS PIÑA COLMENAREZ</t>
  </si>
  <si>
    <t>MARIELA YESSABEL HILARIO PINTO</t>
  </si>
  <si>
    <t>CR03057</t>
  </si>
  <si>
    <t>CR30110</t>
  </si>
  <si>
    <t>Perception Copa 325 ml. / 11 oz.</t>
  </si>
  <si>
    <t>Perception Copa Alta 414 ml. / 14 oz.</t>
  </si>
  <si>
    <t>DNI43868077</t>
  </si>
  <si>
    <t>VIRGEN DE GUADALUPE, LIMA, PERÚ 36 PARQUE MÁRQUEZ DE CORPAC.</t>
  </si>
  <si>
    <t>51+926393206</t>
  </si>
  <si>
    <t>51+907373301</t>
  </si>
  <si>
    <t>AV. MARISCAL JOSE DE LA MAR NRO. 1337 LIMA - LIMA - MIRAFLORES</t>
  </si>
  <si>
    <t>001-00001364</t>
  </si>
  <si>
    <t>001-00001368</t>
  </si>
  <si>
    <t>001-00001369</t>
  </si>
  <si>
    <t>001-00001370</t>
  </si>
  <si>
    <t>Sabados 09:00 AM A 12:00 PM</t>
  </si>
  <si>
    <t>contacto Itala Gracia móvil 962-673399</t>
  </si>
  <si>
    <t>horarios de 8:00 am a 12:30 pm</t>
  </si>
  <si>
    <t xml:space="preserve">SAN ISIDRO </t>
  </si>
  <si>
    <t>962-673399</t>
  </si>
  <si>
    <t>1617050388682-01</t>
  </si>
  <si>
    <t>TODHOGAR INVERSIONES E.I.R.L.</t>
  </si>
  <si>
    <t>GRUPO CASAS Y ASOCIADOS S.R.L.</t>
  </si>
  <si>
    <t>VICTORIA CASTILLO CHALCO</t>
  </si>
  <si>
    <t>MILENARIA BIO COMPANY SAC</t>
  </si>
  <si>
    <t>09F-C9H13-12</t>
  </si>
  <si>
    <t>LB6943949929718</t>
  </si>
  <si>
    <t>COOLER ESKIMO CON ASA 11 LT. COLOR HYDRA</t>
  </si>
  <si>
    <t>COOLER ESKIMO CON ASA 11 LT. COLOR LIMA</t>
  </si>
  <si>
    <t>COOLER ESKIMO CON ASA 34.5 LT. COLOR HYDRA</t>
  </si>
  <si>
    <t>COOLER ESKIMO CON ASA 34.5 LT. COLOR LIMA</t>
  </si>
  <si>
    <t>COOLER PRUDENCE CON ASA 20 LT. COLOR HYDRA</t>
  </si>
  <si>
    <t>COOLER PRUDENCE CON ASA 20 LT. COLOR LIMA</t>
  </si>
  <si>
    <t>COOLER PRUDENCE CON ASA 20 LT. COLOR NARANJA</t>
  </si>
  <si>
    <t>COOLER ESKIMO CON ASA 57 LT. COLOR HYDRA</t>
  </si>
  <si>
    <t>COOLER ESKIMO CON ASA 57 LT. COLOR LIMA</t>
  </si>
  <si>
    <t>Lámina Adhesiva Con-Tact® Azul Royal (45.72 cm. x 274.32 cm.)</t>
  </si>
  <si>
    <t>LinQ Vaso para Bebidas 355 ml. / 12 oz.</t>
  </si>
  <si>
    <t>11 am a 5 pm</t>
  </si>
  <si>
    <t>CALLE LAS GRANADILLAS 1021</t>
  </si>
  <si>
    <t>Calle Alcanfores 350 B</t>
  </si>
  <si>
    <t>001-00001365</t>
  </si>
  <si>
    <t>001-00001366</t>
  </si>
  <si>
    <t>VULCANO 5 LIMA - LIMA - SANTIAGO DE SURCO</t>
  </si>
  <si>
    <t>T001-0020756</t>
  </si>
  <si>
    <t>001-00001371</t>
  </si>
  <si>
    <t>001-00001372</t>
  </si>
  <si>
    <t>001-00001373</t>
  </si>
  <si>
    <t>001-00001374</t>
  </si>
  <si>
    <t>V16753560PLZV-01</t>
  </si>
  <si>
    <t>05F-C5T40-06</t>
  </si>
  <si>
    <t>COOLER ESKIMO CON ASA 4.5 LT. COLOR HYDRA</t>
  </si>
  <si>
    <t>COOLER ESKIMO CON ASA 4.5 LT. COLOR LIMA</t>
  </si>
  <si>
    <t>Cobertor para Estantes No Adhesivo Con-Tact® Zig-Zag Transparente (50.8 cm. x 15</t>
  </si>
  <si>
    <t>PINEDO PEÑAHERRERA JOSE MANUEL</t>
  </si>
  <si>
    <t>GUEVARA MONTENEGRO ELMER</t>
  </si>
  <si>
    <t>YUBISAY ORIANA OROPEZA SOTO</t>
  </si>
  <si>
    <t>Avenida Principal 497</t>
  </si>
  <si>
    <t>T001-0020757</t>
  </si>
  <si>
    <t>T001-0020758</t>
  </si>
  <si>
    <t>T001-0020759</t>
  </si>
  <si>
    <t>Contacto Srta. Nadine móvil 907587181</t>
  </si>
  <si>
    <t>T001-0020760</t>
  </si>
  <si>
    <t>001-00001376</t>
  </si>
  <si>
    <t>T001-0020761</t>
  </si>
  <si>
    <t>Contacto: +51 970 372 592 Guillermo</t>
  </si>
  <si>
    <t>001-00001375</t>
  </si>
  <si>
    <t>001-00001378</t>
  </si>
  <si>
    <t>2026-60000394</t>
  </si>
  <si>
    <t>CR97052</t>
  </si>
  <si>
    <t>Salero con Tapa de Acero Inoxidable 57 ml. / 2 oz.</t>
  </si>
  <si>
    <t>L-S 9:00 am  a 11:00 pm</t>
  </si>
  <si>
    <t xml:space="preserve">MAMBRINO S.A.C. </t>
  </si>
  <si>
    <t>001-00001377</t>
  </si>
  <si>
    <t>001-00001382</t>
  </si>
  <si>
    <t>T001-0020767</t>
  </si>
  <si>
    <t>T001-0020768</t>
  </si>
  <si>
    <t>001-00001383</t>
  </si>
  <si>
    <t>1618650413636-01</t>
  </si>
  <si>
    <t>KASSANDRA DOMMARCO</t>
  </si>
  <si>
    <t>AV AVIACION 5049 (C.C. POLVOS ROSADOS)</t>
  </si>
  <si>
    <t>51+979864116</t>
  </si>
  <si>
    <t>T001-0020769</t>
  </si>
  <si>
    <t>001-00001384</t>
  </si>
  <si>
    <t>001-00001385</t>
  </si>
  <si>
    <t>038143-2026</t>
  </si>
  <si>
    <t>T001-0020770</t>
  </si>
  <si>
    <t>T001-0020771</t>
  </si>
  <si>
    <t>Lunes a Viernes de 9 a 6pm, Sábados de 9 a 1pm</t>
  </si>
  <si>
    <t>001-00001380-R</t>
  </si>
  <si>
    <t>001-00001386</t>
  </si>
  <si>
    <t>CR1793153</t>
  </si>
  <si>
    <t>Astro Pimentero con Tapa de Metal 170 ml. / 5.7 oz.</t>
  </si>
  <si>
    <t>001-00001387</t>
  </si>
  <si>
    <t>Lucio Aviación RECOJO DE PRODUCTO</t>
  </si>
  <si>
    <t>T001-0020772</t>
  </si>
  <si>
    <t>T001-0020774</t>
  </si>
  <si>
    <t>T001-0020775</t>
  </si>
  <si>
    <t>T001-0020776</t>
  </si>
  <si>
    <t>MAMBRINO S.A.C. Lucio Aviación</t>
  </si>
  <si>
    <t>001-00001389</t>
  </si>
  <si>
    <t>001-00001388</t>
  </si>
  <si>
    <t>LB503</t>
  </si>
  <si>
    <t>Vibe Frasco 1 lt. / 33.75 oz.</t>
  </si>
  <si>
    <t>CAL. SIMON BOLIVAR NRO. 145 P.J. TABLADA DE LURIN LIMA - LIMA - VILLA MARÍA DEL TRIUNFO</t>
  </si>
  <si>
    <t>VILLA MARÍA DEL TRIUNFO</t>
  </si>
  <si>
    <t>EQUIPO LUIGI S.A.C.</t>
  </si>
  <si>
    <t>51+994546767</t>
  </si>
  <si>
    <t>V16796817PLZV-0</t>
  </si>
  <si>
    <t>MA</t>
  </si>
  <si>
    <t>[B2C] L-V 08:00 AM - 06:00 PM // S
&lt;1:00 PM</t>
  </si>
  <si>
    <t>T001-0020777</t>
  </si>
  <si>
    <t>T001-0020778</t>
  </si>
  <si>
    <t>001-00001391</t>
  </si>
  <si>
    <t>BL1300000745</t>
  </si>
  <si>
    <t>T001-0020779</t>
  </si>
  <si>
    <t>001-00001390</t>
  </si>
  <si>
    <t>001-00001392</t>
  </si>
  <si>
    <t>2026-30000400</t>
  </si>
  <si>
    <t>CLIENTE RECOGE PRODUCTO DEL ALMACEN</t>
  </si>
  <si>
    <t>CONFIRMAR</t>
  </si>
  <si>
    <t>001-00001163</t>
  </si>
  <si>
    <t>001-00001164</t>
  </si>
  <si>
    <t>001-00001327</t>
  </si>
  <si>
    <t>EXPRESO GRAEL S.A.C</t>
  </si>
  <si>
    <t>AV. PROLONGACION ANDAHUAYLAS NRO. 619</t>
  </si>
  <si>
    <t>INVERSIONES DIAZ HANCCO S.R.L.</t>
  </si>
  <si>
    <t>TRANSPORTES INTERNACIONAL EMILIO DEL SUR</t>
  </si>
  <si>
    <t>PSJE. SAN LORENZO 139</t>
  </si>
  <si>
    <t>[Agencia] L-V 8:30AM - 1:00PM / 2:00 - 6:30PM // S &lt;5:30PM</t>
  </si>
  <si>
    <t>CALLE LA MILLA 215</t>
  </si>
  <si>
    <t>TRANSPORTES ARAGON</t>
  </si>
  <si>
    <t>EXPRESO GRAEL S.A.C.</t>
  </si>
  <si>
    <t>E.T. LOGISTICA MACHUPICCHU CARGO S.R.L.</t>
  </si>
  <si>
    <t>JR. NORUEGA 1265</t>
  </si>
  <si>
    <t>CAL. HUMBOLDT ALEXANDER VON NRO. 441</t>
  </si>
  <si>
    <t>TRANS J VRAE SAC</t>
  </si>
  <si>
    <t>TRANS  SERVIS  JC  S.A.C.</t>
  </si>
  <si>
    <t>ANULADO</t>
  </si>
  <si>
    <t>[Agencia] L-S 8:00 AM - 8:30 PM</t>
  </si>
  <si>
    <t>FIZAR CARGO GROUP S.A.C.</t>
  </si>
  <si>
    <t>AV. SEPARADORA INDUSTRIAL NRO. 672 URB. MIGUEL GRAU</t>
  </si>
  <si>
    <t>CORPORACION MIRIAM E ISABEL S.A.C</t>
  </si>
  <si>
    <t>TRANSPORTES MÍA AYAYAY</t>
  </si>
  <si>
    <t>JR. HUMBOLDT 949</t>
  </si>
  <si>
    <t>001-00001393</t>
  </si>
  <si>
    <t>2026-60000463</t>
  </si>
  <si>
    <t>T001-0020782</t>
  </si>
  <si>
    <t>T001-0020780</t>
  </si>
  <si>
    <t>001-00001394</t>
  </si>
  <si>
    <t>Garrafa Jarra Vino 1 lt ml. / 33.8 oz.</t>
  </si>
  <si>
    <t>TRANPORTES SANTA URSULA CARGO S.A.C.</t>
  </si>
  <si>
    <t>JR. LUNA PIZARRO 1264</t>
  </si>
  <si>
    <t>EMPRESA DE TRANSPORTES Y SERVICIOS GENERALES TRANSMOTAR S.A.</t>
  </si>
  <si>
    <t>JR. LUNA PIZARRO 600</t>
  </si>
  <si>
    <t>TRANSPORTES DON GOYO DEL VALLE RIO APURIMAC Y ENE S.A.C.</t>
  </si>
  <si>
    <t>HUASCAR CARGO INTERNACIONAL S.A.C.</t>
  </si>
  <si>
    <t>JR. HIPOLITO UNANUE 844</t>
  </si>
  <si>
    <t>VRPC ALIMENTOS CORPORATIVOS E.I.R.L.</t>
  </si>
  <si>
    <t>AV. CAMINO REAL M2 B LOTE 21</t>
  </si>
  <si>
    <t>001-00001399</t>
  </si>
  <si>
    <t>V16847623PLZV-0</t>
  </si>
  <si>
    <t>CARLOS MIGUEL OJEDA CHINCHAYAN</t>
  </si>
  <si>
    <t>DNI42292213</t>
  </si>
  <si>
    <t>CLOVIS 777 LIMA - LIMA - PUEBLO LIBRE</t>
  </si>
  <si>
    <t>51+949345633</t>
  </si>
  <si>
    <t>L-S 09:00 AM -6:00 PM</t>
  </si>
  <si>
    <t>CR30960</t>
  </si>
  <si>
    <t>Perception Copa para Flauta 170 ml. / 5 ¾ oz.</t>
  </si>
  <si>
    <t>CR00719</t>
  </si>
  <si>
    <t>Jarra 251 ml. / 8.5 oz.</t>
  </si>
  <si>
    <t>CR03725</t>
  </si>
  <si>
    <t>Embassy Copa para Cerveza 355 ml. / 12 oz..</t>
  </si>
  <si>
    <t>CR00401</t>
  </si>
  <si>
    <t>Cosmopolitan Vaso para Vino 296 ml. / 10 oz.</t>
  </si>
  <si>
    <t>LB1001</t>
  </si>
  <si>
    <t>Classic Frasco 750 ml. / 25.35 oz.</t>
  </si>
  <si>
    <t>001-00001402</t>
  </si>
  <si>
    <t>001-00001403</t>
  </si>
  <si>
    <t>OSCAR RENATTO AVENDAÑO CORNEJO</t>
  </si>
  <si>
    <t>DNI43968318</t>
  </si>
  <si>
    <t>51+994665466</t>
  </si>
  <si>
    <t>V16859041PLZV-0</t>
  </si>
  <si>
    <t>ALAMEDA DEL CORREGIDOR 420 LIMA - LIMA - LA MOLINA</t>
  </si>
  <si>
    <t>L-S 08:00 AM A 18:00 PM</t>
  </si>
  <si>
    <t>001-00001407</t>
  </si>
  <si>
    <t>001-00001405</t>
  </si>
  <si>
    <t>VARTEL CONSTRUCTORA INMOBILIARIA SOCIEDAD ANONIMA - VARTEL S</t>
  </si>
  <si>
    <t>05F-CM25K-06</t>
  </si>
  <si>
    <t>JIRÓN GUILLERMO PERATA 228 DPTO 201 BLOQUE E. URBANIZACIÓN L LIMA - LIMA - SANTIAGO DE SURCO</t>
  </si>
  <si>
    <t>Cobertor Premium con Microban Con-Tact® Grafito (30.48 cm. x 152.4 cm.)</t>
  </si>
  <si>
    <t>001-00001410</t>
  </si>
  <si>
    <t>001-00001409</t>
  </si>
  <si>
    <t>001-00001411</t>
  </si>
  <si>
    <t>HARRY PEÑA VILLEGAS</t>
  </si>
  <si>
    <t>DNI72035741</t>
  </si>
  <si>
    <t>AVENIDA PRÓCERES DE HUANDOY 7481</t>
  </si>
  <si>
    <t>51+934048534</t>
  </si>
  <si>
    <t>L-S 08:00 AM 18:00 PM</t>
  </si>
  <si>
    <t>001-00001417</t>
  </si>
  <si>
    <t>001-00001418</t>
  </si>
  <si>
    <t>001-00001401</t>
  </si>
  <si>
    <t>001-00001416</t>
  </si>
  <si>
    <t>CR1795332</t>
  </si>
  <si>
    <t>001-00001415</t>
  </si>
  <si>
    <t>038286-2026</t>
  </si>
  <si>
    <t>001-00001412</t>
  </si>
  <si>
    <t>V16866171PLZV-0</t>
  </si>
  <si>
    <t>RHD800</t>
  </si>
  <si>
    <t>Máquina con Rodillo Freidor para Hot-Dog Nostalgia</t>
  </si>
  <si>
    <t>ELIZABETH DANICA SULCA QUINTANILLA DE PALOMINO</t>
  </si>
  <si>
    <t>DNI70051148</t>
  </si>
  <si>
    <t>51+971328417</t>
  </si>
  <si>
    <t>AVENIDA CESAR CANEVARO 928 LIMA - LIMA - SAN JUAN DE MIRAFLORES</t>
  </si>
  <si>
    <t>L-V 08:00 AM A 5:00 PM</t>
  </si>
  <si>
    <t>001-00001413</t>
  </si>
  <si>
    <t>2026-60000496</t>
  </si>
  <si>
    <t>001-00001414</t>
  </si>
  <si>
    <t>2026-60000427</t>
  </si>
  <si>
    <t>MAMBRINO S.A.C. La Bodega de Borgoño</t>
  </si>
  <si>
    <t>001-00001421</t>
  </si>
  <si>
    <t>001-00001419</t>
  </si>
  <si>
    <t>2026-10001073</t>
  </si>
  <si>
    <t>001-00001422</t>
  </si>
  <si>
    <t>001-00001423</t>
  </si>
  <si>
    <t>001-00001424</t>
  </si>
  <si>
    <t>001-00001425</t>
  </si>
  <si>
    <t>V16895097PLZV-01</t>
  </si>
  <si>
    <t>BOSTON VASO HB 377 ML. / 12.7 OZ. (NC)</t>
  </si>
  <si>
    <t>KCS DISTRIBUIDORES S.A.C.</t>
  </si>
  <si>
    <t>ANDERSON ROA HERNÁNDEZ</t>
  </si>
  <si>
    <t>946 250 141</t>
  </si>
  <si>
    <t>JR. HUALLAGA NRO. 812</t>
  </si>
  <si>
    <t>JR HUALLAGA 810-812 LIMA</t>
  </si>
  <si>
    <t>AVENIDA LURIGANCHO 1068</t>
  </si>
  <si>
    <t>11am a 1pm</t>
  </si>
  <si>
    <t>Contacto: 946 250 141 Sr. Jaime</t>
  </si>
  <si>
    <t>Lámina Adhesiva Con-Tact® Mármol Marroquí (45.72 cm. x 274.32 cm.)</t>
  </si>
  <si>
    <t>09F-C9A9H3-12</t>
  </si>
  <si>
    <t>9:00am  a 11:00 am</t>
  </si>
  <si>
    <t>Av. Javier Prado Este 4200 CC Jockey Plaza Nivel 1</t>
  </si>
  <si>
    <t>AV. CAMINO REAL 1239</t>
  </si>
  <si>
    <t>CALLE SEBASTIAN TELLERIA 386</t>
  </si>
  <si>
    <t>DNI40955836</t>
  </si>
  <si>
    <t>001-00001426</t>
  </si>
  <si>
    <t>001-00001427</t>
  </si>
  <si>
    <t>001-00001428</t>
  </si>
  <si>
    <t>001-00001429</t>
  </si>
  <si>
    <t>1621640492018-0</t>
  </si>
  <si>
    <t>AVENIDA PRÓCERES DE HUANDOY 7481 LIMA - LIMA - LOS OLIVOS</t>
  </si>
  <si>
    <t>HARRY PEDRO CARLOS PEÑA VILLEGAS</t>
  </si>
  <si>
    <t>L-S 08:00 AM - 16:00 PM</t>
  </si>
  <si>
    <t>001-00001431</t>
  </si>
  <si>
    <t>OSCAR JESUS NARVA ROJAS</t>
  </si>
  <si>
    <t>DNI73865491</t>
  </si>
  <si>
    <t>AV. 01 DE MAYO 1 SECT GP 23 - A MZ N LOTE 13</t>
  </si>
  <si>
    <t>ENVIADO A LA AGENCIA SHALOM AGENCIA 01 DE MAYO VILLA EL SALVADOR</t>
  </si>
  <si>
    <t>001-00001430</t>
  </si>
  <si>
    <t>GRUPO LAURITA S.A.C.</t>
  </si>
  <si>
    <t>20600657012</t>
  </si>
  <si>
    <t>PJ. 21 DE NOVIEMBRE NRO .- INT. 14 MERCADO DE PRODUCTORES</t>
  </si>
  <si>
    <t xml:space="preserve">SANTA ANITA </t>
  </si>
  <si>
    <t>001-00001434</t>
  </si>
  <si>
    <t>Contacto: 989 143 595 Joven Jean.</t>
  </si>
  <si>
    <t>El horario de 9:00am a 1:00pm</t>
  </si>
  <si>
    <t>001-00001436</t>
  </si>
  <si>
    <t>1623753523360-0</t>
  </si>
  <si>
    <t>ALFREDO ALONSO ISASI CASTRO</t>
  </si>
  <si>
    <t>DNI47585724</t>
  </si>
  <si>
    <t>AV. LUIS PARDO 116 LIMA - LIMA - SAN JUAN DE MIRAFLORES</t>
  </si>
  <si>
    <t>L-S 08:00 AM A 17:00 PM</t>
  </si>
  <si>
    <t>001-00001438</t>
  </si>
  <si>
    <t>SAN MARTÍN DE PORRES</t>
  </si>
  <si>
    <t>001-00001440</t>
  </si>
  <si>
    <t>001-00001442</t>
  </si>
  <si>
    <t>V16926098PLZV-01</t>
  </si>
  <si>
    <t>JOHANNA SOFIA CASANOVA VILLANUEVA</t>
  </si>
  <si>
    <t>ALEJANDRO GARECA</t>
  </si>
  <si>
    <t>AV. ANTONIO MIROQUESADA 355 DPTO 201</t>
  </si>
  <si>
    <t>AVENIDA 28 DE JULIO 200</t>
  </si>
  <si>
    <t>001-00001443</t>
  </si>
  <si>
    <t>001-00001444</t>
  </si>
  <si>
    <t>[MULTICS] L-S 09:00 AM - 12:30 PM / 03:00 - 05:00 PM</t>
  </si>
  <si>
    <t>9:30am a 1pm</t>
  </si>
  <si>
    <t>970 372 592</t>
  </si>
  <si>
    <t>994 088 611</t>
  </si>
  <si>
    <t>Contacto: 994 088 611 Sra. Lily llamar media hora antes de llegar al destino</t>
  </si>
  <si>
    <t>001-00001446</t>
  </si>
  <si>
    <t>1625180544803-01</t>
  </si>
  <si>
    <t>KAREN SOFIA DIOSES GUERRA</t>
  </si>
  <si>
    <t>T001-0020870</t>
  </si>
  <si>
    <t>AVENIDA ALFREDO BENAVIDES 4828 OFICINA 901</t>
  </si>
  <si>
    <t>001-00001445</t>
  </si>
  <si>
    <t>924-968 850</t>
  </si>
  <si>
    <t>001-00001448</t>
  </si>
  <si>
    <t>001-00001449</t>
  </si>
  <si>
    <t>001-00001450</t>
  </si>
  <si>
    <t>001-00001451</t>
  </si>
  <si>
    <t>DISTRIBUCIONES QUISPE S.A.C.</t>
  </si>
  <si>
    <t>CR06622</t>
  </si>
  <si>
    <t>CR06624</t>
  </si>
  <si>
    <t>CR15764</t>
  </si>
  <si>
    <t>CR15609</t>
  </si>
  <si>
    <t>CR15765</t>
  </si>
  <si>
    <t>CR11404</t>
  </si>
  <si>
    <t>CR1719073</t>
  </si>
  <si>
    <t>CR00024</t>
  </si>
  <si>
    <t>CR1718975</t>
  </si>
  <si>
    <t>LONCHERA TERMO COOLER PRIME KIDS 600 ML. COLOR ROSADO CON DISEÑOS</t>
  </si>
  <si>
    <t>LONCHERA TERMO COOLER PRIME KIDS 600 ML. COLOR AZUL CON DISEÑOS</t>
  </si>
  <si>
    <t>LONCHERA TERMO COOLER PRIME KIDS 600 ML. COLOR VERDE CON DISEÑOS</t>
  </si>
  <si>
    <t>Fondo Grueso Vaso para Jugo 230 ml. / 8.1 oz.</t>
  </si>
  <si>
    <t>Fondo Grueso Vaso para Agua 310 ml. / 10.5 oz.</t>
  </si>
  <si>
    <t>Juego de Jarra más Vasos [Blossom] (5 Piezas)</t>
  </si>
  <si>
    <t>Juego de Jarra más Vasos [Lace Flowers] (5 Piezas)</t>
  </si>
  <si>
    <t>Juego de Vasos y Jarra de Vidrio [Tropicalisimo] (7 Piezas)</t>
  </si>
  <si>
    <t>Cantina Vaso de Whisky de Vidrio Decorado 4 Piezas 386 ml. / 13 oz.</t>
  </si>
  <si>
    <t>Save'n Store Flanera Grande con Tapa 400 ml. / 14.08 oz.</t>
  </si>
  <si>
    <t>Save'n Store Tazón Rectangular 915 ml. / 30.9 oz.</t>
  </si>
  <si>
    <t>Save'n Store Tazón Chico 730 ml. / 27.4 oz.</t>
  </si>
  <si>
    <t>7am a 11 y de 1pm a 3pm</t>
  </si>
  <si>
    <t>[Agencia] L-V 9:00 AM - 6:00 PM // S &lt;1:00 PM</t>
  </si>
  <si>
    <t>A &amp; B BUSINESS S.A.C.</t>
  </si>
  <si>
    <t>CAL. LOS ABETOS URB. CULTURA MODERNA PERUANA INT. 1 MZ. D15</t>
  </si>
  <si>
    <t>Carlos Ortiz 924-968 850. gracias.</t>
  </si>
  <si>
    <t>001-00001453</t>
  </si>
  <si>
    <t>001-00001454</t>
  </si>
  <si>
    <t>001-00001455</t>
  </si>
  <si>
    <t>001-00001456</t>
  </si>
  <si>
    <t>001-00001457</t>
  </si>
  <si>
    <t>001-00001458</t>
  </si>
  <si>
    <t>001-00001459</t>
  </si>
  <si>
    <t>001-00001460</t>
  </si>
  <si>
    <t>001-00001461</t>
  </si>
  <si>
    <t>001-00001462</t>
  </si>
  <si>
    <t>001-00001463</t>
  </si>
  <si>
    <t>001-00001464</t>
  </si>
  <si>
    <t>001-00001465</t>
  </si>
  <si>
    <t>001-00001466</t>
  </si>
  <si>
    <t>001-00001467</t>
  </si>
  <si>
    <t>001-00001468</t>
  </si>
  <si>
    <t>001-00001469</t>
  </si>
  <si>
    <t>001-00001470</t>
  </si>
  <si>
    <t>AV. SANTIAGO DE SURCO 4647, URB. PROL. BENAVIDES</t>
  </si>
  <si>
    <t>AV. RICARDO ELIAS APARICIO 715</t>
  </si>
  <si>
    <t>JR. UCELLO 162</t>
  </si>
  <si>
    <t>AV. LA MARINA 2000 (CC PLAZA SAN MIGUEL)</t>
  </si>
  <si>
    <t>AV. JAVIER PRADO ESTE CDA. 51 (CC CAMACHO)</t>
  </si>
  <si>
    <t>AV. BENAVIDES 5250</t>
  </si>
  <si>
    <t>AV. LA MOLINA 378</t>
  </si>
  <si>
    <t>MAL. BAJADA BALTA 650</t>
  </si>
  <si>
    <t>AV. DOS DE MAYO 1099</t>
  </si>
  <si>
    <t>AV. LA MARINA CDA. 25</t>
  </si>
  <si>
    <t>CA. LUIS ARIAS SCHEREIBER 270</t>
  </si>
  <si>
    <t>AV. BENAVIDES 1475</t>
  </si>
  <si>
    <t>CRUCE PAN. NORTE CON AV. TOMÁS VALLE (CC PLAZA NORTE)</t>
  </si>
  <si>
    <t>AV. PASEO DE LA REPÚBLICA S/N URB. MATELLINI MATELLINI</t>
  </si>
  <si>
    <t>AV. RAUL FERRERO 1355 (CC CENCO LA MOLINA)</t>
  </si>
  <si>
    <t>Santiago de Surco</t>
  </si>
  <si>
    <t>La Molina</t>
  </si>
  <si>
    <t>San Miguel</t>
  </si>
  <si>
    <t>Miraflores</t>
  </si>
  <si>
    <t>Independencia</t>
  </si>
  <si>
    <t>Chorrillos</t>
  </si>
  <si>
    <t>LB6943949928360_6U</t>
  </si>
  <si>
    <t>LB6943949917579_6U</t>
  </si>
  <si>
    <t>LB6943949925635_6U</t>
  </si>
  <si>
    <t>LB6943949928988_6U</t>
  </si>
  <si>
    <t>LB6943949928681_6U</t>
  </si>
  <si>
    <t>Lun a Vier 9pm a 6am</t>
  </si>
  <si>
    <t>L-V 06:00 AM - 08:00 AM</t>
  </si>
  <si>
    <t>Lun a Sab 10am a 1pm</t>
  </si>
  <si>
    <t>Wong 2 De Mayo</t>
  </si>
  <si>
    <t>11:00 AM A 15:00PM</t>
  </si>
  <si>
    <t>6:00 AM A 8:00 AM DE LUNES A VIERNES</t>
  </si>
  <si>
    <t>LG NEGOCIOS S.A.C.</t>
  </si>
  <si>
    <t>20524246661</t>
  </si>
  <si>
    <t>JR. HUALLAGA 650 - 4TO PISO - PUESTO 417</t>
  </si>
  <si>
    <t xml:space="preserve">9:30 AM - 3:00 PM </t>
  </si>
  <si>
    <t>LLAMAR  20 minutos antes de llegar al punto de entrega al número 960628425.</t>
  </si>
  <si>
    <t>001-00001471</t>
  </si>
  <si>
    <t>001-00001472</t>
  </si>
  <si>
    <t>Lámina Adhesiva Con-Tact® Knotty Pine (45.72 cm)</t>
  </si>
  <si>
    <t>V16966937PLZV-01</t>
  </si>
  <si>
    <t>ENRIQUE GABRIEL ALBAN IPANAQUE</t>
  </si>
  <si>
    <t>AVENIDA JOSÉ PARDO 510 - MIRAFLORES</t>
  </si>
  <si>
    <t>51+997599303</t>
  </si>
  <si>
    <t>Metro La Marina</t>
  </si>
  <si>
    <t>001-00001473</t>
  </si>
  <si>
    <t>1626573632781-01</t>
  </si>
  <si>
    <t>ERNESTO PUENTE ARNAO PM ARQUITECTOS S.A.C. - PMARQ S.A.C.</t>
  </si>
  <si>
    <t>CALLE LEONIDAS AVENDAÑO 133</t>
  </si>
  <si>
    <t>001-00001475</t>
  </si>
  <si>
    <t>LB6943949933210</t>
  </si>
  <si>
    <t>BOWL 408 ML. / 13.80 OZ.</t>
  </si>
  <si>
    <t xml:space="preserve">LB1724574   </t>
  </si>
  <si>
    <t>GARRAFA JARRA VINO 1 LT. / 33.8 OZ. (NC)</t>
  </si>
  <si>
    <t>001-00001477</t>
  </si>
  <si>
    <t>001-00001474</t>
  </si>
  <si>
    <t>001-00001478</t>
  </si>
  <si>
    <t>LLANOS IMPORT COMPANY E.I.R.L.</t>
  </si>
  <si>
    <t>CAL. LAS RETAMAS NRO. 302 URB. LOS RECAUDADORES LIMA - LIMA - ATE</t>
  </si>
  <si>
    <t>CR00763_3</t>
  </si>
  <si>
    <t>CR02643</t>
  </si>
  <si>
    <t>Tempo Plato Taza 15.2 cm. x 15.2 cm.</t>
  </si>
  <si>
    <t>Home Decor Copón Martini 25.72 cm.</t>
  </si>
  <si>
    <t>001-00001479</t>
  </si>
  <si>
    <t>001-00001480</t>
  </si>
  <si>
    <t>C.C. Plaza, Blvd. Plaza Mantaro 220, San Miguel</t>
  </si>
  <si>
    <t>001-00001481</t>
  </si>
  <si>
    <t>CR1724574</t>
  </si>
  <si>
    <t>Contacto: +51 966 080 675 sra. Mery</t>
  </si>
  <si>
    <t>966 080 675</t>
  </si>
  <si>
    <t xml:space="preserve"> Srta. Jessica móvil 900-956100</t>
  </si>
  <si>
    <t>001-00001489</t>
  </si>
  <si>
    <t>NBPEL0038</t>
  </si>
  <si>
    <t>CR14478</t>
  </si>
  <si>
    <t>Quickeep Set de 2 Unidades (Verde y Naranja)</t>
  </si>
  <si>
    <t>DISPENSADOR COOLER DE LIQUIDOS PLATINO CON DISPENSADOR 20 LT. COLOR HYDRA</t>
  </si>
  <si>
    <t>DISPENSADOR COOLER DE LIQUIDOS PLATINO CON DISPENSADOR 40 LT. COLOR HYDRA</t>
  </si>
  <si>
    <t>DISPENSADOR COOLER DE LIQUIDOS PLATINO CON DISPENSADOR 20 LT. COLOR LIMA</t>
  </si>
  <si>
    <t>DISPENSADOR COOLER DE LIQUIDOS PLATINO CON DISPENSADOR 40 LT. COLOR LIMA</t>
  </si>
  <si>
    <t>001-00001494</t>
  </si>
  <si>
    <t>001-00001491</t>
  </si>
  <si>
    <t>CRISTALERIA PLASTICOS SAN FRANCISCO S.A.C.</t>
  </si>
  <si>
    <t xml:space="preserve">LA VICTORIA </t>
  </si>
  <si>
    <t>T001-0020911</t>
  </si>
  <si>
    <t>001-00001492</t>
  </si>
  <si>
    <t>CONSORCIO COMERCIAL RECORD S.R.L</t>
  </si>
  <si>
    <t>T001-0020910</t>
  </si>
  <si>
    <t>001-00001482</t>
  </si>
  <si>
    <t>BASE NUEVO VIENA 1.5 PLAZA AZUL 1.05 X 1.90</t>
  </si>
  <si>
    <t>VIENA VELDA INFANTAES ROBLADILLO</t>
  </si>
  <si>
    <t>DNI43801935</t>
  </si>
  <si>
    <t>T001-0020914</t>
  </si>
  <si>
    <t>001-00001499</t>
  </si>
  <si>
    <t>Maquina con rodillo freidor para hot-dog</t>
  </si>
  <si>
    <t>ORINA MARIA SCHOFIELD JISKRA</t>
  </si>
  <si>
    <t>RAMON RIBERYO 634</t>
  </si>
  <si>
    <t>T001-0020915</t>
  </si>
  <si>
    <t>DNI76597053</t>
  </si>
  <si>
    <t>001-00001497</t>
  </si>
  <si>
    <t>COMERCIALIZADORA RUMBO AL 3000 SOCIEDAD ANONIMA CERRADA - CO</t>
  </si>
  <si>
    <t>T001-0020916</t>
  </si>
  <si>
    <t>San Martín de Porres</t>
  </si>
  <si>
    <t>L-S 08:00 AM A 16:00 PM</t>
  </si>
  <si>
    <t>BARRETO 546 LIMA - LIMA - LA VICTORIA</t>
  </si>
  <si>
    <t>1627900647526-0</t>
  </si>
  <si>
    <t>51+960815878</t>
  </si>
  <si>
    <t>001-00001490</t>
  </si>
  <si>
    <t>001-00001493</t>
  </si>
  <si>
    <t>PROVEEDORA PLASTIC JHON BRAYAN EMPRESA INDIVIDUAL DE RESPONS</t>
  </si>
  <si>
    <t>DISPENSADOR COOLER DE LIQUIDOS CLASSIC CON DISPENSADOR 12 LT. COLOR HYDRA</t>
  </si>
  <si>
    <t>T001-0020917</t>
  </si>
  <si>
    <t>CAL. RIO PIURA NRO. 233 LIMA - LIMA - SAN LUIS</t>
  </si>
  <si>
    <t>PROVEEDOR PROVINCIA</t>
  </si>
  <si>
    <t>TRANSPORTES FLOR DE COFFE SOCIEDAD ANONIMA CERRADA</t>
  </si>
  <si>
    <t>LIPROMED S.A.C</t>
  </si>
  <si>
    <t>001-0020918</t>
  </si>
  <si>
    <t>001-00001500</t>
  </si>
  <si>
    <t>T001-0020919</t>
  </si>
  <si>
    <t>IMPORTADORA DISTRIBUIDORA SHANELL EMPRESA INDIVIDUAL DE RESP</t>
  </si>
  <si>
    <t>COOLER PASSION CON ASA DE TELA 8 LT. COLOR CELESTE PASTEL</t>
  </si>
  <si>
    <t>COOLER PASSION CON ASA DE TELA 8 LT. COLOR VERDE PASTEL</t>
  </si>
  <si>
    <t>001-00001496</t>
  </si>
  <si>
    <t>Jr. Pico Alto Mz. A lote 9 Urb. El sol del la Molina.</t>
  </si>
  <si>
    <t>CORPORACION CONTRERAS KENSSY W. S.A.</t>
  </si>
  <si>
    <t>T001-0020922</t>
  </si>
  <si>
    <t>JR LUNA PIZARRO 522</t>
  </si>
  <si>
    <t>001-00001502</t>
  </si>
  <si>
    <t>001-00001503</t>
  </si>
  <si>
    <t>001-00001504</t>
  </si>
  <si>
    <t>001-00001505</t>
  </si>
  <si>
    <t>001-00001506</t>
  </si>
  <si>
    <t>001-00001507</t>
  </si>
  <si>
    <t>001-00001509</t>
  </si>
  <si>
    <t>001-00001510</t>
  </si>
  <si>
    <t>001-00001511</t>
  </si>
  <si>
    <t>001-00001512</t>
  </si>
  <si>
    <t>001-00001513</t>
  </si>
  <si>
    <t>001-00001514</t>
  </si>
  <si>
    <t>Metro Limatambo</t>
  </si>
  <si>
    <t>001-00001515</t>
  </si>
  <si>
    <t>001-00001516</t>
  </si>
  <si>
    <t>001-00001517</t>
  </si>
  <si>
    <t>001-00001501</t>
  </si>
  <si>
    <t>001-00001518</t>
  </si>
  <si>
    <t>001-00001520</t>
  </si>
  <si>
    <t>038632-2026</t>
  </si>
  <si>
    <t>VERONICA LISSET ORTIZ ATAHUAMAN</t>
  </si>
  <si>
    <t>DNI43618942</t>
  </si>
  <si>
    <t>51+970550206</t>
  </si>
  <si>
    <t>AVENIDA AMALIA PUGA DE LOZADA 3144 LIMA - LIMA - SAN MARTÍN DE PORRES</t>
  </si>
  <si>
    <t>1628240651972-0</t>
  </si>
  <si>
    <t>L-S 08:00 AM A 5:00 PM</t>
  </si>
  <si>
    <t>001-00001519</t>
  </si>
  <si>
    <t>PLASTICOS CUSCO G &amp; A E.I.R.L.</t>
  </si>
  <si>
    <t>20609887550</t>
  </si>
  <si>
    <t>PROL. ANDAHUAYLAS 464</t>
  </si>
  <si>
    <t>TROME EXPRESS CARGO E.I.R.L.</t>
  </si>
  <si>
    <t>001-00001522</t>
  </si>
  <si>
    <t>001-00001523</t>
  </si>
  <si>
    <t>001-00001524</t>
  </si>
  <si>
    <t>001-00001525</t>
  </si>
  <si>
    <t>1628590658099-01</t>
  </si>
  <si>
    <t>PR1795423</t>
  </si>
  <si>
    <t>PR1793225</t>
  </si>
  <si>
    <t>LB101759</t>
  </si>
  <si>
    <t>Tazón Batidor Chico 1.05 lt. / 35.5 oz.</t>
  </si>
  <si>
    <t>Tazón Batidor Mediano 1.95 lt. / 65.9 oz.</t>
  </si>
  <si>
    <t>CORPORACION YORKA DEL SUR E.I.R.L.</t>
  </si>
  <si>
    <t>INES SABORIO</t>
  </si>
  <si>
    <t>[Agencia] L-V 9:00 AM - 6:30 PM // S 9:00 AM - 4:00 PM</t>
  </si>
  <si>
    <t>10:30am - 1:00pm</t>
  </si>
  <si>
    <t>CALLE PARIS 267</t>
  </si>
  <si>
    <t>001-00001521</t>
  </si>
  <si>
    <t>AV. ANGAMOS ESTE 2681 (CC RP PRIMAVERA) LIMA - LIMA - SAN BORJA</t>
  </si>
  <si>
    <t>001-00001528</t>
  </si>
  <si>
    <t>OSCAR SANDRO SEMINARIO SIFUENTES</t>
  </si>
  <si>
    <t>DNI40254432</t>
  </si>
  <si>
    <t>AVENIDA MANUEL OLGUÍN 755 LIMA - LIMA - SANTIAGO DE SURCO</t>
  </si>
  <si>
    <t>CASA DIAZ HERMANOS SOCIEDAD ANONIMA CERRADA - CASA DIAZ HERM</t>
  </si>
  <si>
    <t>Azucarera de Vidrio con Tapa de Vidrio 375 ml. / 1</t>
  </si>
  <si>
    <t>001-00001529</t>
  </si>
  <si>
    <t>JR. JUNIN NRO. 868 (CERCA AL CONGRESO) LIMA - LIMA - LIMA</t>
  </si>
  <si>
    <t>Cercado de Lima</t>
  </si>
  <si>
    <t>9:30 Am a 12:00 Pm</t>
  </si>
  <si>
    <t xml:space="preserve"> +51 997 870 547 Sr. Gilber. Llamar media hora antes de llegar.</t>
  </si>
  <si>
    <t>001-00001530</t>
  </si>
  <si>
    <t>GARRAFA JARRA VINO 1 LT./33.8 OZ (NC)</t>
  </si>
  <si>
    <t>Jr. Ucayali 572 Tienda Kcs Distribuidores</t>
  </si>
  <si>
    <t>Horario: 9:00am - 11:00am Contacto: 983 205 353 Srta. Patricia. Gracias.</t>
  </si>
  <si>
    <t xml:space="preserve"> 983 205 353</t>
  </si>
  <si>
    <t>001-00001531</t>
  </si>
  <si>
    <t>GRUPO INNOVALANT S.A.C.</t>
  </si>
  <si>
    <t>SHALOM - AGENCIA 01 DE MAYO VILLA EL SALVADOR</t>
  </si>
  <si>
    <t>[B2C] L-V 08:00 AM - 06:00 PM // S 1:00 PM</t>
  </si>
  <si>
    <t>001-00001533</t>
  </si>
  <si>
    <t>2026-60000652</t>
  </si>
  <si>
    <t>001-00001532</t>
  </si>
  <si>
    <t>2026-60000539</t>
  </si>
  <si>
    <t xml:space="preserve">LB6943949902179 </t>
  </si>
  <si>
    <t>GIBRALTAR VASO ROCKS CON DURATUFF 266 ML. / 9 OZ..</t>
  </si>
  <si>
    <t>HOTELES ESTELAR DEL PERU S.A.C.</t>
  </si>
  <si>
    <t>AV. ALFREDO BENAVIDES NRO. 415</t>
  </si>
  <si>
    <t>L-V 08:00 AM - 03:00 PM</t>
  </si>
  <si>
    <t>Tequilero Doble 31 ml. / 1 oz.</t>
  </si>
  <si>
    <t>001-00001536</t>
  </si>
  <si>
    <t>001-00001535</t>
  </si>
  <si>
    <t>001-00001539</t>
  </si>
  <si>
    <t>CR15238</t>
  </si>
  <si>
    <t>Contacto Sr. César Vigo móvil 987-311-326.</t>
  </si>
  <si>
    <t>contacto  Jefferson Pozo  949-013-358</t>
  </si>
  <si>
    <t>949-013-358</t>
  </si>
  <si>
    <t>001-00001538</t>
  </si>
  <si>
    <t>001-00001540</t>
  </si>
  <si>
    <t>001-00001541</t>
  </si>
  <si>
    <t>001-00001544</t>
  </si>
  <si>
    <t>001-00001545</t>
  </si>
  <si>
    <t>001-00001546</t>
  </si>
  <si>
    <t>001-00001534</t>
  </si>
  <si>
    <t>001-00001547</t>
  </si>
  <si>
    <t>L-S 08:00 A 18:00 PM</t>
  </si>
  <si>
    <t>CORPORACION CONTRERAS KENSSY W. S.A.C.</t>
  </si>
  <si>
    <t>001-00001557</t>
  </si>
  <si>
    <t>038752-2026</t>
  </si>
  <si>
    <t>Selene Tazon para Servir 22.8 cm.</t>
  </si>
  <si>
    <t>001-00001548</t>
  </si>
  <si>
    <t>JOSE CARLOS PERALTA CENTURION</t>
  </si>
  <si>
    <t>001-00001558</t>
  </si>
  <si>
    <t>LB10615905925500</t>
  </si>
  <si>
    <t>Vaso Carats DOF 355 ml. / 12 oz.</t>
  </si>
  <si>
    <t>LB910239</t>
  </si>
  <si>
    <t>AV. PRIMAVERA NRO. 1067 URB. CHACARILLA DEL ESTANQUE LIMA - LIMA - SAN BORJA</t>
  </si>
  <si>
    <t>001-00001556</t>
  </si>
  <si>
    <t>V17165938PLZV-01</t>
  </si>
  <si>
    <t>09F-C9993-12</t>
  </si>
  <si>
    <t>Lámina Adhesiva Transparente Con-Tact® Mate Claro (45.72 x  274.32 cm.)</t>
  </si>
  <si>
    <t>MARIANA CECILIA SIFUENTES MORENO</t>
  </si>
  <si>
    <t>JIRÓN MRCAL WILLIAM MILLER 1030</t>
  </si>
  <si>
    <t>51+944241485</t>
  </si>
  <si>
    <t>AV. PETIT THOUARS 2705 LIMA - LIMA - LINCE</t>
  </si>
  <si>
    <t>DNI74861517</t>
  </si>
  <si>
    <t>001-00001559</t>
  </si>
  <si>
    <t>001-00001560</t>
  </si>
  <si>
    <t>CR2207</t>
  </si>
  <si>
    <t>Tempo Vaso de Whisky 277 ml. / 9.4 oz.</t>
  </si>
  <si>
    <t>001-00001561</t>
  </si>
  <si>
    <t>JR. SOLEDAD 324 LIMA LINCE</t>
  </si>
  <si>
    <t>AV. ESPAÑA S/N LIMA1 (INGRESO VEHICULAR REAL PLAZA CENTRO CI</t>
  </si>
  <si>
    <t>AK001</t>
  </si>
  <si>
    <t>Rollo Cinta Ribbon Color Negro</t>
  </si>
  <si>
    <t>AKUARIAN</t>
  </si>
  <si>
    <r>
      <t xml:space="preserve">SERVICIO DE EMPAQUE D &amp; M E.I.R.L   </t>
    </r>
    <r>
      <rPr>
        <sz val="10"/>
        <color rgb="FFFF0000"/>
        <rFont val="Arial"/>
        <family val="2"/>
      </rPr>
      <t>SINTIA LLEMPEN</t>
    </r>
  </si>
  <si>
    <t>Av. Los Laureles 366 Independencia</t>
  </si>
  <si>
    <t>Horarios de atencion hasta las 18:00 horas</t>
  </si>
  <si>
    <t>51+981012455</t>
  </si>
  <si>
    <r>
      <rPr>
        <b/>
        <sz val="10"/>
        <color rgb="FFFF0000"/>
        <rFont val="Arial"/>
        <family val="2"/>
      </rPr>
      <t>Recojo de Cinta Ribbon</t>
    </r>
    <r>
      <rPr>
        <b/>
        <sz val="10"/>
        <color theme="1"/>
        <rFont val="Arial"/>
        <family val="2"/>
      </rPr>
      <t xml:space="preserve"> Persona de contacto SINTIA LLEMPEN</t>
    </r>
  </si>
  <si>
    <t>Cinta Ribbon</t>
  </si>
  <si>
    <t>PR1793220</t>
  </si>
  <si>
    <t>Bandeja Rectangular Mediana 36.4 cm. x 22 cm.</t>
  </si>
  <si>
    <t>001-00001563</t>
  </si>
  <si>
    <t>JIRON SEBASTIAN BARRANCA 1024</t>
  </si>
  <si>
    <t>CREACIONES GERALDO Y SARITA S.A.</t>
  </si>
  <si>
    <t>Recojo Urgente</t>
  </si>
  <si>
    <t>001-00001566</t>
  </si>
  <si>
    <t>001-00001562</t>
  </si>
  <si>
    <t>PC00027643</t>
  </si>
  <si>
    <t>AK002</t>
  </si>
  <si>
    <t>AK001-1</t>
  </si>
  <si>
    <r>
      <rPr>
        <b/>
        <sz val="10"/>
        <color rgb="FFFF0000"/>
        <rFont val="Arial"/>
        <family val="2"/>
      </rPr>
      <t>Cambio de Cinta Ribbon</t>
    </r>
    <r>
      <rPr>
        <b/>
        <sz val="10"/>
        <color theme="1"/>
        <rFont val="Arial"/>
        <family val="2"/>
      </rPr>
      <t xml:space="preserve"> Persona de contacto SINTIA LLEMPEN</t>
    </r>
  </si>
  <si>
    <t>CALLE SANTA SOFÍA 372 URB. LOS SAUCES</t>
  </si>
  <si>
    <t>TRANSPORTES GENERALES SHEYLA S.A.C.</t>
  </si>
  <si>
    <t>001-00001573</t>
  </si>
  <si>
    <t>WEB 3795</t>
  </si>
  <si>
    <t>IVAN LARICO CASIMIRO</t>
  </si>
  <si>
    <t>AV.LAS FLORES 118. REF: LOCAL PAULINOS, TERMINANDO EL COND.</t>
  </si>
  <si>
    <t>PUENTE PIEDRA</t>
  </si>
  <si>
    <t>001-00001574</t>
  </si>
  <si>
    <t>PESA-PO-034233</t>
  </si>
  <si>
    <t>001-00001575</t>
  </si>
  <si>
    <t>001-00001572</t>
  </si>
  <si>
    <t>LB1061590560306</t>
  </si>
  <si>
    <t>LB1061590592677</t>
  </si>
  <si>
    <t>SPKSY Copa Cocktail 244 ml. / 8.25 oz.</t>
  </si>
  <si>
    <t xml:space="preserve">Horario :10am a 1pm </t>
  </si>
  <si>
    <t xml:space="preserve"> Contacto: 981 468 403</t>
  </si>
  <si>
    <t>001-00001576</t>
  </si>
  <si>
    <t>001-00001577</t>
  </si>
  <si>
    <t>1633253849773-01</t>
  </si>
  <si>
    <t>EDMUNDO CAILLAUX</t>
  </si>
  <si>
    <t>LB6942469400134</t>
  </si>
  <si>
    <t>CR09942</t>
  </si>
  <si>
    <t>PERCEPTION COPA PARA VINO BLANCO 237 ML. / 8 OZ.</t>
  </si>
  <si>
    <t>Copa Vino 295 ml. / 10 oz.</t>
  </si>
  <si>
    <t xml:space="preserve">8:00 am a 12:30 pm </t>
  </si>
  <si>
    <t>CAL. PANCHO FIERRO NRO. 194 URB. EL OLIVAR LIMA - LIMA - SAN</t>
  </si>
  <si>
    <t>CALLE MONTE DE OCA 152</t>
  </si>
  <si>
    <t>51+998225312</t>
  </si>
  <si>
    <t>Contacto: Itala Gracia móvil 962-673399</t>
  </si>
  <si>
    <t>LB910620</t>
  </si>
  <si>
    <t>HORA DE CITA 80:30 AM</t>
  </si>
  <si>
    <t>001-00001579</t>
  </si>
  <si>
    <t>001-00001580</t>
  </si>
  <si>
    <t>001-00001581</t>
  </si>
  <si>
    <t>001-00001582</t>
  </si>
  <si>
    <t>001-00001583</t>
  </si>
  <si>
    <t>001-00001584</t>
  </si>
  <si>
    <t>001-00001585</t>
  </si>
  <si>
    <t>001-00001586</t>
  </si>
  <si>
    <t>001-00001587</t>
  </si>
  <si>
    <t>001-00001588</t>
  </si>
  <si>
    <t>001-00001589</t>
  </si>
  <si>
    <t>001-00001590</t>
  </si>
  <si>
    <t>AV. PROLONGACION PASEO DE LA REPÚBLICA S/N URB. MATELLINI MATELLINI</t>
  </si>
  <si>
    <t>AV. SANTIAGO DE SURCO 4647 URB.PROLONGACIÓN BENAVIDES LIMA - LIMA - SANTIAGO DE SURCO</t>
  </si>
  <si>
    <t>Imprimir 3 copias de guias y 3 de oc</t>
  </si>
  <si>
    <t>001-00001578</t>
  </si>
  <si>
    <t>001-00001592</t>
  </si>
  <si>
    <t>VASO HB SIENA 370 ML / 12 1/2 OZ</t>
  </si>
  <si>
    <t>001-00001591</t>
  </si>
  <si>
    <t>VISTA ALEGRE DE VILLA MZ C1 LOTE 2 CALLE MATEO PUMACAHUA LIMA - LIMA - CHORRILLOS</t>
  </si>
  <si>
    <t>001-00001594</t>
  </si>
  <si>
    <t>001-00001595</t>
  </si>
  <si>
    <t>001-00001596</t>
  </si>
  <si>
    <t>001-00001597</t>
  </si>
  <si>
    <t>001-00001598</t>
  </si>
  <si>
    <t>001-00001599</t>
  </si>
  <si>
    <t>LB15807</t>
  </si>
  <si>
    <t>1634530758858-01</t>
  </si>
  <si>
    <t>1634540759279-01</t>
  </si>
  <si>
    <t>V17271364PLZV-01</t>
  </si>
  <si>
    <t>1634710762073-01</t>
  </si>
  <si>
    <t>VASO ELAN DURATUFF SOUR / WHISKY / MULTIUSOS 207 ML. / 7 OZ.</t>
  </si>
  <si>
    <t>KARENT CALDERON</t>
  </si>
  <si>
    <t>ROXANA SUAZO VERGARA</t>
  </si>
  <si>
    <t>ANDREA PALACIOS ORTIZ</t>
  </si>
  <si>
    <t>YURLEY DANIELA RAMÍREZ TORRES</t>
  </si>
  <si>
    <t>AV. PASEO DE LA REPUBLICA 5271 LIMA - LIMA - SURQUILLO</t>
  </si>
  <si>
    <t>AV. PASEO DE LA REPUBLICA 3888</t>
  </si>
  <si>
    <t>CALLE RAFAEL 171</t>
  </si>
  <si>
    <t>JIRÓN RICARDO PALMA 552</t>
  </si>
  <si>
    <t>FRAGUAS 242 REF.: DOS CUADRAS DE ESTACIÓN NARANJAL</t>
  </si>
  <si>
    <t xml:space="preserve">CAL. CARLOS ARRIETA NRO. 950 URB. SANTA BEATRIZ LIMA - LIMA - </t>
  </si>
  <si>
    <t>CLIENTE ENVÍA TRANSPORTE</t>
  </si>
  <si>
    <t>SLI - CITA PROGRAMADA</t>
  </si>
  <si>
    <t>SLI - PROMESA DE ENTREGA</t>
  </si>
  <si>
    <t>T001-0021026</t>
  </si>
  <si>
    <t>T001-0021027</t>
  </si>
  <si>
    <t>T001-0021028</t>
  </si>
  <si>
    <t>T001-0021029</t>
  </si>
  <si>
    <t>T001-0021030</t>
  </si>
  <si>
    <t>T001-0021031</t>
  </si>
  <si>
    <t>RECOJO MISMO CLIENTE</t>
  </si>
  <si>
    <t>001-00001602</t>
  </si>
  <si>
    <t>001-00001603</t>
  </si>
  <si>
    <t>VERAPINTO ZEBALLOS GUILLERMO MARCOS</t>
  </si>
  <si>
    <t>001-00001601</t>
  </si>
  <si>
    <t>[Agencia] L-S 8:00 AM - 8:00 PM</t>
  </si>
  <si>
    <t>JR. LUNA PIZARRO 594</t>
  </si>
  <si>
    <t>001-00001604</t>
  </si>
  <si>
    <t>1635080770602-01</t>
  </si>
  <si>
    <t>MARIA ISABEL RIVERA GALARZA</t>
  </si>
  <si>
    <t>LOS LAURELES MZ K LT 14 14</t>
  </si>
  <si>
    <t>51+982702872</t>
  </si>
  <si>
    <t>001-00001605</t>
  </si>
  <si>
    <t>PO-PEA-35786</t>
  </si>
  <si>
    <t>001-00001606</t>
  </si>
  <si>
    <t>001-00001607</t>
  </si>
  <si>
    <t>001-00001608</t>
  </si>
  <si>
    <t>V17295554PLZV-01</t>
  </si>
  <si>
    <t>DNI07945678</t>
  </si>
  <si>
    <t>MARCOS ARTURO AZATO UYEKON</t>
  </si>
  <si>
    <t>BOSTON VASO REFRESCO 477 ML. / 16.1 OZ.</t>
  </si>
  <si>
    <t>FLANERA 175 ML / 6 OZ</t>
  </si>
  <si>
    <t>VASO OF NOVARA 260 ML / 8 3/4 OZ</t>
  </si>
  <si>
    <t>JIRÓN HUÁNUCO 853</t>
  </si>
  <si>
    <t>08:00 AM - 11:00 AM</t>
  </si>
  <si>
    <t>Contacto: 994 088 611 Sra. Lily</t>
  </si>
  <si>
    <t>51+999202380</t>
  </si>
  <si>
    <t>Protacol SAC</t>
  </si>
  <si>
    <t>Av. Central M2 Lt.8 Urbanisacion Santa Luisa  Los Olivos</t>
  </si>
  <si>
    <t>Los Olivos</t>
  </si>
  <si>
    <t>Recojo de Cinta labrada</t>
  </si>
  <si>
    <t xml:space="preserve">Cinta labrada color blanco </t>
  </si>
  <si>
    <t>08:00 AM - 18:00 PM</t>
  </si>
  <si>
    <t>Contacto Luis protacol 981133287</t>
  </si>
  <si>
    <t>AK003-R</t>
  </si>
  <si>
    <t>Cinta Labrada</t>
  </si>
  <si>
    <t>001-00001610</t>
  </si>
  <si>
    <t>001-00001611</t>
  </si>
  <si>
    <t>CORPORACION LA SIRENA SAC</t>
  </si>
  <si>
    <t>Lun-Vie : 08:00 - 15:30</t>
  </si>
  <si>
    <t>JR. OCOÑA NRO. 185</t>
  </si>
  <si>
    <t>CAL A MZA E LOTE 10 PARCELA 2</t>
  </si>
  <si>
    <t>LURIN</t>
  </si>
  <si>
    <t>001-00001612</t>
  </si>
  <si>
    <t>001-00001613</t>
  </si>
  <si>
    <t>001-00001614</t>
  </si>
  <si>
    <t>001-00001615</t>
  </si>
  <si>
    <t>001-00001616</t>
  </si>
  <si>
    <t>001-00001617</t>
  </si>
  <si>
    <t>001-00001618</t>
  </si>
  <si>
    <t>001-00001619</t>
  </si>
  <si>
    <t>001-00001620</t>
  </si>
  <si>
    <t>001-00001621</t>
  </si>
  <si>
    <t>001-00001622</t>
  </si>
  <si>
    <t>001-00001623</t>
  </si>
  <si>
    <t>001-00001624</t>
  </si>
  <si>
    <t>001-00001625</t>
  </si>
  <si>
    <t>001-00001626</t>
  </si>
  <si>
    <t>001-00001627</t>
  </si>
  <si>
    <t>V230790</t>
  </si>
  <si>
    <t>TEMPO TAZÓN 11 CM.</t>
  </si>
  <si>
    <t>JARRA 1 L / 33.8 OZ</t>
  </si>
  <si>
    <t>SUPREMA COPA MULTIUSOS 610 ML / 20.6 OZ</t>
  </si>
  <si>
    <t>NOVARA VASO OF 210 ML / 7 OZ</t>
  </si>
  <si>
    <t>VIBE VASOS OLD FASHIONED 6 PIEZAS 355 ML / 12 OZ</t>
  </si>
  <si>
    <t>ARBOR COPAS DE VINO 6 PIEZAS 414 ML / 14 OZ</t>
  </si>
  <si>
    <t>ARBOR COPAS DE VINO 6 PIEZAS 399 ML / 13.5 OZ</t>
  </si>
  <si>
    <t>ARBOR COPAS LARGAS PARA CHAMPAGE 6 PIEZAS 170 ML / 5.75 OZ</t>
  </si>
  <si>
    <t>FLARE PILSNER VASOS CERVECEROS 6 PIEZAS 325 ML / 11 OZ</t>
  </si>
  <si>
    <t>WONG ATE</t>
  </si>
  <si>
    <t>WONG CAMACHO</t>
  </si>
  <si>
    <t>METRO INDEPENDENCIA</t>
  </si>
  <si>
    <t>WONG SAN MIGUEL</t>
  </si>
  <si>
    <t>WONG LA MOLINA</t>
  </si>
  <si>
    <t>WONG SAN BORJA</t>
  </si>
  <si>
    <t>WONG CHACARILLA</t>
  </si>
  <si>
    <t>WONG BENAVIDES</t>
  </si>
  <si>
    <t>WONG AURORA</t>
  </si>
  <si>
    <t>WONG OVALO GUTIERREZ</t>
  </si>
  <si>
    <t>WONG 2 DE MAYO</t>
  </si>
  <si>
    <t>METRO CHORRILLOS</t>
  </si>
  <si>
    <t>horario de 9:30 a 1:00pm</t>
  </si>
  <si>
    <t xml:space="preserve">Contacto Sra. Mery 966 080 675 </t>
  </si>
  <si>
    <t xml:space="preserve"> 966 080 675 </t>
  </si>
  <si>
    <t>001-00001631</t>
  </si>
  <si>
    <t>Jr. Prolongación Huamanga 155 La Victoria</t>
  </si>
  <si>
    <t>La Victoria</t>
  </si>
  <si>
    <t>989372072 Por favor llamar media hora antes por whatsapp al sr. Percy indicando que están camino a su almacén</t>
  </si>
  <si>
    <t>001-00001633</t>
  </si>
  <si>
    <t>2026-60000786</t>
  </si>
  <si>
    <t>001-00001632</t>
  </si>
  <si>
    <t>2026-60000658</t>
  </si>
  <si>
    <t>VIBE VASOS LARGOS 6 PIEZAS 518 ML / 17.5 OZ</t>
  </si>
  <si>
    <t>001-00001635</t>
  </si>
  <si>
    <t>BL1300000780</t>
  </si>
  <si>
    <t>[BRV] 09:15 AM - 01:00 PM / 02:00 - 04:15 PM</t>
  </si>
  <si>
    <t>001-00001634</t>
  </si>
  <si>
    <t>TIKI VASO COOLER BAMBÚ 473 ML / 16 OZ</t>
  </si>
  <si>
    <t>TIKI VASO DOUBLE OLD FASHIONED 473 ML / 16 OZ</t>
  </si>
  <si>
    <t>TIKI VASO ESTILO PIÑA 502 ML / 17 OZ</t>
  </si>
  <si>
    <t>LB92142</t>
  </si>
  <si>
    <t>AV  JOSE PARDO NRO. 610 INT. 19 SOTANO CENTRO COMERCIAL LAT</t>
  </si>
  <si>
    <t>001-00001636</t>
  </si>
  <si>
    <t>001-00001637</t>
  </si>
  <si>
    <t>Jr. Puno 642 Int. 131 Galeria La Zona</t>
  </si>
  <si>
    <t>9:30 a 1:00pm</t>
  </si>
  <si>
    <t>001-00001638</t>
  </si>
  <si>
    <t>1637660815928-01</t>
  </si>
  <si>
    <t>ABDON MORALES AGUILAR</t>
  </si>
  <si>
    <t>AV BOLIVIA 1109</t>
  </si>
  <si>
    <t>51+945007753</t>
  </si>
  <si>
    <t>001-00001630</t>
  </si>
  <si>
    <t>PC00028278</t>
  </si>
  <si>
    <t>HORA DE CITA 11:30 AM</t>
  </si>
  <si>
    <t>PC00028439</t>
  </si>
  <si>
    <t>001-00001654</t>
  </si>
  <si>
    <t>LB920165</t>
  </si>
  <si>
    <t>MUSE VASO WEIZENBIER 466 ML / 15.75 OZ</t>
  </si>
  <si>
    <t>001-00001639</t>
  </si>
  <si>
    <t>001-00001658</t>
  </si>
  <si>
    <t>V17369807PLZV-01</t>
  </si>
  <si>
    <t>SILVANA ELIZABETH GOMEZ PAREDES</t>
  </si>
  <si>
    <t>JIRÓN LOS MADRIGALES 221</t>
  </si>
  <si>
    <t>51+991889544</t>
  </si>
  <si>
    <t>DNI 40757074</t>
  </si>
  <si>
    <t>HORA DE CITA 09:00 AM</t>
  </si>
  <si>
    <t>001-00001667</t>
  </si>
  <si>
    <t>001-00001668</t>
  </si>
  <si>
    <t>001-00001669</t>
  </si>
  <si>
    <t>OCN2606-250660220</t>
  </si>
  <si>
    <t>1638360826772-01</t>
  </si>
  <si>
    <t>LB910409</t>
  </si>
  <si>
    <t>CR1794851</t>
  </si>
  <si>
    <t>L'ESPRIT DU VIN VASO PARA BEBIDAS 420 ML / 14.20 OZ</t>
  </si>
  <si>
    <t>Nueva York Juego de 6 Vasos más Jarra (7 Piezas)</t>
  </si>
  <si>
    <t>INVERSIONES BRADE S.A</t>
  </si>
  <si>
    <t>LUZ ELENA PRETELL HARO</t>
  </si>
  <si>
    <t>AV. PARDO 420 MIRAFLORES</t>
  </si>
  <si>
    <t>MZ. C-3 LTE. 18 URB. SOL DE HUAMPANÍ I ETAPA MZ C3 LTE 18</t>
  </si>
  <si>
    <t>LURIGANCHO</t>
  </si>
  <si>
    <t>Olenka Martinez - 994260164</t>
  </si>
  <si>
    <t>001-00001671</t>
  </si>
  <si>
    <t>001-00001673</t>
  </si>
  <si>
    <t>001-00001674</t>
  </si>
  <si>
    <t>1638760834038-01</t>
  </si>
  <si>
    <t>DIANA ELIZABETH RUIZ MARTINEZ</t>
  </si>
  <si>
    <t>IBIS MAGALY TELLO MEDINA</t>
  </si>
  <si>
    <t>FLORES RODRIGUEZ NORMA ELENA</t>
  </si>
  <si>
    <t>CALLE AMALIA PUGA DE LOZADA 266</t>
  </si>
  <si>
    <t>AV GENERAL SANTA CRUZ 459 DPTO 704</t>
  </si>
  <si>
    <t>JESÚS MARÍA</t>
  </si>
  <si>
    <t>8-10 am</t>
  </si>
  <si>
    <t>001-00001686</t>
  </si>
  <si>
    <t>001-00001687</t>
  </si>
  <si>
    <t>CHOPP CERVECERO CHILIS 473 ML / 16 OZ</t>
  </si>
  <si>
    <t>GISSELLA MILAGROS ARIAS PONCE</t>
  </si>
  <si>
    <t>LAS GRULLAS 371 URB SANTA CECILIA</t>
  </si>
  <si>
    <t>JR. ANDAHUAYLAS NRO. 251 URB. BARRIOS ALTOS INT. 104 LIMA</t>
  </si>
  <si>
    <t>BELLAVISTA</t>
  </si>
  <si>
    <t>09:30 AM - 12:00 PM</t>
  </si>
  <si>
    <t>SR. SANTOS 997942928</t>
  </si>
  <si>
    <t>T001-0021100</t>
  </si>
  <si>
    <t>T001-0021101</t>
  </si>
  <si>
    <t>1639523984301-0</t>
  </si>
  <si>
    <t>CR1787320</t>
  </si>
  <si>
    <t>Máquina Tostadora De Hot-dog Coca-cola Nostalgia</t>
  </si>
  <si>
    <t>Plato Banana Split 22.8 Cm</t>
  </si>
  <si>
    <t>Fiorella Chora Cruz</t>
  </si>
  <si>
    <t>Susan Leon Farfan</t>
  </si>
  <si>
    <t>DNI72564591</t>
  </si>
  <si>
    <t>DNI48323357</t>
  </si>
  <si>
    <t>LUIS PASTEUR 1297</t>
  </si>
  <si>
    <t>SHALOM - AGENCIA 01 DE MAYO V.E.S.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</si>
</sst>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-[$KGS]\ * #,##0.00_-;\-[$KGS]\ * #,##0.00_-;_-[$KGS]\ * &quot;-&quot;??_-;_-@_-"/>
    <numFmt numFmtId="166" formatCode="dd\-mm\-yyyy;@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4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1" fillId="0" borderId="0"/>
    <xf numFmtId="0" fontId="12" fillId="0" borderId="0"/>
    <xf numFmtId="0" fontId="13" fillId="0" borderId="0"/>
    <xf numFmtId="0" fontId="15" fillId="0" borderId="0"/>
    <xf numFmtId="0" fontId="16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24" fillId="0" borderId="0"/>
    <xf numFmtId="0" fontId="25" fillId="0" borderId="0"/>
    <xf numFmtId="0" fontId="27" fillId="0" borderId="0"/>
    <xf numFmtId="0" fontId="5" fillId="9" borderId="10" applyNumberFormat="0" applyFont="0" applyAlignment="0" applyProtection="0"/>
    <xf numFmtId="0" fontId="29" fillId="0" borderId="0"/>
    <xf numFmtId="0" fontId="31" fillId="0" borderId="0"/>
    <xf numFmtId="0" fontId="34" fillId="0" borderId="0"/>
  </cellStyleXfs>
  <cellXfs count="221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0" fillId="0" borderId="7" xfId="0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0" fillId="0" borderId="1" xfId="0" applyFont="1" applyBorder="1"/>
    <xf numFmtId="0" fontId="5" fillId="0" borderId="0" xfId="0" applyFont="1"/>
    <xf numFmtId="0" fontId="1" fillId="0" borderId="0" xfId="0" applyFont="1" applyAlignment="1">
      <alignment horizontal="center"/>
    </xf>
    <xf numFmtId="0" fontId="10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/>
    <xf numFmtId="0" fontId="14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4" fillId="0" borderId="2" xfId="0" applyFont="1" applyBorder="1"/>
    <xf numFmtId="0" fontId="10" fillId="0" borderId="2" xfId="0" applyFont="1" applyBorder="1"/>
    <xf numFmtId="166" fontId="10" fillId="2" borderId="1" xfId="0" applyNumberFormat="1" applyFont="1" applyFill="1" applyBorder="1" applyAlignment="1">
      <alignment horizontal="center"/>
    </xf>
    <xf numFmtId="0" fontId="10" fillId="3" borderId="1" xfId="0" applyFont="1" applyFill="1" applyBorder="1"/>
    <xf numFmtId="0" fontId="14" fillId="3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/>
    </xf>
    <xf numFmtId="0" fontId="17" fillId="0" borderId="0" xfId="0" applyFont="1"/>
    <xf numFmtId="0" fontId="10" fillId="3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4" fillId="0" borderId="8" xfId="0" applyFont="1" applyBorder="1"/>
    <xf numFmtId="0" fontId="14" fillId="0" borderId="5" xfId="0" applyFont="1" applyBorder="1"/>
    <xf numFmtId="0" fontId="14" fillId="4" borderId="1" xfId="0" applyFont="1" applyFill="1" applyBorder="1" applyAlignment="1">
      <alignment vertical="center"/>
    </xf>
    <xf numFmtId="0" fontId="14" fillId="0" borderId="4" xfId="0" applyFont="1" applyBorder="1"/>
    <xf numFmtId="0" fontId="14" fillId="0" borderId="8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0" xfId="0" applyFont="1"/>
    <xf numFmtId="166" fontId="10" fillId="2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4" fillId="3" borderId="1" xfId="0" applyFont="1" applyFill="1" applyBorder="1"/>
    <xf numFmtId="0" fontId="23" fillId="0" borderId="1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0" borderId="8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4" fontId="10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 wrapText="1"/>
    </xf>
    <xf numFmtId="0" fontId="10" fillId="0" borderId="3" xfId="0" applyFont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left" vertical="center"/>
    </xf>
    <xf numFmtId="14" fontId="10" fillId="2" borderId="3" xfId="0" applyNumberFormat="1" applyFont="1" applyFill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0" fillId="2" borderId="3" xfId="0" applyFont="1" applyFill="1" applyBorder="1"/>
    <xf numFmtId="0" fontId="10" fillId="0" borderId="3" xfId="0" applyFont="1" applyBorder="1"/>
    <xf numFmtId="0" fontId="14" fillId="3" borderId="3" xfId="0" applyFont="1" applyFill="1" applyBorder="1" applyAlignment="1">
      <alignment vertical="center"/>
    </xf>
    <xf numFmtId="1" fontId="14" fillId="0" borderId="1" xfId="0" applyNumberFormat="1" applyFont="1" applyBorder="1" applyAlignment="1">
      <alignment horizontal="center"/>
    </xf>
    <xf numFmtId="0" fontId="14" fillId="0" borderId="2" xfId="0" applyFont="1" applyBorder="1" applyAlignment="1">
      <alignment vertical="center"/>
    </xf>
    <xf numFmtId="0" fontId="14" fillId="5" borderId="1" xfId="0" applyFont="1" applyFill="1" applyBorder="1"/>
    <xf numFmtId="3" fontId="6" fillId="0" borderId="1" xfId="17" applyNumberFormat="1" applyFont="1" applyBorder="1" applyAlignment="1">
      <alignment horizontal="center"/>
    </xf>
    <xf numFmtId="0" fontId="6" fillId="0" borderId="1" xfId="17" applyFont="1" applyBorder="1"/>
    <xf numFmtId="0" fontId="14" fillId="0" borderId="8" xfId="0" applyFont="1" applyBorder="1" applyAlignment="1">
      <alignment vertical="center"/>
    </xf>
    <xf numFmtId="11" fontId="14" fillId="0" borderId="1" xfId="0" applyNumberFormat="1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14" fillId="6" borderId="1" xfId="0" applyFont="1" applyFill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14" fillId="0" borderId="3" xfId="0" applyFont="1" applyBorder="1"/>
    <xf numFmtId="0" fontId="14" fillId="2" borderId="1" xfId="0" applyFont="1" applyFill="1" applyBorder="1" applyAlignment="1">
      <alignment horizontal="left"/>
    </xf>
    <xf numFmtId="0" fontId="14" fillId="0" borderId="1" xfId="0" applyFont="1" applyBorder="1" applyAlignment="1">
      <alignment wrapText="1"/>
    </xf>
    <xf numFmtId="0" fontId="10" fillId="7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14" fillId="2" borderId="1" xfId="0" applyFont="1" applyFill="1" applyBorder="1"/>
    <xf numFmtId="0" fontId="14" fillId="2" borderId="3" xfId="0" applyFont="1" applyFill="1" applyBorder="1"/>
    <xf numFmtId="3" fontId="6" fillId="0" borderId="9" xfId="2" applyNumberFormat="1" applyBorder="1" applyAlignment="1">
      <alignment horizontal="center"/>
    </xf>
    <xf numFmtId="0" fontId="6" fillId="0" borderId="9" xfId="2" applyBorder="1"/>
    <xf numFmtId="1" fontId="6" fillId="0" borderId="1" xfId="17" applyNumberFormat="1" applyFont="1" applyBorder="1" applyAlignment="1">
      <alignment horizontal="center"/>
    </xf>
    <xf numFmtId="14" fontId="14" fillId="0" borderId="1" xfId="0" applyNumberFormat="1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26" fillId="0" borderId="1" xfId="0" applyFont="1" applyBorder="1" applyAlignment="1">
      <alignment wrapText="1"/>
    </xf>
    <xf numFmtId="0" fontId="14" fillId="0" borderId="5" xfId="0" applyFont="1" applyBorder="1" applyAlignment="1">
      <alignment horizontal="left"/>
    </xf>
    <xf numFmtId="0" fontId="14" fillId="0" borderId="1" xfId="0" applyFont="1" applyBorder="1" applyAlignment="1">
      <alignment horizontal="right"/>
    </xf>
    <xf numFmtId="0" fontId="6" fillId="0" borderId="1" xfId="2" applyBorder="1"/>
    <xf numFmtId="0" fontId="6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4" fillId="0" borderId="1" xfId="0" applyFont="1" applyBorder="1" applyAlignment="1">
      <alignment horizontal="center" wrapText="1"/>
    </xf>
    <xf numFmtId="49" fontId="10" fillId="2" borderId="1" xfId="0" applyNumberFormat="1" applyFont="1" applyFill="1" applyBorder="1" applyAlignment="1">
      <alignment horizontal="left"/>
    </xf>
    <xf numFmtId="0" fontId="6" fillId="2" borderId="1" xfId="0" applyFont="1" applyFill="1" applyBorder="1"/>
    <xf numFmtId="0" fontId="10" fillId="0" borderId="1" xfId="0" applyFont="1" applyBorder="1" applyAlignment="1">
      <alignment vertical="center" wrapText="1"/>
    </xf>
    <xf numFmtId="0" fontId="14" fillId="5" borderId="1" xfId="0" applyFont="1" applyFill="1" applyBorder="1" applyAlignment="1">
      <alignment horizontal="right"/>
    </xf>
    <xf numFmtId="0" fontId="6" fillId="0" borderId="9" xfId="18" applyFont="1" applyBorder="1"/>
    <xf numFmtId="0" fontId="14" fillId="8" borderId="1" xfId="0" applyFont="1" applyFill="1" applyBorder="1"/>
    <xf numFmtId="0" fontId="10" fillId="0" borderId="2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0" fillId="0" borderId="4" xfId="0" applyFont="1" applyBorder="1"/>
    <xf numFmtId="0" fontId="14" fillId="3" borderId="2" xfId="0" applyFont="1" applyFill="1" applyBorder="1"/>
    <xf numFmtId="0" fontId="14" fillId="8" borderId="1" xfId="0" applyFont="1" applyFill="1" applyBorder="1" applyAlignment="1">
      <alignment horizontal="right"/>
    </xf>
    <xf numFmtId="14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2" borderId="2" xfId="0" applyFont="1" applyFill="1" applyBorder="1"/>
    <xf numFmtId="14" fontId="14" fillId="0" borderId="1" xfId="0" applyNumberFormat="1" applyFont="1" applyBorder="1" applyAlignment="1">
      <alignment horizontal="center"/>
    </xf>
    <xf numFmtId="14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49" fontId="10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4" fontId="10" fillId="0" borderId="2" xfId="0" applyNumberFormat="1" applyFont="1" applyBorder="1" applyAlignment="1">
      <alignment horizontal="center"/>
    </xf>
    <xf numFmtId="0" fontId="28" fillId="0" borderId="1" xfId="0" applyFont="1" applyBorder="1"/>
    <xf numFmtId="0" fontId="28" fillId="0" borderId="0" xfId="0" applyFont="1"/>
    <xf numFmtId="0" fontId="14" fillId="2" borderId="3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left"/>
    </xf>
    <xf numFmtId="166" fontId="10" fillId="2" borderId="3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left" vertical="center"/>
    </xf>
    <xf numFmtId="0" fontId="10" fillId="2" borderId="10" xfId="19" applyFont="1" applyFill="1"/>
    <xf numFmtId="0" fontId="6" fillId="2" borderId="9" xfId="10" applyFont="1" applyFill="1" applyBorder="1"/>
    <xf numFmtId="0" fontId="10" fillId="2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49" fontId="10" fillId="0" borderId="1" xfId="0" applyNumberFormat="1" applyFont="1" applyBorder="1" applyAlignment="1">
      <alignment horizontal="left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165" fontId="10" fillId="0" borderId="1" xfId="0" applyNumberFormat="1" applyFont="1" applyBorder="1"/>
    <xf numFmtId="0" fontId="6" fillId="2" borderId="1" xfId="0" applyFont="1" applyFill="1" applyBorder="1" applyAlignment="1">
      <alignment horizontal="left" wrapText="1"/>
    </xf>
    <xf numFmtId="0" fontId="10" fillId="2" borderId="2" xfId="0" applyFont="1" applyFill="1" applyBorder="1"/>
    <xf numFmtId="49" fontId="10" fillId="0" borderId="2" xfId="0" applyNumberFormat="1" applyFont="1" applyBorder="1" applyAlignment="1">
      <alignment horizontal="left" wrapText="1"/>
    </xf>
    <xf numFmtId="14" fontId="10" fillId="2" borderId="2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wrapText="1"/>
    </xf>
    <xf numFmtId="0" fontId="10" fillId="0" borderId="2" xfId="0" applyFont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165" fontId="10" fillId="0" borderId="2" xfId="0" applyNumberFormat="1" applyFont="1" applyBorder="1"/>
    <xf numFmtId="0" fontId="14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0" fontId="6" fillId="0" borderId="9" xfId="0" applyFont="1" applyBorder="1"/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14" fontId="10" fillId="0" borderId="3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 vertical="center"/>
    </xf>
    <xf numFmtId="0" fontId="6" fillId="0" borderId="1" xfId="20" applyFont="1" applyBorder="1"/>
    <xf numFmtId="0" fontId="3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2" borderId="4" xfId="0" applyFont="1" applyFill="1" applyBorder="1"/>
    <xf numFmtId="0" fontId="14" fillId="3" borderId="3" xfId="0" applyFont="1" applyFill="1" applyBorder="1"/>
    <xf numFmtId="0" fontId="14" fillId="2" borderId="3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6" fillId="0" borderId="1" xfId="20" applyFont="1" applyBorder="1" applyAlignment="1">
      <alignment horizontal="center"/>
    </xf>
    <xf numFmtId="3" fontId="6" fillId="0" borderId="1" xfId="2" applyNumberFormat="1" applyBorder="1" applyAlignment="1">
      <alignment horizontal="center"/>
    </xf>
    <xf numFmtId="4" fontId="6" fillId="0" borderId="1" xfId="20" applyNumberFormat="1" applyFont="1" applyBorder="1"/>
    <xf numFmtId="4" fontId="6" fillId="0" borderId="1" xfId="2" applyNumberFormat="1" applyBorder="1"/>
    <xf numFmtId="0" fontId="6" fillId="0" borderId="1" xfId="2" applyBorder="1" applyAlignment="1">
      <alignment horizontal="center"/>
    </xf>
    <xf numFmtId="0" fontId="6" fillId="0" borderId="1" xfId="15" applyFont="1" applyBorder="1"/>
    <xf numFmtId="3" fontId="6" fillId="0" borderId="1" xfId="15" applyNumberFormat="1" applyFont="1" applyBorder="1" applyAlignment="1">
      <alignment horizontal="center"/>
    </xf>
    <xf numFmtId="0" fontId="10" fillId="2" borderId="1" xfId="19" applyFont="1" applyFill="1" applyBorder="1"/>
    <xf numFmtId="0" fontId="30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5" fontId="30" fillId="2" borderId="1" xfId="0" applyNumberFormat="1" applyFont="1" applyFill="1" applyBorder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6" fillId="0" borderId="1" xfId="20" applyFont="1" applyBorder="1" applyAlignment="1">
      <alignment horizontal="left"/>
    </xf>
    <xf numFmtId="1" fontId="6" fillId="0" borderId="1" xfId="20" applyNumberFormat="1" applyFont="1" applyBorder="1" applyAlignment="1">
      <alignment horizontal="left"/>
    </xf>
    <xf numFmtId="3" fontId="6" fillId="0" borderId="1" xfId="2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6" fillId="0" borderId="1" xfId="0" applyFont="1" applyBorder="1"/>
    <xf numFmtId="0" fontId="10" fillId="0" borderId="1" xfId="0" applyFont="1" applyBorder="1" applyAlignment="1">
      <alignment horizontal="left" vertical="top"/>
    </xf>
    <xf numFmtId="0" fontId="6" fillId="0" borderId="1" xfId="21" applyFont="1" applyBorder="1"/>
    <xf numFmtId="0" fontId="10" fillId="0" borderId="1" xfId="0" applyFont="1" applyBorder="1" applyAlignment="1">
      <alignment horizontal="left" vertical="center"/>
    </xf>
    <xf numFmtId="0" fontId="30" fillId="3" borderId="1" xfId="0" applyFont="1" applyFill="1" applyBorder="1"/>
    <xf numFmtId="165" fontId="10" fillId="0" borderId="1" xfId="0" applyNumberFormat="1" applyFont="1" applyBorder="1" applyAlignment="1">
      <alignment horizontal="left" wrapText="1"/>
    </xf>
    <xf numFmtId="14" fontId="6" fillId="0" borderId="1" xfId="20" applyNumberFormat="1" applyFont="1" applyBorder="1" applyAlignment="1">
      <alignment horizontal="center"/>
    </xf>
    <xf numFmtId="0" fontId="6" fillId="0" borderId="1" xfId="22" applyFont="1" applyBorder="1"/>
    <xf numFmtId="18" fontId="14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14" fillId="2" borderId="2" xfId="0" applyFont="1" applyFill="1" applyBorder="1" applyAlignment="1">
      <alignment horizontal="left"/>
    </xf>
    <xf numFmtId="14" fontId="10" fillId="0" borderId="1" xfId="0" applyNumberFormat="1" applyFont="1" applyBorder="1"/>
    <xf numFmtId="0" fontId="10" fillId="0" borderId="12" xfId="0" applyFont="1" applyBorder="1"/>
    <xf numFmtId="14" fontId="10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6" fillId="0" borderId="1" xfId="2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4" fillId="0" borderId="1" xfId="0" applyFont="1" applyBorder="1"/>
    <xf numFmtId="0" fontId="0" fillId="0" borderId="7" xfId="0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23">
    <cellStyle name="Normal" xfId="0" builtinId="0"/>
    <cellStyle name="Normal 10" xfId="9" xr:uid="{4904D06D-1454-43F8-B272-0033C0A298D2}"/>
    <cellStyle name="Normal 11" xfId="10" xr:uid="{434B9310-F56E-454F-9AA3-6D2CD3698030}"/>
    <cellStyle name="Normal 12" xfId="11" xr:uid="{51021BDD-C9A2-4409-8517-D08B9B3916FF}"/>
    <cellStyle name="Normal 13" xfId="12" xr:uid="{15D29D13-CE07-45B5-98DD-210463956BA6}"/>
    <cellStyle name="Normal 14" xfId="13" xr:uid="{DBE94331-4FF0-4600-9260-D19021E84786}"/>
    <cellStyle name="Normal 15" xfId="14" xr:uid="{D61CF33E-731B-4989-8333-FA0AD0D43AE2}"/>
    <cellStyle name="Normal 16" xfId="15" xr:uid="{3898DC53-DE0D-417A-821F-2C5A3D19DD3D}"/>
    <cellStyle name="Normal 17" xfId="16" xr:uid="{3A69BB2E-3E15-477A-98EB-373A0EF94BF6}"/>
    <cellStyle name="Normal 18" xfId="17" xr:uid="{7EE6B610-1B87-4FD7-9562-A076B99E17F3}"/>
    <cellStyle name="Normal 19" xfId="18" xr:uid="{EBB44289-7585-4004-871B-EFDCF3CAD6EE}"/>
    <cellStyle name="Normal 2" xfId="1" xr:uid="{00000000-0005-0000-0000-000002000000}"/>
    <cellStyle name="Normal 20" xfId="20" xr:uid="{B42E23F5-0824-4024-9D23-87E24299FFA8}"/>
    <cellStyle name="Normal 21" xfId="21" xr:uid="{D0F0FB5F-70D1-460E-A668-0A2C1AB2E851}"/>
    <cellStyle name="Normal 22" xfId="22" xr:uid="{5E0E9165-C3ED-46CB-979B-7C734FAE5E07}"/>
    <cellStyle name="Normal 3" xfId="2" xr:uid="{00000000-0005-0000-0000-000003000000}"/>
    <cellStyle name="Normal 4" xfId="3" xr:uid="{00000000-0005-0000-0000-000004000000}"/>
    <cellStyle name="Normal 5" xfId="4" xr:uid="{64701F8D-665B-48DE-B4D8-80DA04B2F337}"/>
    <cellStyle name="Normal 6" xfId="5" xr:uid="{AE95E41B-654B-433F-8048-00E7044549C0}"/>
    <cellStyle name="Normal 7" xfId="6" xr:uid="{0E56B3BD-CC2C-4B87-A52C-C865A832EE22}"/>
    <cellStyle name="Normal 8" xfId="7" xr:uid="{35BADDC1-2702-4A42-BA5F-47BB87AEB7C1}"/>
    <cellStyle name="Normal 9" xfId="8" xr:uid="{831A564B-3DE5-4139-9EE5-DDC0AD833004}"/>
    <cellStyle name="Notas" xfId="19" builtinId="10"/>
  </cellStyles>
  <dxfs count="1">
    <dxf>
      <fill>
        <patternFill>
          <bgColor rgb="FF99FF99"/>
        </patternFill>
      </fill>
    </dxf>
  </dxfs>
  <tableStyles count="0" defaultTableStyle="TableStyleMedium9" defaultPivotStyle="PivotStyleLight16"/>
  <colors>
    <mruColors>
      <color rgb="FFE7F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" name="AutoShape 1" descr="Vista previa de toda la pantalla">
          <a:extLst>
            <a:ext uri="{FF2B5EF4-FFF2-40B4-BE49-F238E27FC236}">
              <a16:creationId xmlns:a16="http://schemas.microsoft.com/office/drawing/2014/main" id="{CF23D16F-A5C5-472A-94B6-BE9F14B3AE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" name="AutoShape 1" descr="Vista previa de toda la pantalla">
          <a:extLst>
            <a:ext uri="{FF2B5EF4-FFF2-40B4-BE49-F238E27FC236}">
              <a16:creationId xmlns:a16="http://schemas.microsoft.com/office/drawing/2014/main" id="{56625B00-14AB-4009-B203-3E2C3F6A4D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4" name="AutoShape 1" descr="Vista previa de toda la pantalla">
          <a:extLst>
            <a:ext uri="{FF2B5EF4-FFF2-40B4-BE49-F238E27FC236}">
              <a16:creationId xmlns:a16="http://schemas.microsoft.com/office/drawing/2014/main" id="{35C4E654-18D5-4DB7-B272-03589DB91F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5" name="AutoShape 1" descr="Vista previa de toda la pantalla">
          <a:extLst>
            <a:ext uri="{FF2B5EF4-FFF2-40B4-BE49-F238E27FC236}">
              <a16:creationId xmlns:a16="http://schemas.microsoft.com/office/drawing/2014/main" id="{A3CC5382-B3A3-4910-8C6F-3E62742C2E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" name="AutoShape 1" descr="Vista previa de toda la pantalla">
          <a:extLst>
            <a:ext uri="{FF2B5EF4-FFF2-40B4-BE49-F238E27FC236}">
              <a16:creationId xmlns:a16="http://schemas.microsoft.com/office/drawing/2014/main" id="{2E0871BC-1559-4758-86F8-EA058CEFB1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7" name="AutoShape 1" descr="Vista previa de toda la pantalla">
          <a:extLst>
            <a:ext uri="{FF2B5EF4-FFF2-40B4-BE49-F238E27FC236}">
              <a16:creationId xmlns:a16="http://schemas.microsoft.com/office/drawing/2014/main" id="{19971031-2E42-4A87-97FD-57993869B5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8" name="AutoShape 1" descr="Vista previa de toda la pantalla">
          <a:extLst>
            <a:ext uri="{FF2B5EF4-FFF2-40B4-BE49-F238E27FC236}">
              <a16:creationId xmlns:a16="http://schemas.microsoft.com/office/drawing/2014/main" id="{24A8ECFD-170D-4729-99AB-5530436252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9" name="AutoShape 1" descr="Vista previa de toda la pantalla">
          <a:extLst>
            <a:ext uri="{FF2B5EF4-FFF2-40B4-BE49-F238E27FC236}">
              <a16:creationId xmlns:a16="http://schemas.microsoft.com/office/drawing/2014/main" id="{404ED81D-EE3E-4C0B-9EC4-9CB32CB048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0" name="AutoShape 1" descr="Vista previa de toda la pantalla">
          <a:extLst>
            <a:ext uri="{FF2B5EF4-FFF2-40B4-BE49-F238E27FC236}">
              <a16:creationId xmlns:a16="http://schemas.microsoft.com/office/drawing/2014/main" id="{F7DCCCB3-3609-4CE2-BBC3-15F70E33FA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" name="AutoShape 1" descr="Vista previa de toda la pantalla">
          <a:extLst>
            <a:ext uri="{FF2B5EF4-FFF2-40B4-BE49-F238E27FC236}">
              <a16:creationId xmlns:a16="http://schemas.microsoft.com/office/drawing/2014/main" id="{BE32C27A-CEB6-4AC4-91E4-2714408CD8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2" name="AutoShape 1" descr="Vista previa de toda la pantalla">
          <a:extLst>
            <a:ext uri="{FF2B5EF4-FFF2-40B4-BE49-F238E27FC236}">
              <a16:creationId xmlns:a16="http://schemas.microsoft.com/office/drawing/2014/main" id="{BD206F09-AB31-40E2-A417-0CD6FC1A65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3" name="AutoShape 1" descr="Vista previa de toda la pantalla">
          <a:extLst>
            <a:ext uri="{FF2B5EF4-FFF2-40B4-BE49-F238E27FC236}">
              <a16:creationId xmlns:a16="http://schemas.microsoft.com/office/drawing/2014/main" id="{66E7AF98-1BB7-460F-BA60-2996CBF13C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4" name="AutoShape 1" descr="Vista previa de toda la pantalla">
          <a:extLst>
            <a:ext uri="{FF2B5EF4-FFF2-40B4-BE49-F238E27FC236}">
              <a16:creationId xmlns:a16="http://schemas.microsoft.com/office/drawing/2014/main" id="{EF73EB37-2D5A-4A7F-A36C-E636C4AF75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5" name="AutoShape 1" descr="Vista previa de toda la pantalla">
          <a:extLst>
            <a:ext uri="{FF2B5EF4-FFF2-40B4-BE49-F238E27FC236}">
              <a16:creationId xmlns:a16="http://schemas.microsoft.com/office/drawing/2014/main" id="{87878E98-0E64-41DE-A00F-4A945701FA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" name="AutoShape 1" descr="Vista previa de toda la pantalla">
          <a:extLst>
            <a:ext uri="{FF2B5EF4-FFF2-40B4-BE49-F238E27FC236}">
              <a16:creationId xmlns:a16="http://schemas.microsoft.com/office/drawing/2014/main" id="{F19FCD82-D3A8-44B5-8599-E102E62ED6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7" name="AutoShape 1" descr="Vista previa de toda la pantalla">
          <a:extLst>
            <a:ext uri="{FF2B5EF4-FFF2-40B4-BE49-F238E27FC236}">
              <a16:creationId xmlns:a16="http://schemas.microsoft.com/office/drawing/2014/main" id="{F480E2A6-4D9F-4955-98FF-74E30FBFC2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8" name="AutoShape 1" descr="Vista previa de toda la pantalla">
          <a:extLst>
            <a:ext uri="{FF2B5EF4-FFF2-40B4-BE49-F238E27FC236}">
              <a16:creationId xmlns:a16="http://schemas.microsoft.com/office/drawing/2014/main" id="{495C9775-85A0-4469-9338-4F4F70A558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9" name="AutoShape 1" descr="Vista previa de toda la pantalla">
          <a:extLst>
            <a:ext uri="{FF2B5EF4-FFF2-40B4-BE49-F238E27FC236}">
              <a16:creationId xmlns:a16="http://schemas.microsoft.com/office/drawing/2014/main" id="{565B98FC-EF90-429E-B61A-9F855DBCB4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0" name="AutoShape 1" descr="Vista previa de toda la pantalla">
          <a:extLst>
            <a:ext uri="{FF2B5EF4-FFF2-40B4-BE49-F238E27FC236}">
              <a16:creationId xmlns:a16="http://schemas.microsoft.com/office/drawing/2014/main" id="{0F94FEB6-CC85-461C-BEA7-5B7CC237EE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1" name="AutoShape 1" descr="Vista previa de toda la pantalla">
          <a:extLst>
            <a:ext uri="{FF2B5EF4-FFF2-40B4-BE49-F238E27FC236}">
              <a16:creationId xmlns:a16="http://schemas.microsoft.com/office/drawing/2014/main" id="{11BFEA1F-FC9F-4FA5-8E89-B8F3B3AF89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2" name="AutoShape 1" descr="Vista previa de toda la pantalla">
          <a:extLst>
            <a:ext uri="{FF2B5EF4-FFF2-40B4-BE49-F238E27FC236}">
              <a16:creationId xmlns:a16="http://schemas.microsoft.com/office/drawing/2014/main" id="{8C769B77-7710-488C-8364-78D7965219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3" name="AutoShape 1" descr="Vista previa de toda la pantalla">
          <a:extLst>
            <a:ext uri="{FF2B5EF4-FFF2-40B4-BE49-F238E27FC236}">
              <a16:creationId xmlns:a16="http://schemas.microsoft.com/office/drawing/2014/main" id="{C1779F2F-EF14-465B-A160-7EE66B0CCF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4" name="AutoShape 1" descr="Vista previa de toda la pantalla">
          <a:extLst>
            <a:ext uri="{FF2B5EF4-FFF2-40B4-BE49-F238E27FC236}">
              <a16:creationId xmlns:a16="http://schemas.microsoft.com/office/drawing/2014/main" id="{AAD81A7B-0044-4583-8B6D-86221F2909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5" name="AutoShape 1" descr="Vista previa de toda la pantalla">
          <a:extLst>
            <a:ext uri="{FF2B5EF4-FFF2-40B4-BE49-F238E27FC236}">
              <a16:creationId xmlns:a16="http://schemas.microsoft.com/office/drawing/2014/main" id="{4F58D734-BCAB-433B-A9C9-C9A82D66E6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6" name="AutoShape 1" descr="Vista previa de toda la pantalla">
          <a:extLst>
            <a:ext uri="{FF2B5EF4-FFF2-40B4-BE49-F238E27FC236}">
              <a16:creationId xmlns:a16="http://schemas.microsoft.com/office/drawing/2014/main" id="{4625E428-CFF0-40AF-B993-762E3968A3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7" name="AutoShape 1" descr="Vista previa de toda la pantalla">
          <a:extLst>
            <a:ext uri="{FF2B5EF4-FFF2-40B4-BE49-F238E27FC236}">
              <a16:creationId xmlns:a16="http://schemas.microsoft.com/office/drawing/2014/main" id="{E9915758-07C3-4134-B550-E7168863F3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8" name="AutoShape 1" descr="Vista previa de toda la pantalla">
          <a:extLst>
            <a:ext uri="{FF2B5EF4-FFF2-40B4-BE49-F238E27FC236}">
              <a16:creationId xmlns:a16="http://schemas.microsoft.com/office/drawing/2014/main" id="{DFEC41C4-4F8A-49D8-ACD5-7229591567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9" name="AutoShape 1" descr="Vista previa de toda la pantalla">
          <a:extLst>
            <a:ext uri="{FF2B5EF4-FFF2-40B4-BE49-F238E27FC236}">
              <a16:creationId xmlns:a16="http://schemas.microsoft.com/office/drawing/2014/main" id="{6A81F4FD-53FD-4720-8CA1-9A00C6F475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0" name="AutoShape 1" descr="Vista previa de toda la pantalla">
          <a:extLst>
            <a:ext uri="{FF2B5EF4-FFF2-40B4-BE49-F238E27FC236}">
              <a16:creationId xmlns:a16="http://schemas.microsoft.com/office/drawing/2014/main" id="{B3CCE877-7AE6-483F-9203-B58351DD24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31" name="AutoShape 1" descr="Vista previa de toda la pantalla">
          <a:extLst>
            <a:ext uri="{FF2B5EF4-FFF2-40B4-BE49-F238E27FC236}">
              <a16:creationId xmlns:a16="http://schemas.microsoft.com/office/drawing/2014/main" id="{B3C4110D-4ABF-41BE-940B-B1A3DC4326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2" name="AutoShape 1" descr="Vista previa de toda la pantalla">
          <a:extLst>
            <a:ext uri="{FF2B5EF4-FFF2-40B4-BE49-F238E27FC236}">
              <a16:creationId xmlns:a16="http://schemas.microsoft.com/office/drawing/2014/main" id="{67D48F32-D437-43F6-88C5-E59A9BA415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3" name="AutoShape 1" descr="Vista previa de toda la pantalla">
          <a:extLst>
            <a:ext uri="{FF2B5EF4-FFF2-40B4-BE49-F238E27FC236}">
              <a16:creationId xmlns:a16="http://schemas.microsoft.com/office/drawing/2014/main" id="{8ECA740C-44F5-4CFF-AB92-77E999DB84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4" name="AutoShape 1" descr="Vista previa de toda la pantalla">
          <a:extLst>
            <a:ext uri="{FF2B5EF4-FFF2-40B4-BE49-F238E27FC236}">
              <a16:creationId xmlns:a16="http://schemas.microsoft.com/office/drawing/2014/main" id="{4DF51ECA-21F8-4935-9EC1-4BDDFF5F85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5" name="AutoShape 1" descr="Vista previa de toda la pantalla">
          <a:extLst>
            <a:ext uri="{FF2B5EF4-FFF2-40B4-BE49-F238E27FC236}">
              <a16:creationId xmlns:a16="http://schemas.microsoft.com/office/drawing/2014/main" id="{1CC661C5-0920-4877-AB09-B8CDAC3C32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36" name="AutoShape 1" descr="Vista previa de toda la pantalla">
          <a:extLst>
            <a:ext uri="{FF2B5EF4-FFF2-40B4-BE49-F238E27FC236}">
              <a16:creationId xmlns:a16="http://schemas.microsoft.com/office/drawing/2014/main" id="{C3239FF8-6749-4493-9D0D-E59861F698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7" name="AutoShape 1" descr="Vista previa de toda la pantalla">
          <a:extLst>
            <a:ext uri="{FF2B5EF4-FFF2-40B4-BE49-F238E27FC236}">
              <a16:creationId xmlns:a16="http://schemas.microsoft.com/office/drawing/2014/main" id="{F9BC4DF0-7B6F-4748-8311-75F95F66DD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8" name="AutoShape 1" descr="Vista previa de toda la pantalla">
          <a:extLst>
            <a:ext uri="{FF2B5EF4-FFF2-40B4-BE49-F238E27FC236}">
              <a16:creationId xmlns:a16="http://schemas.microsoft.com/office/drawing/2014/main" id="{D42243C9-4EB1-4A4C-A860-2B479AD825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9" name="AutoShape 1" descr="Vista previa de toda la pantalla">
          <a:extLst>
            <a:ext uri="{FF2B5EF4-FFF2-40B4-BE49-F238E27FC236}">
              <a16:creationId xmlns:a16="http://schemas.microsoft.com/office/drawing/2014/main" id="{F3E742F9-AE08-4340-8563-572A945102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40" name="AutoShape 1" descr="Vista previa de toda la pantalla">
          <a:extLst>
            <a:ext uri="{FF2B5EF4-FFF2-40B4-BE49-F238E27FC236}">
              <a16:creationId xmlns:a16="http://schemas.microsoft.com/office/drawing/2014/main" id="{FD591AA3-AB86-40AE-9AE6-4405C3EC32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1" name="AutoShape 1" descr="Vista previa de toda la pantalla">
          <a:extLst>
            <a:ext uri="{FF2B5EF4-FFF2-40B4-BE49-F238E27FC236}">
              <a16:creationId xmlns:a16="http://schemas.microsoft.com/office/drawing/2014/main" id="{D3100F81-A2FE-40E0-90B9-4C2D9E22D6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42" name="AutoShape 1" descr="Vista previa de toda la pantalla">
          <a:extLst>
            <a:ext uri="{FF2B5EF4-FFF2-40B4-BE49-F238E27FC236}">
              <a16:creationId xmlns:a16="http://schemas.microsoft.com/office/drawing/2014/main" id="{28DD501A-D0FE-44B8-915F-D4A34303E0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43" name="AutoShape 1" descr="Vista previa de toda la pantalla">
          <a:extLst>
            <a:ext uri="{FF2B5EF4-FFF2-40B4-BE49-F238E27FC236}">
              <a16:creationId xmlns:a16="http://schemas.microsoft.com/office/drawing/2014/main" id="{C3965A21-646A-41C9-82E6-5557E64362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44" name="AutoShape 1" descr="Vista previa de toda la pantalla">
          <a:extLst>
            <a:ext uri="{FF2B5EF4-FFF2-40B4-BE49-F238E27FC236}">
              <a16:creationId xmlns:a16="http://schemas.microsoft.com/office/drawing/2014/main" id="{BF4B7358-9F52-4EE4-96E7-79CC4A253F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45" name="AutoShape 1" descr="Vista previa de toda la pantalla">
          <a:extLst>
            <a:ext uri="{FF2B5EF4-FFF2-40B4-BE49-F238E27FC236}">
              <a16:creationId xmlns:a16="http://schemas.microsoft.com/office/drawing/2014/main" id="{9BFC80A9-FD7F-4B16-BEB4-D01E6AD9D2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6" name="AutoShape 1" descr="Vista previa de toda la pantalla">
          <a:extLst>
            <a:ext uri="{FF2B5EF4-FFF2-40B4-BE49-F238E27FC236}">
              <a16:creationId xmlns:a16="http://schemas.microsoft.com/office/drawing/2014/main" id="{DA36E438-3908-4899-8316-B6163FA042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47" name="AutoShape 1" descr="Vista previa de toda la pantalla">
          <a:extLst>
            <a:ext uri="{FF2B5EF4-FFF2-40B4-BE49-F238E27FC236}">
              <a16:creationId xmlns:a16="http://schemas.microsoft.com/office/drawing/2014/main" id="{059E50D5-8021-4DBA-8E2B-9D70EC8C77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48" name="AutoShape 1" descr="Vista previa de toda la pantalla">
          <a:extLst>
            <a:ext uri="{FF2B5EF4-FFF2-40B4-BE49-F238E27FC236}">
              <a16:creationId xmlns:a16="http://schemas.microsoft.com/office/drawing/2014/main" id="{154AACCB-9318-4B9A-80BF-E275B33290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49" name="AutoShape 1" descr="Vista previa de toda la pantalla">
          <a:extLst>
            <a:ext uri="{FF2B5EF4-FFF2-40B4-BE49-F238E27FC236}">
              <a16:creationId xmlns:a16="http://schemas.microsoft.com/office/drawing/2014/main" id="{5A241735-D556-4A08-B0FD-0E84D56DE6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50" name="AutoShape 1" descr="Vista previa de toda la pantalla">
          <a:extLst>
            <a:ext uri="{FF2B5EF4-FFF2-40B4-BE49-F238E27FC236}">
              <a16:creationId xmlns:a16="http://schemas.microsoft.com/office/drawing/2014/main" id="{EA750E4C-D672-4AA3-AA16-CE288456B1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51" name="AutoShape 1" descr="Vista previa de toda la pantalla">
          <a:extLst>
            <a:ext uri="{FF2B5EF4-FFF2-40B4-BE49-F238E27FC236}">
              <a16:creationId xmlns:a16="http://schemas.microsoft.com/office/drawing/2014/main" id="{FFB7A405-FD18-4B6C-8C44-50759635D3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52" name="AutoShape 1" descr="Vista previa de toda la pantalla">
          <a:extLst>
            <a:ext uri="{FF2B5EF4-FFF2-40B4-BE49-F238E27FC236}">
              <a16:creationId xmlns:a16="http://schemas.microsoft.com/office/drawing/2014/main" id="{D1B720B4-75A4-45C5-A4AF-6C235EFD6D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53" name="AutoShape 1" descr="Vista previa de toda la pantalla">
          <a:extLst>
            <a:ext uri="{FF2B5EF4-FFF2-40B4-BE49-F238E27FC236}">
              <a16:creationId xmlns:a16="http://schemas.microsoft.com/office/drawing/2014/main" id="{E05A4B8E-9DC6-4B63-885A-EEE5824D11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54" name="AutoShape 1" descr="Vista previa de toda la pantalla">
          <a:extLst>
            <a:ext uri="{FF2B5EF4-FFF2-40B4-BE49-F238E27FC236}">
              <a16:creationId xmlns:a16="http://schemas.microsoft.com/office/drawing/2014/main" id="{A7484D30-5287-4494-855D-74F72CA94E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55" name="AutoShape 1" descr="Vista previa de toda la pantalla">
          <a:extLst>
            <a:ext uri="{FF2B5EF4-FFF2-40B4-BE49-F238E27FC236}">
              <a16:creationId xmlns:a16="http://schemas.microsoft.com/office/drawing/2014/main" id="{0A78C4D9-EDFF-47A3-BC60-036FAB4267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56" name="AutoShape 1" descr="Vista previa de toda la pantalla">
          <a:extLst>
            <a:ext uri="{FF2B5EF4-FFF2-40B4-BE49-F238E27FC236}">
              <a16:creationId xmlns:a16="http://schemas.microsoft.com/office/drawing/2014/main" id="{50457589-E91A-441F-8193-3CDBB3868C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57" name="AutoShape 1" descr="Vista previa de toda la pantalla">
          <a:extLst>
            <a:ext uri="{FF2B5EF4-FFF2-40B4-BE49-F238E27FC236}">
              <a16:creationId xmlns:a16="http://schemas.microsoft.com/office/drawing/2014/main" id="{96036E44-E925-436A-B5FD-55C4F82C42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58" name="AutoShape 1" descr="Vista previa de toda la pantalla">
          <a:extLst>
            <a:ext uri="{FF2B5EF4-FFF2-40B4-BE49-F238E27FC236}">
              <a16:creationId xmlns:a16="http://schemas.microsoft.com/office/drawing/2014/main" id="{9EB8E5C7-2CC7-4F70-885D-BDC7D90B1B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59" name="AutoShape 1" descr="Vista previa de toda la pantalla">
          <a:extLst>
            <a:ext uri="{FF2B5EF4-FFF2-40B4-BE49-F238E27FC236}">
              <a16:creationId xmlns:a16="http://schemas.microsoft.com/office/drawing/2014/main" id="{8147AFC5-5CBC-465D-9901-A511E901F8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60" name="AutoShape 1" descr="Vista previa de toda la pantalla">
          <a:extLst>
            <a:ext uri="{FF2B5EF4-FFF2-40B4-BE49-F238E27FC236}">
              <a16:creationId xmlns:a16="http://schemas.microsoft.com/office/drawing/2014/main" id="{6BD39921-2FB5-40E4-AE44-DE17DC055F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1" name="AutoShape 1" descr="Vista previa de toda la pantalla">
          <a:extLst>
            <a:ext uri="{FF2B5EF4-FFF2-40B4-BE49-F238E27FC236}">
              <a16:creationId xmlns:a16="http://schemas.microsoft.com/office/drawing/2014/main" id="{B7CF3D67-E86C-47E0-9E40-C850E8602F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62" name="AutoShape 1" descr="Vista previa de toda la pantalla">
          <a:extLst>
            <a:ext uri="{FF2B5EF4-FFF2-40B4-BE49-F238E27FC236}">
              <a16:creationId xmlns:a16="http://schemas.microsoft.com/office/drawing/2014/main" id="{9727B34E-C8A7-49ED-9F3E-B76737584D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63" name="AutoShape 1" descr="Vista previa de toda la pantalla">
          <a:extLst>
            <a:ext uri="{FF2B5EF4-FFF2-40B4-BE49-F238E27FC236}">
              <a16:creationId xmlns:a16="http://schemas.microsoft.com/office/drawing/2014/main" id="{75A5D3EC-55BF-4D93-BC72-AA7737A4D9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64" name="AutoShape 1" descr="Vista previa de toda la pantalla">
          <a:extLst>
            <a:ext uri="{FF2B5EF4-FFF2-40B4-BE49-F238E27FC236}">
              <a16:creationId xmlns:a16="http://schemas.microsoft.com/office/drawing/2014/main" id="{9023CFD4-54DE-4F23-AC07-17F2E4F244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65" name="AutoShape 1" descr="Vista previa de toda la pantalla">
          <a:extLst>
            <a:ext uri="{FF2B5EF4-FFF2-40B4-BE49-F238E27FC236}">
              <a16:creationId xmlns:a16="http://schemas.microsoft.com/office/drawing/2014/main" id="{37FF5F3A-C7B1-4E90-A87E-EBEBDC46F9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6" name="AutoShape 1" descr="Vista previa de toda la pantalla">
          <a:extLst>
            <a:ext uri="{FF2B5EF4-FFF2-40B4-BE49-F238E27FC236}">
              <a16:creationId xmlns:a16="http://schemas.microsoft.com/office/drawing/2014/main" id="{2B99F900-8050-4174-A3E8-65C39664F5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67" name="AutoShape 1" descr="Vista previa de toda la pantalla">
          <a:extLst>
            <a:ext uri="{FF2B5EF4-FFF2-40B4-BE49-F238E27FC236}">
              <a16:creationId xmlns:a16="http://schemas.microsoft.com/office/drawing/2014/main" id="{026A49B2-1A76-44B3-8E8E-164C044C37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68" name="AutoShape 1" descr="Vista previa de toda la pantalla">
          <a:extLst>
            <a:ext uri="{FF2B5EF4-FFF2-40B4-BE49-F238E27FC236}">
              <a16:creationId xmlns:a16="http://schemas.microsoft.com/office/drawing/2014/main" id="{CE827ADA-E87B-4A12-ADE0-78D4AC971E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69" name="AutoShape 1" descr="Vista previa de toda la pantalla">
          <a:extLst>
            <a:ext uri="{FF2B5EF4-FFF2-40B4-BE49-F238E27FC236}">
              <a16:creationId xmlns:a16="http://schemas.microsoft.com/office/drawing/2014/main" id="{1272C140-ED93-4653-AB17-D4CCD361C5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70" name="AutoShape 1" descr="Vista previa de toda la pantalla">
          <a:extLst>
            <a:ext uri="{FF2B5EF4-FFF2-40B4-BE49-F238E27FC236}">
              <a16:creationId xmlns:a16="http://schemas.microsoft.com/office/drawing/2014/main" id="{95C67B89-CB25-4C50-920D-FFB38F52DC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71" name="AutoShape 1" descr="Vista previa de toda la pantalla">
          <a:extLst>
            <a:ext uri="{FF2B5EF4-FFF2-40B4-BE49-F238E27FC236}">
              <a16:creationId xmlns:a16="http://schemas.microsoft.com/office/drawing/2014/main" id="{A043746E-364A-453C-A71B-24B1F63BFE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72" name="AutoShape 1" descr="Vista previa de toda la pantalla">
          <a:extLst>
            <a:ext uri="{FF2B5EF4-FFF2-40B4-BE49-F238E27FC236}">
              <a16:creationId xmlns:a16="http://schemas.microsoft.com/office/drawing/2014/main" id="{A96E7B6E-1F6D-4899-BB3C-023BD085B3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73" name="AutoShape 1" descr="Vista previa de toda la pantalla">
          <a:extLst>
            <a:ext uri="{FF2B5EF4-FFF2-40B4-BE49-F238E27FC236}">
              <a16:creationId xmlns:a16="http://schemas.microsoft.com/office/drawing/2014/main" id="{F45D07DA-BAC8-413F-9E5B-73496CC6FF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74" name="AutoShape 1" descr="Vista previa de toda la pantalla">
          <a:extLst>
            <a:ext uri="{FF2B5EF4-FFF2-40B4-BE49-F238E27FC236}">
              <a16:creationId xmlns:a16="http://schemas.microsoft.com/office/drawing/2014/main" id="{67E1A02F-EAB6-4E39-A180-3B5D56D3D4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75" name="AutoShape 1" descr="Vista previa de toda la pantalla">
          <a:extLst>
            <a:ext uri="{FF2B5EF4-FFF2-40B4-BE49-F238E27FC236}">
              <a16:creationId xmlns:a16="http://schemas.microsoft.com/office/drawing/2014/main" id="{D0C57136-2DC3-449E-BDC3-F1F650B25D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76" name="AutoShape 1" descr="Vista previa de toda la pantalla">
          <a:extLst>
            <a:ext uri="{FF2B5EF4-FFF2-40B4-BE49-F238E27FC236}">
              <a16:creationId xmlns:a16="http://schemas.microsoft.com/office/drawing/2014/main" id="{58CD2381-AAAA-4C78-A245-07E8D6412D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77" name="AutoShape 1" descr="Vista previa de toda la pantalla">
          <a:extLst>
            <a:ext uri="{FF2B5EF4-FFF2-40B4-BE49-F238E27FC236}">
              <a16:creationId xmlns:a16="http://schemas.microsoft.com/office/drawing/2014/main" id="{7BC12C6A-7C0E-4075-AA67-972824161A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78" name="AutoShape 1" descr="Vista previa de toda la pantalla">
          <a:extLst>
            <a:ext uri="{FF2B5EF4-FFF2-40B4-BE49-F238E27FC236}">
              <a16:creationId xmlns:a16="http://schemas.microsoft.com/office/drawing/2014/main" id="{C0428AE9-46F3-4348-8BCF-E2C7D5AA45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79" name="AutoShape 1" descr="Vista previa de toda la pantalla">
          <a:extLst>
            <a:ext uri="{FF2B5EF4-FFF2-40B4-BE49-F238E27FC236}">
              <a16:creationId xmlns:a16="http://schemas.microsoft.com/office/drawing/2014/main" id="{07D5B0B3-F478-47E4-910C-ADF77F0EEF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80" name="AutoShape 1" descr="Vista previa de toda la pantalla">
          <a:extLst>
            <a:ext uri="{FF2B5EF4-FFF2-40B4-BE49-F238E27FC236}">
              <a16:creationId xmlns:a16="http://schemas.microsoft.com/office/drawing/2014/main" id="{32851DD0-56A7-4870-B304-7E53AEBCBA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" name="AutoShape 1" descr="Vista previa de toda la pantalla">
          <a:extLst>
            <a:ext uri="{FF2B5EF4-FFF2-40B4-BE49-F238E27FC236}">
              <a16:creationId xmlns:a16="http://schemas.microsoft.com/office/drawing/2014/main" id="{A520666F-FFA6-4816-B9A6-AE0E8BD800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82" name="AutoShape 1" descr="Vista previa de toda la pantalla">
          <a:extLst>
            <a:ext uri="{FF2B5EF4-FFF2-40B4-BE49-F238E27FC236}">
              <a16:creationId xmlns:a16="http://schemas.microsoft.com/office/drawing/2014/main" id="{9DCE38E4-AA11-4276-998C-9927323A25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83" name="AutoShape 1" descr="Vista previa de toda la pantalla">
          <a:extLst>
            <a:ext uri="{FF2B5EF4-FFF2-40B4-BE49-F238E27FC236}">
              <a16:creationId xmlns:a16="http://schemas.microsoft.com/office/drawing/2014/main" id="{1A80027A-4F67-491B-AEF1-EF1AD1B0C5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84" name="AutoShape 1" descr="Vista previa de toda la pantalla">
          <a:extLst>
            <a:ext uri="{FF2B5EF4-FFF2-40B4-BE49-F238E27FC236}">
              <a16:creationId xmlns:a16="http://schemas.microsoft.com/office/drawing/2014/main" id="{53CB69B8-0B9D-4001-A84B-E00E527261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85" name="AutoShape 1" descr="Vista previa de toda la pantalla">
          <a:extLst>
            <a:ext uri="{FF2B5EF4-FFF2-40B4-BE49-F238E27FC236}">
              <a16:creationId xmlns:a16="http://schemas.microsoft.com/office/drawing/2014/main" id="{01BAE532-ECF8-4789-9278-89A27CA87F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6" name="AutoShape 1" descr="Vista previa de toda la pantalla">
          <a:extLst>
            <a:ext uri="{FF2B5EF4-FFF2-40B4-BE49-F238E27FC236}">
              <a16:creationId xmlns:a16="http://schemas.microsoft.com/office/drawing/2014/main" id="{CCB70F37-DD06-407F-8046-D35D5CF91E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87" name="AutoShape 1" descr="Vista previa de toda la pantalla">
          <a:extLst>
            <a:ext uri="{FF2B5EF4-FFF2-40B4-BE49-F238E27FC236}">
              <a16:creationId xmlns:a16="http://schemas.microsoft.com/office/drawing/2014/main" id="{5B882956-43F4-46AB-895E-F27B931C00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88" name="AutoShape 1" descr="Vista previa de toda la pantalla">
          <a:extLst>
            <a:ext uri="{FF2B5EF4-FFF2-40B4-BE49-F238E27FC236}">
              <a16:creationId xmlns:a16="http://schemas.microsoft.com/office/drawing/2014/main" id="{61F2EBE4-C6E2-4374-9D58-E08B72AFD0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89" name="AutoShape 1" descr="Vista previa de toda la pantalla">
          <a:extLst>
            <a:ext uri="{FF2B5EF4-FFF2-40B4-BE49-F238E27FC236}">
              <a16:creationId xmlns:a16="http://schemas.microsoft.com/office/drawing/2014/main" id="{1281AB31-AE03-40A0-A945-038143313B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90" name="AutoShape 1" descr="Vista previa de toda la pantalla">
          <a:extLst>
            <a:ext uri="{FF2B5EF4-FFF2-40B4-BE49-F238E27FC236}">
              <a16:creationId xmlns:a16="http://schemas.microsoft.com/office/drawing/2014/main" id="{AB1F71DA-9254-4E48-A69E-442B1594D8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1" name="AutoShape 1" descr="Vista previa de toda la pantalla">
          <a:extLst>
            <a:ext uri="{FF2B5EF4-FFF2-40B4-BE49-F238E27FC236}">
              <a16:creationId xmlns:a16="http://schemas.microsoft.com/office/drawing/2014/main" id="{8B4D0D5C-EB2C-4DC2-B1CD-6B59ED3C17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92" name="AutoShape 1" descr="Vista previa de toda la pantalla">
          <a:extLst>
            <a:ext uri="{FF2B5EF4-FFF2-40B4-BE49-F238E27FC236}">
              <a16:creationId xmlns:a16="http://schemas.microsoft.com/office/drawing/2014/main" id="{495F20A1-4A95-4761-8471-37EC0D8F67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93" name="AutoShape 1" descr="Vista previa de toda la pantalla">
          <a:extLst>
            <a:ext uri="{FF2B5EF4-FFF2-40B4-BE49-F238E27FC236}">
              <a16:creationId xmlns:a16="http://schemas.microsoft.com/office/drawing/2014/main" id="{DC94A03E-32F8-4338-A16F-47AA8B3C88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94" name="AutoShape 1" descr="Vista previa de toda la pantalla">
          <a:extLst>
            <a:ext uri="{FF2B5EF4-FFF2-40B4-BE49-F238E27FC236}">
              <a16:creationId xmlns:a16="http://schemas.microsoft.com/office/drawing/2014/main" id="{01E55D07-7E7B-4765-A366-77C8EEC38B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95" name="AutoShape 1" descr="Vista previa de toda la pantalla">
          <a:extLst>
            <a:ext uri="{FF2B5EF4-FFF2-40B4-BE49-F238E27FC236}">
              <a16:creationId xmlns:a16="http://schemas.microsoft.com/office/drawing/2014/main" id="{91DAEFB3-9EDC-438B-A1EA-F8E0EEC139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6" name="AutoShape 1" descr="Vista previa de toda la pantalla">
          <a:extLst>
            <a:ext uri="{FF2B5EF4-FFF2-40B4-BE49-F238E27FC236}">
              <a16:creationId xmlns:a16="http://schemas.microsoft.com/office/drawing/2014/main" id="{FD0E0705-0055-4526-96DC-FEE2FF85F8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97" name="AutoShape 1" descr="Vista previa de toda la pantalla">
          <a:extLst>
            <a:ext uri="{FF2B5EF4-FFF2-40B4-BE49-F238E27FC236}">
              <a16:creationId xmlns:a16="http://schemas.microsoft.com/office/drawing/2014/main" id="{A50BC7D5-C4DD-4666-AB39-A2CC2E3C4D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98" name="AutoShape 1" descr="Vista previa de toda la pantalla">
          <a:extLst>
            <a:ext uri="{FF2B5EF4-FFF2-40B4-BE49-F238E27FC236}">
              <a16:creationId xmlns:a16="http://schemas.microsoft.com/office/drawing/2014/main" id="{2D2B6794-DC1D-4DB1-98F0-1CE257A66A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99" name="AutoShape 1" descr="Vista previa de toda la pantalla">
          <a:extLst>
            <a:ext uri="{FF2B5EF4-FFF2-40B4-BE49-F238E27FC236}">
              <a16:creationId xmlns:a16="http://schemas.microsoft.com/office/drawing/2014/main" id="{7D250A6D-D3FC-4642-B58C-D2B47CDDEB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00" name="AutoShape 1" descr="Vista previa de toda la pantalla">
          <a:extLst>
            <a:ext uri="{FF2B5EF4-FFF2-40B4-BE49-F238E27FC236}">
              <a16:creationId xmlns:a16="http://schemas.microsoft.com/office/drawing/2014/main" id="{3893FE03-7BBF-40F7-BECC-3DA1A6AF12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01" name="AutoShape 1" descr="Vista previa de toda la pantalla">
          <a:extLst>
            <a:ext uri="{FF2B5EF4-FFF2-40B4-BE49-F238E27FC236}">
              <a16:creationId xmlns:a16="http://schemas.microsoft.com/office/drawing/2014/main" id="{FD132DB7-A9DD-4FA8-AB4F-0C5AA7C7B3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02" name="AutoShape 1" descr="Vista previa de toda la pantalla">
          <a:extLst>
            <a:ext uri="{FF2B5EF4-FFF2-40B4-BE49-F238E27FC236}">
              <a16:creationId xmlns:a16="http://schemas.microsoft.com/office/drawing/2014/main" id="{2056ED0E-38AA-4546-9315-79C054F49F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03" name="AutoShape 1" descr="Vista previa de toda la pantalla">
          <a:extLst>
            <a:ext uri="{FF2B5EF4-FFF2-40B4-BE49-F238E27FC236}">
              <a16:creationId xmlns:a16="http://schemas.microsoft.com/office/drawing/2014/main" id="{ADC2765F-5B2A-4EE8-B04F-BF1F8E7B36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04" name="AutoShape 1" descr="Vista previa de toda la pantalla">
          <a:extLst>
            <a:ext uri="{FF2B5EF4-FFF2-40B4-BE49-F238E27FC236}">
              <a16:creationId xmlns:a16="http://schemas.microsoft.com/office/drawing/2014/main" id="{DFB92907-5E12-40E5-BC4A-0B84E3DC60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05" name="AutoShape 1" descr="Vista previa de toda la pantalla">
          <a:extLst>
            <a:ext uri="{FF2B5EF4-FFF2-40B4-BE49-F238E27FC236}">
              <a16:creationId xmlns:a16="http://schemas.microsoft.com/office/drawing/2014/main" id="{1DA8FB7A-54FA-4192-94DF-AE0465C832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06" name="AutoShape 1" descr="Vista previa de toda la pantalla">
          <a:extLst>
            <a:ext uri="{FF2B5EF4-FFF2-40B4-BE49-F238E27FC236}">
              <a16:creationId xmlns:a16="http://schemas.microsoft.com/office/drawing/2014/main" id="{1F743339-FAD6-474E-B092-6E35C44CE1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07" name="AutoShape 1" descr="Vista previa de toda la pantalla">
          <a:extLst>
            <a:ext uri="{FF2B5EF4-FFF2-40B4-BE49-F238E27FC236}">
              <a16:creationId xmlns:a16="http://schemas.microsoft.com/office/drawing/2014/main" id="{32A0E59C-049E-4635-9DDB-F028A2A8D2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08" name="AutoShape 1" descr="Vista previa de toda la pantalla">
          <a:extLst>
            <a:ext uri="{FF2B5EF4-FFF2-40B4-BE49-F238E27FC236}">
              <a16:creationId xmlns:a16="http://schemas.microsoft.com/office/drawing/2014/main" id="{1CFD3116-931F-4685-8699-B4651F187A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09" name="AutoShape 1" descr="Vista previa de toda la pantalla">
          <a:extLst>
            <a:ext uri="{FF2B5EF4-FFF2-40B4-BE49-F238E27FC236}">
              <a16:creationId xmlns:a16="http://schemas.microsoft.com/office/drawing/2014/main" id="{32D24571-B058-4A94-B443-A80AACAE6A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0" name="AutoShape 1" descr="Vista previa de toda la pantalla">
          <a:extLst>
            <a:ext uri="{FF2B5EF4-FFF2-40B4-BE49-F238E27FC236}">
              <a16:creationId xmlns:a16="http://schemas.microsoft.com/office/drawing/2014/main" id="{CE160957-BB59-4A96-B696-A800AEC3E3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11" name="AutoShape 1" descr="Vista previa de toda la pantalla">
          <a:extLst>
            <a:ext uri="{FF2B5EF4-FFF2-40B4-BE49-F238E27FC236}">
              <a16:creationId xmlns:a16="http://schemas.microsoft.com/office/drawing/2014/main" id="{0E1CC8A1-1CEF-4785-A22B-524748707D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12" name="AutoShape 1" descr="Vista previa de toda la pantalla">
          <a:extLst>
            <a:ext uri="{FF2B5EF4-FFF2-40B4-BE49-F238E27FC236}">
              <a16:creationId xmlns:a16="http://schemas.microsoft.com/office/drawing/2014/main" id="{C38E2647-240C-46AD-BF4D-A38BC802BF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13" name="AutoShape 1" descr="Vista previa de toda la pantalla">
          <a:extLst>
            <a:ext uri="{FF2B5EF4-FFF2-40B4-BE49-F238E27FC236}">
              <a16:creationId xmlns:a16="http://schemas.microsoft.com/office/drawing/2014/main" id="{C7A7A02F-8969-41E4-B526-F120F08A0A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14" name="AutoShape 1" descr="Vista previa de toda la pantalla">
          <a:extLst>
            <a:ext uri="{FF2B5EF4-FFF2-40B4-BE49-F238E27FC236}">
              <a16:creationId xmlns:a16="http://schemas.microsoft.com/office/drawing/2014/main" id="{F2B7DE1A-15F0-4F87-A653-060F0D5B5C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5" name="AutoShape 1" descr="Vista previa de toda la pantalla">
          <a:extLst>
            <a:ext uri="{FF2B5EF4-FFF2-40B4-BE49-F238E27FC236}">
              <a16:creationId xmlns:a16="http://schemas.microsoft.com/office/drawing/2014/main" id="{EFB4C038-D767-4FD7-8517-22F71BD539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16" name="AutoShape 1" descr="Vista previa de toda la pantalla">
          <a:extLst>
            <a:ext uri="{FF2B5EF4-FFF2-40B4-BE49-F238E27FC236}">
              <a16:creationId xmlns:a16="http://schemas.microsoft.com/office/drawing/2014/main" id="{BA7E4415-7FC0-4E7B-ACAA-C1227A03B7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17" name="AutoShape 1" descr="Vista previa de toda la pantalla">
          <a:extLst>
            <a:ext uri="{FF2B5EF4-FFF2-40B4-BE49-F238E27FC236}">
              <a16:creationId xmlns:a16="http://schemas.microsoft.com/office/drawing/2014/main" id="{1CB4CAE4-DFA0-4570-BC5D-96E1FDC028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18" name="AutoShape 1" descr="Vista previa de toda la pantalla">
          <a:extLst>
            <a:ext uri="{FF2B5EF4-FFF2-40B4-BE49-F238E27FC236}">
              <a16:creationId xmlns:a16="http://schemas.microsoft.com/office/drawing/2014/main" id="{185B63C1-1B2A-4800-8ECB-40FB425478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19" name="AutoShape 1" descr="Vista previa de toda la pantalla">
          <a:extLst>
            <a:ext uri="{FF2B5EF4-FFF2-40B4-BE49-F238E27FC236}">
              <a16:creationId xmlns:a16="http://schemas.microsoft.com/office/drawing/2014/main" id="{AE8984F7-6520-4E9B-B8CB-D84E8BE7A4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20" name="AutoShape 1" descr="Vista previa de toda la pantalla">
          <a:extLst>
            <a:ext uri="{FF2B5EF4-FFF2-40B4-BE49-F238E27FC236}">
              <a16:creationId xmlns:a16="http://schemas.microsoft.com/office/drawing/2014/main" id="{F723D3D0-90CC-4D71-AA6E-528B0CF706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21" name="AutoShape 1" descr="Vista previa de toda la pantalla">
          <a:extLst>
            <a:ext uri="{FF2B5EF4-FFF2-40B4-BE49-F238E27FC236}">
              <a16:creationId xmlns:a16="http://schemas.microsoft.com/office/drawing/2014/main" id="{C633DEEE-064D-4F58-83D0-501FCE7D45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22" name="AutoShape 1" descr="Vista previa de toda la pantalla">
          <a:extLst>
            <a:ext uri="{FF2B5EF4-FFF2-40B4-BE49-F238E27FC236}">
              <a16:creationId xmlns:a16="http://schemas.microsoft.com/office/drawing/2014/main" id="{F64DB053-7EBC-43DE-B28C-2478E3E572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23" name="AutoShape 1" descr="Vista previa de toda la pantalla">
          <a:extLst>
            <a:ext uri="{FF2B5EF4-FFF2-40B4-BE49-F238E27FC236}">
              <a16:creationId xmlns:a16="http://schemas.microsoft.com/office/drawing/2014/main" id="{2CB21514-472A-47F0-B836-A506341646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24" name="AutoShape 1" descr="Vista previa de toda la pantalla">
          <a:extLst>
            <a:ext uri="{FF2B5EF4-FFF2-40B4-BE49-F238E27FC236}">
              <a16:creationId xmlns:a16="http://schemas.microsoft.com/office/drawing/2014/main" id="{30928297-7AEC-46CF-B121-C349FC63DF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25" name="AutoShape 1" descr="Vista previa de toda la pantalla">
          <a:extLst>
            <a:ext uri="{FF2B5EF4-FFF2-40B4-BE49-F238E27FC236}">
              <a16:creationId xmlns:a16="http://schemas.microsoft.com/office/drawing/2014/main" id="{D8498FDD-49E7-4834-BBF2-C29AA6A816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26" name="AutoShape 1" descr="Vista previa de toda la pantalla">
          <a:extLst>
            <a:ext uri="{FF2B5EF4-FFF2-40B4-BE49-F238E27FC236}">
              <a16:creationId xmlns:a16="http://schemas.microsoft.com/office/drawing/2014/main" id="{5CEA5449-5FBC-4A66-9131-A983DA764D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27" name="AutoShape 1" descr="Vista previa de toda la pantalla">
          <a:extLst>
            <a:ext uri="{FF2B5EF4-FFF2-40B4-BE49-F238E27FC236}">
              <a16:creationId xmlns:a16="http://schemas.microsoft.com/office/drawing/2014/main" id="{53FE2CDB-930A-4032-86E7-8321977D99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28" name="AutoShape 1" descr="Vista previa de toda la pantalla">
          <a:extLst>
            <a:ext uri="{FF2B5EF4-FFF2-40B4-BE49-F238E27FC236}">
              <a16:creationId xmlns:a16="http://schemas.microsoft.com/office/drawing/2014/main" id="{DD876188-F730-4814-972A-7CDF704908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29" name="AutoShape 1" descr="Vista previa de toda la pantalla">
          <a:extLst>
            <a:ext uri="{FF2B5EF4-FFF2-40B4-BE49-F238E27FC236}">
              <a16:creationId xmlns:a16="http://schemas.microsoft.com/office/drawing/2014/main" id="{D1230507-8031-4C27-9F2A-44DF2EC701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0" name="AutoShape 1" descr="Vista previa de toda la pantalla">
          <a:extLst>
            <a:ext uri="{FF2B5EF4-FFF2-40B4-BE49-F238E27FC236}">
              <a16:creationId xmlns:a16="http://schemas.microsoft.com/office/drawing/2014/main" id="{3862528B-FF61-4923-8570-7AA4FE9BD9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31" name="AutoShape 1" descr="Vista previa de toda la pantalla">
          <a:extLst>
            <a:ext uri="{FF2B5EF4-FFF2-40B4-BE49-F238E27FC236}">
              <a16:creationId xmlns:a16="http://schemas.microsoft.com/office/drawing/2014/main" id="{A208328D-B359-4EFF-A851-06F63BC779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32" name="AutoShape 1" descr="Vista previa de toda la pantalla">
          <a:extLst>
            <a:ext uri="{FF2B5EF4-FFF2-40B4-BE49-F238E27FC236}">
              <a16:creationId xmlns:a16="http://schemas.microsoft.com/office/drawing/2014/main" id="{ED71A8BC-68C1-49FD-A1A2-83C28B068D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33" name="AutoShape 1" descr="Vista previa de toda la pantalla">
          <a:extLst>
            <a:ext uri="{FF2B5EF4-FFF2-40B4-BE49-F238E27FC236}">
              <a16:creationId xmlns:a16="http://schemas.microsoft.com/office/drawing/2014/main" id="{70F33B2E-9CDC-4B1C-A232-BC9635705C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34" name="AutoShape 1" descr="Vista previa de toda la pantalla">
          <a:extLst>
            <a:ext uri="{FF2B5EF4-FFF2-40B4-BE49-F238E27FC236}">
              <a16:creationId xmlns:a16="http://schemas.microsoft.com/office/drawing/2014/main" id="{4EAA9C6C-91B8-4CAB-BD0D-965E3C503C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5" name="AutoShape 1" descr="Vista previa de toda la pantalla">
          <a:extLst>
            <a:ext uri="{FF2B5EF4-FFF2-40B4-BE49-F238E27FC236}">
              <a16:creationId xmlns:a16="http://schemas.microsoft.com/office/drawing/2014/main" id="{F4EAD935-7156-4A2B-A985-7FC15F8727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36" name="AutoShape 1" descr="Vista previa de toda la pantalla">
          <a:extLst>
            <a:ext uri="{FF2B5EF4-FFF2-40B4-BE49-F238E27FC236}">
              <a16:creationId xmlns:a16="http://schemas.microsoft.com/office/drawing/2014/main" id="{939B97E2-E8A9-46D3-8496-423EB6DC6A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37" name="AutoShape 1" descr="Vista previa de toda la pantalla">
          <a:extLst>
            <a:ext uri="{FF2B5EF4-FFF2-40B4-BE49-F238E27FC236}">
              <a16:creationId xmlns:a16="http://schemas.microsoft.com/office/drawing/2014/main" id="{7F8753C7-5ED4-4444-AF8E-69F5729D89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38" name="AutoShape 1" descr="Vista previa de toda la pantalla">
          <a:extLst>
            <a:ext uri="{FF2B5EF4-FFF2-40B4-BE49-F238E27FC236}">
              <a16:creationId xmlns:a16="http://schemas.microsoft.com/office/drawing/2014/main" id="{6482175F-3B18-4A21-80F5-26188886A9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39" name="AutoShape 1" descr="Vista previa de toda la pantalla">
          <a:extLst>
            <a:ext uri="{FF2B5EF4-FFF2-40B4-BE49-F238E27FC236}">
              <a16:creationId xmlns:a16="http://schemas.microsoft.com/office/drawing/2014/main" id="{29485405-A52A-4E1F-BEB4-1490BFD6FC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0" name="AutoShape 1" descr="Vista previa de toda la pantalla">
          <a:extLst>
            <a:ext uri="{FF2B5EF4-FFF2-40B4-BE49-F238E27FC236}">
              <a16:creationId xmlns:a16="http://schemas.microsoft.com/office/drawing/2014/main" id="{EBE3CB5B-14B5-4107-B57D-B92078135B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41" name="AutoShape 1" descr="Vista previa de toda la pantalla">
          <a:extLst>
            <a:ext uri="{FF2B5EF4-FFF2-40B4-BE49-F238E27FC236}">
              <a16:creationId xmlns:a16="http://schemas.microsoft.com/office/drawing/2014/main" id="{00859668-7736-483E-9DE1-F7F3E5A98B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42" name="AutoShape 1" descr="Vista previa de toda la pantalla">
          <a:extLst>
            <a:ext uri="{FF2B5EF4-FFF2-40B4-BE49-F238E27FC236}">
              <a16:creationId xmlns:a16="http://schemas.microsoft.com/office/drawing/2014/main" id="{E3600C61-BBDF-4FDA-994F-4BDFD88757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43" name="AutoShape 1" descr="Vista previa de toda la pantalla">
          <a:extLst>
            <a:ext uri="{FF2B5EF4-FFF2-40B4-BE49-F238E27FC236}">
              <a16:creationId xmlns:a16="http://schemas.microsoft.com/office/drawing/2014/main" id="{1F7831B6-2E97-411D-8C67-18237E7351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44" name="AutoShape 1" descr="Vista previa de toda la pantalla">
          <a:extLst>
            <a:ext uri="{FF2B5EF4-FFF2-40B4-BE49-F238E27FC236}">
              <a16:creationId xmlns:a16="http://schemas.microsoft.com/office/drawing/2014/main" id="{ECDD897B-5331-4615-93A7-56936870B8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5" name="AutoShape 1" descr="Vista previa de toda la pantalla">
          <a:extLst>
            <a:ext uri="{FF2B5EF4-FFF2-40B4-BE49-F238E27FC236}">
              <a16:creationId xmlns:a16="http://schemas.microsoft.com/office/drawing/2014/main" id="{B4F124C9-7558-4107-B551-DD4AB6C334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46" name="AutoShape 1" descr="Vista previa de toda la pantalla">
          <a:extLst>
            <a:ext uri="{FF2B5EF4-FFF2-40B4-BE49-F238E27FC236}">
              <a16:creationId xmlns:a16="http://schemas.microsoft.com/office/drawing/2014/main" id="{626686FF-ECD5-4A33-8667-3855FB1B59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47" name="AutoShape 1" descr="Vista previa de toda la pantalla">
          <a:extLst>
            <a:ext uri="{FF2B5EF4-FFF2-40B4-BE49-F238E27FC236}">
              <a16:creationId xmlns:a16="http://schemas.microsoft.com/office/drawing/2014/main" id="{684BC720-115A-455F-B542-D85D4BFC5B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48" name="AutoShape 1" descr="Vista previa de toda la pantalla">
          <a:extLst>
            <a:ext uri="{FF2B5EF4-FFF2-40B4-BE49-F238E27FC236}">
              <a16:creationId xmlns:a16="http://schemas.microsoft.com/office/drawing/2014/main" id="{57DBA336-D5E6-4CBC-8509-1795C93C5E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49" name="AutoShape 1" descr="Vista previa de toda la pantalla">
          <a:extLst>
            <a:ext uri="{FF2B5EF4-FFF2-40B4-BE49-F238E27FC236}">
              <a16:creationId xmlns:a16="http://schemas.microsoft.com/office/drawing/2014/main" id="{CA815FCA-4149-4968-ABCC-E81FA13B85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50" name="AutoShape 1" descr="Vista previa de toda la pantalla">
          <a:extLst>
            <a:ext uri="{FF2B5EF4-FFF2-40B4-BE49-F238E27FC236}">
              <a16:creationId xmlns:a16="http://schemas.microsoft.com/office/drawing/2014/main" id="{DB99A03B-DC25-4674-A220-E677C9DD94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51" name="AutoShape 1" descr="Vista previa de toda la pantalla">
          <a:extLst>
            <a:ext uri="{FF2B5EF4-FFF2-40B4-BE49-F238E27FC236}">
              <a16:creationId xmlns:a16="http://schemas.microsoft.com/office/drawing/2014/main" id="{9A63729C-42C6-4AC3-A709-587D40D47D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52" name="AutoShape 1" descr="Vista previa de toda la pantalla">
          <a:extLst>
            <a:ext uri="{FF2B5EF4-FFF2-40B4-BE49-F238E27FC236}">
              <a16:creationId xmlns:a16="http://schemas.microsoft.com/office/drawing/2014/main" id="{F560F72C-71B3-4CF3-9F26-510D5B0E9F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53" name="AutoShape 1" descr="Vista previa de toda la pantalla">
          <a:extLst>
            <a:ext uri="{FF2B5EF4-FFF2-40B4-BE49-F238E27FC236}">
              <a16:creationId xmlns:a16="http://schemas.microsoft.com/office/drawing/2014/main" id="{4135E737-FBF0-486A-89AE-F84E8D2607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154" name="AutoShape 1" descr="Vista previa de toda la pantalla">
          <a:extLst>
            <a:ext uri="{FF2B5EF4-FFF2-40B4-BE49-F238E27FC236}">
              <a16:creationId xmlns:a16="http://schemas.microsoft.com/office/drawing/2014/main" id="{702860A2-618D-4A28-AFB6-8D0C54A65F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55" name="AutoShape 1" descr="Vista previa de toda la pantalla">
          <a:extLst>
            <a:ext uri="{FF2B5EF4-FFF2-40B4-BE49-F238E27FC236}">
              <a16:creationId xmlns:a16="http://schemas.microsoft.com/office/drawing/2014/main" id="{F8C29641-87C2-4519-8D92-59D18284F0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" name="AutoShape 1" descr="Vista previa de toda la pantalla">
          <a:extLst>
            <a:ext uri="{FF2B5EF4-FFF2-40B4-BE49-F238E27FC236}">
              <a16:creationId xmlns:a16="http://schemas.microsoft.com/office/drawing/2014/main" id="{36540986-2379-4DC9-A7BD-819D33513B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" name="AutoShape 1" descr="Vista previa de toda la pantalla">
          <a:extLst>
            <a:ext uri="{FF2B5EF4-FFF2-40B4-BE49-F238E27FC236}">
              <a16:creationId xmlns:a16="http://schemas.microsoft.com/office/drawing/2014/main" id="{2D78A417-DA29-4F30-9A2A-6A5E25A320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" name="AutoShape 1" descr="Vista previa de toda la pantalla">
          <a:extLst>
            <a:ext uri="{FF2B5EF4-FFF2-40B4-BE49-F238E27FC236}">
              <a16:creationId xmlns:a16="http://schemas.microsoft.com/office/drawing/2014/main" id="{4E7FBB4F-E4A3-412A-A3E8-303188E979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" name="AutoShape 1" descr="Vista previa de toda la pantalla">
          <a:extLst>
            <a:ext uri="{FF2B5EF4-FFF2-40B4-BE49-F238E27FC236}">
              <a16:creationId xmlns:a16="http://schemas.microsoft.com/office/drawing/2014/main" id="{8F0BF3B8-0ECC-4ED7-B7D8-C6770204F6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2602"/>
    <xdr:sp macro="" textlink="">
      <xdr:nvSpPr>
        <xdr:cNvPr id="160" name="AutoShape 1" descr="Vista previa de toda la pantalla">
          <a:extLst>
            <a:ext uri="{FF2B5EF4-FFF2-40B4-BE49-F238E27FC236}">
              <a16:creationId xmlns:a16="http://schemas.microsoft.com/office/drawing/2014/main" id="{7B311820-D908-47F2-996A-483CF07EFC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" name="AutoShape 1" descr="Vista previa de toda la pantalla">
          <a:extLst>
            <a:ext uri="{FF2B5EF4-FFF2-40B4-BE49-F238E27FC236}">
              <a16:creationId xmlns:a16="http://schemas.microsoft.com/office/drawing/2014/main" id="{B2A37CF4-F0FD-47B9-AA72-C0DA752431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" name="AutoShape 1" descr="Vista previa de toda la pantalla">
          <a:extLst>
            <a:ext uri="{FF2B5EF4-FFF2-40B4-BE49-F238E27FC236}">
              <a16:creationId xmlns:a16="http://schemas.microsoft.com/office/drawing/2014/main" id="{41AC65B3-C7F9-4AE4-96E7-D48482965D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" name="AutoShape 1" descr="Vista previa de toda la pantalla">
          <a:extLst>
            <a:ext uri="{FF2B5EF4-FFF2-40B4-BE49-F238E27FC236}">
              <a16:creationId xmlns:a16="http://schemas.microsoft.com/office/drawing/2014/main" id="{DAAADC07-06D7-4225-A5D9-87682B0389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" name="AutoShape 1" descr="Vista previa de toda la pantalla">
          <a:extLst>
            <a:ext uri="{FF2B5EF4-FFF2-40B4-BE49-F238E27FC236}">
              <a16:creationId xmlns:a16="http://schemas.microsoft.com/office/drawing/2014/main" id="{3AB0CC05-CA8A-49B5-89D9-315881981D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2602"/>
    <xdr:sp macro="" textlink="">
      <xdr:nvSpPr>
        <xdr:cNvPr id="165" name="AutoShape 1" descr="Vista previa de toda la pantalla">
          <a:extLst>
            <a:ext uri="{FF2B5EF4-FFF2-40B4-BE49-F238E27FC236}">
              <a16:creationId xmlns:a16="http://schemas.microsoft.com/office/drawing/2014/main" id="{8FF4A43A-1E68-45A6-8E59-6AD80BA374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6" name="AutoShape 1" descr="Vista previa de toda la pantalla">
          <a:extLst>
            <a:ext uri="{FF2B5EF4-FFF2-40B4-BE49-F238E27FC236}">
              <a16:creationId xmlns:a16="http://schemas.microsoft.com/office/drawing/2014/main" id="{909FFCF1-EE91-47A3-BEF5-93D64E4696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" name="AutoShape 1" descr="Vista previa de toda la pantalla">
          <a:extLst>
            <a:ext uri="{FF2B5EF4-FFF2-40B4-BE49-F238E27FC236}">
              <a16:creationId xmlns:a16="http://schemas.microsoft.com/office/drawing/2014/main" id="{CFED2544-907B-475E-A81E-13E5EBD3FE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" name="AutoShape 1" descr="Vista previa de toda la pantalla">
          <a:extLst>
            <a:ext uri="{FF2B5EF4-FFF2-40B4-BE49-F238E27FC236}">
              <a16:creationId xmlns:a16="http://schemas.microsoft.com/office/drawing/2014/main" id="{73A3438C-493E-4113-9242-D4EF22C63A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" name="AutoShape 1" descr="Vista previa de toda la pantalla">
          <a:extLst>
            <a:ext uri="{FF2B5EF4-FFF2-40B4-BE49-F238E27FC236}">
              <a16:creationId xmlns:a16="http://schemas.microsoft.com/office/drawing/2014/main" id="{75682129-A816-4EFF-9C13-500B15B851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2602"/>
    <xdr:sp macro="" textlink="">
      <xdr:nvSpPr>
        <xdr:cNvPr id="170" name="AutoShape 1" descr="Vista previa de toda la pantalla">
          <a:extLst>
            <a:ext uri="{FF2B5EF4-FFF2-40B4-BE49-F238E27FC236}">
              <a16:creationId xmlns:a16="http://schemas.microsoft.com/office/drawing/2014/main" id="{6D774550-8693-4EE6-AA15-FC1BC04602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" name="AutoShape 1" descr="Vista previa de toda la pantalla">
          <a:extLst>
            <a:ext uri="{FF2B5EF4-FFF2-40B4-BE49-F238E27FC236}">
              <a16:creationId xmlns:a16="http://schemas.microsoft.com/office/drawing/2014/main" id="{1C0F62E5-0316-44C9-BC3C-9ABA4B52A5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" name="AutoShape 1" descr="Vista previa de toda la pantalla">
          <a:extLst>
            <a:ext uri="{FF2B5EF4-FFF2-40B4-BE49-F238E27FC236}">
              <a16:creationId xmlns:a16="http://schemas.microsoft.com/office/drawing/2014/main" id="{23DB71FD-6555-4175-BF6B-7502FFB399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" name="AutoShape 1" descr="Vista previa de toda la pantalla">
          <a:extLst>
            <a:ext uri="{FF2B5EF4-FFF2-40B4-BE49-F238E27FC236}">
              <a16:creationId xmlns:a16="http://schemas.microsoft.com/office/drawing/2014/main" id="{8BDD7CD9-0786-49F0-9D08-C796D09539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" name="AutoShape 1" descr="Vista previa de toda la pantalla">
          <a:extLst>
            <a:ext uri="{FF2B5EF4-FFF2-40B4-BE49-F238E27FC236}">
              <a16:creationId xmlns:a16="http://schemas.microsoft.com/office/drawing/2014/main" id="{EC54E63F-8F19-423E-887A-5188478316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2602"/>
    <xdr:sp macro="" textlink="">
      <xdr:nvSpPr>
        <xdr:cNvPr id="175" name="AutoShape 1" descr="Vista previa de toda la pantalla">
          <a:extLst>
            <a:ext uri="{FF2B5EF4-FFF2-40B4-BE49-F238E27FC236}">
              <a16:creationId xmlns:a16="http://schemas.microsoft.com/office/drawing/2014/main" id="{3A623512-B1CB-440B-A136-70E590D214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" name="AutoShape 1" descr="Vista previa de toda la pantalla">
          <a:extLst>
            <a:ext uri="{FF2B5EF4-FFF2-40B4-BE49-F238E27FC236}">
              <a16:creationId xmlns:a16="http://schemas.microsoft.com/office/drawing/2014/main" id="{04D8E699-789E-4843-8399-460190C7C1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" name="AutoShape 1" descr="Vista previa de toda la pantalla">
          <a:extLst>
            <a:ext uri="{FF2B5EF4-FFF2-40B4-BE49-F238E27FC236}">
              <a16:creationId xmlns:a16="http://schemas.microsoft.com/office/drawing/2014/main" id="{7F607483-B571-40CB-9EC9-BC339EB922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" name="AutoShape 1" descr="Vista previa de toda la pantalla">
          <a:extLst>
            <a:ext uri="{FF2B5EF4-FFF2-40B4-BE49-F238E27FC236}">
              <a16:creationId xmlns:a16="http://schemas.microsoft.com/office/drawing/2014/main" id="{72B81068-8945-4B3D-87D9-83A1C46E07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" name="AutoShape 1" descr="Vista previa de toda la pantalla">
          <a:extLst>
            <a:ext uri="{FF2B5EF4-FFF2-40B4-BE49-F238E27FC236}">
              <a16:creationId xmlns:a16="http://schemas.microsoft.com/office/drawing/2014/main" id="{86AEE6AA-EFB2-49D7-9CEE-9E7AFE7538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2602"/>
    <xdr:sp macro="" textlink="">
      <xdr:nvSpPr>
        <xdr:cNvPr id="180" name="AutoShape 1" descr="Vista previa de toda la pantalla">
          <a:extLst>
            <a:ext uri="{FF2B5EF4-FFF2-40B4-BE49-F238E27FC236}">
              <a16:creationId xmlns:a16="http://schemas.microsoft.com/office/drawing/2014/main" id="{DA41315E-491E-4CDB-AAF6-2E97EF6BCD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" name="AutoShape 1" descr="Vista previa de toda la pantalla">
          <a:extLst>
            <a:ext uri="{FF2B5EF4-FFF2-40B4-BE49-F238E27FC236}">
              <a16:creationId xmlns:a16="http://schemas.microsoft.com/office/drawing/2014/main" id="{CD03CF5F-7743-4DEE-A949-C21C2629EA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" name="AutoShape 1" descr="Vista previa de toda la pantalla">
          <a:extLst>
            <a:ext uri="{FF2B5EF4-FFF2-40B4-BE49-F238E27FC236}">
              <a16:creationId xmlns:a16="http://schemas.microsoft.com/office/drawing/2014/main" id="{C3F3D4F9-5BA2-4409-A964-E952FCDC98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3" name="AutoShape 1" descr="Vista previa de toda la pantalla">
          <a:extLst>
            <a:ext uri="{FF2B5EF4-FFF2-40B4-BE49-F238E27FC236}">
              <a16:creationId xmlns:a16="http://schemas.microsoft.com/office/drawing/2014/main" id="{EA7AC149-FCE4-4928-9450-768009DFEE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" name="AutoShape 1" descr="Vista previa de toda la pantalla">
          <a:extLst>
            <a:ext uri="{FF2B5EF4-FFF2-40B4-BE49-F238E27FC236}">
              <a16:creationId xmlns:a16="http://schemas.microsoft.com/office/drawing/2014/main" id="{259ADA60-5439-4049-B2D3-B72160F843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2602"/>
    <xdr:sp macro="" textlink="">
      <xdr:nvSpPr>
        <xdr:cNvPr id="185" name="AutoShape 1" descr="Vista previa de toda la pantalla">
          <a:extLst>
            <a:ext uri="{FF2B5EF4-FFF2-40B4-BE49-F238E27FC236}">
              <a16:creationId xmlns:a16="http://schemas.microsoft.com/office/drawing/2014/main" id="{16D02E90-007F-4574-B204-56E76B51E3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" name="AutoShape 1" descr="Vista previa de toda la pantalla">
          <a:extLst>
            <a:ext uri="{FF2B5EF4-FFF2-40B4-BE49-F238E27FC236}">
              <a16:creationId xmlns:a16="http://schemas.microsoft.com/office/drawing/2014/main" id="{761C4A7A-1149-4A5E-B3F8-93AFBC097F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" name="AutoShape 1" descr="Vista previa de toda la pantalla">
          <a:extLst>
            <a:ext uri="{FF2B5EF4-FFF2-40B4-BE49-F238E27FC236}">
              <a16:creationId xmlns:a16="http://schemas.microsoft.com/office/drawing/2014/main" id="{39844DA9-FAD5-4B30-BC39-32CFDDDF77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" name="AutoShape 1" descr="Vista previa de toda la pantalla">
          <a:extLst>
            <a:ext uri="{FF2B5EF4-FFF2-40B4-BE49-F238E27FC236}">
              <a16:creationId xmlns:a16="http://schemas.microsoft.com/office/drawing/2014/main" id="{45C05864-9275-44AC-804C-D4587A613A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" name="AutoShape 1" descr="Vista previa de toda la pantalla">
          <a:extLst>
            <a:ext uri="{FF2B5EF4-FFF2-40B4-BE49-F238E27FC236}">
              <a16:creationId xmlns:a16="http://schemas.microsoft.com/office/drawing/2014/main" id="{0827ED80-BD24-4DCD-A1E4-C4329E7310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2602"/>
    <xdr:sp macro="" textlink="">
      <xdr:nvSpPr>
        <xdr:cNvPr id="190" name="AutoShape 1" descr="Vista previa de toda la pantalla">
          <a:extLst>
            <a:ext uri="{FF2B5EF4-FFF2-40B4-BE49-F238E27FC236}">
              <a16:creationId xmlns:a16="http://schemas.microsoft.com/office/drawing/2014/main" id="{B1C20F17-EB8A-4059-8BDA-CC687A1C83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" name="AutoShape 1" descr="Vista previa de toda la pantalla">
          <a:extLst>
            <a:ext uri="{FF2B5EF4-FFF2-40B4-BE49-F238E27FC236}">
              <a16:creationId xmlns:a16="http://schemas.microsoft.com/office/drawing/2014/main" id="{59219F3D-D40A-43E5-886D-C45D238B37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" name="AutoShape 1" descr="Vista previa de toda la pantalla">
          <a:extLst>
            <a:ext uri="{FF2B5EF4-FFF2-40B4-BE49-F238E27FC236}">
              <a16:creationId xmlns:a16="http://schemas.microsoft.com/office/drawing/2014/main" id="{5CE9C412-04DA-4FC5-98B0-5C14A55E22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" name="AutoShape 1" descr="Vista previa de toda la pantalla">
          <a:extLst>
            <a:ext uri="{FF2B5EF4-FFF2-40B4-BE49-F238E27FC236}">
              <a16:creationId xmlns:a16="http://schemas.microsoft.com/office/drawing/2014/main" id="{43141937-6F31-4FB4-A2C5-E1E522DD98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" name="AutoShape 1" descr="Vista previa de toda la pantalla">
          <a:extLst>
            <a:ext uri="{FF2B5EF4-FFF2-40B4-BE49-F238E27FC236}">
              <a16:creationId xmlns:a16="http://schemas.microsoft.com/office/drawing/2014/main" id="{96E4DC94-E6BD-4B49-8AB1-A2E9FB2092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2602"/>
    <xdr:sp macro="" textlink="">
      <xdr:nvSpPr>
        <xdr:cNvPr id="195" name="AutoShape 1" descr="Vista previa de toda la pantalla">
          <a:extLst>
            <a:ext uri="{FF2B5EF4-FFF2-40B4-BE49-F238E27FC236}">
              <a16:creationId xmlns:a16="http://schemas.microsoft.com/office/drawing/2014/main" id="{BEA6C799-A7E7-45D2-B7C3-C7BE505A25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" name="AutoShape 1" descr="Vista previa de toda la pantalla">
          <a:extLst>
            <a:ext uri="{FF2B5EF4-FFF2-40B4-BE49-F238E27FC236}">
              <a16:creationId xmlns:a16="http://schemas.microsoft.com/office/drawing/2014/main" id="{C5CD2FF7-A354-4AF0-875D-090D900528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" name="AutoShape 1" descr="Vista previa de toda la pantalla">
          <a:extLst>
            <a:ext uri="{FF2B5EF4-FFF2-40B4-BE49-F238E27FC236}">
              <a16:creationId xmlns:a16="http://schemas.microsoft.com/office/drawing/2014/main" id="{A9311D51-519C-44E1-8C9C-7194C89468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" name="AutoShape 1" descr="Vista previa de toda la pantalla">
          <a:extLst>
            <a:ext uri="{FF2B5EF4-FFF2-40B4-BE49-F238E27FC236}">
              <a16:creationId xmlns:a16="http://schemas.microsoft.com/office/drawing/2014/main" id="{32C5C4CE-89FF-4B77-BAB3-A37C0C5C77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" name="AutoShape 1" descr="Vista previa de toda la pantalla">
          <a:extLst>
            <a:ext uri="{FF2B5EF4-FFF2-40B4-BE49-F238E27FC236}">
              <a16:creationId xmlns:a16="http://schemas.microsoft.com/office/drawing/2014/main" id="{46593ED5-4CF5-4F9F-8F17-4937447588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2602"/>
    <xdr:sp macro="" textlink="">
      <xdr:nvSpPr>
        <xdr:cNvPr id="200" name="AutoShape 1" descr="Vista previa de toda la pantalla">
          <a:extLst>
            <a:ext uri="{FF2B5EF4-FFF2-40B4-BE49-F238E27FC236}">
              <a16:creationId xmlns:a16="http://schemas.microsoft.com/office/drawing/2014/main" id="{BD6FC70B-450E-4D69-9EEF-D74C3499F8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" name="AutoShape 1" descr="Vista previa de toda la pantalla">
          <a:extLst>
            <a:ext uri="{FF2B5EF4-FFF2-40B4-BE49-F238E27FC236}">
              <a16:creationId xmlns:a16="http://schemas.microsoft.com/office/drawing/2014/main" id="{EA246CEF-F790-4A55-8FE9-8E1D072F92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" name="AutoShape 1" descr="Vista previa de toda la pantalla">
          <a:extLst>
            <a:ext uri="{FF2B5EF4-FFF2-40B4-BE49-F238E27FC236}">
              <a16:creationId xmlns:a16="http://schemas.microsoft.com/office/drawing/2014/main" id="{3A1B8C08-0EDD-4EE5-A5F8-424A7BC957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" name="AutoShape 1" descr="Vista previa de toda la pantalla">
          <a:extLst>
            <a:ext uri="{FF2B5EF4-FFF2-40B4-BE49-F238E27FC236}">
              <a16:creationId xmlns:a16="http://schemas.microsoft.com/office/drawing/2014/main" id="{3BDA5D24-257F-45AE-9E17-3FE51A465F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" name="AutoShape 1" descr="Vista previa de toda la pantalla">
          <a:extLst>
            <a:ext uri="{FF2B5EF4-FFF2-40B4-BE49-F238E27FC236}">
              <a16:creationId xmlns:a16="http://schemas.microsoft.com/office/drawing/2014/main" id="{06BF67E7-1BC5-47DA-90A2-1E64858AAC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2602"/>
    <xdr:sp macro="" textlink="">
      <xdr:nvSpPr>
        <xdr:cNvPr id="205" name="AutoShape 1" descr="Vista previa de toda la pantalla">
          <a:extLst>
            <a:ext uri="{FF2B5EF4-FFF2-40B4-BE49-F238E27FC236}">
              <a16:creationId xmlns:a16="http://schemas.microsoft.com/office/drawing/2014/main" id="{E961472E-6416-42FF-BA34-A10196E77E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" name="AutoShape 1" descr="Vista previa de toda la pantalla">
          <a:extLst>
            <a:ext uri="{FF2B5EF4-FFF2-40B4-BE49-F238E27FC236}">
              <a16:creationId xmlns:a16="http://schemas.microsoft.com/office/drawing/2014/main" id="{65410A77-E858-4F96-A2E5-0DB9216344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" name="AutoShape 1" descr="Vista previa de toda la pantalla">
          <a:extLst>
            <a:ext uri="{FF2B5EF4-FFF2-40B4-BE49-F238E27FC236}">
              <a16:creationId xmlns:a16="http://schemas.microsoft.com/office/drawing/2014/main" id="{2B4B040E-C250-4806-9534-E3A721CC18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" name="AutoShape 1" descr="Vista previa de toda la pantalla">
          <a:extLst>
            <a:ext uri="{FF2B5EF4-FFF2-40B4-BE49-F238E27FC236}">
              <a16:creationId xmlns:a16="http://schemas.microsoft.com/office/drawing/2014/main" id="{FC43F27A-517C-4A19-A527-75CB53BD8A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" name="AutoShape 1" descr="Vista previa de toda la pantalla">
          <a:extLst>
            <a:ext uri="{FF2B5EF4-FFF2-40B4-BE49-F238E27FC236}">
              <a16:creationId xmlns:a16="http://schemas.microsoft.com/office/drawing/2014/main" id="{61FEBB9B-6407-46BB-9BE4-79C77FC145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2602"/>
    <xdr:sp macro="" textlink="">
      <xdr:nvSpPr>
        <xdr:cNvPr id="210" name="AutoShape 1" descr="Vista previa de toda la pantalla">
          <a:extLst>
            <a:ext uri="{FF2B5EF4-FFF2-40B4-BE49-F238E27FC236}">
              <a16:creationId xmlns:a16="http://schemas.microsoft.com/office/drawing/2014/main" id="{1E2C819F-7F27-4D50-B400-15DFC6A01E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" name="AutoShape 1" descr="Vista previa de toda la pantalla">
          <a:extLst>
            <a:ext uri="{FF2B5EF4-FFF2-40B4-BE49-F238E27FC236}">
              <a16:creationId xmlns:a16="http://schemas.microsoft.com/office/drawing/2014/main" id="{C26245A0-D7A6-4B50-A3BE-C199F136AE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" name="AutoShape 1" descr="Vista previa de toda la pantalla">
          <a:extLst>
            <a:ext uri="{FF2B5EF4-FFF2-40B4-BE49-F238E27FC236}">
              <a16:creationId xmlns:a16="http://schemas.microsoft.com/office/drawing/2014/main" id="{DE7506CC-AEFC-4193-B667-105CFAE225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" name="AutoShape 1" descr="Vista previa de toda la pantalla">
          <a:extLst>
            <a:ext uri="{FF2B5EF4-FFF2-40B4-BE49-F238E27FC236}">
              <a16:creationId xmlns:a16="http://schemas.microsoft.com/office/drawing/2014/main" id="{FC1CA875-AD9D-4778-BE0A-C266C6898C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" name="AutoShape 1" descr="Vista previa de toda la pantalla">
          <a:extLst>
            <a:ext uri="{FF2B5EF4-FFF2-40B4-BE49-F238E27FC236}">
              <a16:creationId xmlns:a16="http://schemas.microsoft.com/office/drawing/2014/main" id="{DDE523E3-4D12-4A83-972B-784F5A84D2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2602"/>
    <xdr:sp macro="" textlink="">
      <xdr:nvSpPr>
        <xdr:cNvPr id="215" name="AutoShape 1" descr="Vista previa de toda la pantalla">
          <a:extLst>
            <a:ext uri="{FF2B5EF4-FFF2-40B4-BE49-F238E27FC236}">
              <a16:creationId xmlns:a16="http://schemas.microsoft.com/office/drawing/2014/main" id="{BED7133E-F85E-41B1-B6CE-7F2033A026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" name="AutoShape 1" descr="Vista previa de toda la pantalla">
          <a:extLst>
            <a:ext uri="{FF2B5EF4-FFF2-40B4-BE49-F238E27FC236}">
              <a16:creationId xmlns:a16="http://schemas.microsoft.com/office/drawing/2014/main" id="{D3852521-1517-4C95-A260-6955182827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7" name="AutoShape 1" descr="Vista previa de toda la pantalla">
          <a:extLst>
            <a:ext uri="{FF2B5EF4-FFF2-40B4-BE49-F238E27FC236}">
              <a16:creationId xmlns:a16="http://schemas.microsoft.com/office/drawing/2014/main" id="{C302C1F0-186C-4EC8-8CC8-6FE796FF26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" name="AutoShape 1" descr="Vista previa de toda la pantalla">
          <a:extLst>
            <a:ext uri="{FF2B5EF4-FFF2-40B4-BE49-F238E27FC236}">
              <a16:creationId xmlns:a16="http://schemas.microsoft.com/office/drawing/2014/main" id="{B2E0E81C-AD54-47D9-AC47-3E7D634B99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" name="AutoShape 1" descr="Vista previa de toda la pantalla">
          <a:extLst>
            <a:ext uri="{FF2B5EF4-FFF2-40B4-BE49-F238E27FC236}">
              <a16:creationId xmlns:a16="http://schemas.microsoft.com/office/drawing/2014/main" id="{DB6BD205-FF5E-4E2D-8195-79E5DAD3FA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2602"/>
    <xdr:sp macro="" textlink="">
      <xdr:nvSpPr>
        <xdr:cNvPr id="220" name="AutoShape 1" descr="Vista previa de toda la pantalla">
          <a:extLst>
            <a:ext uri="{FF2B5EF4-FFF2-40B4-BE49-F238E27FC236}">
              <a16:creationId xmlns:a16="http://schemas.microsoft.com/office/drawing/2014/main" id="{B5CBD22E-2CB6-4D86-8AA9-2D0C0CEE19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" name="AutoShape 1" descr="Vista previa de toda la pantalla">
          <a:extLst>
            <a:ext uri="{FF2B5EF4-FFF2-40B4-BE49-F238E27FC236}">
              <a16:creationId xmlns:a16="http://schemas.microsoft.com/office/drawing/2014/main" id="{1F80BAE1-0027-48A8-8B2A-B6709CC81E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" name="AutoShape 1" descr="Vista previa de toda la pantalla">
          <a:extLst>
            <a:ext uri="{FF2B5EF4-FFF2-40B4-BE49-F238E27FC236}">
              <a16:creationId xmlns:a16="http://schemas.microsoft.com/office/drawing/2014/main" id="{3B28C837-B292-4998-B4EC-2AA9D54C25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" name="AutoShape 1" descr="Vista previa de toda la pantalla">
          <a:extLst>
            <a:ext uri="{FF2B5EF4-FFF2-40B4-BE49-F238E27FC236}">
              <a16:creationId xmlns:a16="http://schemas.microsoft.com/office/drawing/2014/main" id="{AB0E998E-AD21-43F8-80E9-6FA217CD9F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" name="AutoShape 1" descr="Vista previa de toda la pantalla">
          <a:extLst>
            <a:ext uri="{FF2B5EF4-FFF2-40B4-BE49-F238E27FC236}">
              <a16:creationId xmlns:a16="http://schemas.microsoft.com/office/drawing/2014/main" id="{66D06EA4-D40C-4DB1-AD93-5DD1E82FAE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2602"/>
    <xdr:sp macro="" textlink="">
      <xdr:nvSpPr>
        <xdr:cNvPr id="225" name="AutoShape 1" descr="Vista previa de toda la pantalla">
          <a:extLst>
            <a:ext uri="{FF2B5EF4-FFF2-40B4-BE49-F238E27FC236}">
              <a16:creationId xmlns:a16="http://schemas.microsoft.com/office/drawing/2014/main" id="{C5C3057B-8426-4899-9730-08B5AE1677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" name="AutoShape 1" descr="Vista previa de toda la pantalla">
          <a:extLst>
            <a:ext uri="{FF2B5EF4-FFF2-40B4-BE49-F238E27FC236}">
              <a16:creationId xmlns:a16="http://schemas.microsoft.com/office/drawing/2014/main" id="{BB343A63-0983-42AD-A358-3F1CBC2572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" name="AutoShape 1" descr="Vista previa de toda la pantalla">
          <a:extLst>
            <a:ext uri="{FF2B5EF4-FFF2-40B4-BE49-F238E27FC236}">
              <a16:creationId xmlns:a16="http://schemas.microsoft.com/office/drawing/2014/main" id="{31895A1A-9E54-43CB-8F04-60D0A5534F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" name="AutoShape 1" descr="Vista previa de toda la pantalla">
          <a:extLst>
            <a:ext uri="{FF2B5EF4-FFF2-40B4-BE49-F238E27FC236}">
              <a16:creationId xmlns:a16="http://schemas.microsoft.com/office/drawing/2014/main" id="{2A581711-6F48-40BF-A0F9-93365141BA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" name="AutoShape 1" descr="Vista previa de toda la pantalla">
          <a:extLst>
            <a:ext uri="{FF2B5EF4-FFF2-40B4-BE49-F238E27FC236}">
              <a16:creationId xmlns:a16="http://schemas.microsoft.com/office/drawing/2014/main" id="{E16E7085-838B-47B2-A5F2-2957B518A3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2602"/>
    <xdr:sp macro="" textlink="">
      <xdr:nvSpPr>
        <xdr:cNvPr id="230" name="AutoShape 1" descr="Vista previa de toda la pantalla">
          <a:extLst>
            <a:ext uri="{FF2B5EF4-FFF2-40B4-BE49-F238E27FC236}">
              <a16:creationId xmlns:a16="http://schemas.microsoft.com/office/drawing/2014/main" id="{52D2D1B6-0FE5-4BE0-B516-03C09E31B2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" name="AutoShape 1" descr="Vista previa de toda la pantalla">
          <a:extLst>
            <a:ext uri="{FF2B5EF4-FFF2-40B4-BE49-F238E27FC236}">
              <a16:creationId xmlns:a16="http://schemas.microsoft.com/office/drawing/2014/main" id="{A2B1052F-DDD9-4FB9-8AA3-35E8A8AB0C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" name="AutoShape 1" descr="Vista previa de toda la pantalla">
          <a:extLst>
            <a:ext uri="{FF2B5EF4-FFF2-40B4-BE49-F238E27FC236}">
              <a16:creationId xmlns:a16="http://schemas.microsoft.com/office/drawing/2014/main" id="{6229B780-6C02-44A1-ADE7-F54A4A9D99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" name="AutoShape 1" descr="Vista previa de toda la pantalla">
          <a:extLst>
            <a:ext uri="{FF2B5EF4-FFF2-40B4-BE49-F238E27FC236}">
              <a16:creationId xmlns:a16="http://schemas.microsoft.com/office/drawing/2014/main" id="{1BE8A6DB-C1E8-430F-AACD-11BA00FFD5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" name="AutoShape 1" descr="Vista previa de toda la pantalla">
          <a:extLst>
            <a:ext uri="{FF2B5EF4-FFF2-40B4-BE49-F238E27FC236}">
              <a16:creationId xmlns:a16="http://schemas.microsoft.com/office/drawing/2014/main" id="{2179CD6A-90F8-43D7-AD42-B68A8DAF94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2602"/>
    <xdr:sp macro="" textlink="">
      <xdr:nvSpPr>
        <xdr:cNvPr id="235" name="AutoShape 1" descr="Vista previa de toda la pantalla">
          <a:extLst>
            <a:ext uri="{FF2B5EF4-FFF2-40B4-BE49-F238E27FC236}">
              <a16:creationId xmlns:a16="http://schemas.microsoft.com/office/drawing/2014/main" id="{26ED2485-B66F-4210-8C85-9E84E80192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" name="AutoShape 1" descr="Vista previa de toda la pantalla">
          <a:extLst>
            <a:ext uri="{FF2B5EF4-FFF2-40B4-BE49-F238E27FC236}">
              <a16:creationId xmlns:a16="http://schemas.microsoft.com/office/drawing/2014/main" id="{351ACF85-B8C4-4005-AA19-20BF642B78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" name="AutoShape 1" descr="Vista previa de toda la pantalla">
          <a:extLst>
            <a:ext uri="{FF2B5EF4-FFF2-40B4-BE49-F238E27FC236}">
              <a16:creationId xmlns:a16="http://schemas.microsoft.com/office/drawing/2014/main" id="{8F5168C5-F30D-4973-B69B-9950F278B7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" name="AutoShape 1" descr="Vista previa de toda la pantalla">
          <a:extLst>
            <a:ext uri="{FF2B5EF4-FFF2-40B4-BE49-F238E27FC236}">
              <a16:creationId xmlns:a16="http://schemas.microsoft.com/office/drawing/2014/main" id="{4A47EC50-1E55-4917-ABF7-DA06D5E66D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" name="AutoShape 1" descr="Vista previa de toda la pantalla">
          <a:extLst>
            <a:ext uri="{FF2B5EF4-FFF2-40B4-BE49-F238E27FC236}">
              <a16:creationId xmlns:a16="http://schemas.microsoft.com/office/drawing/2014/main" id="{FF438167-B855-461A-86FF-D096D23139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2602"/>
    <xdr:sp macro="" textlink="">
      <xdr:nvSpPr>
        <xdr:cNvPr id="240" name="AutoShape 1" descr="Vista previa de toda la pantalla">
          <a:extLst>
            <a:ext uri="{FF2B5EF4-FFF2-40B4-BE49-F238E27FC236}">
              <a16:creationId xmlns:a16="http://schemas.microsoft.com/office/drawing/2014/main" id="{92BB949A-3091-4102-B7DF-04DF5C1819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" name="AutoShape 1" descr="Vista previa de toda la pantalla">
          <a:extLst>
            <a:ext uri="{FF2B5EF4-FFF2-40B4-BE49-F238E27FC236}">
              <a16:creationId xmlns:a16="http://schemas.microsoft.com/office/drawing/2014/main" id="{62D3DAD7-BB47-4CDA-82E6-F94E09BF76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" name="AutoShape 1" descr="Vista previa de toda la pantalla">
          <a:extLst>
            <a:ext uri="{FF2B5EF4-FFF2-40B4-BE49-F238E27FC236}">
              <a16:creationId xmlns:a16="http://schemas.microsoft.com/office/drawing/2014/main" id="{7D5166CC-9405-4FC1-89CA-5DB250BC26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" name="AutoShape 1" descr="Vista previa de toda la pantalla">
          <a:extLst>
            <a:ext uri="{FF2B5EF4-FFF2-40B4-BE49-F238E27FC236}">
              <a16:creationId xmlns:a16="http://schemas.microsoft.com/office/drawing/2014/main" id="{ED804919-4D03-405E-8D9F-81943C3DE2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" name="AutoShape 1" descr="Vista previa de toda la pantalla">
          <a:extLst>
            <a:ext uri="{FF2B5EF4-FFF2-40B4-BE49-F238E27FC236}">
              <a16:creationId xmlns:a16="http://schemas.microsoft.com/office/drawing/2014/main" id="{4AA37773-5C13-4B58-8B36-F9F3F9ECA3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2602"/>
    <xdr:sp macro="" textlink="">
      <xdr:nvSpPr>
        <xdr:cNvPr id="245" name="AutoShape 1" descr="Vista previa de toda la pantalla">
          <a:extLst>
            <a:ext uri="{FF2B5EF4-FFF2-40B4-BE49-F238E27FC236}">
              <a16:creationId xmlns:a16="http://schemas.microsoft.com/office/drawing/2014/main" id="{EEC64DA0-21EE-4298-9CF1-CDBBAFE301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2602"/>
    <xdr:sp macro="" textlink="">
      <xdr:nvSpPr>
        <xdr:cNvPr id="246" name="AutoShape 1" descr="Vista previa de toda la pantalla">
          <a:extLst>
            <a:ext uri="{FF2B5EF4-FFF2-40B4-BE49-F238E27FC236}">
              <a16:creationId xmlns:a16="http://schemas.microsoft.com/office/drawing/2014/main" id="{EC6FC4F3-CD74-4BED-8619-C40A45C64F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2602"/>
    <xdr:sp macro="" textlink="">
      <xdr:nvSpPr>
        <xdr:cNvPr id="247" name="AutoShape 1" descr="Vista previa de toda la pantalla">
          <a:extLst>
            <a:ext uri="{FF2B5EF4-FFF2-40B4-BE49-F238E27FC236}">
              <a16:creationId xmlns:a16="http://schemas.microsoft.com/office/drawing/2014/main" id="{4C63DF52-2E22-454F-AAEC-ABDA762E14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2602"/>
    <xdr:sp macro="" textlink="">
      <xdr:nvSpPr>
        <xdr:cNvPr id="248" name="AutoShape 1" descr="Vista previa de toda la pantalla">
          <a:extLst>
            <a:ext uri="{FF2B5EF4-FFF2-40B4-BE49-F238E27FC236}">
              <a16:creationId xmlns:a16="http://schemas.microsoft.com/office/drawing/2014/main" id="{170E2510-ABAE-4082-AEE1-F63628F5F1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2602"/>
    <xdr:sp macro="" textlink="">
      <xdr:nvSpPr>
        <xdr:cNvPr id="249" name="AutoShape 1" descr="Vista previa de toda la pantalla">
          <a:extLst>
            <a:ext uri="{FF2B5EF4-FFF2-40B4-BE49-F238E27FC236}">
              <a16:creationId xmlns:a16="http://schemas.microsoft.com/office/drawing/2014/main" id="{4DC980D7-C86A-431C-924B-2ABE7EC005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50" name="AutoShape 1" descr="Vista previa de toda la pantalla">
          <a:extLst>
            <a:ext uri="{FF2B5EF4-FFF2-40B4-BE49-F238E27FC236}">
              <a16:creationId xmlns:a16="http://schemas.microsoft.com/office/drawing/2014/main" id="{04F1B094-D766-4277-A9C9-53CC2A2961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2602"/>
    <xdr:sp macro="" textlink="">
      <xdr:nvSpPr>
        <xdr:cNvPr id="251" name="AutoShape 1" descr="Vista previa de toda la pantalla">
          <a:extLst>
            <a:ext uri="{FF2B5EF4-FFF2-40B4-BE49-F238E27FC236}">
              <a16:creationId xmlns:a16="http://schemas.microsoft.com/office/drawing/2014/main" id="{E48CE64C-2C81-4F28-8F6F-F0F4EC75C2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2602"/>
    <xdr:sp macro="" textlink="">
      <xdr:nvSpPr>
        <xdr:cNvPr id="252" name="AutoShape 1" descr="Vista previa de toda la pantalla">
          <a:extLst>
            <a:ext uri="{FF2B5EF4-FFF2-40B4-BE49-F238E27FC236}">
              <a16:creationId xmlns:a16="http://schemas.microsoft.com/office/drawing/2014/main" id="{5BB021B1-D546-4292-A62B-F2D5F62773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2602"/>
    <xdr:sp macro="" textlink="">
      <xdr:nvSpPr>
        <xdr:cNvPr id="253" name="AutoShape 1" descr="Vista previa de toda la pantalla">
          <a:extLst>
            <a:ext uri="{FF2B5EF4-FFF2-40B4-BE49-F238E27FC236}">
              <a16:creationId xmlns:a16="http://schemas.microsoft.com/office/drawing/2014/main" id="{E1611AD9-F62B-49AF-A4EC-8667253DB0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2602"/>
    <xdr:sp macro="" textlink="">
      <xdr:nvSpPr>
        <xdr:cNvPr id="254" name="AutoShape 1" descr="Vista previa de toda la pantalla">
          <a:extLst>
            <a:ext uri="{FF2B5EF4-FFF2-40B4-BE49-F238E27FC236}">
              <a16:creationId xmlns:a16="http://schemas.microsoft.com/office/drawing/2014/main" id="{9125424A-311A-4B5E-AF55-C38AE5AD80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55" name="AutoShape 1" descr="Vista previa de toda la pantalla">
          <a:extLst>
            <a:ext uri="{FF2B5EF4-FFF2-40B4-BE49-F238E27FC236}">
              <a16:creationId xmlns:a16="http://schemas.microsoft.com/office/drawing/2014/main" id="{29D387DA-57FF-4D5A-8A4A-98F096F66F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56" name="AutoShape 1" descr="Vista previa de toda la pantalla">
          <a:extLst>
            <a:ext uri="{FF2B5EF4-FFF2-40B4-BE49-F238E27FC236}">
              <a16:creationId xmlns:a16="http://schemas.microsoft.com/office/drawing/2014/main" id="{C70C45BD-981D-466C-90A1-DDAED33B50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57" name="AutoShape 1" descr="Vista previa de toda la pantalla">
          <a:extLst>
            <a:ext uri="{FF2B5EF4-FFF2-40B4-BE49-F238E27FC236}">
              <a16:creationId xmlns:a16="http://schemas.microsoft.com/office/drawing/2014/main" id="{264FE49D-E782-4FFD-904D-9DAFEC13F8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58" name="AutoShape 1" descr="Vista previa de toda la pantalla">
          <a:extLst>
            <a:ext uri="{FF2B5EF4-FFF2-40B4-BE49-F238E27FC236}">
              <a16:creationId xmlns:a16="http://schemas.microsoft.com/office/drawing/2014/main" id="{753A0A1D-095D-44BA-9038-45ED8A7A87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59" name="AutoShape 1" descr="Vista previa de toda la pantalla">
          <a:extLst>
            <a:ext uri="{FF2B5EF4-FFF2-40B4-BE49-F238E27FC236}">
              <a16:creationId xmlns:a16="http://schemas.microsoft.com/office/drawing/2014/main" id="{35F4690D-185F-4B69-8C8E-569C936A5E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60" name="AutoShape 1" descr="Vista previa de toda la pantalla">
          <a:extLst>
            <a:ext uri="{FF2B5EF4-FFF2-40B4-BE49-F238E27FC236}">
              <a16:creationId xmlns:a16="http://schemas.microsoft.com/office/drawing/2014/main" id="{1239F315-FC4D-4DF8-800E-F7CDA4EC04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61" name="AutoShape 1" descr="Vista previa de toda la pantalla">
          <a:extLst>
            <a:ext uri="{FF2B5EF4-FFF2-40B4-BE49-F238E27FC236}">
              <a16:creationId xmlns:a16="http://schemas.microsoft.com/office/drawing/2014/main" id="{16BE8A1A-3B88-4486-969B-DB996EEB2C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62" name="AutoShape 1" descr="Vista previa de toda la pantalla">
          <a:extLst>
            <a:ext uri="{FF2B5EF4-FFF2-40B4-BE49-F238E27FC236}">
              <a16:creationId xmlns:a16="http://schemas.microsoft.com/office/drawing/2014/main" id="{C3339843-1FC3-43F4-99F3-205FF7BBEF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63" name="AutoShape 1" descr="Vista previa de toda la pantalla">
          <a:extLst>
            <a:ext uri="{FF2B5EF4-FFF2-40B4-BE49-F238E27FC236}">
              <a16:creationId xmlns:a16="http://schemas.microsoft.com/office/drawing/2014/main" id="{C8DD0677-223B-4D21-B72A-8BA7ADF3A0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64" name="AutoShape 1" descr="Vista previa de toda la pantalla">
          <a:extLst>
            <a:ext uri="{FF2B5EF4-FFF2-40B4-BE49-F238E27FC236}">
              <a16:creationId xmlns:a16="http://schemas.microsoft.com/office/drawing/2014/main" id="{EDC07491-4243-437D-B743-38A23EBA80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65" name="AutoShape 1" descr="Vista previa de toda la pantalla">
          <a:extLst>
            <a:ext uri="{FF2B5EF4-FFF2-40B4-BE49-F238E27FC236}">
              <a16:creationId xmlns:a16="http://schemas.microsoft.com/office/drawing/2014/main" id="{7B6791B0-9611-41CF-A0AA-E0985825ED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66" name="AutoShape 1" descr="Vista previa de toda la pantalla">
          <a:extLst>
            <a:ext uri="{FF2B5EF4-FFF2-40B4-BE49-F238E27FC236}">
              <a16:creationId xmlns:a16="http://schemas.microsoft.com/office/drawing/2014/main" id="{8FD8D3DB-C855-48F5-BD99-D0E5B980B8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67" name="AutoShape 1" descr="Vista previa de toda la pantalla">
          <a:extLst>
            <a:ext uri="{FF2B5EF4-FFF2-40B4-BE49-F238E27FC236}">
              <a16:creationId xmlns:a16="http://schemas.microsoft.com/office/drawing/2014/main" id="{9A335C62-2379-4ED6-B5D9-6006A67BEB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68" name="AutoShape 1" descr="Vista previa de toda la pantalla">
          <a:extLst>
            <a:ext uri="{FF2B5EF4-FFF2-40B4-BE49-F238E27FC236}">
              <a16:creationId xmlns:a16="http://schemas.microsoft.com/office/drawing/2014/main" id="{3A21A97A-A113-42B3-8885-D10F38EC03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69" name="AutoShape 1" descr="Vista previa de toda la pantalla">
          <a:extLst>
            <a:ext uri="{FF2B5EF4-FFF2-40B4-BE49-F238E27FC236}">
              <a16:creationId xmlns:a16="http://schemas.microsoft.com/office/drawing/2014/main" id="{D4D8B68F-3050-4564-9DB0-AF477E39E4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70" name="AutoShape 1" descr="Vista previa de toda la pantalla">
          <a:extLst>
            <a:ext uri="{FF2B5EF4-FFF2-40B4-BE49-F238E27FC236}">
              <a16:creationId xmlns:a16="http://schemas.microsoft.com/office/drawing/2014/main" id="{2463802F-9DC1-411C-A770-AA9FC4094D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71" name="AutoShape 1" descr="Vista previa de toda la pantalla">
          <a:extLst>
            <a:ext uri="{FF2B5EF4-FFF2-40B4-BE49-F238E27FC236}">
              <a16:creationId xmlns:a16="http://schemas.microsoft.com/office/drawing/2014/main" id="{5946A3E5-3B37-482B-94F3-E72EE9FE40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72" name="AutoShape 1" descr="Vista previa de toda la pantalla">
          <a:extLst>
            <a:ext uri="{FF2B5EF4-FFF2-40B4-BE49-F238E27FC236}">
              <a16:creationId xmlns:a16="http://schemas.microsoft.com/office/drawing/2014/main" id="{66B3E852-A6B7-4F8B-97F6-8A2EC9BE2D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73" name="AutoShape 1" descr="Vista previa de toda la pantalla">
          <a:extLst>
            <a:ext uri="{FF2B5EF4-FFF2-40B4-BE49-F238E27FC236}">
              <a16:creationId xmlns:a16="http://schemas.microsoft.com/office/drawing/2014/main" id="{AE332339-22B7-4328-8765-EB9DBC9B21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74" name="AutoShape 1" descr="Vista previa de toda la pantalla">
          <a:extLst>
            <a:ext uri="{FF2B5EF4-FFF2-40B4-BE49-F238E27FC236}">
              <a16:creationId xmlns:a16="http://schemas.microsoft.com/office/drawing/2014/main" id="{B9256A6F-A11E-43AD-8A63-36E6F77A45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75" name="AutoShape 1" descr="Vista previa de toda la pantalla">
          <a:extLst>
            <a:ext uri="{FF2B5EF4-FFF2-40B4-BE49-F238E27FC236}">
              <a16:creationId xmlns:a16="http://schemas.microsoft.com/office/drawing/2014/main" id="{731F1343-C876-48F9-85F8-9984F8B5C1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76" name="AutoShape 1" descr="Vista previa de toda la pantalla">
          <a:extLst>
            <a:ext uri="{FF2B5EF4-FFF2-40B4-BE49-F238E27FC236}">
              <a16:creationId xmlns:a16="http://schemas.microsoft.com/office/drawing/2014/main" id="{A92A72D7-0E31-4623-95F7-FFF540B01A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77" name="AutoShape 1" descr="Vista previa de toda la pantalla">
          <a:extLst>
            <a:ext uri="{FF2B5EF4-FFF2-40B4-BE49-F238E27FC236}">
              <a16:creationId xmlns:a16="http://schemas.microsoft.com/office/drawing/2014/main" id="{60BB2DBD-4FC4-49E7-9FB2-BB2AB4E3CF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78" name="AutoShape 1" descr="Vista previa de toda la pantalla">
          <a:extLst>
            <a:ext uri="{FF2B5EF4-FFF2-40B4-BE49-F238E27FC236}">
              <a16:creationId xmlns:a16="http://schemas.microsoft.com/office/drawing/2014/main" id="{506E7432-404C-4502-A63F-A1D647C86F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79" name="AutoShape 1" descr="Vista previa de toda la pantalla">
          <a:extLst>
            <a:ext uri="{FF2B5EF4-FFF2-40B4-BE49-F238E27FC236}">
              <a16:creationId xmlns:a16="http://schemas.microsoft.com/office/drawing/2014/main" id="{A283C261-56AE-4D81-B7F3-3F6A91CCE9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80" name="AutoShape 1" descr="Vista previa de toda la pantalla">
          <a:extLst>
            <a:ext uri="{FF2B5EF4-FFF2-40B4-BE49-F238E27FC236}">
              <a16:creationId xmlns:a16="http://schemas.microsoft.com/office/drawing/2014/main" id="{B52E73AB-1FAA-4F3A-AEED-094C8E4E46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81" name="AutoShape 1" descr="Vista previa de toda la pantalla">
          <a:extLst>
            <a:ext uri="{FF2B5EF4-FFF2-40B4-BE49-F238E27FC236}">
              <a16:creationId xmlns:a16="http://schemas.microsoft.com/office/drawing/2014/main" id="{744D8F6C-0725-4D6A-A5A3-24A9436CB0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82" name="AutoShape 1" descr="Vista previa de toda la pantalla">
          <a:extLst>
            <a:ext uri="{FF2B5EF4-FFF2-40B4-BE49-F238E27FC236}">
              <a16:creationId xmlns:a16="http://schemas.microsoft.com/office/drawing/2014/main" id="{2B2A43A4-0A75-477F-B8FE-9E16FE6115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83" name="AutoShape 1" descr="Vista previa de toda la pantalla">
          <a:extLst>
            <a:ext uri="{FF2B5EF4-FFF2-40B4-BE49-F238E27FC236}">
              <a16:creationId xmlns:a16="http://schemas.microsoft.com/office/drawing/2014/main" id="{64BE8742-E930-408F-9FD7-6BADBA3B73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84" name="AutoShape 1" descr="Vista previa de toda la pantalla">
          <a:extLst>
            <a:ext uri="{FF2B5EF4-FFF2-40B4-BE49-F238E27FC236}">
              <a16:creationId xmlns:a16="http://schemas.microsoft.com/office/drawing/2014/main" id="{460BD494-ECB7-4094-8EDB-4FFC338010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85" name="AutoShape 1" descr="Vista previa de toda la pantalla">
          <a:extLst>
            <a:ext uri="{FF2B5EF4-FFF2-40B4-BE49-F238E27FC236}">
              <a16:creationId xmlns:a16="http://schemas.microsoft.com/office/drawing/2014/main" id="{94B625AA-BE22-4DB8-A21B-6225773290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86" name="AutoShape 1" descr="Vista previa de toda la pantalla">
          <a:extLst>
            <a:ext uri="{FF2B5EF4-FFF2-40B4-BE49-F238E27FC236}">
              <a16:creationId xmlns:a16="http://schemas.microsoft.com/office/drawing/2014/main" id="{DF309349-30C9-4988-B8E5-B09C952EFB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87" name="AutoShape 1" descr="Vista previa de toda la pantalla">
          <a:extLst>
            <a:ext uri="{FF2B5EF4-FFF2-40B4-BE49-F238E27FC236}">
              <a16:creationId xmlns:a16="http://schemas.microsoft.com/office/drawing/2014/main" id="{19C67F6A-953F-4868-8BA0-BA740F6CD0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88" name="AutoShape 1" descr="Vista previa de toda la pantalla">
          <a:extLst>
            <a:ext uri="{FF2B5EF4-FFF2-40B4-BE49-F238E27FC236}">
              <a16:creationId xmlns:a16="http://schemas.microsoft.com/office/drawing/2014/main" id="{63FF08AE-4567-4633-8FA2-201D729512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89" name="AutoShape 1" descr="Vista previa de toda la pantalla">
          <a:extLst>
            <a:ext uri="{FF2B5EF4-FFF2-40B4-BE49-F238E27FC236}">
              <a16:creationId xmlns:a16="http://schemas.microsoft.com/office/drawing/2014/main" id="{50D67A5A-7C1D-458D-8964-00CC3BD98D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90" name="AutoShape 1" descr="Vista previa de toda la pantalla">
          <a:extLst>
            <a:ext uri="{FF2B5EF4-FFF2-40B4-BE49-F238E27FC236}">
              <a16:creationId xmlns:a16="http://schemas.microsoft.com/office/drawing/2014/main" id="{4A3BD397-6873-4DA3-98CB-4F1C99DD9F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91" name="AutoShape 1" descr="Vista previa de toda la pantalla">
          <a:extLst>
            <a:ext uri="{FF2B5EF4-FFF2-40B4-BE49-F238E27FC236}">
              <a16:creationId xmlns:a16="http://schemas.microsoft.com/office/drawing/2014/main" id="{EFAF8045-5E83-4126-82CC-99C40DD153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92" name="AutoShape 1" descr="Vista previa de toda la pantalla">
          <a:extLst>
            <a:ext uri="{FF2B5EF4-FFF2-40B4-BE49-F238E27FC236}">
              <a16:creationId xmlns:a16="http://schemas.microsoft.com/office/drawing/2014/main" id="{35720ED7-CDA7-4CDB-A413-D1257F4366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93" name="AutoShape 1" descr="Vista previa de toda la pantalla">
          <a:extLst>
            <a:ext uri="{FF2B5EF4-FFF2-40B4-BE49-F238E27FC236}">
              <a16:creationId xmlns:a16="http://schemas.microsoft.com/office/drawing/2014/main" id="{E582EAF6-DAEB-4970-A51C-9D584193E5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94" name="AutoShape 1" descr="Vista previa de toda la pantalla">
          <a:extLst>
            <a:ext uri="{FF2B5EF4-FFF2-40B4-BE49-F238E27FC236}">
              <a16:creationId xmlns:a16="http://schemas.microsoft.com/office/drawing/2014/main" id="{25E0D6FE-AFF5-4FDD-ABB7-DA56BAC7D0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95" name="AutoShape 1" descr="Vista previa de toda la pantalla">
          <a:extLst>
            <a:ext uri="{FF2B5EF4-FFF2-40B4-BE49-F238E27FC236}">
              <a16:creationId xmlns:a16="http://schemas.microsoft.com/office/drawing/2014/main" id="{6AFA27B8-2520-403D-B79F-6F3F42AFAC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96" name="AutoShape 1" descr="Vista previa de toda la pantalla">
          <a:extLst>
            <a:ext uri="{FF2B5EF4-FFF2-40B4-BE49-F238E27FC236}">
              <a16:creationId xmlns:a16="http://schemas.microsoft.com/office/drawing/2014/main" id="{B5AD815A-1320-4455-B51C-118243B463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97" name="AutoShape 1" descr="Vista previa de toda la pantalla">
          <a:extLst>
            <a:ext uri="{FF2B5EF4-FFF2-40B4-BE49-F238E27FC236}">
              <a16:creationId xmlns:a16="http://schemas.microsoft.com/office/drawing/2014/main" id="{B2E07C53-025D-4B83-9AD2-80932456C6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298" name="AutoShape 1" descr="Vista previa de toda la pantalla">
          <a:extLst>
            <a:ext uri="{FF2B5EF4-FFF2-40B4-BE49-F238E27FC236}">
              <a16:creationId xmlns:a16="http://schemas.microsoft.com/office/drawing/2014/main" id="{2AD40BAC-669B-4BBF-A0A1-D3EC9633FA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299" name="AutoShape 1" descr="Vista previa de toda la pantalla">
          <a:extLst>
            <a:ext uri="{FF2B5EF4-FFF2-40B4-BE49-F238E27FC236}">
              <a16:creationId xmlns:a16="http://schemas.microsoft.com/office/drawing/2014/main" id="{73E1387D-0E4C-4A2B-811A-D02386B5E8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00" name="AutoShape 1" descr="Vista previa de toda la pantalla">
          <a:extLst>
            <a:ext uri="{FF2B5EF4-FFF2-40B4-BE49-F238E27FC236}">
              <a16:creationId xmlns:a16="http://schemas.microsoft.com/office/drawing/2014/main" id="{BC07A35F-8798-4F9B-808A-DF4A4D0833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01" name="AutoShape 1" descr="Vista previa de toda la pantalla">
          <a:extLst>
            <a:ext uri="{FF2B5EF4-FFF2-40B4-BE49-F238E27FC236}">
              <a16:creationId xmlns:a16="http://schemas.microsoft.com/office/drawing/2014/main" id="{2ED4317E-A8F7-4B24-B66A-F12C2340E3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02" name="AutoShape 1" descr="Vista previa de toda la pantalla">
          <a:extLst>
            <a:ext uri="{FF2B5EF4-FFF2-40B4-BE49-F238E27FC236}">
              <a16:creationId xmlns:a16="http://schemas.microsoft.com/office/drawing/2014/main" id="{42F1CFC9-F80D-481F-ACE3-B39AABCCF4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03" name="AutoShape 1" descr="Vista previa de toda la pantalla">
          <a:extLst>
            <a:ext uri="{FF2B5EF4-FFF2-40B4-BE49-F238E27FC236}">
              <a16:creationId xmlns:a16="http://schemas.microsoft.com/office/drawing/2014/main" id="{9647B39E-96A1-4870-9517-D48FECFB23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304" name="AutoShape 1" descr="Vista previa de toda la pantalla">
          <a:extLst>
            <a:ext uri="{FF2B5EF4-FFF2-40B4-BE49-F238E27FC236}">
              <a16:creationId xmlns:a16="http://schemas.microsoft.com/office/drawing/2014/main" id="{4C3C3C49-41B4-4DF0-9AE6-A1C4EAB436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05" name="AutoShape 1" descr="Vista previa de toda la pantalla">
          <a:extLst>
            <a:ext uri="{FF2B5EF4-FFF2-40B4-BE49-F238E27FC236}">
              <a16:creationId xmlns:a16="http://schemas.microsoft.com/office/drawing/2014/main" id="{EC816EBB-836C-48F5-9852-7D5063CDFC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06" name="AutoShape 1" descr="Vista previa de toda la pantalla">
          <a:extLst>
            <a:ext uri="{FF2B5EF4-FFF2-40B4-BE49-F238E27FC236}">
              <a16:creationId xmlns:a16="http://schemas.microsoft.com/office/drawing/2014/main" id="{3A05BB89-426E-4DFB-8E9C-A88CF1FC59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07" name="AutoShape 1" descr="Vista previa de toda la pantalla">
          <a:extLst>
            <a:ext uri="{FF2B5EF4-FFF2-40B4-BE49-F238E27FC236}">
              <a16:creationId xmlns:a16="http://schemas.microsoft.com/office/drawing/2014/main" id="{AE7D88B7-523B-4E24-9DF3-1D040A0D91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2602"/>
    <xdr:sp macro="" textlink="">
      <xdr:nvSpPr>
        <xdr:cNvPr id="308" name="AutoShape 1" descr="Vista previa de toda la pantalla">
          <a:extLst>
            <a:ext uri="{FF2B5EF4-FFF2-40B4-BE49-F238E27FC236}">
              <a16:creationId xmlns:a16="http://schemas.microsoft.com/office/drawing/2014/main" id="{5DA64AD4-F528-4DFF-8F20-DFD21C853C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309" name="AutoShape 1" descr="Vista previa de toda la pantalla">
          <a:extLst>
            <a:ext uri="{FF2B5EF4-FFF2-40B4-BE49-F238E27FC236}">
              <a16:creationId xmlns:a16="http://schemas.microsoft.com/office/drawing/2014/main" id="{57CBB447-49DA-4E83-9C16-257AC4A14A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310" name="AutoShape 1" descr="Vista previa de toda la pantalla">
          <a:extLst>
            <a:ext uri="{FF2B5EF4-FFF2-40B4-BE49-F238E27FC236}">
              <a16:creationId xmlns:a16="http://schemas.microsoft.com/office/drawing/2014/main" id="{64555553-5321-4181-A102-B87329AB0E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311" name="AutoShape 1" descr="Vista previa de toda la pantalla">
          <a:extLst>
            <a:ext uri="{FF2B5EF4-FFF2-40B4-BE49-F238E27FC236}">
              <a16:creationId xmlns:a16="http://schemas.microsoft.com/office/drawing/2014/main" id="{6D90329B-308F-48D1-B466-F7CDC2CE5C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312" name="AutoShape 1" descr="Vista previa de toda la pantalla">
          <a:extLst>
            <a:ext uri="{FF2B5EF4-FFF2-40B4-BE49-F238E27FC236}">
              <a16:creationId xmlns:a16="http://schemas.microsoft.com/office/drawing/2014/main" id="{396C223D-2A53-4879-A093-78AE67C442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313" name="AutoShape 1" descr="Vista previa de toda la pantalla">
          <a:extLst>
            <a:ext uri="{FF2B5EF4-FFF2-40B4-BE49-F238E27FC236}">
              <a16:creationId xmlns:a16="http://schemas.microsoft.com/office/drawing/2014/main" id="{25E5D0A8-59BD-4261-B311-98B97ECCCF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314" name="AutoShape 1" descr="Vista previa de toda la pantalla">
          <a:extLst>
            <a:ext uri="{FF2B5EF4-FFF2-40B4-BE49-F238E27FC236}">
              <a16:creationId xmlns:a16="http://schemas.microsoft.com/office/drawing/2014/main" id="{E7B0D12C-A0A2-45C6-862C-A16C501705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" name="AutoShape 1" descr="Vista previa de toda la pantalla">
          <a:extLst>
            <a:ext uri="{FF2B5EF4-FFF2-40B4-BE49-F238E27FC236}">
              <a16:creationId xmlns:a16="http://schemas.microsoft.com/office/drawing/2014/main" id="{C1588EDB-20E6-4F80-91DD-CD9FBB2ED6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" name="AutoShape 1" descr="Vista previa de toda la pantalla">
          <a:extLst>
            <a:ext uri="{FF2B5EF4-FFF2-40B4-BE49-F238E27FC236}">
              <a16:creationId xmlns:a16="http://schemas.microsoft.com/office/drawing/2014/main" id="{C9A94573-034E-4A83-82BB-D4B8425A7A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" name="AutoShape 1" descr="Vista previa de toda la pantalla">
          <a:extLst>
            <a:ext uri="{FF2B5EF4-FFF2-40B4-BE49-F238E27FC236}">
              <a16:creationId xmlns:a16="http://schemas.microsoft.com/office/drawing/2014/main" id="{16939AD3-E54E-493E-8F86-F2065C5A09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8" name="AutoShape 1" descr="Vista previa de toda la pantalla">
          <a:extLst>
            <a:ext uri="{FF2B5EF4-FFF2-40B4-BE49-F238E27FC236}">
              <a16:creationId xmlns:a16="http://schemas.microsoft.com/office/drawing/2014/main" id="{434EDF32-7CDD-492F-ADEA-BFA7084E57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" name="AutoShape 1" descr="Vista previa de toda la pantalla">
          <a:extLst>
            <a:ext uri="{FF2B5EF4-FFF2-40B4-BE49-F238E27FC236}">
              <a16:creationId xmlns:a16="http://schemas.microsoft.com/office/drawing/2014/main" id="{ED55A204-3EA9-4810-876A-B7AB697F0B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" name="AutoShape 1" descr="Vista previa de toda la pantalla">
          <a:extLst>
            <a:ext uri="{FF2B5EF4-FFF2-40B4-BE49-F238E27FC236}">
              <a16:creationId xmlns:a16="http://schemas.microsoft.com/office/drawing/2014/main" id="{4B1B4253-24B7-4EBF-B31D-5BF14E65AB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" name="AutoShape 1" descr="Vista previa de toda la pantalla">
          <a:extLst>
            <a:ext uri="{FF2B5EF4-FFF2-40B4-BE49-F238E27FC236}">
              <a16:creationId xmlns:a16="http://schemas.microsoft.com/office/drawing/2014/main" id="{31F2C05A-98E1-4E5E-B86A-6D283D9808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" name="AutoShape 1" descr="Vista previa de toda la pantalla">
          <a:extLst>
            <a:ext uri="{FF2B5EF4-FFF2-40B4-BE49-F238E27FC236}">
              <a16:creationId xmlns:a16="http://schemas.microsoft.com/office/drawing/2014/main" id="{78095606-ED58-4C40-ACF5-F7134C4F55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" name="AutoShape 1" descr="Vista previa de toda la pantalla">
          <a:extLst>
            <a:ext uri="{FF2B5EF4-FFF2-40B4-BE49-F238E27FC236}">
              <a16:creationId xmlns:a16="http://schemas.microsoft.com/office/drawing/2014/main" id="{8BB4F4E8-67B9-47EA-9D78-EE45CE167A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" name="AutoShape 1" descr="Vista previa de toda la pantalla">
          <a:extLst>
            <a:ext uri="{FF2B5EF4-FFF2-40B4-BE49-F238E27FC236}">
              <a16:creationId xmlns:a16="http://schemas.microsoft.com/office/drawing/2014/main" id="{23B79F4D-8FEF-43AF-A91C-C07AAEF08E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" name="AutoShape 1" descr="Vista previa de toda la pantalla">
          <a:extLst>
            <a:ext uri="{FF2B5EF4-FFF2-40B4-BE49-F238E27FC236}">
              <a16:creationId xmlns:a16="http://schemas.microsoft.com/office/drawing/2014/main" id="{593B24F7-5353-48BF-B2B3-01AB04326A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" name="AutoShape 1" descr="Vista previa de toda la pantalla">
          <a:extLst>
            <a:ext uri="{FF2B5EF4-FFF2-40B4-BE49-F238E27FC236}">
              <a16:creationId xmlns:a16="http://schemas.microsoft.com/office/drawing/2014/main" id="{8B412287-8AA7-4E5C-AF86-276E988365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" name="AutoShape 1" descr="Vista previa de toda la pantalla">
          <a:extLst>
            <a:ext uri="{FF2B5EF4-FFF2-40B4-BE49-F238E27FC236}">
              <a16:creationId xmlns:a16="http://schemas.microsoft.com/office/drawing/2014/main" id="{ED340B21-BD47-411F-B00D-A1E8707F65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" name="AutoShape 1" descr="Vista previa de toda la pantalla">
          <a:extLst>
            <a:ext uri="{FF2B5EF4-FFF2-40B4-BE49-F238E27FC236}">
              <a16:creationId xmlns:a16="http://schemas.microsoft.com/office/drawing/2014/main" id="{0A534BC2-D0C1-4CDE-9288-9625A9582D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" name="AutoShape 1" descr="Vista previa de toda la pantalla">
          <a:extLst>
            <a:ext uri="{FF2B5EF4-FFF2-40B4-BE49-F238E27FC236}">
              <a16:creationId xmlns:a16="http://schemas.microsoft.com/office/drawing/2014/main" id="{1B4BBF2D-72FD-4E59-AA15-B688DB1D54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" name="AutoShape 1" descr="Vista previa de toda la pantalla">
          <a:extLst>
            <a:ext uri="{FF2B5EF4-FFF2-40B4-BE49-F238E27FC236}">
              <a16:creationId xmlns:a16="http://schemas.microsoft.com/office/drawing/2014/main" id="{B3BEA39B-03F9-4874-AD14-62A3B2AEA0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" name="AutoShape 1" descr="Vista previa de toda la pantalla">
          <a:extLst>
            <a:ext uri="{FF2B5EF4-FFF2-40B4-BE49-F238E27FC236}">
              <a16:creationId xmlns:a16="http://schemas.microsoft.com/office/drawing/2014/main" id="{EB1DDFF0-D866-4FC9-B09A-5BE3C4960C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" name="AutoShape 1" descr="Vista previa de toda la pantalla">
          <a:extLst>
            <a:ext uri="{FF2B5EF4-FFF2-40B4-BE49-F238E27FC236}">
              <a16:creationId xmlns:a16="http://schemas.microsoft.com/office/drawing/2014/main" id="{9CB3169A-0C3D-4D01-B424-8FEAE017C8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" name="AutoShape 1" descr="Vista previa de toda la pantalla">
          <a:extLst>
            <a:ext uri="{FF2B5EF4-FFF2-40B4-BE49-F238E27FC236}">
              <a16:creationId xmlns:a16="http://schemas.microsoft.com/office/drawing/2014/main" id="{B36C58A2-1D1D-408B-BC74-EE2CFB5346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" name="AutoShape 1" descr="Vista previa de toda la pantalla">
          <a:extLst>
            <a:ext uri="{FF2B5EF4-FFF2-40B4-BE49-F238E27FC236}">
              <a16:creationId xmlns:a16="http://schemas.microsoft.com/office/drawing/2014/main" id="{B47E5B14-19F5-42A3-AE00-37075E9176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5" name="AutoShape 1" descr="Vista previa de toda la pantalla">
          <a:extLst>
            <a:ext uri="{FF2B5EF4-FFF2-40B4-BE49-F238E27FC236}">
              <a16:creationId xmlns:a16="http://schemas.microsoft.com/office/drawing/2014/main" id="{DC5FB8CF-5D16-4603-9ACB-D87799C4B6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" name="AutoShape 1" descr="Vista previa de toda la pantalla">
          <a:extLst>
            <a:ext uri="{FF2B5EF4-FFF2-40B4-BE49-F238E27FC236}">
              <a16:creationId xmlns:a16="http://schemas.microsoft.com/office/drawing/2014/main" id="{7A9F83CA-1456-46E8-B70A-7C1B42950D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" name="AutoShape 1" descr="Vista previa de toda la pantalla">
          <a:extLst>
            <a:ext uri="{FF2B5EF4-FFF2-40B4-BE49-F238E27FC236}">
              <a16:creationId xmlns:a16="http://schemas.microsoft.com/office/drawing/2014/main" id="{F3D07C0F-C954-4430-AC4A-EE10132E98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" name="AutoShape 1" descr="Vista previa de toda la pantalla">
          <a:extLst>
            <a:ext uri="{FF2B5EF4-FFF2-40B4-BE49-F238E27FC236}">
              <a16:creationId xmlns:a16="http://schemas.microsoft.com/office/drawing/2014/main" id="{0AA84F67-9746-4F63-8AC0-5832BD5916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" name="AutoShape 1" descr="Vista previa de toda la pantalla">
          <a:extLst>
            <a:ext uri="{FF2B5EF4-FFF2-40B4-BE49-F238E27FC236}">
              <a16:creationId xmlns:a16="http://schemas.microsoft.com/office/drawing/2014/main" id="{A7C7140B-C3DC-41FE-8281-A0231CD57A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" name="AutoShape 1" descr="Vista previa de toda la pantalla">
          <a:extLst>
            <a:ext uri="{FF2B5EF4-FFF2-40B4-BE49-F238E27FC236}">
              <a16:creationId xmlns:a16="http://schemas.microsoft.com/office/drawing/2014/main" id="{022AB038-CC55-41E0-BB16-F15F8E5799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" name="AutoShape 1" descr="Vista previa de toda la pantalla">
          <a:extLst>
            <a:ext uri="{FF2B5EF4-FFF2-40B4-BE49-F238E27FC236}">
              <a16:creationId xmlns:a16="http://schemas.microsoft.com/office/drawing/2014/main" id="{06800DC3-29E5-454E-B2CE-EF8D3954E8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" name="AutoShape 1" descr="Vista previa de toda la pantalla">
          <a:extLst>
            <a:ext uri="{FF2B5EF4-FFF2-40B4-BE49-F238E27FC236}">
              <a16:creationId xmlns:a16="http://schemas.microsoft.com/office/drawing/2014/main" id="{847AF418-94A4-4BDF-A5F1-1886800EEF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" name="AutoShape 1" descr="Vista previa de toda la pantalla">
          <a:extLst>
            <a:ext uri="{FF2B5EF4-FFF2-40B4-BE49-F238E27FC236}">
              <a16:creationId xmlns:a16="http://schemas.microsoft.com/office/drawing/2014/main" id="{ECBD4D68-27A0-4012-ACDD-99F77866DA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" name="AutoShape 1" descr="Vista previa de toda la pantalla">
          <a:extLst>
            <a:ext uri="{FF2B5EF4-FFF2-40B4-BE49-F238E27FC236}">
              <a16:creationId xmlns:a16="http://schemas.microsoft.com/office/drawing/2014/main" id="{D62A50B7-E5FD-4F08-9BD9-50852F58F1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" name="AutoShape 1" descr="Vista previa de toda la pantalla">
          <a:extLst>
            <a:ext uri="{FF2B5EF4-FFF2-40B4-BE49-F238E27FC236}">
              <a16:creationId xmlns:a16="http://schemas.microsoft.com/office/drawing/2014/main" id="{0AA973A9-4607-44E8-A72A-F4FCF69CBF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" name="AutoShape 1" descr="Vista previa de toda la pantalla">
          <a:extLst>
            <a:ext uri="{FF2B5EF4-FFF2-40B4-BE49-F238E27FC236}">
              <a16:creationId xmlns:a16="http://schemas.microsoft.com/office/drawing/2014/main" id="{19A19D3F-6C2B-4D9D-9EC3-2166088EBA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" name="AutoShape 1" descr="Vista previa de toda la pantalla">
          <a:extLst>
            <a:ext uri="{FF2B5EF4-FFF2-40B4-BE49-F238E27FC236}">
              <a16:creationId xmlns:a16="http://schemas.microsoft.com/office/drawing/2014/main" id="{5ADD6BDE-D306-4C76-8A69-D2DCAABE7F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" name="AutoShape 1" descr="Vista previa de toda la pantalla">
          <a:extLst>
            <a:ext uri="{FF2B5EF4-FFF2-40B4-BE49-F238E27FC236}">
              <a16:creationId xmlns:a16="http://schemas.microsoft.com/office/drawing/2014/main" id="{6EA9E39E-011C-4485-9B01-8ECF62F973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" name="AutoShape 1" descr="Vista previa de toda la pantalla">
          <a:extLst>
            <a:ext uri="{FF2B5EF4-FFF2-40B4-BE49-F238E27FC236}">
              <a16:creationId xmlns:a16="http://schemas.microsoft.com/office/drawing/2014/main" id="{A428BA70-9801-41DF-8A29-743F7FB9BE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" name="AutoShape 1" descr="Vista previa de toda la pantalla">
          <a:extLst>
            <a:ext uri="{FF2B5EF4-FFF2-40B4-BE49-F238E27FC236}">
              <a16:creationId xmlns:a16="http://schemas.microsoft.com/office/drawing/2014/main" id="{FBA82BA4-B8F2-4D1F-BD67-1C293C0A20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" name="AutoShape 1" descr="Vista previa de toda la pantalla">
          <a:extLst>
            <a:ext uri="{FF2B5EF4-FFF2-40B4-BE49-F238E27FC236}">
              <a16:creationId xmlns:a16="http://schemas.microsoft.com/office/drawing/2014/main" id="{CE75FB8A-13C5-42CE-81E7-BE551060EF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2" name="AutoShape 1" descr="Vista previa de toda la pantalla">
          <a:extLst>
            <a:ext uri="{FF2B5EF4-FFF2-40B4-BE49-F238E27FC236}">
              <a16:creationId xmlns:a16="http://schemas.microsoft.com/office/drawing/2014/main" id="{6D553F8A-5BC8-4DBA-808C-AFD5201926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" name="AutoShape 1" descr="Vista previa de toda la pantalla">
          <a:extLst>
            <a:ext uri="{FF2B5EF4-FFF2-40B4-BE49-F238E27FC236}">
              <a16:creationId xmlns:a16="http://schemas.microsoft.com/office/drawing/2014/main" id="{343111ED-6FE1-477B-8BF2-C967812437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" name="AutoShape 1" descr="Vista previa de toda la pantalla">
          <a:extLst>
            <a:ext uri="{FF2B5EF4-FFF2-40B4-BE49-F238E27FC236}">
              <a16:creationId xmlns:a16="http://schemas.microsoft.com/office/drawing/2014/main" id="{E61C5402-9B80-4A2E-A46D-D02AB4F41C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" name="AutoShape 1" descr="Vista previa de toda la pantalla">
          <a:extLst>
            <a:ext uri="{FF2B5EF4-FFF2-40B4-BE49-F238E27FC236}">
              <a16:creationId xmlns:a16="http://schemas.microsoft.com/office/drawing/2014/main" id="{DE2A0361-B617-4EF3-AED9-D58AE482D9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" name="AutoShape 1" descr="Vista previa de toda la pantalla">
          <a:extLst>
            <a:ext uri="{FF2B5EF4-FFF2-40B4-BE49-F238E27FC236}">
              <a16:creationId xmlns:a16="http://schemas.microsoft.com/office/drawing/2014/main" id="{763EBA03-738D-4EA2-9D6C-144283DE01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" name="AutoShape 1" descr="Vista previa de toda la pantalla">
          <a:extLst>
            <a:ext uri="{FF2B5EF4-FFF2-40B4-BE49-F238E27FC236}">
              <a16:creationId xmlns:a16="http://schemas.microsoft.com/office/drawing/2014/main" id="{7D381847-4502-496A-8EFA-B99A57E38C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" name="AutoShape 1" descr="Vista previa de toda la pantalla">
          <a:extLst>
            <a:ext uri="{FF2B5EF4-FFF2-40B4-BE49-F238E27FC236}">
              <a16:creationId xmlns:a16="http://schemas.microsoft.com/office/drawing/2014/main" id="{73B6154F-3E14-4997-8B40-586F85173E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" name="AutoShape 1" descr="Vista previa de toda la pantalla">
          <a:extLst>
            <a:ext uri="{FF2B5EF4-FFF2-40B4-BE49-F238E27FC236}">
              <a16:creationId xmlns:a16="http://schemas.microsoft.com/office/drawing/2014/main" id="{05B7D8CC-A19F-4F7C-8413-1D930078B8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" name="AutoShape 1" descr="Vista previa de toda la pantalla">
          <a:extLst>
            <a:ext uri="{FF2B5EF4-FFF2-40B4-BE49-F238E27FC236}">
              <a16:creationId xmlns:a16="http://schemas.microsoft.com/office/drawing/2014/main" id="{0BBD87D4-FDB3-4B2B-AF00-71955370D3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" name="AutoShape 1" descr="Vista previa de toda la pantalla">
          <a:extLst>
            <a:ext uri="{FF2B5EF4-FFF2-40B4-BE49-F238E27FC236}">
              <a16:creationId xmlns:a16="http://schemas.microsoft.com/office/drawing/2014/main" id="{1624C72C-7E2B-4C0B-86F7-3033D1919F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" name="AutoShape 1" descr="Vista previa de toda la pantalla">
          <a:extLst>
            <a:ext uri="{FF2B5EF4-FFF2-40B4-BE49-F238E27FC236}">
              <a16:creationId xmlns:a16="http://schemas.microsoft.com/office/drawing/2014/main" id="{048AB481-DA09-4722-8C0E-E155D4206A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" name="AutoShape 1" descr="Vista previa de toda la pantalla">
          <a:extLst>
            <a:ext uri="{FF2B5EF4-FFF2-40B4-BE49-F238E27FC236}">
              <a16:creationId xmlns:a16="http://schemas.microsoft.com/office/drawing/2014/main" id="{E2E884B5-B8B3-4D7A-836F-351CE3FA69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" name="AutoShape 1" descr="Vista previa de toda la pantalla">
          <a:extLst>
            <a:ext uri="{FF2B5EF4-FFF2-40B4-BE49-F238E27FC236}">
              <a16:creationId xmlns:a16="http://schemas.microsoft.com/office/drawing/2014/main" id="{878C370F-CBB2-4772-B2A7-988FD54EA5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" name="AutoShape 1" descr="Vista previa de toda la pantalla">
          <a:extLst>
            <a:ext uri="{FF2B5EF4-FFF2-40B4-BE49-F238E27FC236}">
              <a16:creationId xmlns:a16="http://schemas.microsoft.com/office/drawing/2014/main" id="{477DE961-3A8B-4D8A-A277-D0927695DF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" name="AutoShape 1" descr="Vista previa de toda la pantalla">
          <a:extLst>
            <a:ext uri="{FF2B5EF4-FFF2-40B4-BE49-F238E27FC236}">
              <a16:creationId xmlns:a16="http://schemas.microsoft.com/office/drawing/2014/main" id="{6EE898C9-291A-45F9-9696-941EFF07CD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" name="AutoShape 1" descr="Vista previa de toda la pantalla">
          <a:extLst>
            <a:ext uri="{FF2B5EF4-FFF2-40B4-BE49-F238E27FC236}">
              <a16:creationId xmlns:a16="http://schemas.microsoft.com/office/drawing/2014/main" id="{BCD6670E-5A4A-4548-B304-AA62092042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" name="AutoShape 1" descr="Vista previa de toda la pantalla">
          <a:extLst>
            <a:ext uri="{FF2B5EF4-FFF2-40B4-BE49-F238E27FC236}">
              <a16:creationId xmlns:a16="http://schemas.microsoft.com/office/drawing/2014/main" id="{8ED66B41-6162-4A7F-8C23-6A7FD40BFD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" name="AutoShape 1" descr="Vista previa de toda la pantalla">
          <a:extLst>
            <a:ext uri="{FF2B5EF4-FFF2-40B4-BE49-F238E27FC236}">
              <a16:creationId xmlns:a16="http://schemas.microsoft.com/office/drawing/2014/main" id="{F0F282B3-85A0-4279-96C6-F8F4F4C040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" name="AutoShape 1" descr="Vista previa de toda la pantalla">
          <a:extLst>
            <a:ext uri="{FF2B5EF4-FFF2-40B4-BE49-F238E27FC236}">
              <a16:creationId xmlns:a16="http://schemas.microsoft.com/office/drawing/2014/main" id="{14F1DBBF-8060-4D23-858A-D03FA31801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" name="AutoShape 1" descr="Vista previa de toda la pantalla">
          <a:extLst>
            <a:ext uri="{FF2B5EF4-FFF2-40B4-BE49-F238E27FC236}">
              <a16:creationId xmlns:a16="http://schemas.microsoft.com/office/drawing/2014/main" id="{E8CDC3B9-CDC5-411C-A50B-F913A28CA1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" name="AutoShape 1" descr="Vista previa de toda la pantalla">
          <a:extLst>
            <a:ext uri="{FF2B5EF4-FFF2-40B4-BE49-F238E27FC236}">
              <a16:creationId xmlns:a16="http://schemas.microsoft.com/office/drawing/2014/main" id="{7816B1FC-A3B5-4421-B000-0514156FC3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" name="AutoShape 1" descr="Vista previa de toda la pantalla">
          <a:extLst>
            <a:ext uri="{FF2B5EF4-FFF2-40B4-BE49-F238E27FC236}">
              <a16:creationId xmlns:a16="http://schemas.microsoft.com/office/drawing/2014/main" id="{16FCDBF5-4F2C-492C-A965-EC84BDAD57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" name="AutoShape 1" descr="Vista previa de toda la pantalla">
          <a:extLst>
            <a:ext uri="{FF2B5EF4-FFF2-40B4-BE49-F238E27FC236}">
              <a16:creationId xmlns:a16="http://schemas.microsoft.com/office/drawing/2014/main" id="{F2EFDF52-EEE7-47F1-AE41-4645BA828B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" name="AutoShape 1" descr="Vista previa de toda la pantalla">
          <a:extLst>
            <a:ext uri="{FF2B5EF4-FFF2-40B4-BE49-F238E27FC236}">
              <a16:creationId xmlns:a16="http://schemas.microsoft.com/office/drawing/2014/main" id="{E1E4882B-1F42-4800-A141-1CDD6235CA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" name="AutoShape 1" descr="Vista previa de toda la pantalla">
          <a:extLst>
            <a:ext uri="{FF2B5EF4-FFF2-40B4-BE49-F238E27FC236}">
              <a16:creationId xmlns:a16="http://schemas.microsoft.com/office/drawing/2014/main" id="{80E4FF24-8EBE-4529-B8B5-D32D6C5562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" name="AutoShape 1" descr="Vista previa de toda la pantalla">
          <a:extLst>
            <a:ext uri="{FF2B5EF4-FFF2-40B4-BE49-F238E27FC236}">
              <a16:creationId xmlns:a16="http://schemas.microsoft.com/office/drawing/2014/main" id="{8D2D63A3-F1A9-4A1C-A908-E8A5CF521E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" name="AutoShape 1" descr="Vista previa de toda la pantalla">
          <a:extLst>
            <a:ext uri="{FF2B5EF4-FFF2-40B4-BE49-F238E27FC236}">
              <a16:creationId xmlns:a16="http://schemas.microsoft.com/office/drawing/2014/main" id="{22B5E828-A0B6-45E6-958F-950E9E72B0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" name="AutoShape 1" descr="Vista previa de toda la pantalla">
          <a:extLst>
            <a:ext uri="{FF2B5EF4-FFF2-40B4-BE49-F238E27FC236}">
              <a16:creationId xmlns:a16="http://schemas.microsoft.com/office/drawing/2014/main" id="{F0447FE2-62ED-4F79-8286-C447AD205C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" name="AutoShape 1" descr="Vista previa de toda la pantalla">
          <a:extLst>
            <a:ext uri="{FF2B5EF4-FFF2-40B4-BE49-F238E27FC236}">
              <a16:creationId xmlns:a16="http://schemas.microsoft.com/office/drawing/2014/main" id="{8B69D292-40C9-4885-A9DE-7E0157E58E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" name="AutoShape 1" descr="Vista previa de toda la pantalla">
          <a:extLst>
            <a:ext uri="{FF2B5EF4-FFF2-40B4-BE49-F238E27FC236}">
              <a16:creationId xmlns:a16="http://schemas.microsoft.com/office/drawing/2014/main" id="{29A7D46D-5891-4A63-9C9E-A70C34F7C3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" name="AutoShape 1" descr="Vista previa de toda la pantalla">
          <a:extLst>
            <a:ext uri="{FF2B5EF4-FFF2-40B4-BE49-F238E27FC236}">
              <a16:creationId xmlns:a16="http://schemas.microsoft.com/office/drawing/2014/main" id="{73EA6B94-9996-438E-968E-AE66AF70D5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" name="AutoShape 1" descr="Vista previa de toda la pantalla">
          <a:extLst>
            <a:ext uri="{FF2B5EF4-FFF2-40B4-BE49-F238E27FC236}">
              <a16:creationId xmlns:a16="http://schemas.microsoft.com/office/drawing/2014/main" id="{4CD3F3B4-8C78-4394-BC0E-DF4F0FF9DF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" name="AutoShape 1" descr="Vista previa de toda la pantalla">
          <a:extLst>
            <a:ext uri="{FF2B5EF4-FFF2-40B4-BE49-F238E27FC236}">
              <a16:creationId xmlns:a16="http://schemas.microsoft.com/office/drawing/2014/main" id="{479C03DD-4B77-4B10-97E3-3977496256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5" name="AutoShape 1" descr="Vista previa de toda la pantalla">
          <a:extLst>
            <a:ext uri="{FF2B5EF4-FFF2-40B4-BE49-F238E27FC236}">
              <a16:creationId xmlns:a16="http://schemas.microsoft.com/office/drawing/2014/main" id="{26EBF075-3B35-4754-8039-F3577E55EA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" name="AutoShape 1" descr="Vista previa de toda la pantalla">
          <a:extLst>
            <a:ext uri="{FF2B5EF4-FFF2-40B4-BE49-F238E27FC236}">
              <a16:creationId xmlns:a16="http://schemas.microsoft.com/office/drawing/2014/main" id="{12B3A386-71FD-484C-A21F-14AE35A2F0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" name="AutoShape 1" descr="Vista previa de toda la pantalla">
          <a:extLst>
            <a:ext uri="{FF2B5EF4-FFF2-40B4-BE49-F238E27FC236}">
              <a16:creationId xmlns:a16="http://schemas.microsoft.com/office/drawing/2014/main" id="{677FBA33-40DD-4BAB-8300-A06B810AF1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" name="AutoShape 1" descr="Vista previa de toda la pantalla">
          <a:extLst>
            <a:ext uri="{FF2B5EF4-FFF2-40B4-BE49-F238E27FC236}">
              <a16:creationId xmlns:a16="http://schemas.microsoft.com/office/drawing/2014/main" id="{3DF972D7-32BE-44A3-B047-673BC92163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" name="AutoShape 1" descr="Vista previa de toda la pantalla">
          <a:extLst>
            <a:ext uri="{FF2B5EF4-FFF2-40B4-BE49-F238E27FC236}">
              <a16:creationId xmlns:a16="http://schemas.microsoft.com/office/drawing/2014/main" id="{E444C757-A159-457E-A12C-A13333520D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" name="AutoShape 1" descr="Vista previa de toda la pantalla">
          <a:extLst>
            <a:ext uri="{FF2B5EF4-FFF2-40B4-BE49-F238E27FC236}">
              <a16:creationId xmlns:a16="http://schemas.microsoft.com/office/drawing/2014/main" id="{4A51EA77-23E1-4D74-BD10-66170B9FC5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" name="AutoShape 1" descr="Vista previa de toda la pantalla">
          <a:extLst>
            <a:ext uri="{FF2B5EF4-FFF2-40B4-BE49-F238E27FC236}">
              <a16:creationId xmlns:a16="http://schemas.microsoft.com/office/drawing/2014/main" id="{9B871612-47A8-4CEA-B347-ED9D36F24A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" name="AutoShape 1" descr="Vista previa de toda la pantalla">
          <a:extLst>
            <a:ext uri="{FF2B5EF4-FFF2-40B4-BE49-F238E27FC236}">
              <a16:creationId xmlns:a16="http://schemas.microsoft.com/office/drawing/2014/main" id="{04EF4BE0-1E1A-49BE-B091-EC03DB39DF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" name="AutoShape 1" descr="Vista previa de toda la pantalla">
          <a:extLst>
            <a:ext uri="{FF2B5EF4-FFF2-40B4-BE49-F238E27FC236}">
              <a16:creationId xmlns:a16="http://schemas.microsoft.com/office/drawing/2014/main" id="{1232E54A-5E78-4CAB-A897-2547960F60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" name="AutoShape 1" descr="Vista previa de toda la pantalla">
          <a:extLst>
            <a:ext uri="{FF2B5EF4-FFF2-40B4-BE49-F238E27FC236}">
              <a16:creationId xmlns:a16="http://schemas.microsoft.com/office/drawing/2014/main" id="{C8C738A9-D17A-469B-8681-CF6793E85D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" name="AutoShape 1" descr="Vista previa de toda la pantalla">
          <a:extLst>
            <a:ext uri="{FF2B5EF4-FFF2-40B4-BE49-F238E27FC236}">
              <a16:creationId xmlns:a16="http://schemas.microsoft.com/office/drawing/2014/main" id="{3D71C7AC-822D-4C6E-8A05-DE981F498F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" name="AutoShape 1" descr="Vista previa de toda la pantalla">
          <a:extLst>
            <a:ext uri="{FF2B5EF4-FFF2-40B4-BE49-F238E27FC236}">
              <a16:creationId xmlns:a16="http://schemas.microsoft.com/office/drawing/2014/main" id="{2576556F-DE2A-41C6-AF7A-3B94D434DA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" name="AutoShape 1" descr="Vista previa de toda la pantalla">
          <a:extLst>
            <a:ext uri="{FF2B5EF4-FFF2-40B4-BE49-F238E27FC236}">
              <a16:creationId xmlns:a16="http://schemas.microsoft.com/office/drawing/2014/main" id="{4C182CA9-21D6-4B27-85E5-1EB0DF689D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" name="AutoShape 1" descr="Vista previa de toda la pantalla">
          <a:extLst>
            <a:ext uri="{FF2B5EF4-FFF2-40B4-BE49-F238E27FC236}">
              <a16:creationId xmlns:a16="http://schemas.microsoft.com/office/drawing/2014/main" id="{F472B7EE-4AD2-437C-97F6-5CAD40C0B1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" name="AutoShape 1" descr="Vista previa de toda la pantalla">
          <a:extLst>
            <a:ext uri="{FF2B5EF4-FFF2-40B4-BE49-F238E27FC236}">
              <a16:creationId xmlns:a16="http://schemas.microsoft.com/office/drawing/2014/main" id="{0B1A748A-94DC-43A8-8689-0919E6E260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" name="AutoShape 1" descr="Vista previa de toda la pantalla">
          <a:extLst>
            <a:ext uri="{FF2B5EF4-FFF2-40B4-BE49-F238E27FC236}">
              <a16:creationId xmlns:a16="http://schemas.microsoft.com/office/drawing/2014/main" id="{8F6A9B1A-FC99-4956-9F11-39707D6C9A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" name="AutoShape 1" descr="Vista previa de toda la pantalla">
          <a:extLst>
            <a:ext uri="{FF2B5EF4-FFF2-40B4-BE49-F238E27FC236}">
              <a16:creationId xmlns:a16="http://schemas.microsoft.com/office/drawing/2014/main" id="{AAAA4034-4155-400D-B541-C4A692F1AF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2" name="AutoShape 1" descr="Vista previa de toda la pantalla">
          <a:extLst>
            <a:ext uri="{FF2B5EF4-FFF2-40B4-BE49-F238E27FC236}">
              <a16:creationId xmlns:a16="http://schemas.microsoft.com/office/drawing/2014/main" id="{7B04843C-D54B-4234-96AB-A5A5112F66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" name="AutoShape 1" descr="Vista previa de toda la pantalla">
          <a:extLst>
            <a:ext uri="{FF2B5EF4-FFF2-40B4-BE49-F238E27FC236}">
              <a16:creationId xmlns:a16="http://schemas.microsoft.com/office/drawing/2014/main" id="{792899C9-65BC-4B62-B3E0-E13B16F679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" name="AutoShape 1" descr="Vista previa de toda la pantalla">
          <a:extLst>
            <a:ext uri="{FF2B5EF4-FFF2-40B4-BE49-F238E27FC236}">
              <a16:creationId xmlns:a16="http://schemas.microsoft.com/office/drawing/2014/main" id="{E9F235D3-93E0-4134-949E-6F34085413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" name="AutoShape 1" descr="Vista previa de toda la pantalla">
          <a:extLst>
            <a:ext uri="{FF2B5EF4-FFF2-40B4-BE49-F238E27FC236}">
              <a16:creationId xmlns:a16="http://schemas.microsoft.com/office/drawing/2014/main" id="{F90F546F-35A2-4A52-A0FD-E2E25BE890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" name="AutoShape 1" descr="Vista previa de toda la pantalla">
          <a:extLst>
            <a:ext uri="{FF2B5EF4-FFF2-40B4-BE49-F238E27FC236}">
              <a16:creationId xmlns:a16="http://schemas.microsoft.com/office/drawing/2014/main" id="{C256F425-1B8C-410E-A58D-9ECF139097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" name="AutoShape 1" descr="Vista previa de toda la pantalla">
          <a:extLst>
            <a:ext uri="{FF2B5EF4-FFF2-40B4-BE49-F238E27FC236}">
              <a16:creationId xmlns:a16="http://schemas.microsoft.com/office/drawing/2014/main" id="{A17FAFAE-3CFF-4EA4-AAC4-E50570189D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" name="AutoShape 1" descr="Vista previa de toda la pantalla">
          <a:extLst>
            <a:ext uri="{FF2B5EF4-FFF2-40B4-BE49-F238E27FC236}">
              <a16:creationId xmlns:a16="http://schemas.microsoft.com/office/drawing/2014/main" id="{3DBE7389-6FE9-4E17-8178-70C7007118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" name="AutoShape 1" descr="Vista previa de toda la pantalla">
          <a:extLst>
            <a:ext uri="{FF2B5EF4-FFF2-40B4-BE49-F238E27FC236}">
              <a16:creationId xmlns:a16="http://schemas.microsoft.com/office/drawing/2014/main" id="{A3FFCD67-4B33-49C8-8543-D76F57B6BA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" name="AutoShape 1" descr="Vista previa de toda la pantalla">
          <a:extLst>
            <a:ext uri="{FF2B5EF4-FFF2-40B4-BE49-F238E27FC236}">
              <a16:creationId xmlns:a16="http://schemas.microsoft.com/office/drawing/2014/main" id="{C2593EC4-010C-447B-8C43-2B237F49B8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" name="AutoShape 1" descr="Vista previa de toda la pantalla">
          <a:extLst>
            <a:ext uri="{FF2B5EF4-FFF2-40B4-BE49-F238E27FC236}">
              <a16:creationId xmlns:a16="http://schemas.microsoft.com/office/drawing/2014/main" id="{93783A6F-53B6-4CDE-9CCF-AD6B68CEEF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" name="AutoShape 1" descr="Vista previa de toda la pantalla">
          <a:extLst>
            <a:ext uri="{FF2B5EF4-FFF2-40B4-BE49-F238E27FC236}">
              <a16:creationId xmlns:a16="http://schemas.microsoft.com/office/drawing/2014/main" id="{D2770816-52AB-4C84-9DE5-7E72F11A0D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" name="AutoShape 1" descr="Vista previa de toda la pantalla">
          <a:extLst>
            <a:ext uri="{FF2B5EF4-FFF2-40B4-BE49-F238E27FC236}">
              <a16:creationId xmlns:a16="http://schemas.microsoft.com/office/drawing/2014/main" id="{167629AE-A3F2-47BF-A1F8-EB60E47053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" name="AutoShape 1" descr="Vista previa de toda la pantalla">
          <a:extLst>
            <a:ext uri="{FF2B5EF4-FFF2-40B4-BE49-F238E27FC236}">
              <a16:creationId xmlns:a16="http://schemas.microsoft.com/office/drawing/2014/main" id="{31FAA97B-D25B-4249-93B5-ECDA4FB5C3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" name="AutoShape 1" descr="Vista previa de toda la pantalla">
          <a:extLst>
            <a:ext uri="{FF2B5EF4-FFF2-40B4-BE49-F238E27FC236}">
              <a16:creationId xmlns:a16="http://schemas.microsoft.com/office/drawing/2014/main" id="{249F9AA6-9423-49CF-81C3-92201DF3E5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" name="AutoShape 1" descr="Vista previa de toda la pantalla">
          <a:extLst>
            <a:ext uri="{FF2B5EF4-FFF2-40B4-BE49-F238E27FC236}">
              <a16:creationId xmlns:a16="http://schemas.microsoft.com/office/drawing/2014/main" id="{90B33BCA-270F-4B4C-B4FC-65612AD59C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" name="AutoShape 1" descr="Vista previa de toda la pantalla">
          <a:extLst>
            <a:ext uri="{FF2B5EF4-FFF2-40B4-BE49-F238E27FC236}">
              <a16:creationId xmlns:a16="http://schemas.microsoft.com/office/drawing/2014/main" id="{BDF0CEC0-4E97-40FF-981D-D9E106FAA9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" name="AutoShape 1" descr="Vista previa de toda la pantalla">
          <a:extLst>
            <a:ext uri="{FF2B5EF4-FFF2-40B4-BE49-F238E27FC236}">
              <a16:creationId xmlns:a16="http://schemas.microsoft.com/office/drawing/2014/main" id="{E2D67801-BB12-4D9D-BE3C-2E1A6749DB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9" name="AutoShape 1" descr="Vista previa de toda la pantalla">
          <a:extLst>
            <a:ext uri="{FF2B5EF4-FFF2-40B4-BE49-F238E27FC236}">
              <a16:creationId xmlns:a16="http://schemas.microsoft.com/office/drawing/2014/main" id="{D6EF3E24-0D33-4A77-9FF6-256F34F03E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" name="AutoShape 1" descr="Vista previa de toda la pantalla">
          <a:extLst>
            <a:ext uri="{FF2B5EF4-FFF2-40B4-BE49-F238E27FC236}">
              <a16:creationId xmlns:a16="http://schemas.microsoft.com/office/drawing/2014/main" id="{9148D189-02F7-4A9C-A7F7-AD3A8EB60D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" name="AutoShape 1" descr="Vista previa de toda la pantalla">
          <a:extLst>
            <a:ext uri="{FF2B5EF4-FFF2-40B4-BE49-F238E27FC236}">
              <a16:creationId xmlns:a16="http://schemas.microsoft.com/office/drawing/2014/main" id="{2EA17D9D-B219-4E88-A7F8-D4F6190355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" name="AutoShape 1" descr="Vista previa de toda la pantalla">
          <a:extLst>
            <a:ext uri="{FF2B5EF4-FFF2-40B4-BE49-F238E27FC236}">
              <a16:creationId xmlns:a16="http://schemas.microsoft.com/office/drawing/2014/main" id="{A0F07F60-7AB7-4302-8E6E-46D7185DAF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" name="AutoShape 1" descr="Vista previa de toda la pantalla">
          <a:extLst>
            <a:ext uri="{FF2B5EF4-FFF2-40B4-BE49-F238E27FC236}">
              <a16:creationId xmlns:a16="http://schemas.microsoft.com/office/drawing/2014/main" id="{307462C2-7592-46DA-BB4C-22417954AE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" name="AutoShape 1" descr="Vista previa de toda la pantalla">
          <a:extLst>
            <a:ext uri="{FF2B5EF4-FFF2-40B4-BE49-F238E27FC236}">
              <a16:creationId xmlns:a16="http://schemas.microsoft.com/office/drawing/2014/main" id="{467E1365-8CB7-4101-9BA0-5663F14CDC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" name="AutoShape 1" descr="Vista previa de toda la pantalla">
          <a:extLst>
            <a:ext uri="{FF2B5EF4-FFF2-40B4-BE49-F238E27FC236}">
              <a16:creationId xmlns:a16="http://schemas.microsoft.com/office/drawing/2014/main" id="{19A8E41D-B2C0-4AD6-8BAA-6DB7BFD4FB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" name="AutoShape 1" descr="Vista previa de toda la pantalla">
          <a:extLst>
            <a:ext uri="{FF2B5EF4-FFF2-40B4-BE49-F238E27FC236}">
              <a16:creationId xmlns:a16="http://schemas.microsoft.com/office/drawing/2014/main" id="{DF454314-8C2F-4D09-BFEC-87FB4A7961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" name="AutoShape 1" descr="Vista previa de toda la pantalla">
          <a:extLst>
            <a:ext uri="{FF2B5EF4-FFF2-40B4-BE49-F238E27FC236}">
              <a16:creationId xmlns:a16="http://schemas.microsoft.com/office/drawing/2014/main" id="{8D82F968-A869-44D6-B84A-E33AAD9962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" name="AutoShape 1" descr="Vista previa de toda la pantalla">
          <a:extLst>
            <a:ext uri="{FF2B5EF4-FFF2-40B4-BE49-F238E27FC236}">
              <a16:creationId xmlns:a16="http://schemas.microsoft.com/office/drawing/2014/main" id="{BE532823-CF4B-47DC-A4B7-099DC1752F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" name="AutoShape 1" descr="Vista previa de toda la pantalla">
          <a:extLst>
            <a:ext uri="{FF2B5EF4-FFF2-40B4-BE49-F238E27FC236}">
              <a16:creationId xmlns:a16="http://schemas.microsoft.com/office/drawing/2014/main" id="{46861334-F4DD-4B6F-B201-1BA717AF25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" name="AutoShape 1" descr="Vista previa de toda la pantalla">
          <a:extLst>
            <a:ext uri="{FF2B5EF4-FFF2-40B4-BE49-F238E27FC236}">
              <a16:creationId xmlns:a16="http://schemas.microsoft.com/office/drawing/2014/main" id="{3A54C4F4-FEFA-41F6-90E8-0A7E26EDBA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" name="AutoShape 1" descr="Vista previa de toda la pantalla">
          <a:extLst>
            <a:ext uri="{FF2B5EF4-FFF2-40B4-BE49-F238E27FC236}">
              <a16:creationId xmlns:a16="http://schemas.microsoft.com/office/drawing/2014/main" id="{2095EFB8-F840-432C-BA6B-FDDB4DE313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" name="AutoShape 1" descr="Vista previa de toda la pantalla">
          <a:extLst>
            <a:ext uri="{FF2B5EF4-FFF2-40B4-BE49-F238E27FC236}">
              <a16:creationId xmlns:a16="http://schemas.microsoft.com/office/drawing/2014/main" id="{82D70896-A458-4675-A881-30CFA48333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" name="AutoShape 1" descr="Vista previa de toda la pantalla">
          <a:extLst>
            <a:ext uri="{FF2B5EF4-FFF2-40B4-BE49-F238E27FC236}">
              <a16:creationId xmlns:a16="http://schemas.microsoft.com/office/drawing/2014/main" id="{D2686E09-306D-492E-B99B-A6E82BC9A8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" name="AutoShape 1" descr="Vista previa de toda la pantalla">
          <a:extLst>
            <a:ext uri="{FF2B5EF4-FFF2-40B4-BE49-F238E27FC236}">
              <a16:creationId xmlns:a16="http://schemas.microsoft.com/office/drawing/2014/main" id="{CCC93036-87DC-4937-BAAC-A1A26864EC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" name="AutoShape 1" descr="Vista previa de toda la pantalla">
          <a:extLst>
            <a:ext uri="{FF2B5EF4-FFF2-40B4-BE49-F238E27FC236}">
              <a16:creationId xmlns:a16="http://schemas.microsoft.com/office/drawing/2014/main" id="{8F12EFF0-2CEE-4B72-963F-17BF919C74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" name="AutoShape 1" descr="Vista previa de toda la pantalla">
          <a:extLst>
            <a:ext uri="{FF2B5EF4-FFF2-40B4-BE49-F238E27FC236}">
              <a16:creationId xmlns:a16="http://schemas.microsoft.com/office/drawing/2014/main" id="{0E6F4507-0F32-4250-8FCE-A68869D948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7" name="AutoShape 1" descr="Vista previa de toda la pantalla">
          <a:extLst>
            <a:ext uri="{FF2B5EF4-FFF2-40B4-BE49-F238E27FC236}">
              <a16:creationId xmlns:a16="http://schemas.microsoft.com/office/drawing/2014/main" id="{18BD546D-0664-45CD-93FA-164D965690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" name="AutoShape 1" descr="Vista previa de toda la pantalla">
          <a:extLst>
            <a:ext uri="{FF2B5EF4-FFF2-40B4-BE49-F238E27FC236}">
              <a16:creationId xmlns:a16="http://schemas.microsoft.com/office/drawing/2014/main" id="{D646B8B7-A222-490B-B80F-6C62AA014A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" name="AutoShape 1" descr="Vista previa de toda la pantalla">
          <a:extLst>
            <a:ext uri="{FF2B5EF4-FFF2-40B4-BE49-F238E27FC236}">
              <a16:creationId xmlns:a16="http://schemas.microsoft.com/office/drawing/2014/main" id="{E30E5CC5-CA4B-4EC5-9B33-85279B3984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" name="AutoShape 1" descr="Vista previa de toda la pantalla">
          <a:extLst>
            <a:ext uri="{FF2B5EF4-FFF2-40B4-BE49-F238E27FC236}">
              <a16:creationId xmlns:a16="http://schemas.microsoft.com/office/drawing/2014/main" id="{592B783D-F3C7-4D75-941D-581241B228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" name="AutoShape 1" descr="Vista previa de toda la pantalla">
          <a:extLst>
            <a:ext uri="{FF2B5EF4-FFF2-40B4-BE49-F238E27FC236}">
              <a16:creationId xmlns:a16="http://schemas.microsoft.com/office/drawing/2014/main" id="{A49408DF-4434-4A0F-BCE3-EAB5417043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" name="AutoShape 1" descr="Vista previa de toda la pantalla">
          <a:extLst>
            <a:ext uri="{FF2B5EF4-FFF2-40B4-BE49-F238E27FC236}">
              <a16:creationId xmlns:a16="http://schemas.microsoft.com/office/drawing/2014/main" id="{34A4ACC9-5E03-4FDC-AB67-18F39B3818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" name="AutoShape 1" descr="Vista previa de toda la pantalla">
          <a:extLst>
            <a:ext uri="{FF2B5EF4-FFF2-40B4-BE49-F238E27FC236}">
              <a16:creationId xmlns:a16="http://schemas.microsoft.com/office/drawing/2014/main" id="{2AE0711F-AA59-4297-BD63-DE927CDCA5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" name="AutoShape 1" descr="Vista previa de toda la pantalla">
          <a:extLst>
            <a:ext uri="{FF2B5EF4-FFF2-40B4-BE49-F238E27FC236}">
              <a16:creationId xmlns:a16="http://schemas.microsoft.com/office/drawing/2014/main" id="{D5F763B8-6999-4FFB-9CFE-5FA0B6F4FD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" name="AutoShape 1" descr="Vista previa de toda la pantalla">
          <a:extLst>
            <a:ext uri="{FF2B5EF4-FFF2-40B4-BE49-F238E27FC236}">
              <a16:creationId xmlns:a16="http://schemas.microsoft.com/office/drawing/2014/main" id="{3039796F-0687-4E99-B04A-1A8BC49BCC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" name="AutoShape 1" descr="Vista previa de toda la pantalla">
          <a:extLst>
            <a:ext uri="{FF2B5EF4-FFF2-40B4-BE49-F238E27FC236}">
              <a16:creationId xmlns:a16="http://schemas.microsoft.com/office/drawing/2014/main" id="{2A52BEC2-EA40-47A5-875A-DCA877B267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" name="AutoShape 1" descr="Vista previa de toda la pantalla">
          <a:extLst>
            <a:ext uri="{FF2B5EF4-FFF2-40B4-BE49-F238E27FC236}">
              <a16:creationId xmlns:a16="http://schemas.microsoft.com/office/drawing/2014/main" id="{3BEE5EC9-2486-4802-BD56-91F0F9D0B1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" name="AutoShape 1" descr="Vista previa de toda la pantalla">
          <a:extLst>
            <a:ext uri="{FF2B5EF4-FFF2-40B4-BE49-F238E27FC236}">
              <a16:creationId xmlns:a16="http://schemas.microsoft.com/office/drawing/2014/main" id="{D7B22767-6693-4717-A548-3AE2681B32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" name="AutoShape 1" descr="Vista previa de toda la pantalla">
          <a:extLst>
            <a:ext uri="{FF2B5EF4-FFF2-40B4-BE49-F238E27FC236}">
              <a16:creationId xmlns:a16="http://schemas.microsoft.com/office/drawing/2014/main" id="{C680CFD3-626D-47F2-A990-305EE6F96A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" name="AutoShape 1" descr="Vista previa de toda la pantalla">
          <a:extLst>
            <a:ext uri="{FF2B5EF4-FFF2-40B4-BE49-F238E27FC236}">
              <a16:creationId xmlns:a16="http://schemas.microsoft.com/office/drawing/2014/main" id="{9A71CD34-65A0-452F-A0E2-C8D94B2B92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" name="AutoShape 1" descr="Vista previa de toda la pantalla">
          <a:extLst>
            <a:ext uri="{FF2B5EF4-FFF2-40B4-BE49-F238E27FC236}">
              <a16:creationId xmlns:a16="http://schemas.microsoft.com/office/drawing/2014/main" id="{E24D6297-7223-4375-9383-CF04079A6A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" name="AutoShape 1" descr="Vista previa de toda la pantalla">
          <a:extLst>
            <a:ext uri="{FF2B5EF4-FFF2-40B4-BE49-F238E27FC236}">
              <a16:creationId xmlns:a16="http://schemas.microsoft.com/office/drawing/2014/main" id="{15C6B0F2-8BF5-438D-968E-23A8A88883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" name="AutoShape 1" descr="Vista previa de toda la pantalla">
          <a:extLst>
            <a:ext uri="{FF2B5EF4-FFF2-40B4-BE49-F238E27FC236}">
              <a16:creationId xmlns:a16="http://schemas.microsoft.com/office/drawing/2014/main" id="{2CEFFF75-1502-487E-BC93-0E5A0FAA6D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" name="AutoShape 1" descr="Vista previa de toda la pantalla">
          <a:extLst>
            <a:ext uri="{FF2B5EF4-FFF2-40B4-BE49-F238E27FC236}">
              <a16:creationId xmlns:a16="http://schemas.microsoft.com/office/drawing/2014/main" id="{C687C31E-3794-4E84-906A-D8E94688C3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" name="AutoShape 1" descr="Vista previa de toda la pantalla">
          <a:extLst>
            <a:ext uri="{FF2B5EF4-FFF2-40B4-BE49-F238E27FC236}">
              <a16:creationId xmlns:a16="http://schemas.microsoft.com/office/drawing/2014/main" id="{A2620B43-E14E-43DC-B797-6EFA6E4E8E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6" name="AutoShape 1" descr="Vista previa de toda la pantalla">
          <a:extLst>
            <a:ext uri="{FF2B5EF4-FFF2-40B4-BE49-F238E27FC236}">
              <a16:creationId xmlns:a16="http://schemas.microsoft.com/office/drawing/2014/main" id="{966D3E0F-81D8-4A57-B801-03087E5512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" name="AutoShape 1" descr="Vista previa de toda la pantalla">
          <a:extLst>
            <a:ext uri="{FF2B5EF4-FFF2-40B4-BE49-F238E27FC236}">
              <a16:creationId xmlns:a16="http://schemas.microsoft.com/office/drawing/2014/main" id="{C3074DA6-07B1-40CC-8FFD-0AE5EF7826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" name="AutoShape 1" descr="Vista previa de toda la pantalla">
          <a:extLst>
            <a:ext uri="{FF2B5EF4-FFF2-40B4-BE49-F238E27FC236}">
              <a16:creationId xmlns:a16="http://schemas.microsoft.com/office/drawing/2014/main" id="{80BB0878-E1F8-4AD9-AD9D-B65F6C8458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" name="AutoShape 1" descr="Vista previa de toda la pantalla">
          <a:extLst>
            <a:ext uri="{FF2B5EF4-FFF2-40B4-BE49-F238E27FC236}">
              <a16:creationId xmlns:a16="http://schemas.microsoft.com/office/drawing/2014/main" id="{753EA937-A80F-4B04-9515-D37ABCC5E8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" name="AutoShape 1" descr="Vista previa de toda la pantalla">
          <a:extLst>
            <a:ext uri="{FF2B5EF4-FFF2-40B4-BE49-F238E27FC236}">
              <a16:creationId xmlns:a16="http://schemas.microsoft.com/office/drawing/2014/main" id="{AAA396E0-6E82-447B-BEA0-326F9C5C77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" name="AutoShape 1" descr="Vista previa de toda la pantalla">
          <a:extLst>
            <a:ext uri="{FF2B5EF4-FFF2-40B4-BE49-F238E27FC236}">
              <a16:creationId xmlns:a16="http://schemas.microsoft.com/office/drawing/2014/main" id="{325A05C9-8EBB-4C10-A885-ADEA1FA5C2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" name="AutoShape 1" descr="Vista previa de toda la pantalla">
          <a:extLst>
            <a:ext uri="{FF2B5EF4-FFF2-40B4-BE49-F238E27FC236}">
              <a16:creationId xmlns:a16="http://schemas.microsoft.com/office/drawing/2014/main" id="{5FBE4005-8925-418D-A81A-C83A914CAA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" name="AutoShape 1" descr="Vista previa de toda la pantalla">
          <a:extLst>
            <a:ext uri="{FF2B5EF4-FFF2-40B4-BE49-F238E27FC236}">
              <a16:creationId xmlns:a16="http://schemas.microsoft.com/office/drawing/2014/main" id="{C74FD399-144F-4AC4-ACA5-156E31C205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" name="AutoShape 1" descr="Vista previa de toda la pantalla">
          <a:extLst>
            <a:ext uri="{FF2B5EF4-FFF2-40B4-BE49-F238E27FC236}">
              <a16:creationId xmlns:a16="http://schemas.microsoft.com/office/drawing/2014/main" id="{E76863B3-162D-4912-907D-D4216EBB6E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" name="AutoShape 1" descr="Vista previa de toda la pantalla">
          <a:extLst>
            <a:ext uri="{FF2B5EF4-FFF2-40B4-BE49-F238E27FC236}">
              <a16:creationId xmlns:a16="http://schemas.microsoft.com/office/drawing/2014/main" id="{A2669BEB-63DC-4D05-ACA6-1B6A7C8BD8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" name="AutoShape 1" descr="Vista previa de toda la pantalla">
          <a:extLst>
            <a:ext uri="{FF2B5EF4-FFF2-40B4-BE49-F238E27FC236}">
              <a16:creationId xmlns:a16="http://schemas.microsoft.com/office/drawing/2014/main" id="{9D57AD47-C5A9-47C7-A6FB-D872E49C94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" name="AutoShape 1" descr="Vista previa de toda la pantalla">
          <a:extLst>
            <a:ext uri="{FF2B5EF4-FFF2-40B4-BE49-F238E27FC236}">
              <a16:creationId xmlns:a16="http://schemas.microsoft.com/office/drawing/2014/main" id="{C40117E2-96C1-46CA-ABF5-7AC8E95216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" name="AutoShape 1" descr="Vista previa de toda la pantalla">
          <a:extLst>
            <a:ext uri="{FF2B5EF4-FFF2-40B4-BE49-F238E27FC236}">
              <a16:creationId xmlns:a16="http://schemas.microsoft.com/office/drawing/2014/main" id="{9B613449-82EC-49A9-889E-D8493EB99D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69" name="AutoShape 1" descr="Vista previa de toda la pantalla">
          <a:extLst>
            <a:ext uri="{FF2B5EF4-FFF2-40B4-BE49-F238E27FC236}">
              <a16:creationId xmlns:a16="http://schemas.microsoft.com/office/drawing/2014/main" id="{EFCD8179-46ED-448D-8F41-050D00A42C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70" name="AutoShape 1" descr="Vista previa de toda la pantalla">
          <a:extLst>
            <a:ext uri="{FF2B5EF4-FFF2-40B4-BE49-F238E27FC236}">
              <a16:creationId xmlns:a16="http://schemas.microsoft.com/office/drawing/2014/main" id="{7FCF530A-A6EF-49A5-B58C-175D3771C9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71" name="AutoShape 1" descr="Vista previa de toda la pantalla">
          <a:extLst>
            <a:ext uri="{FF2B5EF4-FFF2-40B4-BE49-F238E27FC236}">
              <a16:creationId xmlns:a16="http://schemas.microsoft.com/office/drawing/2014/main" id="{31807A6A-54CE-476B-A696-269C0E366F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72" name="AutoShape 1" descr="Vista previa de toda la pantalla">
          <a:extLst>
            <a:ext uri="{FF2B5EF4-FFF2-40B4-BE49-F238E27FC236}">
              <a16:creationId xmlns:a16="http://schemas.microsoft.com/office/drawing/2014/main" id="{B4A52733-719B-4D70-AE11-B83B4E6CF9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73" name="AutoShape 1" descr="Vista previa de toda la pantalla">
          <a:extLst>
            <a:ext uri="{FF2B5EF4-FFF2-40B4-BE49-F238E27FC236}">
              <a16:creationId xmlns:a16="http://schemas.microsoft.com/office/drawing/2014/main" id="{32F62DED-794F-4A35-8D52-2889E77BC6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74" name="AutoShape 1" descr="Vista previa de toda la pantalla">
          <a:extLst>
            <a:ext uri="{FF2B5EF4-FFF2-40B4-BE49-F238E27FC236}">
              <a16:creationId xmlns:a16="http://schemas.microsoft.com/office/drawing/2014/main" id="{CF226884-6DF5-4ABC-ABDC-5862B802EF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75" name="AutoShape 1" descr="Vista previa de toda la pantalla">
          <a:extLst>
            <a:ext uri="{FF2B5EF4-FFF2-40B4-BE49-F238E27FC236}">
              <a16:creationId xmlns:a16="http://schemas.microsoft.com/office/drawing/2014/main" id="{3C322883-DD28-4CC0-A204-FBE17BCAA0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76" name="AutoShape 1" descr="Vista previa de toda la pantalla">
          <a:extLst>
            <a:ext uri="{FF2B5EF4-FFF2-40B4-BE49-F238E27FC236}">
              <a16:creationId xmlns:a16="http://schemas.microsoft.com/office/drawing/2014/main" id="{30224E21-C677-4C16-8EFF-794D3913D3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77" name="AutoShape 1" descr="Vista previa de toda la pantalla">
          <a:extLst>
            <a:ext uri="{FF2B5EF4-FFF2-40B4-BE49-F238E27FC236}">
              <a16:creationId xmlns:a16="http://schemas.microsoft.com/office/drawing/2014/main" id="{273C0A66-08E2-468F-A692-5035CF3E8D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78" name="AutoShape 1" descr="Vista previa de toda la pantalla">
          <a:extLst>
            <a:ext uri="{FF2B5EF4-FFF2-40B4-BE49-F238E27FC236}">
              <a16:creationId xmlns:a16="http://schemas.microsoft.com/office/drawing/2014/main" id="{634D27DB-6DBF-443B-BC8E-96731340C7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79" name="AutoShape 1" descr="Vista previa de toda la pantalla">
          <a:extLst>
            <a:ext uri="{FF2B5EF4-FFF2-40B4-BE49-F238E27FC236}">
              <a16:creationId xmlns:a16="http://schemas.microsoft.com/office/drawing/2014/main" id="{0E2BC4CA-4888-41AF-AB8B-0BE60B2617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80" name="AutoShape 1" descr="Vista previa de toda la pantalla">
          <a:extLst>
            <a:ext uri="{FF2B5EF4-FFF2-40B4-BE49-F238E27FC236}">
              <a16:creationId xmlns:a16="http://schemas.microsoft.com/office/drawing/2014/main" id="{DC4C91AE-91E8-41B7-9665-E15A7F5F45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81" name="AutoShape 1" descr="Vista previa de toda la pantalla">
          <a:extLst>
            <a:ext uri="{FF2B5EF4-FFF2-40B4-BE49-F238E27FC236}">
              <a16:creationId xmlns:a16="http://schemas.microsoft.com/office/drawing/2014/main" id="{388F0FEC-5F81-4CE0-8BE8-1624BC39EC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482" name="AutoShape 1" descr="Vista previa de toda la pantalla">
          <a:extLst>
            <a:ext uri="{FF2B5EF4-FFF2-40B4-BE49-F238E27FC236}">
              <a16:creationId xmlns:a16="http://schemas.microsoft.com/office/drawing/2014/main" id="{258BE2E7-1437-40A7-BAC0-FA7B8A30B4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483" name="AutoShape 1" descr="Vista previa de toda la pantalla">
          <a:extLst>
            <a:ext uri="{FF2B5EF4-FFF2-40B4-BE49-F238E27FC236}">
              <a16:creationId xmlns:a16="http://schemas.microsoft.com/office/drawing/2014/main" id="{B1D51704-8F66-4FD7-AB58-B59D51715905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" name="AutoShape 1" descr="Vista previa de toda la pantalla">
          <a:extLst>
            <a:ext uri="{FF2B5EF4-FFF2-40B4-BE49-F238E27FC236}">
              <a16:creationId xmlns:a16="http://schemas.microsoft.com/office/drawing/2014/main" id="{EC606A8F-8126-48E1-B825-5D7ABF107A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" name="AutoShape 1" descr="Vista previa de toda la pantalla">
          <a:extLst>
            <a:ext uri="{FF2B5EF4-FFF2-40B4-BE49-F238E27FC236}">
              <a16:creationId xmlns:a16="http://schemas.microsoft.com/office/drawing/2014/main" id="{86D5AB70-3063-4F54-8E94-2568B599B8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" name="AutoShape 1" descr="Vista previa de toda la pantalla">
          <a:extLst>
            <a:ext uri="{FF2B5EF4-FFF2-40B4-BE49-F238E27FC236}">
              <a16:creationId xmlns:a16="http://schemas.microsoft.com/office/drawing/2014/main" id="{F8257BAA-0EFF-4308-B34C-CB011F4B94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" name="AutoShape 1" descr="Vista previa de toda la pantalla">
          <a:extLst>
            <a:ext uri="{FF2B5EF4-FFF2-40B4-BE49-F238E27FC236}">
              <a16:creationId xmlns:a16="http://schemas.microsoft.com/office/drawing/2014/main" id="{539B5EDC-0B54-4A0F-891E-7DF61C9230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" name="AutoShape 1" descr="Vista previa de toda la pantalla">
          <a:extLst>
            <a:ext uri="{FF2B5EF4-FFF2-40B4-BE49-F238E27FC236}">
              <a16:creationId xmlns:a16="http://schemas.microsoft.com/office/drawing/2014/main" id="{72ED9430-9F2C-4AE3-BEE8-67722E4544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" name="AutoShape 1" descr="Vista previa de toda la pantalla">
          <a:extLst>
            <a:ext uri="{FF2B5EF4-FFF2-40B4-BE49-F238E27FC236}">
              <a16:creationId xmlns:a16="http://schemas.microsoft.com/office/drawing/2014/main" id="{49CEEB4A-4ABC-462E-92A2-2847A26C98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0" name="AutoShape 1" descr="Vista previa de toda la pantalla">
          <a:extLst>
            <a:ext uri="{FF2B5EF4-FFF2-40B4-BE49-F238E27FC236}">
              <a16:creationId xmlns:a16="http://schemas.microsoft.com/office/drawing/2014/main" id="{95452EBD-F875-49D2-A272-DC7F3A41A9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" name="AutoShape 1" descr="Vista previa de toda la pantalla">
          <a:extLst>
            <a:ext uri="{FF2B5EF4-FFF2-40B4-BE49-F238E27FC236}">
              <a16:creationId xmlns:a16="http://schemas.microsoft.com/office/drawing/2014/main" id="{458F3C49-A0B0-49C1-B98D-DAFDCA664E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" name="AutoShape 1" descr="Vista previa de toda la pantalla">
          <a:extLst>
            <a:ext uri="{FF2B5EF4-FFF2-40B4-BE49-F238E27FC236}">
              <a16:creationId xmlns:a16="http://schemas.microsoft.com/office/drawing/2014/main" id="{90DB1183-4612-42C0-AC63-1D7C7E3FBE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" name="AutoShape 1" descr="Vista previa de toda la pantalla">
          <a:extLst>
            <a:ext uri="{FF2B5EF4-FFF2-40B4-BE49-F238E27FC236}">
              <a16:creationId xmlns:a16="http://schemas.microsoft.com/office/drawing/2014/main" id="{D98623DA-86A1-4910-81EF-995B18BF0F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" name="AutoShape 1" descr="Vista previa de toda la pantalla">
          <a:extLst>
            <a:ext uri="{FF2B5EF4-FFF2-40B4-BE49-F238E27FC236}">
              <a16:creationId xmlns:a16="http://schemas.microsoft.com/office/drawing/2014/main" id="{18956E5B-7C11-46D5-B12D-66DDD01C9E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" name="AutoShape 1" descr="Vista previa de toda la pantalla">
          <a:extLst>
            <a:ext uri="{FF2B5EF4-FFF2-40B4-BE49-F238E27FC236}">
              <a16:creationId xmlns:a16="http://schemas.microsoft.com/office/drawing/2014/main" id="{0EA0684A-D9A3-4484-B6AB-78C566DD8D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" name="AutoShape 1" descr="Vista previa de toda la pantalla">
          <a:extLst>
            <a:ext uri="{FF2B5EF4-FFF2-40B4-BE49-F238E27FC236}">
              <a16:creationId xmlns:a16="http://schemas.microsoft.com/office/drawing/2014/main" id="{F88250CF-05BC-493A-9697-8C69DAF48B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" name="AutoShape 1" descr="Vista previa de toda la pantalla">
          <a:extLst>
            <a:ext uri="{FF2B5EF4-FFF2-40B4-BE49-F238E27FC236}">
              <a16:creationId xmlns:a16="http://schemas.microsoft.com/office/drawing/2014/main" id="{E2DFECDE-D344-47B0-9B9B-795C910189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" name="AutoShape 1" descr="Vista previa de toda la pantalla">
          <a:extLst>
            <a:ext uri="{FF2B5EF4-FFF2-40B4-BE49-F238E27FC236}">
              <a16:creationId xmlns:a16="http://schemas.microsoft.com/office/drawing/2014/main" id="{43442732-A167-420E-AC7F-6459B499DD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" name="AutoShape 1" descr="Vista previa de toda la pantalla">
          <a:extLst>
            <a:ext uri="{FF2B5EF4-FFF2-40B4-BE49-F238E27FC236}">
              <a16:creationId xmlns:a16="http://schemas.microsoft.com/office/drawing/2014/main" id="{995D4EA4-6035-46E6-928F-B03D4EA4C2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" name="AutoShape 1" descr="Vista previa de toda la pantalla">
          <a:extLst>
            <a:ext uri="{FF2B5EF4-FFF2-40B4-BE49-F238E27FC236}">
              <a16:creationId xmlns:a16="http://schemas.microsoft.com/office/drawing/2014/main" id="{769D6355-9CEE-4CBA-8CD3-57747DDE2C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" name="AutoShape 1" descr="Vista previa de toda la pantalla">
          <a:extLst>
            <a:ext uri="{FF2B5EF4-FFF2-40B4-BE49-F238E27FC236}">
              <a16:creationId xmlns:a16="http://schemas.microsoft.com/office/drawing/2014/main" id="{98CD9347-7758-4089-AE94-C7210E0DD2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" name="AutoShape 1" descr="Vista previa de toda la pantalla">
          <a:extLst>
            <a:ext uri="{FF2B5EF4-FFF2-40B4-BE49-F238E27FC236}">
              <a16:creationId xmlns:a16="http://schemas.microsoft.com/office/drawing/2014/main" id="{D64591FE-3C55-4457-9DFE-5ECF45229A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" name="AutoShape 1" descr="Vista previa de toda la pantalla">
          <a:extLst>
            <a:ext uri="{FF2B5EF4-FFF2-40B4-BE49-F238E27FC236}">
              <a16:creationId xmlns:a16="http://schemas.microsoft.com/office/drawing/2014/main" id="{BAFF9207-8667-4783-A436-20235420BC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" name="AutoShape 1" descr="Vista previa de toda la pantalla">
          <a:extLst>
            <a:ext uri="{FF2B5EF4-FFF2-40B4-BE49-F238E27FC236}">
              <a16:creationId xmlns:a16="http://schemas.microsoft.com/office/drawing/2014/main" id="{E74DA36C-7BCA-49DD-B07C-8AFB7E86BD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" name="AutoShape 1" descr="Vista previa de toda la pantalla">
          <a:extLst>
            <a:ext uri="{FF2B5EF4-FFF2-40B4-BE49-F238E27FC236}">
              <a16:creationId xmlns:a16="http://schemas.microsoft.com/office/drawing/2014/main" id="{D28DB976-8838-457D-BB34-CE5688A41B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" name="AutoShape 1" descr="Vista previa de toda la pantalla">
          <a:extLst>
            <a:ext uri="{FF2B5EF4-FFF2-40B4-BE49-F238E27FC236}">
              <a16:creationId xmlns:a16="http://schemas.microsoft.com/office/drawing/2014/main" id="{6C7FF499-8D61-4A50-B826-C003023056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" name="AutoShape 1" descr="Vista previa de toda la pantalla">
          <a:extLst>
            <a:ext uri="{FF2B5EF4-FFF2-40B4-BE49-F238E27FC236}">
              <a16:creationId xmlns:a16="http://schemas.microsoft.com/office/drawing/2014/main" id="{24958EA0-56D4-4E9A-8DC2-11C37EE3FF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" name="AutoShape 1" descr="Vista previa de toda la pantalla">
          <a:extLst>
            <a:ext uri="{FF2B5EF4-FFF2-40B4-BE49-F238E27FC236}">
              <a16:creationId xmlns:a16="http://schemas.microsoft.com/office/drawing/2014/main" id="{6D1D5BC1-7E88-491C-BB8B-511A6A47B9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" name="AutoShape 1" descr="Vista previa de toda la pantalla">
          <a:extLst>
            <a:ext uri="{FF2B5EF4-FFF2-40B4-BE49-F238E27FC236}">
              <a16:creationId xmlns:a16="http://schemas.microsoft.com/office/drawing/2014/main" id="{230E7038-1356-44F2-937B-EC817ED702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" name="AutoShape 1" descr="Vista previa de toda la pantalla">
          <a:extLst>
            <a:ext uri="{FF2B5EF4-FFF2-40B4-BE49-F238E27FC236}">
              <a16:creationId xmlns:a16="http://schemas.microsoft.com/office/drawing/2014/main" id="{904E3504-B631-4FD4-9F88-3CEEC24FBE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" name="AutoShape 1" descr="Vista previa de toda la pantalla">
          <a:extLst>
            <a:ext uri="{FF2B5EF4-FFF2-40B4-BE49-F238E27FC236}">
              <a16:creationId xmlns:a16="http://schemas.microsoft.com/office/drawing/2014/main" id="{CD6B9E52-2614-49F5-B361-1E2BC69DF5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" name="AutoShape 1" descr="Vista previa de toda la pantalla">
          <a:extLst>
            <a:ext uri="{FF2B5EF4-FFF2-40B4-BE49-F238E27FC236}">
              <a16:creationId xmlns:a16="http://schemas.microsoft.com/office/drawing/2014/main" id="{985FD42C-380B-4FB5-8138-E0D99F1B62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" name="AutoShape 1" descr="Vista previa de toda la pantalla">
          <a:extLst>
            <a:ext uri="{FF2B5EF4-FFF2-40B4-BE49-F238E27FC236}">
              <a16:creationId xmlns:a16="http://schemas.microsoft.com/office/drawing/2014/main" id="{05836D73-8B00-41E7-A88B-3EBBE24CCC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" name="AutoShape 1" descr="Vista previa de toda la pantalla">
          <a:extLst>
            <a:ext uri="{FF2B5EF4-FFF2-40B4-BE49-F238E27FC236}">
              <a16:creationId xmlns:a16="http://schemas.microsoft.com/office/drawing/2014/main" id="{24D83886-897E-4537-9FC3-E1F26E0A6E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" name="AutoShape 1" descr="Vista previa de toda la pantalla">
          <a:extLst>
            <a:ext uri="{FF2B5EF4-FFF2-40B4-BE49-F238E27FC236}">
              <a16:creationId xmlns:a16="http://schemas.microsoft.com/office/drawing/2014/main" id="{4545BF13-CE5B-48AF-B5F8-3F12D34D61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" name="AutoShape 1" descr="Vista previa de toda la pantalla">
          <a:extLst>
            <a:ext uri="{FF2B5EF4-FFF2-40B4-BE49-F238E27FC236}">
              <a16:creationId xmlns:a16="http://schemas.microsoft.com/office/drawing/2014/main" id="{4AF8058D-0AAD-4D7A-8A38-F19D4DBE24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" name="AutoShape 1" descr="Vista previa de toda la pantalla">
          <a:extLst>
            <a:ext uri="{FF2B5EF4-FFF2-40B4-BE49-F238E27FC236}">
              <a16:creationId xmlns:a16="http://schemas.microsoft.com/office/drawing/2014/main" id="{80048AAC-74C2-43AF-8F87-BF1663AC1E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" name="AutoShape 1" descr="Vista previa de toda la pantalla">
          <a:extLst>
            <a:ext uri="{FF2B5EF4-FFF2-40B4-BE49-F238E27FC236}">
              <a16:creationId xmlns:a16="http://schemas.microsoft.com/office/drawing/2014/main" id="{2139B94B-1717-468B-ADD4-04335828CE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" name="AutoShape 1" descr="Vista previa de toda la pantalla">
          <a:extLst>
            <a:ext uri="{FF2B5EF4-FFF2-40B4-BE49-F238E27FC236}">
              <a16:creationId xmlns:a16="http://schemas.microsoft.com/office/drawing/2014/main" id="{6D9BCA7D-FD0F-408E-9FBB-96B4502A00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" name="AutoShape 1" descr="Vista previa de toda la pantalla">
          <a:extLst>
            <a:ext uri="{FF2B5EF4-FFF2-40B4-BE49-F238E27FC236}">
              <a16:creationId xmlns:a16="http://schemas.microsoft.com/office/drawing/2014/main" id="{3885C282-8DEC-4881-8678-F6BBF2BAA5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" name="AutoShape 1" descr="Vista previa de toda la pantalla">
          <a:extLst>
            <a:ext uri="{FF2B5EF4-FFF2-40B4-BE49-F238E27FC236}">
              <a16:creationId xmlns:a16="http://schemas.microsoft.com/office/drawing/2014/main" id="{93FBB8ED-CFA8-47B0-94B2-1D7963076A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" name="AutoShape 1" descr="Vista previa de toda la pantalla">
          <a:extLst>
            <a:ext uri="{FF2B5EF4-FFF2-40B4-BE49-F238E27FC236}">
              <a16:creationId xmlns:a16="http://schemas.microsoft.com/office/drawing/2014/main" id="{AE25C483-9399-47D7-A0A7-AB0C90EFFB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3" name="AutoShape 1" descr="Vista previa de toda la pantalla">
          <a:extLst>
            <a:ext uri="{FF2B5EF4-FFF2-40B4-BE49-F238E27FC236}">
              <a16:creationId xmlns:a16="http://schemas.microsoft.com/office/drawing/2014/main" id="{3C72F28A-7592-4D87-A6CA-D71CEFAD17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" name="AutoShape 1" descr="Vista previa de toda la pantalla">
          <a:extLst>
            <a:ext uri="{FF2B5EF4-FFF2-40B4-BE49-F238E27FC236}">
              <a16:creationId xmlns:a16="http://schemas.microsoft.com/office/drawing/2014/main" id="{CCE2091D-CCBE-4342-A37F-752C12A361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" name="AutoShape 1" descr="Vista previa de toda la pantalla">
          <a:extLst>
            <a:ext uri="{FF2B5EF4-FFF2-40B4-BE49-F238E27FC236}">
              <a16:creationId xmlns:a16="http://schemas.microsoft.com/office/drawing/2014/main" id="{A8EF115D-3602-480C-B917-5DE05CF4A0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" name="AutoShape 1" descr="Vista previa de toda la pantalla">
          <a:extLst>
            <a:ext uri="{FF2B5EF4-FFF2-40B4-BE49-F238E27FC236}">
              <a16:creationId xmlns:a16="http://schemas.microsoft.com/office/drawing/2014/main" id="{5B3201FC-21D2-4A29-A58B-409E49322D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" name="AutoShape 1" descr="Vista previa de toda la pantalla">
          <a:extLst>
            <a:ext uri="{FF2B5EF4-FFF2-40B4-BE49-F238E27FC236}">
              <a16:creationId xmlns:a16="http://schemas.microsoft.com/office/drawing/2014/main" id="{C75C76B5-598E-45DF-AF0A-C6377666A1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" name="AutoShape 1" descr="Vista previa de toda la pantalla">
          <a:extLst>
            <a:ext uri="{FF2B5EF4-FFF2-40B4-BE49-F238E27FC236}">
              <a16:creationId xmlns:a16="http://schemas.microsoft.com/office/drawing/2014/main" id="{D9E2C386-3613-4B62-A6B8-54C876F017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" name="AutoShape 1" descr="Vista previa de toda la pantalla">
          <a:extLst>
            <a:ext uri="{FF2B5EF4-FFF2-40B4-BE49-F238E27FC236}">
              <a16:creationId xmlns:a16="http://schemas.microsoft.com/office/drawing/2014/main" id="{D34CB795-D0A4-4EFE-9C2B-453D8C64C5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" name="AutoShape 1" descr="Vista previa de toda la pantalla">
          <a:extLst>
            <a:ext uri="{FF2B5EF4-FFF2-40B4-BE49-F238E27FC236}">
              <a16:creationId xmlns:a16="http://schemas.microsoft.com/office/drawing/2014/main" id="{1AE2CB97-23CC-4C80-81DD-E3D6063BC6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" name="AutoShape 1" descr="Vista previa de toda la pantalla">
          <a:extLst>
            <a:ext uri="{FF2B5EF4-FFF2-40B4-BE49-F238E27FC236}">
              <a16:creationId xmlns:a16="http://schemas.microsoft.com/office/drawing/2014/main" id="{9AFC49CC-B07F-48F1-8F81-1A8D98B0E1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" name="AutoShape 1" descr="Vista previa de toda la pantalla">
          <a:extLst>
            <a:ext uri="{FF2B5EF4-FFF2-40B4-BE49-F238E27FC236}">
              <a16:creationId xmlns:a16="http://schemas.microsoft.com/office/drawing/2014/main" id="{A124B2BB-9489-4962-9E6F-7DAE3E9C6F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" name="AutoShape 1" descr="Vista previa de toda la pantalla">
          <a:extLst>
            <a:ext uri="{FF2B5EF4-FFF2-40B4-BE49-F238E27FC236}">
              <a16:creationId xmlns:a16="http://schemas.microsoft.com/office/drawing/2014/main" id="{4E5D4BFB-FA37-4227-AC1D-342BB4C514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" name="AutoShape 1" descr="Vista previa de toda la pantalla">
          <a:extLst>
            <a:ext uri="{FF2B5EF4-FFF2-40B4-BE49-F238E27FC236}">
              <a16:creationId xmlns:a16="http://schemas.microsoft.com/office/drawing/2014/main" id="{87A1B5F3-F098-45D8-A0DD-568BE16697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" name="AutoShape 1" descr="Vista previa de toda la pantalla">
          <a:extLst>
            <a:ext uri="{FF2B5EF4-FFF2-40B4-BE49-F238E27FC236}">
              <a16:creationId xmlns:a16="http://schemas.microsoft.com/office/drawing/2014/main" id="{D189A2CF-E0CA-4B13-BCD7-F1F42E473A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" name="AutoShape 1" descr="Vista previa de toda la pantalla">
          <a:extLst>
            <a:ext uri="{FF2B5EF4-FFF2-40B4-BE49-F238E27FC236}">
              <a16:creationId xmlns:a16="http://schemas.microsoft.com/office/drawing/2014/main" id="{78D0347C-0186-4F05-B5E0-438BD772BE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" name="AutoShape 1" descr="Vista previa de toda la pantalla">
          <a:extLst>
            <a:ext uri="{FF2B5EF4-FFF2-40B4-BE49-F238E27FC236}">
              <a16:creationId xmlns:a16="http://schemas.microsoft.com/office/drawing/2014/main" id="{4FF9B13A-508C-4157-8900-3A73F8C149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" name="AutoShape 1" descr="Vista previa de toda la pantalla">
          <a:extLst>
            <a:ext uri="{FF2B5EF4-FFF2-40B4-BE49-F238E27FC236}">
              <a16:creationId xmlns:a16="http://schemas.microsoft.com/office/drawing/2014/main" id="{72840392-C033-4B4B-B6B1-DC0A0B50BA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" name="AutoShape 1" descr="Vista previa de toda la pantalla">
          <a:extLst>
            <a:ext uri="{FF2B5EF4-FFF2-40B4-BE49-F238E27FC236}">
              <a16:creationId xmlns:a16="http://schemas.microsoft.com/office/drawing/2014/main" id="{A2DBA18E-6E79-4CB9-B0B0-B633101F31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0" name="AutoShape 1" descr="Vista previa de toda la pantalla">
          <a:extLst>
            <a:ext uri="{FF2B5EF4-FFF2-40B4-BE49-F238E27FC236}">
              <a16:creationId xmlns:a16="http://schemas.microsoft.com/office/drawing/2014/main" id="{49A00EC2-0EF0-4AB0-BF74-5639B3D8D4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" name="AutoShape 1" descr="Vista previa de toda la pantalla">
          <a:extLst>
            <a:ext uri="{FF2B5EF4-FFF2-40B4-BE49-F238E27FC236}">
              <a16:creationId xmlns:a16="http://schemas.microsoft.com/office/drawing/2014/main" id="{920DFB48-6EE1-4D95-AAC1-DC9B2A099E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" name="AutoShape 1" descr="Vista previa de toda la pantalla">
          <a:extLst>
            <a:ext uri="{FF2B5EF4-FFF2-40B4-BE49-F238E27FC236}">
              <a16:creationId xmlns:a16="http://schemas.microsoft.com/office/drawing/2014/main" id="{6ECB68C4-F3F3-4776-9DCF-27F070DAE6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" name="AutoShape 1" descr="Vista previa de toda la pantalla">
          <a:extLst>
            <a:ext uri="{FF2B5EF4-FFF2-40B4-BE49-F238E27FC236}">
              <a16:creationId xmlns:a16="http://schemas.microsoft.com/office/drawing/2014/main" id="{1793EDE9-2EE9-4DDE-B3F5-5C5BED4168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" name="AutoShape 1" descr="Vista previa de toda la pantalla">
          <a:extLst>
            <a:ext uri="{FF2B5EF4-FFF2-40B4-BE49-F238E27FC236}">
              <a16:creationId xmlns:a16="http://schemas.microsoft.com/office/drawing/2014/main" id="{597A3AB8-6C39-48B5-86A8-74BEEE5A1C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" name="AutoShape 1" descr="Vista previa de toda la pantalla">
          <a:extLst>
            <a:ext uri="{FF2B5EF4-FFF2-40B4-BE49-F238E27FC236}">
              <a16:creationId xmlns:a16="http://schemas.microsoft.com/office/drawing/2014/main" id="{C09E0216-122B-47EE-B80D-E7D6CCA2D0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" name="AutoShape 1" descr="Vista previa de toda la pantalla">
          <a:extLst>
            <a:ext uri="{FF2B5EF4-FFF2-40B4-BE49-F238E27FC236}">
              <a16:creationId xmlns:a16="http://schemas.microsoft.com/office/drawing/2014/main" id="{6817313B-7A3E-4D02-A221-BA32A69DD9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" name="AutoShape 1" descr="Vista previa de toda la pantalla">
          <a:extLst>
            <a:ext uri="{FF2B5EF4-FFF2-40B4-BE49-F238E27FC236}">
              <a16:creationId xmlns:a16="http://schemas.microsoft.com/office/drawing/2014/main" id="{0E00AA22-ECB6-42A1-9FAD-B3E2BA0856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" name="AutoShape 1" descr="Vista previa de toda la pantalla">
          <a:extLst>
            <a:ext uri="{FF2B5EF4-FFF2-40B4-BE49-F238E27FC236}">
              <a16:creationId xmlns:a16="http://schemas.microsoft.com/office/drawing/2014/main" id="{07992C4D-7FB8-4645-9C7C-E38CE6A4EE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" name="AutoShape 1" descr="Vista previa de toda la pantalla">
          <a:extLst>
            <a:ext uri="{FF2B5EF4-FFF2-40B4-BE49-F238E27FC236}">
              <a16:creationId xmlns:a16="http://schemas.microsoft.com/office/drawing/2014/main" id="{E9111E82-F426-4B21-A857-2E32903470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" name="AutoShape 1" descr="Vista previa de toda la pantalla">
          <a:extLst>
            <a:ext uri="{FF2B5EF4-FFF2-40B4-BE49-F238E27FC236}">
              <a16:creationId xmlns:a16="http://schemas.microsoft.com/office/drawing/2014/main" id="{4EFF7685-76CD-4B4D-823F-7234AA83B8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" name="AutoShape 1" descr="Vista previa de toda la pantalla">
          <a:extLst>
            <a:ext uri="{FF2B5EF4-FFF2-40B4-BE49-F238E27FC236}">
              <a16:creationId xmlns:a16="http://schemas.microsoft.com/office/drawing/2014/main" id="{B14CDA98-A06C-4403-A168-D6AA3C1A11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" name="AutoShape 1" descr="Vista previa de toda la pantalla">
          <a:extLst>
            <a:ext uri="{FF2B5EF4-FFF2-40B4-BE49-F238E27FC236}">
              <a16:creationId xmlns:a16="http://schemas.microsoft.com/office/drawing/2014/main" id="{BCC8EA5B-A912-4226-8CE6-9E1FAF030B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" name="AutoShape 1" descr="Vista previa de toda la pantalla">
          <a:extLst>
            <a:ext uri="{FF2B5EF4-FFF2-40B4-BE49-F238E27FC236}">
              <a16:creationId xmlns:a16="http://schemas.microsoft.com/office/drawing/2014/main" id="{60AF4BF3-7C89-416A-808A-7C2AFD028B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" name="AutoShape 1" descr="Vista previa de toda la pantalla">
          <a:extLst>
            <a:ext uri="{FF2B5EF4-FFF2-40B4-BE49-F238E27FC236}">
              <a16:creationId xmlns:a16="http://schemas.microsoft.com/office/drawing/2014/main" id="{8DDBD403-6FB3-4740-A318-531B267615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" name="AutoShape 1" descr="Vista previa de toda la pantalla">
          <a:extLst>
            <a:ext uri="{FF2B5EF4-FFF2-40B4-BE49-F238E27FC236}">
              <a16:creationId xmlns:a16="http://schemas.microsoft.com/office/drawing/2014/main" id="{D2BC2535-BA17-48D6-966B-23D929C395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" name="AutoShape 1" descr="Vista previa de toda la pantalla">
          <a:extLst>
            <a:ext uri="{FF2B5EF4-FFF2-40B4-BE49-F238E27FC236}">
              <a16:creationId xmlns:a16="http://schemas.microsoft.com/office/drawing/2014/main" id="{F11FB94B-0DA5-4C74-AC2B-86408A8F88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7" name="AutoShape 1" descr="Vista previa de toda la pantalla">
          <a:extLst>
            <a:ext uri="{FF2B5EF4-FFF2-40B4-BE49-F238E27FC236}">
              <a16:creationId xmlns:a16="http://schemas.microsoft.com/office/drawing/2014/main" id="{BA79ACD3-E398-4A2E-AD4D-24AEFBB76C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" name="AutoShape 1" descr="Vista previa de toda la pantalla">
          <a:extLst>
            <a:ext uri="{FF2B5EF4-FFF2-40B4-BE49-F238E27FC236}">
              <a16:creationId xmlns:a16="http://schemas.microsoft.com/office/drawing/2014/main" id="{61FB432C-9566-47AC-A958-130EFAB940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" name="AutoShape 1" descr="Vista previa de toda la pantalla">
          <a:extLst>
            <a:ext uri="{FF2B5EF4-FFF2-40B4-BE49-F238E27FC236}">
              <a16:creationId xmlns:a16="http://schemas.microsoft.com/office/drawing/2014/main" id="{1C146299-89B8-4F09-BFD1-CD43D336CB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" name="AutoShape 1" descr="Vista previa de toda la pantalla">
          <a:extLst>
            <a:ext uri="{FF2B5EF4-FFF2-40B4-BE49-F238E27FC236}">
              <a16:creationId xmlns:a16="http://schemas.microsoft.com/office/drawing/2014/main" id="{73258FE5-55C1-40B8-BEF7-A814DB1B56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" name="AutoShape 1" descr="Vista previa de toda la pantalla">
          <a:extLst>
            <a:ext uri="{FF2B5EF4-FFF2-40B4-BE49-F238E27FC236}">
              <a16:creationId xmlns:a16="http://schemas.microsoft.com/office/drawing/2014/main" id="{27A8DD0F-8668-41C2-B834-5347C37EF1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" name="AutoShape 1" descr="Vista previa de toda la pantalla">
          <a:extLst>
            <a:ext uri="{FF2B5EF4-FFF2-40B4-BE49-F238E27FC236}">
              <a16:creationId xmlns:a16="http://schemas.microsoft.com/office/drawing/2014/main" id="{5FC9FB4E-71C0-43E9-A002-D079C23434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" name="AutoShape 1" descr="Vista previa de toda la pantalla">
          <a:extLst>
            <a:ext uri="{FF2B5EF4-FFF2-40B4-BE49-F238E27FC236}">
              <a16:creationId xmlns:a16="http://schemas.microsoft.com/office/drawing/2014/main" id="{6D9E1038-1DA6-4B74-95C0-FACFB64431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" name="AutoShape 1" descr="Vista previa de toda la pantalla">
          <a:extLst>
            <a:ext uri="{FF2B5EF4-FFF2-40B4-BE49-F238E27FC236}">
              <a16:creationId xmlns:a16="http://schemas.microsoft.com/office/drawing/2014/main" id="{190C2790-F685-4F3C-A7D2-FB3EAD286B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" name="AutoShape 1" descr="Vista previa de toda la pantalla">
          <a:extLst>
            <a:ext uri="{FF2B5EF4-FFF2-40B4-BE49-F238E27FC236}">
              <a16:creationId xmlns:a16="http://schemas.microsoft.com/office/drawing/2014/main" id="{2E4FA06B-C178-49ED-9A39-247F79499C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" name="AutoShape 1" descr="Vista previa de toda la pantalla">
          <a:extLst>
            <a:ext uri="{FF2B5EF4-FFF2-40B4-BE49-F238E27FC236}">
              <a16:creationId xmlns:a16="http://schemas.microsoft.com/office/drawing/2014/main" id="{59363158-028E-4F4A-8E36-8B10E69350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" name="AutoShape 1" descr="Vista previa de toda la pantalla">
          <a:extLst>
            <a:ext uri="{FF2B5EF4-FFF2-40B4-BE49-F238E27FC236}">
              <a16:creationId xmlns:a16="http://schemas.microsoft.com/office/drawing/2014/main" id="{8B9CFFF0-93DC-482C-8A47-F4344D1D2F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" name="AutoShape 1" descr="Vista previa de toda la pantalla">
          <a:extLst>
            <a:ext uri="{FF2B5EF4-FFF2-40B4-BE49-F238E27FC236}">
              <a16:creationId xmlns:a16="http://schemas.microsoft.com/office/drawing/2014/main" id="{B83FE9B2-8271-45CC-A1BD-D5FDC39BC4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" name="AutoShape 1" descr="Vista previa de toda la pantalla">
          <a:extLst>
            <a:ext uri="{FF2B5EF4-FFF2-40B4-BE49-F238E27FC236}">
              <a16:creationId xmlns:a16="http://schemas.microsoft.com/office/drawing/2014/main" id="{867D347D-FA32-4D66-8A36-4025A7789E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" name="AutoShape 1" descr="Vista previa de toda la pantalla">
          <a:extLst>
            <a:ext uri="{FF2B5EF4-FFF2-40B4-BE49-F238E27FC236}">
              <a16:creationId xmlns:a16="http://schemas.microsoft.com/office/drawing/2014/main" id="{ED179146-9BBE-4546-BABE-CE88DB20F3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" name="AutoShape 1" descr="Vista previa de toda la pantalla">
          <a:extLst>
            <a:ext uri="{FF2B5EF4-FFF2-40B4-BE49-F238E27FC236}">
              <a16:creationId xmlns:a16="http://schemas.microsoft.com/office/drawing/2014/main" id="{86B391DA-F67D-4AE2-9169-1279BAD331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" name="AutoShape 1" descr="Vista previa de toda la pantalla">
          <a:extLst>
            <a:ext uri="{FF2B5EF4-FFF2-40B4-BE49-F238E27FC236}">
              <a16:creationId xmlns:a16="http://schemas.microsoft.com/office/drawing/2014/main" id="{2CDB648C-57E4-44D5-B8D9-48E7581785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" name="AutoShape 1" descr="Vista previa de toda la pantalla">
          <a:extLst>
            <a:ext uri="{FF2B5EF4-FFF2-40B4-BE49-F238E27FC236}">
              <a16:creationId xmlns:a16="http://schemas.microsoft.com/office/drawing/2014/main" id="{D4AEDF36-DA89-4B11-AAAE-FC2203ED17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" name="AutoShape 1" descr="Vista previa de toda la pantalla">
          <a:extLst>
            <a:ext uri="{FF2B5EF4-FFF2-40B4-BE49-F238E27FC236}">
              <a16:creationId xmlns:a16="http://schemas.microsoft.com/office/drawing/2014/main" id="{AE42A9D8-35A5-4970-ADD2-DC91FAA5B1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" name="AutoShape 1" descr="Vista previa de toda la pantalla">
          <a:extLst>
            <a:ext uri="{FF2B5EF4-FFF2-40B4-BE49-F238E27FC236}">
              <a16:creationId xmlns:a16="http://schemas.microsoft.com/office/drawing/2014/main" id="{91E6C780-47DA-4338-BB59-F914B2F3A0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" name="AutoShape 1" descr="Vista previa de toda la pantalla">
          <a:extLst>
            <a:ext uri="{FF2B5EF4-FFF2-40B4-BE49-F238E27FC236}">
              <a16:creationId xmlns:a16="http://schemas.microsoft.com/office/drawing/2014/main" id="{80FC4FEB-BB2D-4155-AC0E-731EF436DA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" name="AutoShape 1" descr="Vista previa de toda la pantalla">
          <a:extLst>
            <a:ext uri="{FF2B5EF4-FFF2-40B4-BE49-F238E27FC236}">
              <a16:creationId xmlns:a16="http://schemas.microsoft.com/office/drawing/2014/main" id="{9051BFE2-04E0-429D-99C1-F5E7405859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" name="AutoShape 1" descr="Vista previa de toda la pantalla">
          <a:extLst>
            <a:ext uri="{FF2B5EF4-FFF2-40B4-BE49-F238E27FC236}">
              <a16:creationId xmlns:a16="http://schemas.microsoft.com/office/drawing/2014/main" id="{A1DC3DD1-CE46-40C8-A5B8-542097727A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" name="AutoShape 1" descr="Vista previa de toda la pantalla">
          <a:extLst>
            <a:ext uri="{FF2B5EF4-FFF2-40B4-BE49-F238E27FC236}">
              <a16:creationId xmlns:a16="http://schemas.microsoft.com/office/drawing/2014/main" id="{87F9BE38-D63B-4113-967C-03D0036805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" name="AutoShape 1" descr="Vista previa de toda la pantalla">
          <a:extLst>
            <a:ext uri="{FF2B5EF4-FFF2-40B4-BE49-F238E27FC236}">
              <a16:creationId xmlns:a16="http://schemas.microsoft.com/office/drawing/2014/main" id="{832497E9-E40D-4922-98A2-DFB683DFAA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" name="AutoShape 1" descr="Vista previa de toda la pantalla">
          <a:extLst>
            <a:ext uri="{FF2B5EF4-FFF2-40B4-BE49-F238E27FC236}">
              <a16:creationId xmlns:a16="http://schemas.microsoft.com/office/drawing/2014/main" id="{4C889C9B-4BA8-4616-9C41-6CEFB40DFE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" name="AutoShape 1" descr="Vista previa de toda la pantalla">
          <a:extLst>
            <a:ext uri="{FF2B5EF4-FFF2-40B4-BE49-F238E27FC236}">
              <a16:creationId xmlns:a16="http://schemas.microsoft.com/office/drawing/2014/main" id="{BE40533B-FDA4-4869-89E0-1CAB647526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" name="AutoShape 1" descr="Vista previa de toda la pantalla">
          <a:extLst>
            <a:ext uri="{FF2B5EF4-FFF2-40B4-BE49-F238E27FC236}">
              <a16:creationId xmlns:a16="http://schemas.microsoft.com/office/drawing/2014/main" id="{9FB0CAAF-4AE0-445E-9DAF-0128A22204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" name="AutoShape 1" descr="Vista previa de toda la pantalla">
          <a:extLst>
            <a:ext uri="{FF2B5EF4-FFF2-40B4-BE49-F238E27FC236}">
              <a16:creationId xmlns:a16="http://schemas.microsoft.com/office/drawing/2014/main" id="{D6BA0742-ED53-49D5-9B70-844455D5F3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" name="AutoShape 1" descr="Vista previa de toda la pantalla">
          <a:extLst>
            <a:ext uri="{FF2B5EF4-FFF2-40B4-BE49-F238E27FC236}">
              <a16:creationId xmlns:a16="http://schemas.microsoft.com/office/drawing/2014/main" id="{CD346075-8865-419D-B6D5-0275D95C9A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" name="AutoShape 1" descr="Vista previa de toda la pantalla">
          <a:extLst>
            <a:ext uri="{FF2B5EF4-FFF2-40B4-BE49-F238E27FC236}">
              <a16:creationId xmlns:a16="http://schemas.microsoft.com/office/drawing/2014/main" id="{A08CFB9D-0CB5-4827-89C1-FDD319F2B3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" name="AutoShape 1" descr="Vista previa de toda la pantalla">
          <a:extLst>
            <a:ext uri="{FF2B5EF4-FFF2-40B4-BE49-F238E27FC236}">
              <a16:creationId xmlns:a16="http://schemas.microsoft.com/office/drawing/2014/main" id="{B1D47915-6717-4D61-8B20-C5020BB135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" name="AutoShape 1" descr="Vista previa de toda la pantalla">
          <a:extLst>
            <a:ext uri="{FF2B5EF4-FFF2-40B4-BE49-F238E27FC236}">
              <a16:creationId xmlns:a16="http://schemas.microsoft.com/office/drawing/2014/main" id="{44BEB5D5-0470-492A-9A30-A579AC01E7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" name="AutoShape 1" descr="Vista previa de toda la pantalla">
          <a:extLst>
            <a:ext uri="{FF2B5EF4-FFF2-40B4-BE49-F238E27FC236}">
              <a16:creationId xmlns:a16="http://schemas.microsoft.com/office/drawing/2014/main" id="{3FD07C7B-2B4D-46B1-A78B-8402C9565D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" name="AutoShape 1" descr="Vista previa de toda la pantalla">
          <a:extLst>
            <a:ext uri="{FF2B5EF4-FFF2-40B4-BE49-F238E27FC236}">
              <a16:creationId xmlns:a16="http://schemas.microsoft.com/office/drawing/2014/main" id="{35D07EBA-0463-41FE-8331-155EAFD388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1" name="AutoShape 1" descr="Vista previa de toda la pantalla">
          <a:extLst>
            <a:ext uri="{FF2B5EF4-FFF2-40B4-BE49-F238E27FC236}">
              <a16:creationId xmlns:a16="http://schemas.microsoft.com/office/drawing/2014/main" id="{3F2B9A1F-6D6C-4F3D-AC3D-721EB33EEF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" name="AutoShape 1" descr="Vista previa de toda la pantalla">
          <a:extLst>
            <a:ext uri="{FF2B5EF4-FFF2-40B4-BE49-F238E27FC236}">
              <a16:creationId xmlns:a16="http://schemas.microsoft.com/office/drawing/2014/main" id="{A9F696C6-8DB1-4984-8297-A5A289331B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" name="AutoShape 1" descr="Vista previa de toda la pantalla">
          <a:extLst>
            <a:ext uri="{FF2B5EF4-FFF2-40B4-BE49-F238E27FC236}">
              <a16:creationId xmlns:a16="http://schemas.microsoft.com/office/drawing/2014/main" id="{9416C694-74C0-4ED8-B9A3-CFD4820270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" name="AutoShape 1" descr="Vista previa de toda la pantalla">
          <a:extLst>
            <a:ext uri="{FF2B5EF4-FFF2-40B4-BE49-F238E27FC236}">
              <a16:creationId xmlns:a16="http://schemas.microsoft.com/office/drawing/2014/main" id="{133BD83A-A3A1-4BAC-9B34-40A4112F2B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" name="AutoShape 1" descr="Vista previa de toda la pantalla">
          <a:extLst>
            <a:ext uri="{FF2B5EF4-FFF2-40B4-BE49-F238E27FC236}">
              <a16:creationId xmlns:a16="http://schemas.microsoft.com/office/drawing/2014/main" id="{F4F4772A-4A42-4F99-B212-735B0EF8AA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" name="AutoShape 1" descr="Vista previa de toda la pantalla">
          <a:extLst>
            <a:ext uri="{FF2B5EF4-FFF2-40B4-BE49-F238E27FC236}">
              <a16:creationId xmlns:a16="http://schemas.microsoft.com/office/drawing/2014/main" id="{647B9584-10BB-497A-8745-C2F2E27F44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" name="AutoShape 1" descr="Vista previa de toda la pantalla">
          <a:extLst>
            <a:ext uri="{FF2B5EF4-FFF2-40B4-BE49-F238E27FC236}">
              <a16:creationId xmlns:a16="http://schemas.microsoft.com/office/drawing/2014/main" id="{FD15B13A-970D-4380-9BFE-2CAE1D893E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" name="AutoShape 1" descr="Vista previa de toda la pantalla">
          <a:extLst>
            <a:ext uri="{FF2B5EF4-FFF2-40B4-BE49-F238E27FC236}">
              <a16:creationId xmlns:a16="http://schemas.microsoft.com/office/drawing/2014/main" id="{FB3EB977-ACD8-4993-B5CF-02C59C2E65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" name="AutoShape 1" descr="Vista previa de toda la pantalla">
          <a:extLst>
            <a:ext uri="{FF2B5EF4-FFF2-40B4-BE49-F238E27FC236}">
              <a16:creationId xmlns:a16="http://schemas.microsoft.com/office/drawing/2014/main" id="{BEA208B4-38E3-45F9-AE8F-0DA5B5F1DB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" name="AutoShape 1" descr="Vista previa de toda la pantalla">
          <a:extLst>
            <a:ext uri="{FF2B5EF4-FFF2-40B4-BE49-F238E27FC236}">
              <a16:creationId xmlns:a16="http://schemas.microsoft.com/office/drawing/2014/main" id="{07ADF9AF-5635-41F2-8DFB-D02E10CAFF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" name="AutoShape 1" descr="Vista previa de toda la pantalla">
          <a:extLst>
            <a:ext uri="{FF2B5EF4-FFF2-40B4-BE49-F238E27FC236}">
              <a16:creationId xmlns:a16="http://schemas.microsoft.com/office/drawing/2014/main" id="{1AFB56E8-20C5-4A34-AE9F-89E28BF115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" name="AutoShape 1" descr="Vista previa de toda la pantalla">
          <a:extLst>
            <a:ext uri="{FF2B5EF4-FFF2-40B4-BE49-F238E27FC236}">
              <a16:creationId xmlns:a16="http://schemas.microsoft.com/office/drawing/2014/main" id="{8A36D2A8-8445-42DD-8118-52A8CCE203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" name="AutoShape 1" descr="Vista previa de toda la pantalla">
          <a:extLst>
            <a:ext uri="{FF2B5EF4-FFF2-40B4-BE49-F238E27FC236}">
              <a16:creationId xmlns:a16="http://schemas.microsoft.com/office/drawing/2014/main" id="{A800E15C-55F0-435B-A101-1FC7F6A0CB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" name="AutoShape 1" descr="Vista previa de toda la pantalla">
          <a:extLst>
            <a:ext uri="{FF2B5EF4-FFF2-40B4-BE49-F238E27FC236}">
              <a16:creationId xmlns:a16="http://schemas.microsoft.com/office/drawing/2014/main" id="{72BB993B-F7C3-49FD-8383-498CBDB1F6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" name="AutoShape 1" descr="Vista previa de toda la pantalla">
          <a:extLst>
            <a:ext uri="{FF2B5EF4-FFF2-40B4-BE49-F238E27FC236}">
              <a16:creationId xmlns:a16="http://schemas.microsoft.com/office/drawing/2014/main" id="{F594EC19-EEBA-4B27-ABFA-9F2B3E1E32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" name="AutoShape 1" descr="Vista previa de toda la pantalla">
          <a:extLst>
            <a:ext uri="{FF2B5EF4-FFF2-40B4-BE49-F238E27FC236}">
              <a16:creationId xmlns:a16="http://schemas.microsoft.com/office/drawing/2014/main" id="{CC4B92F1-51FA-4FDC-93BF-4D3089B206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" name="AutoShape 1" descr="Vista previa de toda la pantalla">
          <a:extLst>
            <a:ext uri="{FF2B5EF4-FFF2-40B4-BE49-F238E27FC236}">
              <a16:creationId xmlns:a16="http://schemas.microsoft.com/office/drawing/2014/main" id="{2572765F-4C25-4244-AC96-E2E533F6DC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8" name="AutoShape 1" descr="Vista previa de toda la pantalla">
          <a:extLst>
            <a:ext uri="{FF2B5EF4-FFF2-40B4-BE49-F238E27FC236}">
              <a16:creationId xmlns:a16="http://schemas.microsoft.com/office/drawing/2014/main" id="{8F98D7C8-E8C6-4AD0-A647-AF74A5DFF5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" name="AutoShape 1" descr="Vista previa de toda la pantalla">
          <a:extLst>
            <a:ext uri="{FF2B5EF4-FFF2-40B4-BE49-F238E27FC236}">
              <a16:creationId xmlns:a16="http://schemas.microsoft.com/office/drawing/2014/main" id="{FA46036E-1257-4385-AFAF-9DC23A79F9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" name="AutoShape 1" descr="Vista previa de toda la pantalla">
          <a:extLst>
            <a:ext uri="{FF2B5EF4-FFF2-40B4-BE49-F238E27FC236}">
              <a16:creationId xmlns:a16="http://schemas.microsoft.com/office/drawing/2014/main" id="{F010B122-97C2-4BC6-B9C0-7BE2303D05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" name="AutoShape 1" descr="Vista previa de toda la pantalla">
          <a:extLst>
            <a:ext uri="{FF2B5EF4-FFF2-40B4-BE49-F238E27FC236}">
              <a16:creationId xmlns:a16="http://schemas.microsoft.com/office/drawing/2014/main" id="{42F39063-4163-4C9A-8478-44B9C81DEA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" name="AutoShape 1" descr="Vista previa de toda la pantalla">
          <a:extLst>
            <a:ext uri="{FF2B5EF4-FFF2-40B4-BE49-F238E27FC236}">
              <a16:creationId xmlns:a16="http://schemas.microsoft.com/office/drawing/2014/main" id="{9144127F-B4D6-448F-84B4-4300A6FACC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" name="AutoShape 1" descr="Vista previa de toda la pantalla">
          <a:extLst>
            <a:ext uri="{FF2B5EF4-FFF2-40B4-BE49-F238E27FC236}">
              <a16:creationId xmlns:a16="http://schemas.microsoft.com/office/drawing/2014/main" id="{87914AC6-B620-41AE-B1D4-3E42817E28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" name="AutoShape 1" descr="Vista previa de toda la pantalla">
          <a:extLst>
            <a:ext uri="{FF2B5EF4-FFF2-40B4-BE49-F238E27FC236}">
              <a16:creationId xmlns:a16="http://schemas.microsoft.com/office/drawing/2014/main" id="{A1886EF3-61C8-46D1-8323-7BAB09EEDC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" name="AutoShape 1" descr="Vista previa de toda la pantalla">
          <a:extLst>
            <a:ext uri="{FF2B5EF4-FFF2-40B4-BE49-F238E27FC236}">
              <a16:creationId xmlns:a16="http://schemas.microsoft.com/office/drawing/2014/main" id="{14F34E34-315A-4B18-A683-664D1F6F2A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" name="AutoShape 1" descr="Vista previa de toda la pantalla">
          <a:extLst>
            <a:ext uri="{FF2B5EF4-FFF2-40B4-BE49-F238E27FC236}">
              <a16:creationId xmlns:a16="http://schemas.microsoft.com/office/drawing/2014/main" id="{61482CD9-4F05-4C37-AF8E-541CE67B36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" name="AutoShape 1" descr="Vista previa de toda la pantalla">
          <a:extLst>
            <a:ext uri="{FF2B5EF4-FFF2-40B4-BE49-F238E27FC236}">
              <a16:creationId xmlns:a16="http://schemas.microsoft.com/office/drawing/2014/main" id="{A74BBFB8-4732-4D7B-9BAA-FAA71AE924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" name="AutoShape 1" descr="Vista previa de toda la pantalla">
          <a:extLst>
            <a:ext uri="{FF2B5EF4-FFF2-40B4-BE49-F238E27FC236}">
              <a16:creationId xmlns:a16="http://schemas.microsoft.com/office/drawing/2014/main" id="{D114CC80-5FB6-4570-8802-08F4BE4F49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" name="AutoShape 1" descr="Vista previa de toda la pantalla">
          <a:extLst>
            <a:ext uri="{FF2B5EF4-FFF2-40B4-BE49-F238E27FC236}">
              <a16:creationId xmlns:a16="http://schemas.microsoft.com/office/drawing/2014/main" id="{FB296948-1E85-4FB4-8531-DD20C50638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" name="AutoShape 1" descr="Vista previa de toda la pantalla">
          <a:extLst>
            <a:ext uri="{FF2B5EF4-FFF2-40B4-BE49-F238E27FC236}">
              <a16:creationId xmlns:a16="http://schemas.microsoft.com/office/drawing/2014/main" id="{E00D53DB-9C9D-41A3-9797-3B47B20F8F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" name="AutoShape 1" descr="Vista previa de toda la pantalla">
          <a:extLst>
            <a:ext uri="{FF2B5EF4-FFF2-40B4-BE49-F238E27FC236}">
              <a16:creationId xmlns:a16="http://schemas.microsoft.com/office/drawing/2014/main" id="{4C8F5A04-1508-4059-A1BC-A7DC1EBC7B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" name="AutoShape 1" descr="Vista previa de toda la pantalla">
          <a:extLst>
            <a:ext uri="{FF2B5EF4-FFF2-40B4-BE49-F238E27FC236}">
              <a16:creationId xmlns:a16="http://schemas.microsoft.com/office/drawing/2014/main" id="{95EECCC9-5261-4233-9B3F-FC47878E86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" name="AutoShape 1" descr="Vista previa de toda la pantalla">
          <a:extLst>
            <a:ext uri="{FF2B5EF4-FFF2-40B4-BE49-F238E27FC236}">
              <a16:creationId xmlns:a16="http://schemas.microsoft.com/office/drawing/2014/main" id="{4D12A5BE-B2E7-4395-98EA-BC830E3E5E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" name="AutoShape 1" descr="Vista previa de toda la pantalla">
          <a:extLst>
            <a:ext uri="{FF2B5EF4-FFF2-40B4-BE49-F238E27FC236}">
              <a16:creationId xmlns:a16="http://schemas.microsoft.com/office/drawing/2014/main" id="{F450E7C5-DC5E-4AAD-A1AE-2E7EF1E201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5" name="AutoShape 1" descr="Vista previa de toda la pantalla">
          <a:extLst>
            <a:ext uri="{FF2B5EF4-FFF2-40B4-BE49-F238E27FC236}">
              <a16:creationId xmlns:a16="http://schemas.microsoft.com/office/drawing/2014/main" id="{2A33D2BF-10B7-410E-AF97-8F34EB84CD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" name="AutoShape 1" descr="Vista previa de toda la pantalla">
          <a:extLst>
            <a:ext uri="{FF2B5EF4-FFF2-40B4-BE49-F238E27FC236}">
              <a16:creationId xmlns:a16="http://schemas.microsoft.com/office/drawing/2014/main" id="{93E22003-7657-4CB9-9787-1B9549A118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" name="AutoShape 1" descr="Vista previa de toda la pantalla">
          <a:extLst>
            <a:ext uri="{FF2B5EF4-FFF2-40B4-BE49-F238E27FC236}">
              <a16:creationId xmlns:a16="http://schemas.microsoft.com/office/drawing/2014/main" id="{60C66864-5FDD-4351-9E56-5BA58D3025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" name="AutoShape 1" descr="Vista previa de toda la pantalla">
          <a:extLst>
            <a:ext uri="{FF2B5EF4-FFF2-40B4-BE49-F238E27FC236}">
              <a16:creationId xmlns:a16="http://schemas.microsoft.com/office/drawing/2014/main" id="{EE53848C-2AA7-4EA2-A730-52D6A8760F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" name="AutoShape 1" descr="Vista previa de toda la pantalla">
          <a:extLst>
            <a:ext uri="{FF2B5EF4-FFF2-40B4-BE49-F238E27FC236}">
              <a16:creationId xmlns:a16="http://schemas.microsoft.com/office/drawing/2014/main" id="{7B8B4652-8368-4CA0-AE4E-3BE3D7CA25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" name="AutoShape 1" descr="Vista previa de toda la pantalla">
          <a:extLst>
            <a:ext uri="{FF2B5EF4-FFF2-40B4-BE49-F238E27FC236}">
              <a16:creationId xmlns:a16="http://schemas.microsoft.com/office/drawing/2014/main" id="{8996A56E-443F-4958-8E44-9ABF6463F6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" name="AutoShape 1" descr="Vista previa de toda la pantalla">
          <a:extLst>
            <a:ext uri="{FF2B5EF4-FFF2-40B4-BE49-F238E27FC236}">
              <a16:creationId xmlns:a16="http://schemas.microsoft.com/office/drawing/2014/main" id="{DC54AF16-A79E-452E-9151-141ED943CE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" name="AutoShape 1" descr="Vista previa de toda la pantalla">
          <a:extLst>
            <a:ext uri="{FF2B5EF4-FFF2-40B4-BE49-F238E27FC236}">
              <a16:creationId xmlns:a16="http://schemas.microsoft.com/office/drawing/2014/main" id="{B44CC85D-94EB-427F-8C8A-8C21CD2CA8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" name="AutoShape 1" descr="Vista previa de toda la pantalla">
          <a:extLst>
            <a:ext uri="{FF2B5EF4-FFF2-40B4-BE49-F238E27FC236}">
              <a16:creationId xmlns:a16="http://schemas.microsoft.com/office/drawing/2014/main" id="{DBE664A7-5578-4323-80F1-EA08759AE2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" name="AutoShape 1" descr="Vista previa de toda la pantalla">
          <a:extLst>
            <a:ext uri="{FF2B5EF4-FFF2-40B4-BE49-F238E27FC236}">
              <a16:creationId xmlns:a16="http://schemas.microsoft.com/office/drawing/2014/main" id="{6A24DD2D-D8A4-4F18-83CF-F13A765341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" name="AutoShape 1" descr="Vista previa de toda la pantalla">
          <a:extLst>
            <a:ext uri="{FF2B5EF4-FFF2-40B4-BE49-F238E27FC236}">
              <a16:creationId xmlns:a16="http://schemas.microsoft.com/office/drawing/2014/main" id="{0182A155-1C78-4B86-B837-61EBDBACD1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" name="AutoShape 1" descr="Vista previa de toda la pantalla">
          <a:extLst>
            <a:ext uri="{FF2B5EF4-FFF2-40B4-BE49-F238E27FC236}">
              <a16:creationId xmlns:a16="http://schemas.microsoft.com/office/drawing/2014/main" id="{2ED8F280-AAA4-4D1D-8D36-95EF3732AD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" name="AutoShape 1" descr="Vista previa de toda la pantalla">
          <a:extLst>
            <a:ext uri="{FF2B5EF4-FFF2-40B4-BE49-F238E27FC236}">
              <a16:creationId xmlns:a16="http://schemas.microsoft.com/office/drawing/2014/main" id="{794EB2A8-750A-4EB4-8CF8-7081D3C5E2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38" name="AutoShape 1" descr="Vista previa de toda la pantalla">
          <a:extLst>
            <a:ext uri="{FF2B5EF4-FFF2-40B4-BE49-F238E27FC236}">
              <a16:creationId xmlns:a16="http://schemas.microsoft.com/office/drawing/2014/main" id="{E53AFB7B-52A9-449D-A226-323D9A70A5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39" name="AutoShape 1" descr="Vista previa de toda la pantalla">
          <a:extLst>
            <a:ext uri="{FF2B5EF4-FFF2-40B4-BE49-F238E27FC236}">
              <a16:creationId xmlns:a16="http://schemas.microsoft.com/office/drawing/2014/main" id="{49A8763F-DD8F-4A54-9DFE-5D6EAF0AAA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40" name="AutoShape 1" descr="Vista previa de toda la pantalla">
          <a:extLst>
            <a:ext uri="{FF2B5EF4-FFF2-40B4-BE49-F238E27FC236}">
              <a16:creationId xmlns:a16="http://schemas.microsoft.com/office/drawing/2014/main" id="{AC22C4A2-2E50-4817-B99E-75F5495594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41" name="AutoShape 1" descr="Vista previa de toda la pantalla">
          <a:extLst>
            <a:ext uri="{FF2B5EF4-FFF2-40B4-BE49-F238E27FC236}">
              <a16:creationId xmlns:a16="http://schemas.microsoft.com/office/drawing/2014/main" id="{B70AA4C4-E014-42E5-8068-BBBCCE25CD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42" name="AutoShape 1" descr="Vista previa de toda la pantalla">
          <a:extLst>
            <a:ext uri="{FF2B5EF4-FFF2-40B4-BE49-F238E27FC236}">
              <a16:creationId xmlns:a16="http://schemas.microsoft.com/office/drawing/2014/main" id="{4897E4C5-2AEB-46F5-A807-AF5FCAF3FD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43" name="AutoShape 1" descr="Vista previa de toda la pantalla">
          <a:extLst>
            <a:ext uri="{FF2B5EF4-FFF2-40B4-BE49-F238E27FC236}">
              <a16:creationId xmlns:a16="http://schemas.microsoft.com/office/drawing/2014/main" id="{92ABD648-D0FF-48E0-9E35-24F05AC61A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44" name="AutoShape 1" descr="Vista previa de toda la pantalla">
          <a:extLst>
            <a:ext uri="{FF2B5EF4-FFF2-40B4-BE49-F238E27FC236}">
              <a16:creationId xmlns:a16="http://schemas.microsoft.com/office/drawing/2014/main" id="{D21ECEF1-DC0B-40B3-85FB-5FA849126A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45" name="AutoShape 1" descr="Vista previa de toda la pantalla">
          <a:extLst>
            <a:ext uri="{FF2B5EF4-FFF2-40B4-BE49-F238E27FC236}">
              <a16:creationId xmlns:a16="http://schemas.microsoft.com/office/drawing/2014/main" id="{ED22C843-CD7F-4188-97A9-A636A8BA40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46" name="AutoShape 1" descr="Vista previa de toda la pantalla">
          <a:extLst>
            <a:ext uri="{FF2B5EF4-FFF2-40B4-BE49-F238E27FC236}">
              <a16:creationId xmlns:a16="http://schemas.microsoft.com/office/drawing/2014/main" id="{7DAC7716-957C-48A9-8C9D-FF841A0966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47" name="AutoShape 1" descr="Vista previa de toda la pantalla">
          <a:extLst>
            <a:ext uri="{FF2B5EF4-FFF2-40B4-BE49-F238E27FC236}">
              <a16:creationId xmlns:a16="http://schemas.microsoft.com/office/drawing/2014/main" id="{CD2F4D3C-E4CB-49D4-929F-CFD1A720B5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48" name="AutoShape 1" descr="Vista previa de toda la pantalla">
          <a:extLst>
            <a:ext uri="{FF2B5EF4-FFF2-40B4-BE49-F238E27FC236}">
              <a16:creationId xmlns:a16="http://schemas.microsoft.com/office/drawing/2014/main" id="{1A140F5B-FFD0-41B1-BE31-1AD9210251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49" name="AutoShape 1" descr="Vista previa de toda la pantalla">
          <a:extLst>
            <a:ext uri="{FF2B5EF4-FFF2-40B4-BE49-F238E27FC236}">
              <a16:creationId xmlns:a16="http://schemas.microsoft.com/office/drawing/2014/main" id="{C57E4546-813D-4F74-A24B-3907A6FB97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50" name="AutoShape 1" descr="Vista previa de toda la pantalla">
          <a:extLst>
            <a:ext uri="{FF2B5EF4-FFF2-40B4-BE49-F238E27FC236}">
              <a16:creationId xmlns:a16="http://schemas.microsoft.com/office/drawing/2014/main" id="{0D9303AA-E3A3-4F19-BBF5-6880FD5F9D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651" name="AutoShape 1" descr="Vista previa de toda la pantalla">
          <a:extLst>
            <a:ext uri="{FF2B5EF4-FFF2-40B4-BE49-F238E27FC236}">
              <a16:creationId xmlns:a16="http://schemas.microsoft.com/office/drawing/2014/main" id="{0292868F-D7A9-4C38-BFC4-1825B178E8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652" name="AutoShape 1" descr="Vista previa de toda la pantalla">
          <a:extLst>
            <a:ext uri="{FF2B5EF4-FFF2-40B4-BE49-F238E27FC236}">
              <a16:creationId xmlns:a16="http://schemas.microsoft.com/office/drawing/2014/main" id="{48DBEEB1-AB6E-4411-A3D5-33B12666982E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" name="AutoShape 1" descr="Vista previa de toda la pantalla">
          <a:extLst>
            <a:ext uri="{FF2B5EF4-FFF2-40B4-BE49-F238E27FC236}">
              <a16:creationId xmlns:a16="http://schemas.microsoft.com/office/drawing/2014/main" id="{E2716790-1635-4388-869F-3FE0225DB4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" name="AutoShape 1" descr="Vista previa de toda la pantalla">
          <a:extLst>
            <a:ext uri="{FF2B5EF4-FFF2-40B4-BE49-F238E27FC236}">
              <a16:creationId xmlns:a16="http://schemas.microsoft.com/office/drawing/2014/main" id="{1841E398-CFAD-4832-8D0E-70D7994DDC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" name="AutoShape 1" descr="Vista previa de toda la pantalla">
          <a:extLst>
            <a:ext uri="{FF2B5EF4-FFF2-40B4-BE49-F238E27FC236}">
              <a16:creationId xmlns:a16="http://schemas.microsoft.com/office/drawing/2014/main" id="{636159B8-DE30-473E-B6A7-57F69E7100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" name="AutoShape 1" descr="Vista previa de toda la pantalla">
          <a:extLst>
            <a:ext uri="{FF2B5EF4-FFF2-40B4-BE49-F238E27FC236}">
              <a16:creationId xmlns:a16="http://schemas.microsoft.com/office/drawing/2014/main" id="{A143D3FD-7FC1-4AF6-BE6F-607EB288F7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" name="AutoShape 1" descr="Vista previa de toda la pantalla">
          <a:extLst>
            <a:ext uri="{FF2B5EF4-FFF2-40B4-BE49-F238E27FC236}">
              <a16:creationId xmlns:a16="http://schemas.microsoft.com/office/drawing/2014/main" id="{F0283375-91E1-4942-B616-FC54FAD1C4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8" name="AutoShape 1" descr="Vista previa de toda la pantalla">
          <a:extLst>
            <a:ext uri="{FF2B5EF4-FFF2-40B4-BE49-F238E27FC236}">
              <a16:creationId xmlns:a16="http://schemas.microsoft.com/office/drawing/2014/main" id="{7A972868-A507-4770-9D48-030B73DFCB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" name="AutoShape 1" descr="Vista previa de toda la pantalla">
          <a:extLst>
            <a:ext uri="{FF2B5EF4-FFF2-40B4-BE49-F238E27FC236}">
              <a16:creationId xmlns:a16="http://schemas.microsoft.com/office/drawing/2014/main" id="{FC8B772D-FD08-42C5-A9A8-792EA20E1B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" name="AutoShape 1" descr="Vista previa de toda la pantalla">
          <a:extLst>
            <a:ext uri="{FF2B5EF4-FFF2-40B4-BE49-F238E27FC236}">
              <a16:creationId xmlns:a16="http://schemas.microsoft.com/office/drawing/2014/main" id="{05D9A830-3954-4852-9E4E-6076282BFB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" name="AutoShape 1" descr="Vista previa de toda la pantalla">
          <a:extLst>
            <a:ext uri="{FF2B5EF4-FFF2-40B4-BE49-F238E27FC236}">
              <a16:creationId xmlns:a16="http://schemas.microsoft.com/office/drawing/2014/main" id="{5DA39884-0007-4AA5-A05C-4B4ACFF3B6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" name="AutoShape 1" descr="Vista previa de toda la pantalla">
          <a:extLst>
            <a:ext uri="{FF2B5EF4-FFF2-40B4-BE49-F238E27FC236}">
              <a16:creationId xmlns:a16="http://schemas.microsoft.com/office/drawing/2014/main" id="{09CC7E99-4821-4C72-9628-62D4C79AB1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" name="AutoShape 1" descr="Vista previa de toda la pantalla">
          <a:extLst>
            <a:ext uri="{FF2B5EF4-FFF2-40B4-BE49-F238E27FC236}">
              <a16:creationId xmlns:a16="http://schemas.microsoft.com/office/drawing/2014/main" id="{C8970899-EB8E-4549-9E19-60EB39B481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" name="AutoShape 1" descr="Vista previa de toda la pantalla">
          <a:extLst>
            <a:ext uri="{FF2B5EF4-FFF2-40B4-BE49-F238E27FC236}">
              <a16:creationId xmlns:a16="http://schemas.microsoft.com/office/drawing/2014/main" id="{DE4D9864-1D15-4B82-87D7-4414C14A86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" name="AutoShape 1" descr="Vista previa de toda la pantalla">
          <a:extLst>
            <a:ext uri="{FF2B5EF4-FFF2-40B4-BE49-F238E27FC236}">
              <a16:creationId xmlns:a16="http://schemas.microsoft.com/office/drawing/2014/main" id="{4F5DFE21-14E2-4CB8-856A-8900D2E779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" name="AutoShape 1" descr="Vista previa de toda la pantalla">
          <a:extLst>
            <a:ext uri="{FF2B5EF4-FFF2-40B4-BE49-F238E27FC236}">
              <a16:creationId xmlns:a16="http://schemas.microsoft.com/office/drawing/2014/main" id="{57BA0296-E2FE-4851-9F08-4A46F507BA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" name="AutoShape 1" descr="Vista previa de toda la pantalla">
          <a:extLst>
            <a:ext uri="{FF2B5EF4-FFF2-40B4-BE49-F238E27FC236}">
              <a16:creationId xmlns:a16="http://schemas.microsoft.com/office/drawing/2014/main" id="{1852BC4B-6266-48A4-B8CA-EAF638C4C6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" name="AutoShape 1" descr="Vista previa de toda la pantalla">
          <a:extLst>
            <a:ext uri="{FF2B5EF4-FFF2-40B4-BE49-F238E27FC236}">
              <a16:creationId xmlns:a16="http://schemas.microsoft.com/office/drawing/2014/main" id="{5B012347-C6A9-4D84-AA2E-25051C3D4D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" name="AutoShape 1" descr="Vista previa de toda la pantalla">
          <a:extLst>
            <a:ext uri="{FF2B5EF4-FFF2-40B4-BE49-F238E27FC236}">
              <a16:creationId xmlns:a16="http://schemas.microsoft.com/office/drawing/2014/main" id="{8A55F5DA-01D2-499C-8DE1-43D59DD55E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" name="AutoShape 1" descr="Vista previa de toda la pantalla">
          <a:extLst>
            <a:ext uri="{FF2B5EF4-FFF2-40B4-BE49-F238E27FC236}">
              <a16:creationId xmlns:a16="http://schemas.microsoft.com/office/drawing/2014/main" id="{5295E775-3998-4900-AD96-3FE91D6AC1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" name="AutoShape 1" descr="Vista previa de toda la pantalla">
          <a:extLst>
            <a:ext uri="{FF2B5EF4-FFF2-40B4-BE49-F238E27FC236}">
              <a16:creationId xmlns:a16="http://schemas.microsoft.com/office/drawing/2014/main" id="{7D1EFAFF-A476-4533-A574-17F77F8A55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" name="AutoShape 1" descr="Vista previa de toda la pantalla">
          <a:extLst>
            <a:ext uri="{FF2B5EF4-FFF2-40B4-BE49-F238E27FC236}">
              <a16:creationId xmlns:a16="http://schemas.microsoft.com/office/drawing/2014/main" id="{24538A52-0579-4156-A334-799939E7ED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" name="AutoShape 1" descr="Vista previa de toda la pantalla">
          <a:extLst>
            <a:ext uri="{FF2B5EF4-FFF2-40B4-BE49-F238E27FC236}">
              <a16:creationId xmlns:a16="http://schemas.microsoft.com/office/drawing/2014/main" id="{8B38ED21-A882-4274-8B32-FB519C66B8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" name="AutoShape 1" descr="Vista previa de toda la pantalla">
          <a:extLst>
            <a:ext uri="{FF2B5EF4-FFF2-40B4-BE49-F238E27FC236}">
              <a16:creationId xmlns:a16="http://schemas.microsoft.com/office/drawing/2014/main" id="{54B06A5B-B2DC-4244-B0AA-9AD41C3B4B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5" name="AutoShape 1" descr="Vista previa de toda la pantalla">
          <a:extLst>
            <a:ext uri="{FF2B5EF4-FFF2-40B4-BE49-F238E27FC236}">
              <a16:creationId xmlns:a16="http://schemas.microsoft.com/office/drawing/2014/main" id="{363E4A94-8EE2-4577-BFF0-E918491243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" name="AutoShape 1" descr="Vista previa de toda la pantalla">
          <a:extLst>
            <a:ext uri="{FF2B5EF4-FFF2-40B4-BE49-F238E27FC236}">
              <a16:creationId xmlns:a16="http://schemas.microsoft.com/office/drawing/2014/main" id="{2B878863-15FD-4D2D-B70B-D04799A6A3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" name="AutoShape 1" descr="Vista previa de toda la pantalla">
          <a:extLst>
            <a:ext uri="{FF2B5EF4-FFF2-40B4-BE49-F238E27FC236}">
              <a16:creationId xmlns:a16="http://schemas.microsoft.com/office/drawing/2014/main" id="{F40F7C82-8C93-4133-8D86-1B0495405D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" name="AutoShape 1" descr="Vista previa de toda la pantalla">
          <a:extLst>
            <a:ext uri="{FF2B5EF4-FFF2-40B4-BE49-F238E27FC236}">
              <a16:creationId xmlns:a16="http://schemas.microsoft.com/office/drawing/2014/main" id="{386E0656-A14D-4525-97CE-2B8B187460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" name="AutoShape 1" descr="Vista previa de toda la pantalla">
          <a:extLst>
            <a:ext uri="{FF2B5EF4-FFF2-40B4-BE49-F238E27FC236}">
              <a16:creationId xmlns:a16="http://schemas.microsoft.com/office/drawing/2014/main" id="{6FD9222F-3094-465A-9005-D38CA96D00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" name="AutoShape 1" descr="Vista previa de toda la pantalla">
          <a:extLst>
            <a:ext uri="{FF2B5EF4-FFF2-40B4-BE49-F238E27FC236}">
              <a16:creationId xmlns:a16="http://schemas.microsoft.com/office/drawing/2014/main" id="{6E1BDBA6-D0ED-4361-AAB3-0A67DD0B61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" name="AutoShape 1" descr="Vista previa de toda la pantalla">
          <a:extLst>
            <a:ext uri="{FF2B5EF4-FFF2-40B4-BE49-F238E27FC236}">
              <a16:creationId xmlns:a16="http://schemas.microsoft.com/office/drawing/2014/main" id="{7A3F1A80-C6DD-4986-B2C0-1F5AD52B44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" name="AutoShape 1" descr="Vista previa de toda la pantalla">
          <a:extLst>
            <a:ext uri="{FF2B5EF4-FFF2-40B4-BE49-F238E27FC236}">
              <a16:creationId xmlns:a16="http://schemas.microsoft.com/office/drawing/2014/main" id="{A4D378B5-A465-4DD0-AA68-9667CDA413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" name="AutoShape 1" descr="Vista previa de toda la pantalla">
          <a:extLst>
            <a:ext uri="{FF2B5EF4-FFF2-40B4-BE49-F238E27FC236}">
              <a16:creationId xmlns:a16="http://schemas.microsoft.com/office/drawing/2014/main" id="{0188B52D-47C4-47E7-AD45-D42F4D5EA9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" name="AutoShape 1" descr="Vista previa de toda la pantalla">
          <a:extLst>
            <a:ext uri="{FF2B5EF4-FFF2-40B4-BE49-F238E27FC236}">
              <a16:creationId xmlns:a16="http://schemas.microsoft.com/office/drawing/2014/main" id="{E68E2210-E55B-4977-94C1-7E4E000D06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" name="AutoShape 1" descr="Vista previa de toda la pantalla">
          <a:extLst>
            <a:ext uri="{FF2B5EF4-FFF2-40B4-BE49-F238E27FC236}">
              <a16:creationId xmlns:a16="http://schemas.microsoft.com/office/drawing/2014/main" id="{0090B97F-913C-4A6E-BEE2-F37A0BF511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" name="AutoShape 1" descr="Vista previa de toda la pantalla">
          <a:extLst>
            <a:ext uri="{FF2B5EF4-FFF2-40B4-BE49-F238E27FC236}">
              <a16:creationId xmlns:a16="http://schemas.microsoft.com/office/drawing/2014/main" id="{3EEB516C-9B12-4ED9-8A9B-26C336103D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" name="AutoShape 1" descr="Vista previa de toda la pantalla">
          <a:extLst>
            <a:ext uri="{FF2B5EF4-FFF2-40B4-BE49-F238E27FC236}">
              <a16:creationId xmlns:a16="http://schemas.microsoft.com/office/drawing/2014/main" id="{FD81A4F5-4E62-4978-B507-36201238F7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" name="AutoShape 1" descr="Vista previa de toda la pantalla">
          <a:extLst>
            <a:ext uri="{FF2B5EF4-FFF2-40B4-BE49-F238E27FC236}">
              <a16:creationId xmlns:a16="http://schemas.microsoft.com/office/drawing/2014/main" id="{6C5841C6-1E22-47E0-B9DF-9E7D844DCB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" name="AutoShape 1" descr="Vista previa de toda la pantalla">
          <a:extLst>
            <a:ext uri="{FF2B5EF4-FFF2-40B4-BE49-F238E27FC236}">
              <a16:creationId xmlns:a16="http://schemas.microsoft.com/office/drawing/2014/main" id="{3523EA99-8A8B-4E2F-A3C0-64B9CC3560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" name="AutoShape 1" descr="Vista previa de toda la pantalla">
          <a:extLst>
            <a:ext uri="{FF2B5EF4-FFF2-40B4-BE49-F238E27FC236}">
              <a16:creationId xmlns:a16="http://schemas.microsoft.com/office/drawing/2014/main" id="{9E1E338B-26D2-4529-94BD-4052F1458C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" name="AutoShape 1" descr="Vista previa de toda la pantalla">
          <a:extLst>
            <a:ext uri="{FF2B5EF4-FFF2-40B4-BE49-F238E27FC236}">
              <a16:creationId xmlns:a16="http://schemas.microsoft.com/office/drawing/2014/main" id="{442FC3A7-C811-4DBF-AAA6-FFCA97DF6F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2" name="AutoShape 1" descr="Vista previa de toda la pantalla">
          <a:extLst>
            <a:ext uri="{FF2B5EF4-FFF2-40B4-BE49-F238E27FC236}">
              <a16:creationId xmlns:a16="http://schemas.microsoft.com/office/drawing/2014/main" id="{98756217-CDFE-4D34-9ED2-7F379554B7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" name="AutoShape 1" descr="Vista previa de toda la pantalla">
          <a:extLst>
            <a:ext uri="{FF2B5EF4-FFF2-40B4-BE49-F238E27FC236}">
              <a16:creationId xmlns:a16="http://schemas.microsoft.com/office/drawing/2014/main" id="{F7CF5353-771B-43E3-883A-35BE2A36FE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" name="AutoShape 1" descr="Vista previa de toda la pantalla">
          <a:extLst>
            <a:ext uri="{FF2B5EF4-FFF2-40B4-BE49-F238E27FC236}">
              <a16:creationId xmlns:a16="http://schemas.microsoft.com/office/drawing/2014/main" id="{4EDFA41B-5805-460E-AE10-5DAB1F8CB7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" name="AutoShape 1" descr="Vista previa de toda la pantalla">
          <a:extLst>
            <a:ext uri="{FF2B5EF4-FFF2-40B4-BE49-F238E27FC236}">
              <a16:creationId xmlns:a16="http://schemas.microsoft.com/office/drawing/2014/main" id="{44F23D8C-17C3-4F17-8A40-11022CB857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" name="AutoShape 1" descr="Vista previa de toda la pantalla">
          <a:extLst>
            <a:ext uri="{FF2B5EF4-FFF2-40B4-BE49-F238E27FC236}">
              <a16:creationId xmlns:a16="http://schemas.microsoft.com/office/drawing/2014/main" id="{914E07B4-3DE0-4904-B892-6A61329120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" name="AutoShape 1" descr="Vista previa de toda la pantalla">
          <a:extLst>
            <a:ext uri="{FF2B5EF4-FFF2-40B4-BE49-F238E27FC236}">
              <a16:creationId xmlns:a16="http://schemas.microsoft.com/office/drawing/2014/main" id="{42D601E3-484C-49C3-A19E-DBF79E6563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" name="AutoShape 1" descr="Vista previa de toda la pantalla">
          <a:extLst>
            <a:ext uri="{FF2B5EF4-FFF2-40B4-BE49-F238E27FC236}">
              <a16:creationId xmlns:a16="http://schemas.microsoft.com/office/drawing/2014/main" id="{42695816-33B7-4F9D-B9D3-1C7E9FEDF9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" name="AutoShape 1" descr="Vista previa de toda la pantalla">
          <a:extLst>
            <a:ext uri="{FF2B5EF4-FFF2-40B4-BE49-F238E27FC236}">
              <a16:creationId xmlns:a16="http://schemas.microsoft.com/office/drawing/2014/main" id="{0DB8ACA2-32AC-4370-B38B-6C4848CCDA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" name="AutoShape 1" descr="Vista previa de toda la pantalla">
          <a:extLst>
            <a:ext uri="{FF2B5EF4-FFF2-40B4-BE49-F238E27FC236}">
              <a16:creationId xmlns:a16="http://schemas.microsoft.com/office/drawing/2014/main" id="{799E2F3B-CDF3-4C4B-9C59-B8EA09BF5F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" name="AutoShape 1" descr="Vista previa de toda la pantalla">
          <a:extLst>
            <a:ext uri="{FF2B5EF4-FFF2-40B4-BE49-F238E27FC236}">
              <a16:creationId xmlns:a16="http://schemas.microsoft.com/office/drawing/2014/main" id="{5D0CBF2D-D0E6-4327-B4FE-5716E7ECF2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" name="AutoShape 1" descr="Vista previa de toda la pantalla">
          <a:extLst>
            <a:ext uri="{FF2B5EF4-FFF2-40B4-BE49-F238E27FC236}">
              <a16:creationId xmlns:a16="http://schemas.microsoft.com/office/drawing/2014/main" id="{8299D801-88EB-49B0-983F-84A67278EA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" name="AutoShape 1" descr="Vista previa de toda la pantalla">
          <a:extLst>
            <a:ext uri="{FF2B5EF4-FFF2-40B4-BE49-F238E27FC236}">
              <a16:creationId xmlns:a16="http://schemas.microsoft.com/office/drawing/2014/main" id="{33784C21-7F0E-4FDD-9455-A8AB9A01C8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" name="AutoShape 1" descr="Vista previa de toda la pantalla">
          <a:extLst>
            <a:ext uri="{FF2B5EF4-FFF2-40B4-BE49-F238E27FC236}">
              <a16:creationId xmlns:a16="http://schemas.microsoft.com/office/drawing/2014/main" id="{FDF3AE86-89BE-45B3-9EF3-79B25A1CEE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" name="AutoShape 1" descr="Vista previa de toda la pantalla">
          <a:extLst>
            <a:ext uri="{FF2B5EF4-FFF2-40B4-BE49-F238E27FC236}">
              <a16:creationId xmlns:a16="http://schemas.microsoft.com/office/drawing/2014/main" id="{DCDC774E-7D40-4AB8-8AC4-A7D1174FB7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" name="AutoShape 1" descr="Vista previa de toda la pantalla">
          <a:extLst>
            <a:ext uri="{FF2B5EF4-FFF2-40B4-BE49-F238E27FC236}">
              <a16:creationId xmlns:a16="http://schemas.microsoft.com/office/drawing/2014/main" id="{847260DA-E24D-497E-A085-18E0928E03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" name="AutoShape 1" descr="Vista previa de toda la pantalla">
          <a:extLst>
            <a:ext uri="{FF2B5EF4-FFF2-40B4-BE49-F238E27FC236}">
              <a16:creationId xmlns:a16="http://schemas.microsoft.com/office/drawing/2014/main" id="{F72FD3DA-5E98-4F51-9DC7-E0DF15973D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" name="AutoShape 1" descr="Vista previa de toda la pantalla">
          <a:extLst>
            <a:ext uri="{FF2B5EF4-FFF2-40B4-BE49-F238E27FC236}">
              <a16:creationId xmlns:a16="http://schemas.microsoft.com/office/drawing/2014/main" id="{665CBA0B-DB04-4679-A433-04AF075B29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" name="AutoShape 1" descr="Vista previa de toda la pantalla">
          <a:extLst>
            <a:ext uri="{FF2B5EF4-FFF2-40B4-BE49-F238E27FC236}">
              <a16:creationId xmlns:a16="http://schemas.microsoft.com/office/drawing/2014/main" id="{B718083F-A4E4-4EC6-A8F5-9D510F4775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0" name="AutoShape 1" descr="Vista previa de toda la pantalla">
          <a:extLst>
            <a:ext uri="{FF2B5EF4-FFF2-40B4-BE49-F238E27FC236}">
              <a16:creationId xmlns:a16="http://schemas.microsoft.com/office/drawing/2014/main" id="{99839FE4-012F-4DC8-BED2-ADC7FE38D0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" name="AutoShape 1" descr="Vista previa de toda la pantalla">
          <a:extLst>
            <a:ext uri="{FF2B5EF4-FFF2-40B4-BE49-F238E27FC236}">
              <a16:creationId xmlns:a16="http://schemas.microsoft.com/office/drawing/2014/main" id="{AD615125-B7B3-4F8B-A6D9-A2CF9D0F0D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2" name="AutoShape 1" descr="Vista previa de toda la pantalla">
          <a:extLst>
            <a:ext uri="{FF2B5EF4-FFF2-40B4-BE49-F238E27FC236}">
              <a16:creationId xmlns:a16="http://schemas.microsoft.com/office/drawing/2014/main" id="{95FB5795-3881-44F4-A6A4-8ABCE7EFAB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" name="AutoShape 1" descr="Vista previa de toda la pantalla">
          <a:extLst>
            <a:ext uri="{FF2B5EF4-FFF2-40B4-BE49-F238E27FC236}">
              <a16:creationId xmlns:a16="http://schemas.microsoft.com/office/drawing/2014/main" id="{7004058F-9F8F-4767-876B-D3DCE75D8A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" name="AutoShape 1" descr="Vista previa de toda la pantalla">
          <a:extLst>
            <a:ext uri="{FF2B5EF4-FFF2-40B4-BE49-F238E27FC236}">
              <a16:creationId xmlns:a16="http://schemas.microsoft.com/office/drawing/2014/main" id="{4D7851B3-3A98-46F1-BE58-FDCDAB13F5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" name="AutoShape 1" descr="Vista previa de toda la pantalla">
          <a:extLst>
            <a:ext uri="{FF2B5EF4-FFF2-40B4-BE49-F238E27FC236}">
              <a16:creationId xmlns:a16="http://schemas.microsoft.com/office/drawing/2014/main" id="{856451AD-7BBD-418D-95B2-48DA15DE90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6" name="AutoShape 1" descr="Vista previa de toda la pantalla">
          <a:extLst>
            <a:ext uri="{FF2B5EF4-FFF2-40B4-BE49-F238E27FC236}">
              <a16:creationId xmlns:a16="http://schemas.microsoft.com/office/drawing/2014/main" id="{0804980C-B79A-498A-9008-3DFD395CBA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7" name="AutoShape 1" descr="Vista previa de toda la pantalla">
          <a:extLst>
            <a:ext uri="{FF2B5EF4-FFF2-40B4-BE49-F238E27FC236}">
              <a16:creationId xmlns:a16="http://schemas.microsoft.com/office/drawing/2014/main" id="{86C2C416-B09F-4D8D-8782-673332881D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8" name="AutoShape 1" descr="Vista previa de toda la pantalla">
          <a:extLst>
            <a:ext uri="{FF2B5EF4-FFF2-40B4-BE49-F238E27FC236}">
              <a16:creationId xmlns:a16="http://schemas.microsoft.com/office/drawing/2014/main" id="{39A2A287-5CA8-4A49-A4DA-AB58E9501A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9" name="AutoShape 1" descr="Vista previa de toda la pantalla">
          <a:extLst>
            <a:ext uri="{FF2B5EF4-FFF2-40B4-BE49-F238E27FC236}">
              <a16:creationId xmlns:a16="http://schemas.microsoft.com/office/drawing/2014/main" id="{4CDE4133-4597-4C64-8A9F-7AD0960199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20" name="AutoShape 1" descr="Vista previa de toda la pantalla">
          <a:extLst>
            <a:ext uri="{FF2B5EF4-FFF2-40B4-BE49-F238E27FC236}">
              <a16:creationId xmlns:a16="http://schemas.microsoft.com/office/drawing/2014/main" id="{907FBF8E-828E-43D5-945B-90E81243E2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21" name="AutoShape 1" descr="Vista previa de toda la pantalla">
          <a:extLst>
            <a:ext uri="{FF2B5EF4-FFF2-40B4-BE49-F238E27FC236}">
              <a16:creationId xmlns:a16="http://schemas.microsoft.com/office/drawing/2014/main" id="{E126C477-97E1-49FB-A2C7-9B3AF0D3CD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22" name="AutoShape 1" descr="Vista previa de toda la pantalla">
          <a:extLst>
            <a:ext uri="{FF2B5EF4-FFF2-40B4-BE49-F238E27FC236}">
              <a16:creationId xmlns:a16="http://schemas.microsoft.com/office/drawing/2014/main" id="{63AB9317-FF6E-4C14-B09B-21096F39EF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23" name="AutoShape 1" descr="Vista previa de toda la pantalla">
          <a:extLst>
            <a:ext uri="{FF2B5EF4-FFF2-40B4-BE49-F238E27FC236}">
              <a16:creationId xmlns:a16="http://schemas.microsoft.com/office/drawing/2014/main" id="{A0500B0F-9E57-4470-9CE8-72873C2FA3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24" name="AutoShape 1" descr="Vista previa de toda la pantalla">
          <a:extLst>
            <a:ext uri="{FF2B5EF4-FFF2-40B4-BE49-F238E27FC236}">
              <a16:creationId xmlns:a16="http://schemas.microsoft.com/office/drawing/2014/main" id="{B35CEB6A-93E7-47BA-A698-20B9E95CAF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25" name="AutoShape 1" descr="Vista previa de toda la pantalla">
          <a:extLst>
            <a:ext uri="{FF2B5EF4-FFF2-40B4-BE49-F238E27FC236}">
              <a16:creationId xmlns:a16="http://schemas.microsoft.com/office/drawing/2014/main" id="{F81B5B05-75B7-4A0C-9E95-D60A4042BB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26" name="AutoShape 1" descr="Vista previa de toda la pantalla">
          <a:extLst>
            <a:ext uri="{FF2B5EF4-FFF2-40B4-BE49-F238E27FC236}">
              <a16:creationId xmlns:a16="http://schemas.microsoft.com/office/drawing/2014/main" id="{91A6336C-E195-4B6B-9703-B6CE0ABD38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27" name="AutoShape 1" descr="Vista previa de toda la pantalla">
          <a:extLst>
            <a:ext uri="{FF2B5EF4-FFF2-40B4-BE49-F238E27FC236}">
              <a16:creationId xmlns:a16="http://schemas.microsoft.com/office/drawing/2014/main" id="{120CEC20-6C7A-433C-B905-4F491A2771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28" name="AutoShape 1" descr="Vista previa de toda la pantalla">
          <a:extLst>
            <a:ext uri="{FF2B5EF4-FFF2-40B4-BE49-F238E27FC236}">
              <a16:creationId xmlns:a16="http://schemas.microsoft.com/office/drawing/2014/main" id="{9780C968-E891-4B5E-AD42-28FA7339BD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29" name="AutoShape 1" descr="Vista previa de toda la pantalla">
          <a:extLst>
            <a:ext uri="{FF2B5EF4-FFF2-40B4-BE49-F238E27FC236}">
              <a16:creationId xmlns:a16="http://schemas.microsoft.com/office/drawing/2014/main" id="{15FD0DDD-F181-426C-BCB7-1D67CF6443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30" name="AutoShape 1" descr="Vista previa de toda la pantalla">
          <a:extLst>
            <a:ext uri="{FF2B5EF4-FFF2-40B4-BE49-F238E27FC236}">
              <a16:creationId xmlns:a16="http://schemas.microsoft.com/office/drawing/2014/main" id="{6BD46236-EE23-4B85-A814-C22566CBD5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31" name="AutoShape 1" descr="Vista previa de toda la pantalla">
          <a:extLst>
            <a:ext uri="{FF2B5EF4-FFF2-40B4-BE49-F238E27FC236}">
              <a16:creationId xmlns:a16="http://schemas.microsoft.com/office/drawing/2014/main" id="{A2C410C6-9AC5-43F9-AC19-D4D2D3BC3A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32" name="AutoShape 1" descr="Vista previa de toda la pantalla">
          <a:extLst>
            <a:ext uri="{FF2B5EF4-FFF2-40B4-BE49-F238E27FC236}">
              <a16:creationId xmlns:a16="http://schemas.microsoft.com/office/drawing/2014/main" id="{5403D2C7-7079-483F-88BB-EBE2861A8A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33" name="AutoShape 1" descr="Vista previa de toda la pantalla">
          <a:extLst>
            <a:ext uri="{FF2B5EF4-FFF2-40B4-BE49-F238E27FC236}">
              <a16:creationId xmlns:a16="http://schemas.microsoft.com/office/drawing/2014/main" id="{541E59D6-3165-4BCC-BF4A-6369145442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34" name="AutoShape 1" descr="Vista previa de toda la pantalla">
          <a:extLst>
            <a:ext uri="{FF2B5EF4-FFF2-40B4-BE49-F238E27FC236}">
              <a16:creationId xmlns:a16="http://schemas.microsoft.com/office/drawing/2014/main" id="{D9E5BCBC-7970-4BA7-BED8-DDAFFC5E05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35" name="AutoShape 1" descr="Vista previa de toda la pantalla">
          <a:extLst>
            <a:ext uri="{FF2B5EF4-FFF2-40B4-BE49-F238E27FC236}">
              <a16:creationId xmlns:a16="http://schemas.microsoft.com/office/drawing/2014/main" id="{58E7A524-F5C2-4987-823E-2C5E83046A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36" name="AutoShape 1" descr="Vista previa de toda la pantalla">
          <a:extLst>
            <a:ext uri="{FF2B5EF4-FFF2-40B4-BE49-F238E27FC236}">
              <a16:creationId xmlns:a16="http://schemas.microsoft.com/office/drawing/2014/main" id="{1B891707-4BFA-42C1-B492-4841DB8E98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37" name="AutoShape 1" descr="Vista previa de toda la pantalla">
          <a:extLst>
            <a:ext uri="{FF2B5EF4-FFF2-40B4-BE49-F238E27FC236}">
              <a16:creationId xmlns:a16="http://schemas.microsoft.com/office/drawing/2014/main" id="{AACFC887-EC86-4A89-90D4-9CD5515AB6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38" name="AutoShape 1" descr="Vista previa de toda la pantalla">
          <a:extLst>
            <a:ext uri="{FF2B5EF4-FFF2-40B4-BE49-F238E27FC236}">
              <a16:creationId xmlns:a16="http://schemas.microsoft.com/office/drawing/2014/main" id="{AE7FE827-3546-4AEC-9BB5-D0CEB05B23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39" name="AutoShape 1" descr="Vista previa de toda la pantalla">
          <a:extLst>
            <a:ext uri="{FF2B5EF4-FFF2-40B4-BE49-F238E27FC236}">
              <a16:creationId xmlns:a16="http://schemas.microsoft.com/office/drawing/2014/main" id="{AC391A71-9295-4701-8C1E-AB3B1661D2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40" name="AutoShape 1" descr="Vista previa de toda la pantalla">
          <a:extLst>
            <a:ext uri="{FF2B5EF4-FFF2-40B4-BE49-F238E27FC236}">
              <a16:creationId xmlns:a16="http://schemas.microsoft.com/office/drawing/2014/main" id="{F3E4FC9C-0DE6-43E9-BBFA-B668E509B1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41" name="AutoShape 1" descr="Vista previa de toda la pantalla">
          <a:extLst>
            <a:ext uri="{FF2B5EF4-FFF2-40B4-BE49-F238E27FC236}">
              <a16:creationId xmlns:a16="http://schemas.microsoft.com/office/drawing/2014/main" id="{33EEB565-3997-49A2-BFAC-9A835C9E97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42" name="AutoShape 1" descr="Vista previa de toda la pantalla">
          <a:extLst>
            <a:ext uri="{FF2B5EF4-FFF2-40B4-BE49-F238E27FC236}">
              <a16:creationId xmlns:a16="http://schemas.microsoft.com/office/drawing/2014/main" id="{E325A021-DE43-40F7-A508-5B007EC25D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43" name="AutoShape 1" descr="Vista previa de toda la pantalla">
          <a:extLst>
            <a:ext uri="{FF2B5EF4-FFF2-40B4-BE49-F238E27FC236}">
              <a16:creationId xmlns:a16="http://schemas.microsoft.com/office/drawing/2014/main" id="{CED7AE2F-A429-4FDC-8FFA-B54B59DBFB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44" name="AutoShape 1" descr="Vista previa de toda la pantalla">
          <a:extLst>
            <a:ext uri="{FF2B5EF4-FFF2-40B4-BE49-F238E27FC236}">
              <a16:creationId xmlns:a16="http://schemas.microsoft.com/office/drawing/2014/main" id="{879BC5C3-C036-44A2-9112-A9998A8151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45" name="AutoShape 1" descr="Vista previa de toda la pantalla">
          <a:extLst>
            <a:ext uri="{FF2B5EF4-FFF2-40B4-BE49-F238E27FC236}">
              <a16:creationId xmlns:a16="http://schemas.microsoft.com/office/drawing/2014/main" id="{7C1353D5-21C4-4A1D-BE52-080A6DDA7C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46" name="AutoShape 1" descr="Vista previa de toda la pantalla">
          <a:extLst>
            <a:ext uri="{FF2B5EF4-FFF2-40B4-BE49-F238E27FC236}">
              <a16:creationId xmlns:a16="http://schemas.microsoft.com/office/drawing/2014/main" id="{80052530-AFCD-41AF-A3AC-416B57EB60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47" name="AutoShape 1" descr="Vista previa de toda la pantalla">
          <a:extLst>
            <a:ext uri="{FF2B5EF4-FFF2-40B4-BE49-F238E27FC236}">
              <a16:creationId xmlns:a16="http://schemas.microsoft.com/office/drawing/2014/main" id="{6FBF570F-E7FC-42FB-8232-9EB8F245F4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48" name="AutoShape 1" descr="Vista previa de toda la pantalla">
          <a:extLst>
            <a:ext uri="{FF2B5EF4-FFF2-40B4-BE49-F238E27FC236}">
              <a16:creationId xmlns:a16="http://schemas.microsoft.com/office/drawing/2014/main" id="{B89966AF-77D3-411B-A5E0-163123B613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49" name="AutoShape 1" descr="Vista previa de toda la pantalla">
          <a:extLst>
            <a:ext uri="{FF2B5EF4-FFF2-40B4-BE49-F238E27FC236}">
              <a16:creationId xmlns:a16="http://schemas.microsoft.com/office/drawing/2014/main" id="{55A52A6B-EE5F-4412-A670-5FEE96F14E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50" name="AutoShape 1" descr="Vista previa de toda la pantalla">
          <a:extLst>
            <a:ext uri="{FF2B5EF4-FFF2-40B4-BE49-F238E27FC236}">
              <a16:creationId xmlns:a16="http://schemas.microsoft.com/office/drawing/2014/main" id="{6D88204F-6DC1-497C-9F2B-44E3B4C511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51" name="AutoShape 1" descr="Vista previa de toda la pantalla">
          <a:extLst>
            <a:ext uri="{FF2B5EF4-FFF2-40B4-BE49-F238E27FC236}">
              <a16:creationId xmlns:a16="http://schemas.microsoft.com/office/drawing/2014/main" id="{C9DA9F33-1CA6-45D3-968D-FEA2636CDD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52" name="AutoShape 1" descr="Vista previa de toda la pantalla">
          <a:extLst>
            <a:ext uri="{FF2B5EF4-FFF2-40B4-BE49-F238E27FC236}">
              <a16:creationId xmlns:a16="http://schemas.microsoft.com/office/drawing/2014/main" id="{78745BBD-7CE3-487A-A058-DC11C431BD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53" name="AutoShape 1" descr="Vista previa de toda la pantalla">
          <a:extLst>
            <a:ext uri="{FF2B5EF4-FFF2-40B4-BE49-F238E27FC236}">
              <a16:creationId xmlns:a16="http://schemas.microsoft.com/office/drawing/2014/main" id="{920B6BD2-E4BE-493A-B4BC-65ABEC39D4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54" name="AutoShape 1" descr="Vista previa de toda la pantalla">
          <a:extLst>
            <a:ext uri="{FF2B5EF4-FFF2-40B4-BE49-F238E27FC236}">
              <a16:creationId xmlns:a16="http://schemas.microsoft.com/office/drawing/2014/main" id="{D4C2AD43-EBB3-42BD-86CA-C95DC276F2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55" name="AutoShape 1" descr="Vista previa de toda la pantalla">
          <a:extLst>
            <a:ext uri="{FF2B5EF4-FFF2-40B4-BE49-F238E27FC236}">
              <a16:creationId xmlns:a16="http://schemas.microsoft.com/office/drawing/2014/main" id="{95D8B0E6-924E-45EC-9572-DA2DCDDE45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56" name="AutoShape 1" descr="Vista previa de toda la pantalla">
          <a:extLst>
            <a:ext uri="{FF2B5EF4-FFF2-40B4-BE49-F238E27FC236}">
              <a16:creationId xmlns:a16="http://schemas.microsoft.com/office/drawing/2014/main" id="{BC17E39B-03A5-4997-9759-62A7686039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57" name="AutoShape 1" descr="Vista previa de toda la pantalla">
          <a:extLst>
            <a:ext uri="{FF2B5EF4-FFF2-40B4-BE49-F238E27FC236}">
              <a16:creationId xmlns:a16="http://schemas.microsoft.com/office/drawing/2014/main" id="{90E6469C-3206-4651-8DEE-444789B2DD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58" name="AutoShape 1" descr="Vista previa de toda la pantalla">
          <a:extLst>
            <a:ext uri="{FF2B5EF4-FFF2-40B4-BE49-F238E27FC236}">
              <a16:creationId xmlns:a16="http://schemas.microsoft.com/office/drawing/2014/main" id="{7C1A84E5-F172-4C0C-8B96-582F640A48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59" name="AutoShape 1" descr="Vista previa de toda la pantalla">
          <a:extLst>
            <a:ext uri="{FF2B5EF4-FFF2-40B4-BE49-F238E27FC236}">
              <a16:creationId xmlns:a16="http://schemas.microsoft.com/office/drawing/2014/main" id="{4EFD216E-E914-4292-B4F3-D810039C70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60" name="AutoShape 1" descr="Vista previa de toda la pantalla">
          <a:extLst>
            <a:ext uri="{FF2B5EF4-FFF2-40B4-BE49-F238E27FC236}">
              <a16:creationId xmlns:a16="http://schemas.microsoft.com/office/drawing/2014/main" id="{79EE3681-45E2-4A05-829A-EDB1E145CE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61" name="AutoShape 1" descr="Vista previa de toda la pantalla">
          <a:extLst>
            <a:ext uri="{FF2B5EF4-FFF2-40B4-BE49-F238E27FC236}">
              <a16:creationId xmlns:a16="http://schemas.microsoft.com/office/drawing/2014/main" id="{6333EF11-B3A2-4B9E-8926-E7840C661B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62" name="AutoShape 1" descr="Vista previa de toda la pantalla">
          <a:extLst>
            <a:ext uri="{FF2B5EF4-FFF2-40B4-BE49-F238E27FC236}">
              <a16:creationId xmlns:a16="http://schemas.microsoft.com/office/drawing/2014/main" id="{558611D1-FF20-436F-BB3F-400FA546BF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63" name="AutoShape 1" descr="Vista previa de toda la pantalla">
          <a:extLst>
            <a:ext uri="{FF2B5EF4-FFF2-40B4-BE49-F238E27FC236}">
              <a16:creationId xmlns:a16="http://schemas.microsoft.com/office/drawing/2014/main" id="{EBB2FD9A-87AC-4EF4-9FD4-89E9C18DC7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64" name="AutoShape 1" descr="Vista previa de toda la pantalla">
          <a:extLst>
            <a:ext uri="{FF2B5EF4-FFF2-40B4-BE49-F238E27FC236}">
              <a16:creationId xmlns:a16="http://schemas.microsoft.com/office/drawing/2014/main" id="{C268AD5A-2A57-4CF5-A4F7-70819DC48F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65" name="AutoShape 1" descr="Vista previa de toda la pantalla">
          <a:extLst>
            <a:ext uri="{FF2B5EF4-FFF2-40B4-BE49-F238E27FC236}">
              <a16:creationId xmlns:a16="http://schemas.microsoft.com/office/drawing/2014/main" id="{EC6AECEB-E18D-4324-B503-7907B18719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66" name="AutoShape 1" descr="Vista previa de toda la pantalla">
          <a:extLst>
            <a:ext uri="{FF2B5EF4-FFF2-40B4-BE49-F238E27FC236}">
              <a16:creationId xmlns:a16="http://schemas.microsoft.com/office/drawing/2014/main" id="{85353471-BD0E-4853-B7D0-71AF1AEC98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67" name="AutoShape 1" descr="Vista previa de toda la pantalla">
          <a:extLst>
            <a:ext uri="{FF2B5EF4-FFF2-40B4-BE49-F238E27FC236}">
              <a16:creationId xmlns:a16="http://schemas.microsoft.com/office/drawing/2014/main" id="{543CF6CF-9098-47B7-98AF-8F7B1AF5EC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68" name="AutoShape 1" descr="Vista previa de toda la pantalla">
          <a:extLst>
            <a:ext uri="{FF2B5EF4-FFF2-40B4-BE49-F238E27FC236}">
              <a16:creationId xmlns:a16="http://schemas.microsoft.com/office/drawing/2014/main" id="{CD3023B1-3B69-4E65-AA06-68088B7A58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69" name="AutoShape 1" descr="Vista previa de toda la pantalla">
          <a:extLst>
            <a:ext uri="{FF2B5EF4-FFF2-40B4-BE49-F238E27FC236}">
              <a16:creationId xmlns:a16="http://schemas.microsoft.com/office/drawing/2014/main" id="{2E15BF5A-9EAC-47A5-AC8E-82ADC7C68E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70" name="AutoShape 1" descr="Vista previa de toda la pantalla">
          <a:extLst>
            <a:ext uri="{FF2B5EF4-FFF2-40B4-BE49-F238E27FC236}">
              <a16:creationId xmlns:a16="http://schemas.microsoft.com/office/drawing/2014/main" id="{6A46DB1D-8635-4954-B433-018F4B5ACF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71" name="AutoShape 1" descr="Vista previa de toda la pantalla">
          <a:extLst>
            <a:ext uri="{FF2B5EF4-FFF2-40B4-BE49-F238E27FC236}">
              <a16:creationId xmlns:a16="http://schemas.microsoft.com/office/drawing/2014/main" id="{5FC2031B-E4DC-4C4E-82D2-BDF6784536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72" name="AutoShape 1" descr="Vista previa de toda la pantalla">
          <a:extLst>
            <a:ext uri="{FF2B5EF4-FFF2-40B4-BE49-F238E27FC236}">
              <a16:creationId xmlns:a16="http://schemas.microsoft.com/office/drawing/2014/main" id="{E7040648-C9A1-4B15-95D4-38DDBF7D63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73" name="AutoShape 1" descr="Vista previa de toda la pantalla">
          <a:extLst>
            <a:ext uri="{FF2B5EF4-FFF2-40B4-BE49-F238E27FC236}">
              <a16:creationId xmlns:a16="http://schemas.microsoft.com/office/drawing/2014/main" id="{D9589922-80C6-44DB-AC06-FA31CBEB2D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74" name="AutoShape 1" descr="Vista previa de toda la pantalla">
          <a:extLst>
            <a:ext uri="{FF2B5EF4-FFF2-40B4-BE49-F238E27FC236}">
              <a16:creationId xmlns:a16="http://schemas.microsoft.com/office/drawing/2014/main" id="{C441FB51-58E5-4A39-95AD-B8452C5FF2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75" name="AutoShape 1" descr="Vista previa de toda la pantalla">
          <a:extLst>
            <a:ext uri="{FF2B5EF4-FFF2-40B4-BE49-F238E27FC236}">
              <a16:creationId xmlns:a16="http://schemas.microsoft.com/office/drawing/2014/main" id="{BFB992A6-DD14-4DD5-A468-04BB60EB73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76" name="AutoShape 1" descr="Vista previa de toda la pantalla">
          <a:extLst>
            <a:ext uri="{FF2B5EF4-FFF2-40B4-BE49-F238E27FC236}">
              <a16:creationId xmlns:a16="http://schemas.microsoft.com/office/drawing/2014/main" id="{D814394D-021E-4D26-A057-ED935CD8AA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77" name="AutoShape 1" descr="Vista previa de toda la pantalla">
          <a:extLst>
            <a:ext uri="{FF2B5EF4-FFF2-40B4-BE49-F238E27FC236}">
              <a16:creationId xmlns:a16="http://schemas.microsoft.com/office/drawing/2014/main" id="{7CB555C7-F756-49D3-9123-DB73E31C5D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78" name="AutoShape 1" descr="Vista previa de toda la pantalla">
          <a:extLst>
            <a:ext uri="{FF2B5EF4-FFF2-40B4-BE49-F238E27FC236}">
              <a16:creationId xmlns:a16="http://schemas.microsoft.com/office/drawing/2014/main" id="{741E4641-8C9A-45E6-B235-8A2333D0C8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79" name="AutoShape 1" descr="Vista previa de toda la pantalla">
          <a:extLst>
            <a:ext uri="{FF2B5EF4-FFF2-40B4-BE49-F238E27FC236}">
              <a16:creationId xmlns:a16="http://schemas.microsoft.com/office/drawing/2014/main" id="{B5D73A97-35EA-4445-B418-E3C284AD9D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80" name="AutoShape 1" descr="Vista previa de toda la pantalla">
          <a:extLst>
            <a:ext uri="{FF2B5EF4-FFF2-40B4-BE49-F238E27FC236}">
              <a16:creationId xmlns:a16="http://schemas.microsoft.com/office/drawing/2014/main" id="{FD4DE55F-B8C5-48A4-9331-71B3F8CB45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81" name="AutoShape 1" descr="Vista previa de toda la pantalla">
          <a:extLst>
            <a:ext uri="{FF2B5EF4-FFF2-40B4-BE49-F238E27FC236}">
              <a16:creationId xmlns:a16="http://schemas.microsoft.com/office/drawing/2014/main" id="{67607A47-88A8-470F-A0A1-7B29254F58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82" name="AutoShape 1" descr="Vista previa de toda la pantalla">
          <a:extLst>
            <a:ext uri="{FF2B5EF4-FFF2-40B4-BE49-F238E27FC236}">
              <a16:creationId xmlns:a16="http://schemas.microsoft.com/office/drawing/2014/main" id="{7AA2837F-66D9-4A6C-99DF-2CB27CCF0B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83" name="AutoShape 1" descr="Vista previa de toda la pantalla">
          <a:extLst>
            <a:ext uri="{FF2B5EF4-FFF2-40B4-BE49-F238E27FC236}">
              <a16:creationId xmlns:a16="http://schemas.microsoft.com/office/drawing/2014/main" id="{1992CA2B-DA07-426D-94CD-671F13BFD6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84" name="AutoShape 1" descr="Vista previa de toda la pantalla">
          <a:extLst>
            <a:ext uri="{FF2B5EF4-FFF2-40B4-BE49-F238E27FC236}">
              <a16:creationId xmlns:a16="http://schemas.microsoft.com/office/drawing/2014/main" id="{8A441605-5058-4494-A453-846F7BD2F4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85" name="AutoShape 1" descr="Vista previa de toda la pantalla">
          <a:extLst>
            <a:ext uri="{FF2B5EF4-FFF2-40B4-BE49-F238E27FC236}">
              <a16:creationId xmlns:a16="http://schemas.microsoft.com/office/drawing/2014/main" id="{963FEFDD-A0E4-4F66-B91E-ED2403B4EC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86" name="AutoShape 1" descr="Vista previa de toda la pantalla">
          <a:extLst>
            <a:ext uri="{FF2B5EF4-FFF2-40B4-BE49-F238E27FC236}">
              <a16:creationId xmlns:a16="http://schemas.microsoft.com/office/drawing/2014/main" id="{30AEC8DE-98C5-4BFD-854E-CAF33A75B7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87" name="AutoShape 1" descr="Vista previa de toda la pantalla">
          <a:extLst>
            <a:ext uri="{FF2B5EF4-FFF2-40B4-BE49-F238E27FC236}">
              <a16:creationId xmlns:a16="http://schemas.microsoft.com/office/drawing/2014/main" id="{1287301C-C04A-4F44-8A50-F2EE95C9D3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88" name="AutoShape 1" descr="Vista previa de toda la pantalla">
          <a:extLst>
            <a:ext uri="{FF2B5EF4-FFF2-40B4-BE49-F238E27FC236}">
              <a16:creationId xmlns:a16="http://schemas.microsoft.com/office/drawing/2014/main" id="{08543C4E-534C-4E53-A8FA-939C9657C8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89" name="AutoShape 1" descr="Vista previa de toda la pantalla">
          <a:extLst>
            <a:ext uri="{FF2B5EF4-FFF2-40B4-BE49-F238E27FC236}">
              <a16:creationId xmlns:a16="http://schemas.microsoft.com/office/drawing/2014/main" id="{0B9C45A7-EA72-4B33-836E-5E696C962D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90" name="AutoShape 1" descr="Vista previa de toda la pantalla">
          <a:extLst>
            <a:ext uri="{FF2B5EF4-FFF2-40B4-BE49-F238E27FC236}">
              <a16:creationId xmlns:a16="http://schemas.microsoft.com/office/drawing/2014/main" id="{91497BE1-895A-484B-8A64-4A6946ED8E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91" name="AutoShape 1" descr="Vista previa de toda la pantalla">
          <a:extLst>
            <a:ext uri="{FF2B5EF4-FFF2-40B4-BE49-F238E27FC236}">
              <a16:creationId xmlns:a16="http://schemas.microsoft.com/office/drawing/2014/main" id="{CD546619-9F24-4945-9B89-58D85B0876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92" name="AutoShape 1" descr="Vista previa de toda la pantalla">
          <a:extLst>
            <a:ext uri="{FF2B5EF4-FFF2-40B4-BE49-F238E27FC236}">
              <a16:creationId xmlns:a16="http://schemas.microsoft.com/office/drawing/2014/main" id="{B52D8D49-E25E-4EA3-92F7-7D9C78175B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93" name="AutoShape 1" descr="Vista previa de toda la pantalla">
          <a:extLst>
            <a:ext uri="{FF2B5EF4-FFF2-40B4-BE49-F238E27FC236}">
              <a16:creationId xmlns:a16="http://schemas.microsoft.com/office/drawing/2014/main" id="{A48E960A-59B0-45FD-9829-81AD77076C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94" name="AutoShape 1" descr="Vista previa de toda la pantalla">
          <a:extLst>
            <a:ext uri="{FF2B5EF4-FFF2-40B4-BE49-F238E27FC236}">
              <a16:creationId xmlns:a16="http://schemas.microsoft.com/office/drawing/2014/main" id="{1170A0A1-2517-4C8E-8835-7F529C5698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95" name="AutoShape 1" descr="Vista previa de toda la pantalla">
          <a:extLst>
            <a:ext uri="{FF2B5EF4-FFF2-40B4-BE49-F238E27FC236}">
              <a16:creationId xmlns:a16="http://schemas.microsoft.com/office/drawing/2014/main" id="{FEB93486-3A36-4C76-944E-97C41A2B36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96" name="AutoShape 1" descr="Vista previa de toda la pantalla">
          <a:extLst>
            <a:ext uri="{FF2B5EF4-FFF2-40B4-BE49-F238E27FC236}">
              <a16:creationId xmlns:a16="http://schemas.microsoft.com/office/drawing/2014/main" id="{8E355A04-415F-4D7D-A8B1-BC42AF9022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97" name="AutoShape 1" descr="Vista previa de toda la pantalla">
          <a:extLst>
            <a:ext uri="{FF2B5EF4-FFF2-40B4-BE49-F238E27FC236}">
              <a16:creationId xmlns:a16="http://schemas.microsoft.com/office/drawing/2014/main" id="{312BF58F-8EB6-43F1-B96D-684EC3CFB8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98" name="AutoShape 1" descr="Vista previa de toda la pantalla">
          <a:extLst>
            <a:ext uri="{FF2B5EF4-FFF2-40B4-BE49-F238E27FC236}">
              <a16:creationId xmlns:a16="http://schemas.microsoft.com/office/drawing/2014/main" id="{3E1F7272-3A53-44EC-AFEB-7753B488DC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99" name="AutoShape 1" descr="Vista previa de toda la pantalla">
          <a:extLst>
            <a:ext uri="{FF2B5EF4-FFF2-40B4-BE49-F238E27FC236}">
              <a16:creationId xmlns:a16="http://schemas.microsoft.com/office/drawing/2014/main" id="{9406C2FA-B67C-45C1-8E90-99BA3A856E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00" name="AutoShape 1" descr="Vista previa de toda la pantalla">
          <a:extLst>
            <a:ext uri="{FF2B5EF4-FFF2-40B4-BE49-F238E27FC236}">
              <a16:creationId xmlns:a16="http://schemas.microsoft.com/office/drawing/2014/main" id="{BBBF3688-34B9-48D6-A1AB-F614D3E478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01" name="AutoShape 1" descr="Vista previa de toda la pantalla">
          <a:extLst>
            <a:ext uri="{FF2B5EF4-FFF2-40B4-BE49-F238E27FC236}">
              <a16:creationId xmlns:a16="http://schemas.microsoft.com/office/drawing/2014/main" id="{B9541C54-F09B-4589-8648-4CDAF607F4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02" name="AutoShape 1" descr="Vista previa de toda la pantalla">
          <a:extLst>
            <a:ext uri="{FF2B5EF4-FFF2-40B4-BE49-F238E27FC236}">
              <a16:creationId xmlns:a16="http://schemas.microsoft.com/office/drawing/2014/main" id="{C05BDBEF-3C3C-48C8-81D5-7AFEC95383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03" name="AutoShape 1" descr="Vista previa de toda la pantalla">
          <a:extLst>
            <a:ext uri="{FF2B5EF4-FFF2-40B4-BE49-F238E27FC236}">
              <a16:creationId xmlns:a16="http://schemas.microsoft.com/office/drawing/2014/main" id="{481183C0-FCD7-47AC-B99C-F38BDEE6AC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04" name="AutoShape 1" descr="Vista previa de toda la pantalla">
          <a:extLst>
            <a:ext uri="{FF2B5EF4-FFF2-40B4-BE49-F238E27FC236}">
              <a16:creationId xmlns:a16="http://schemas.microsoft.com/office/drawing/2014/main" id="{B6579619-BE17-4DDF-9CA7-DB64E68807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05" name="AutoShape 1" descr="Vista previa de toda la pantalla">
          <a:extLst>
            <a:ext uri="{FF2B5EF4-FFF2-40B4-BE49-F238E27FC236}">
              <a16:creationId xmlns:a16="http://schemas.microsoft.com/office/drawing/2014/main" id="{F48706FD-3A2C-4BAF-8084-7875D1FC86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06" name="AutoShape 1" descr="Vista previa de toda la pantalla">
          <a:extLst>
            <a:ext uri="{FF2B5EF4-FFF2-40B4-BE49-F238E27FC236}">
              <a16:creationId xmlns:a16="http://schemas.microsoft.com/office/drawing/2014/main" id="{640AB715-BB3B-49D6-B3B2-4E1349098C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07" name="AutoShape 1" descr="Vista previa de toda la pantalla">
          <a:extLst>
            <a:ext uri="{FF2B5EF4-FFF2-40B4-BE49-F238E27FC236}">
              <a16:creationId xmlns:a16="http://schemas.microsoft.com/office/drawing/2014/main" id="{25B10B35-4DA2-4D39-AA98-704338CB0E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08" name="AutoShape 1" descr="Vista previa de toda la pantalla">
          <a:extLst>
            <a:ext uri="{FF2B5EF4-FFF2-40B4-BE49-F238E27FC236}">
              <a16:creationId xmlns:a16="http://schemas.microsoft.com/office/drawing/2014/main" id="{86F2214D-E269-45A8-AED9-13FDA3C7AD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09" name="AutoShape 1" descr="Vista previa de toda la pantalla">
          <a:extLst>
            <a:ext uri="{FF2B5EF4-FFF2-40B4-BE49-F238E27FC236}">
              <a16:creationId xmlns:a16="http://schemas.microsoft.com/office/drawing/2014/main" id="{6793B137-BD6E-4EF7-B275-88C3E306AA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0" name="AutoShape 1" descr="Vista previa de toda la pantalla">
          <a:extLst>
            <a:ext uri="{FF2B5EF4-FFF2-40B4-BE49-F238E27FC236}">
              <a16:creationId xmlns:a16="http://schemas.microsoft.com/office/drawing/2014/main" id="{FA75B822-B473-43DE-A208-D281BBD446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1" name="AutoShape 1" descr="Vista previa de toda la pantalla">
          <a:extLst>
            <a:ext uri="{FF2B5EF4-FFF2-40B4-BE49-F238E27FC236}">
              <a16:creationId xmlns:a16="http://schemas.microsoft.com/office/drawing/2014/main" id="{A6BDFD39-0ED7-4F5A-AA3E-76AACA6FC4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2" name="AutoShape 1" descr="Vista previa de toda la pantalla">
          <a:extLst>
            <a:ext uri="{FF2B5EF4-FFF2-40B4-BE49-F238E27FC236}">
              <a16:creationId xmlns:a16="http://schemas.microsoft.com/office/drawing/2014/main" id="{23074544-BFB1-4F9D-AC58-8CB7884D96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3" name="AutoShape 1" descr="Vista previa de toda la pantalla">
          <a:extLst>
            <a:ext uri="{FF2B5EF4-FFF2-40B4-BE49-F238E27FC236}">
              <a16:creationId xmlns:a16="http://schemas.microsoft.com/office/drawing/2014/main" id="{320E780C-552A-4198-8307-8B47165A69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4" name="AutoShape 1" descr="Vista previa de toda la pantalla">
          <a:extLst>
            <a:ext uri="{FF2B5EF4-FFF2-40B4-BE49-F238E27FC236}">
              <a16:creationId xmlns:a16="http://schemas.microsoft.com/office/drawing/2014/main" id="{D6DBA5C9-A918-48CC-BC57-3BD58C7905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5" name="AutoShape 1" descr="Vista previa de toda la pantalla">
          <a:extLst>
            <a:ext uri="{FF2B5EF4-FFF2-40B4-BE49-F238E27FC236}">
              <a16:creationId xmlns:a16="http://schemas.microsoft.com/office/drawing/2014/main" id="{4B792F75-C2A3-40C4-9BF7-4ADE48838C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6" name="AutoShape 1" descr="Vista previa de toda la pantalla">
          <a:extLst>
            <a:ext uri="{FF2B5EF4-FFF2-40B4-BE49-F238E27FC236}">
              <a16:creationId xmlns:a16="http://schemas.microsoft.com/office/drawing/2014/main" id="{5C35803E-4017-4FF0-A5ED-C033F913F4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7" name="AutoShape 1" descr="Vista previa de toda la pantalla">
          <a:extLst>
            <a:ext uri="{FF2B5EF4-FFF2-40B4-BE49-F238E27FC236}">
              <a16:creationId xmlns:a16="http://schemas.microsoft.com/office/drawing/2014/main" id="{B7BE09F1-2431-46F8-8501-F3A348DE7C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8" name="AutoShape 1" descr="Vista previa de toda la pantalla">
          <a:extLst>
            <a:ext uri="{FF2B5EF4-FFF2-40B4-BE49-F238E27FC236}">
              <a16:creationId xmlns:a16="http://schemas.microsoft.com/office/drawing/2014/main" id="{ADC7BC05-D1F1-4546-8564-AC304E3B77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19" name="AutoShape 1" descr="Vista previa de toda la pantalla">
          <a:extLst>
            <a:ext uri="{FF2B5EF4-FFF2-40B4-BE49-F238E27FC236}">
              <a16:creationId xmlns:a16="http://schemas.microsoft.com/office/drawing/2014/main" id="{D16A1313-204B-4E48-8CBA-3757DE47F7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820" name="AutoShape 1" descr="Vista previa de toda la pantalla">
          <a:extLst>
            <a:ext uri="{FF2B5EF4-FFF2-40B4-BE49-F238E27FC236}">
              <a16:creationId xmlns:a16="http://schemas.microsoft.com/office/drawing/2014/main" id="{13DB33E0-8D8A-4BD6-B131-98050F6DB9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821" name="AutoShape 1" descr="Vista previa de toda la pantalla">
          <a:extLst>
            <a:ext uri="{FF2B5EF4-FFF2-40B4-BE49-F238E27FC236}">
              <a16:creationId xmlns:a16="http://schemas.microsoft.com/office/drawing/2014/main" id="{7CF2C840-74FD-4470-AA26-A837206B4EE8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22" name="AutoShape 1" descr="Vista previa de toda la pantalla">
          <a:extLst>
            <a:ext uri="{FF2B5EF4-FFF2-40B4-BE49-F238E27FC236}">
              <a16:creationId xmlns:a16="http://schemas.microsoft.com/office/drawing/2014/main" id="{51C4E25E-F7B1-479D-82C2-A0FBE1DC30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23" name="AutoShape 1" descr="Vista previa de toda la pantalla">
          <a:extLst>
            <a:ext uri="{FF2B5EF4-FFF2-40B4-BE49-F238E27FC236}">
              <a16:creationId xmlns:a16="http://schemas.microsoft.com/office/drawing/2014/main" id="{DBB5C912-A0F5-4B30-B0FC-91A70EE948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24" name="AutoShape 1" descr="Vista previa de toda la pantalla">
          <a:extLst>
            <a:ext uri="{FF2B5EF4-FFF2-40B4-BE49-F238E27FC236}">
              <a16:creationId xmlns:a16="http://schemas.microsoft.com/office/drawing/2014/main" id="{74ED1C4A-6D89-4EBC-8885-766AD94C09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25" name="AutoShape 1" descr="Vista previa de toda la pantalla">
          <a:extLst>
            <a:ext uri="{FF2B5EF4-FFF2-40B4-BE49-F238E27FC236}">
              <a16:creationId xmlns:a16="http://schemas.microsoft.com/office/drawing/2014/main" id="{6FFF2274-A0D4-43ED-B74A-BFB697C3C1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26" name="AutoShape 1" descr="Vista previa de toda la pantalla">
          <a:extLst>
            <a:ext uri="{FF2B5EF4-FFF2-40B4-BE49-F238E27FC236}">
              <a16:creationId xmlns:a16="http://schemas.microsoft.com/office/drawing/2014/main" id="{2283B9C6-C1B3-4826-8ADA-938BC19C07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27" name="AutoShape 1" descr="Vista previa de toda la pantalla">
          <a:extLst>
            <a:ext uri="{FF2B5EF4-FFF2-40B4-BE49-F238E27FC236}">
              <a16:creationId xmlns:a16="http://schemas.microsoft.com/office/drawing/2014/main" id="{518C6D43-EDD0-4D35-96FC-A103467AD5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28" name="AutoShape 1" descr="Vista previa de toda la pantalla">
          <a:extLst>
            <a:ext uri="{FF2B5EF4-FFF2-40B4-BE49-F238E27FC236}">
              <a16:creationId xmlns:a16="http://schemas.microsoft.com/office/drawing/2014/main" id="{1EE47379-F6E6-4C10-9F6E-93F576D3AF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29" name="AutoShape 1" descr="Vista previa de toda la pantalla">
          <a:extLst>
            <a:ext uri="{FF2B5EF4-FFF2-40B4-BE49-F238E27FC236}">
              <a16:creationId xmlns:a16="http://schemas.microsoft.com/office/drawing/2014/main" id="{3A60D84C-1B4C-4F0C-80C4-E05DC487C4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30" name="AutoShape 1" descr="Vista previa de toda la pantalla">
          <a:extLst>
            <a:ext uri="{FF2B5EF4-FFF2-40B4-BE49-F238E27FC236}">
              <a16:creationId xmlns:a16="http://schemas.microsoft.com/office/drawing/2014/main" id="{8E6A0006-4B19-4F52-86AE-5D90486F73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31" name="AutoShape 1" descr="Vista previa de toda la pantalla">
          <a:extLst>
            <a:ext uri="{FF2B5EF4-FFF2-40B4-BE49-F238E27FC236}">
              <a16:creationId xmlns:a16="http://schemas.microsoft.com/office/drawing/2014/main" id="{5A511BE5-393D-4701-88AC-2E2EFB760E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32" name="AutoShape 1" descr="Vista previa de toda la pantalla">
          <a:extLst>
            <a:ext uri="{FF2B5EF4-FFF2-40B4-BE49-F238E27FC236}">
              <a16:creationId xmlns:a16="http://schemas.microsoft.com/office/drawing/2014/main" id="{3F61E456-CF0A-4059-975F-75A5891811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33" name="AutoShape 1" descr="Vista previa de toda la pantalla">
          <a:extLst>
            <a:ext uri="{FF2B5EF4-FFF2-40B4-BE49-F238E27FC236}">
              <a16:creationId xmlns:a16="http://schemas.microsoft.com/office/drawing/2014/main" id="{9BF62793-A3C3-41B8-BDCF-7076CE6966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34" name="AutoShape 1" descr="Vista previa de toda la pantalla">
          <a:extLst>
            <a:ext uri="{FF2B5EF4-FFF2-40B4-BE49-F238E27FC236}">
              <a16:creationId xmlns:a16="http://schemas.microsoft.com/office/drawing/2014/main" id="{743DB84B-BA5A-40E0-A111-AE1F6BAC0B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35" name="AutoShape 1" descr="Vista previa de toda la pantalla">
          <a:extLst>
            <a:ext uri="{FF2B5EF4-FFF2-40B4-BE49-F238E27FC236}">
              <a16:creationId xmlns:a16="http://schemas.microsoft.com/office/drawing/2014/main" id="{FD1AFFBC-B50E-45E0-AA89-74071619F0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36" name="AutoShape 1" descr="Vista previa de toda la pantalla">
          <a:extLst>
            <a:ext uri="{FF2B5EF4-FFF2-40B4-BE49-F238E27FC236}">
              <a16:creationId xmlns:a16="http://schemas.microsoft.com/office/drawing/2014/main" id="{9253C406-69D6-46E4-9720-1C4CFE6008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37" name="AutoShape 1" descr="Vista previa de toda la pantalla">
          <a:extLst>
            <a:ext uri="{FF2B5EF4-FFF2-40B4-BE49-F238E27FC236}">
              <a16:creationId xmlns:a16="http://schemas.microsoft.com/office/drawing/2014/main" id="{7A92895D-5EB6-4231-AD11-D0FCB1448E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38" name="AutoShape 1" descr="Vista previa de toda la pantalla">
          <a:extLst>
            <a:ext uri="{FF2B5EF4-FFF2-40B4-BE49-F238E27FC236}">
              <a16:creationId xmlns:a16="http://schemas.microsoft.com/office/drawing/2014/main" id="{3DC3390A-E5D9-4DF8-B8ED-003E155CFB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39" name="AutoShape 1" descr="Vista previa de toda la pantalla">
          <a:extLst>
            <a:ext uri="{FF2B5EF4-FFF2-40B4-BE49-F238E27FC236}">
              <a16:creationId xmlns:a16="http://schemas.microsoft.com/office/drawing/2014/main" id="{0CC25D54-18E9-44ED-98C5-B04E59B8E5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40" name="AutoShape 1" descr="Vista previa de toda la pantalla">
          <a:extLst>
            <a:ext uri="{FF2B5EF4-FFF2-40B4-BE49-F238E27FC236}">
              <a16:creationId xmlns:a16="http://schemas.microsoft.com/office/drawing/2014/main" id="{5C06517F-2A46-4033-826F-8152DED499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41" name="AutoShape 1" descr="Vista previa de toda la pantalla">
          <a:extLst>
            <a:ext uri="{FF2B5EF4-FFF2-40B4-BE49-F238E27FC236}">
              <a16:creationId xmlns:a16="http://schemas.microsoft.com/office/drawing/2014/main" id="{22BD6C2F-33EF-46B7-8314-50CD75B320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42" name="AutoShape 1" descr="Vista previa de toda la pantalla">
          <a:extLst>
            <a:ext uri="{FF2B5EF4-FFF2-40B4-BE49-F238E27FC236}">
              <a16:creationId xmlns:a16="http://schemas.microsoft.com/office/drawing/2014/main" id="{4CA60757-F5EF-41A5-BC6B-2256366D09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43" name="AutoShape 1" descr="Vista previa de toda la pantalla">
          <a:extLst>
            <a:ext uri="{FF2B5EF4-FFF2-40B4-BE49-F238E27FC236}">
              <a16:creationId xmlns:a16="http://schemas.microsoft.com/office/drawing/2014/main" id="{F31A43BF-FCB0-48E7-9ED3-4B0B5831F0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44" name="AutoShape 1" descr="Vista previa de toda la pantalla">
          <a:extLst>
            <a:ext uri="{FF2B5EF4-FFF2-40B4-BE49-F238E27FC236}">
              <a16:creationId xmlns:a16="http://schemas.microsoft.com/office/drawing/2014/main" id="{45E1266D-E098-4049-AAE8-0975AFF43A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45" name="AutoShape 1" descr="Vista previa de toda la pantalla">
          <a:extLst>
            <a:ext uri="{FF2B5EF4-FFF2-40B4-BE49-F238E27FC236}">
              <a16:creationId xmlns:a16="http://schemas.microsoft.com/office/drawing/2014/main" id="{60E446F6-6429-4CF2-A276-7E17178029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46" name="AutoShape 1" descr="Vista previa de toda la pantalla">
          <a:extLst>
            <a:ext uri="{FF2B5EF4-FFF2-40B4-BE49-F238E27FC236}">
              <a16:creationId xmlns:a16="http://schemas.microsoft.com/office/drawing/2014/main" id="{04D01077-B93F-44E6-91FC-7908FE8C97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47" name="AutoShape 1" descr="Vista previa de toda la pantalla">
          <a:extLst>
            <a:ext uri="{FF2B5EF4-FFF2-40B4-BE49-F238E27FC236}">
              <a16:creationId xmlns:a16="http://schemas.microsoft.com/office/drawing/2014/main" id="{04D93ACB-7A46-4EBB-AABF-C7FA1E3587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48" name="AutoShape 1" descr="Vista previa de toda la pantalla">
          <a:extLst>
            <a:ext uri="{FF2B5EF4-FFF2-40B4-BE49-F238E27FC236}">
              <a16:creationId xmlns:a16="http://schemas.microsoft.com/office/drawing/2014/main" id="{4BBBB429-5E50-48D7-B97C-20A97E7A9C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49" name="AutoShape 1" descr="Vista previa de toda la pantalla">
          <a:extLst>
            <a:ext uri="{FF2B5EF4-FFF2-40B4-BE49-F238E27FC236}">
              <a16:creationId xmlns:a16="http://schemas.microsoft.com/office/drawing/2014/main" id="{5A4ABBF6-B7CE-49EE-9677-1F8ADE9706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50" name="AutoShape 1" descr="Vista previa de toda la pantalla">
          <a:extLst>
            <a:ext uri="{FF2B5EF4-FFF2-40B4-BE49-F238E27FC236}">
              <a16:creationId xmlns:a16="http://schemas.microsoft.com/office/drawing/2014/main" id="{FBFE4C0C-ADDE-45DD-831F-D0A077C88C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51" name="AutoShape 1" descr="Vista previa de toda la pantalla">
          <a:extLst>
            <a:ext uri="{FF2B5EF4-FFF2-40B4-BE49-F238E27FC236}">
              <a16:creationId xmlns:a16="http://schemas.microsoft.com/office/drawing/2014/main" id="{9225494E-D267-4F5F-AD77-2A7CBB9B2E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52" name="AutoShape 1" descr="Vista previa de toda la pantalla">
          <a:extLst>
            <a:ext uri="{FF2B5EF4-FFF2-40B4-BE49-F238E27FC236}">
              <a16:creationId xmlns:a16="http://schemas.microsoft.com/office/drawing/2014/main" id="{C942B73E-0A07-41E3-8730-BCD5D25DA2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53" name="AutoShape 1" descr="Vista previa de toda la pantalla">
          <a:extLst>
            <a:ext uri="{FF2B5EF4-FFF2-40B4-BE49-F238E27FC236}">
              <a16:creationId xmlns:a16="http://schemas.microsoft.com/office/drawing/2014/main" id="{B39614FD-858F-413C-9325-7A1C993CF2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54" name="AutoShape 1" descr="Vista previa de toda la pantalla">
          <a:extLst>
            <a:ext uri="{FF2B5EF4-FFF2-40B4-BE49-F238E27FC236}">
              <a16:creationId xmlns:a16="http://schemas.microsoft.com/office/drawing/2014/main" id="{98CA1B1C-1E54-4E73-BE53-14CC6D0BAD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55" name="AutoShape 1" descr="Vista previa de toda la pantalla">
          <a:extLst>
            <a:ext uri="{FF2B5EF4-FFF2-40B4-BE49-F238E27FC236}">
              <a16:creationId xmlns:a16="http://schemas.microsoft.com/office/drawing/2014/main" id="{04F6E067-9202-42F6-A6A0-C46978C016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56" name="AutoShape 1" descr="Vista previa de toda la pantalla">
          <a:extLst>
            <a:ext uri="{FF2B5EF4-FFF2-40B4-BE49-F238E27FC236}">
              <a16:creationId xmlns:a16="http://schemas.microsoft.com/office/drawing/2014/main" id="{541E22C1-4818-4248-BDE9-166D916E9E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57" name="AutoShape 1" descr="Vista previa de toda la pantalla">
          <a:extLst>
            <a:ext uri="{FF2B5EF4-FFF2-40B4-BE49-F238E27FC236}">
              <a16:creationId xmlns:a16="http://schemas.microsoft.com/office/drawing/2014/main" id="{7D1E884D-4023-4568-82BF-45D200825A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58" name="AutoShape 1" descr="Vista previa de toda la pantalla">
          <a:extLst>
            <a:ext uri="{FF2B5EF4-FFF2-40B4-BE49-F238E27FC236}">
              <a16:creationId xmlns:a16="http://schemas.microsoft.com/office/drawing/2014/main" id="{87E606F7-C1C0-4DC1-AEAF-9745FC3E42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59" name="AutoShape 1" descr="Vista previa de toda la pantalla">
          <a:extLst>
            <a:ext uri="{FF2B5EF4-FFF2-40B4-BE49-F238E27FC236}">
              <a16:creationId xmlns:a16="http://schemas.microsoft.com/office/drawing/2014/main" id="{0A26BAC6-3569-4E07-A9F2-A07C143997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60" name="AutoShape 1" descr="Vista previa de toda la pantalla">
          <a:extLst>
            <a:ext uri="{FF2B5EF4-FFF2-40B4-BE49-F238E27FC236}">
              <a16:creationId xmlns:a16="http://schemas.microsoft.com/office/drawing/2014/main" id="{0E0C1574-989A-4AD2-8C4C-C2F9177BE9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61" name="AutoShape 1" descr="Vista previa de toda la pantalla">
          <a:extLst>
            <a:ext uri="{FF2B5EF4-FFF2-40B4-BE49-F238E27FC236}">
              <a16:creationId xmlns:a16="http://schemas.microsoft.com/office/drawing/2014/main" id="{257B0EE2-291D-428E-86C2-B9F356EEC0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62" name="AutoShape 1" descr="Vista previa de toda la pantalla">
          <a:extLst>
            <a:ext uri="{FF2B5EF4-FFF2-40B4-BE49-F238E27FC236}">
              <a16:creationId xmlns:a16="http://schemas.microsoft.com/office/drawing/2014/main" id="{0A02F6D6-A1FD-4527-A7AF-924340204F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63" name="AutoShape 1" descr="Vista previa de toda la pantalla">
          <a:extLst>
            <a:ext uri="{FF2B5EF4-FFF2-40B4-BE49-F238E27FC236}">
              <a16:creationId xmlns:a16="http://schemas.microsoft.com/office/drawing/2014/main" id="{DD768FA1-F0FF-4E6C-A9B6-FD2934A920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64" name="AutoShape 1" descr="Vista previa de toda la pantalla">
          <a:extLst>
            <a:ext uri="{FF2B5EF4-FFF2-40B4-BE49-F238E27FC236}">
              <a16:creationId xmlns:a16="http://schemas.microsoft.com/office/drawing/2014/main" id="{BE17BDEF-C445-47FE-972B-87B45F650F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65" name="AutoShape 1" descr="Vista previa de toda la pantalla">
          <a:extLst>
            <a:ext uri="{FF2B5EF4-FFF2-40B4-BE49-F238E27FC236}">
              <a16:creationId xmlns:a16="http://schemas.microsoft.com/office/drawing/2014/main" id="{DFEDF425-24FC-47CA-9224-122EF9422C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66" name="AutoShape 1" descr="Vista previa de toda la pantalla">
          <a:extLst>
            <a:ext uri="{FF2B5EF4-FFF2-40B4-BE49-F238E27FC236}">
              <a16:creationId xmlns:a16="http://schemas.microsoft.com/office/drawing/2014/main" id="{8D7115F8-6539-45BB-8F48-7A9459B9C2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67" name="AutoShape 1" descr="Vista previa de toda la pantalla">
          <a:extLst>
            <a:ext uri="{FF2B5EF4-FFF2-40B4-BE49-F238E27FC236}">
              <a16:creationId xmlns:a16="http://schemas.microsoft.com/office/drawing/2014/main" id="{64C6D910-391F-4213-9C6A-8C32652E9D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68" name="AutoShape 1" descr="Vista previa de toda la pantalla">
          <a:extLst>
            <a:ext uri="{FF2B5EF4-FFF2-40B4-BE49-F238E27FC236}">
              <a16:creationId xmlns:a16="http://schemas.microsoft.com/office/drawing/2014/main" id="{1A1E7719-9283-43D4-B0AA-1378B2C0E9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69" name="AutoShape 1" descr="Vista previa de toda la pantalla">
          <a:extLst>
            <a:ext uri="{FF2B5EF4-FFF2-40B4-BE49-F238E27FC236}">
              <a16:creationId xmlns:a16="http://schemas.microsoft.com/office/drawing/2014/main" id="{6C4C501B-336F-45C6-9F2A-E95EC81D94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70" name="AutoShape 1" descr="Vista previa de toda la pantalla">
          <a:extLst>
            <a:ext uri="{FF2B5EF4-FFF2-40B4-BE49-F238E27FC236}">
              <a16:creationId xmlns:a16="http://schemas.microsoft.com/office/drawing/2014/main" id="{A3846930-1F26-43C1-8AC7-42406DFCD7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71" name="AutoShape 1" descr="Vista previa de toda la pantalla">
          <a:extLst>
            <a:ext uri="{FF2B5EF4-FFF2-40B4-BE49-F238E27FC236}">
              <a16:creationId xmlns:a16="http://schemas.microsoft.com/office/drawing/2014/main" id="{F76F77D5-757D-48A2-BB7E-4160BE03B7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72" name="AutoShape 1" descr="Vista previa de toda la pantalla">
          <a:extLst>
            <a:ext uri="{FF2B5EF4-FFF2-40B4-BE49-F238E27FC236}">
              <a16:creationId xmlns:a16="http://schemas.microsoft.com/office/drawing/2014/main" id="{746758D4-80C2-456C-895D-6CEE3FF651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73" name="AutoShape 1" descr="Vista previa de toda la pantalla">
          <a:extLst>
            <a:ext uri="{FF2B5EF4-FFF2-40B4-BE49-F238E27FC236}">
              <a16:creationId xmlns:a16="http://schemas.microsoft.com/office/drawing/2014/main" id="{EFA9750D-715C-410E-8140-BFC924F3F7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74" name="AutoShape 1" descr="Vista previa de toda la pantalla">
          <a:extLst>
            <a:ext uri="{FF2B5EF4-FFF2-40B4-BE49-F238E27FC236}">
              <a16:creationId xmlns:a16="http://schemas.microsoft.com/office/drawing/2014/main" id="{B39F7D35-EDFA-4FA1-8CEF-0DE394B0E5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75" name="AutoShape 1" descr="Vista previa de toda la pantalla">
          <a:extLst>
            <a:ext uri="{FF2B5EF4-FFF2-40B4-BE49-F238E27FC236}">
              <a16:creationId xmlns:a16="http://schemas.microsoft.com/office/drawing/2014/main" id="{93632AEC-1A99-498E-A897-094D71618A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76" name="AutoShape 1" descr="Vista previa de toda la pantalla">
          <a:extLst>
            <a:ext uri="{FF2B5EF4-FFF2-40B4-BE49-F238E27FC236}">
              <a16:creationId xmlns:a16="http://schemas.microsoft.com/office/drawing/2014/main" id="{6877D3C4-338A-4699-BD7F-5AE73A2C2E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77" name="AutoShape 1" descr="Vista previa de toda la pantalla">
          <a:extLst>
            <a:ext uri="{FF2B5EF4-FFF2-40B4-BE49-F238E27FC236}">
              <a16:creationId xmlns:a16="http://schemas.microsoft.com/office/drawing/2014/main" id="{433A6D60-E8F1-4D34-A4F8-C1C90D6315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78" name="AutoShape 1" descr="Vista previa de toda la pantalla">
          <a:extLst>
            <a:ext uri="{FF2B5EF4-FFF2-40B4-BE49-F238E27FC236}">
              <a16:creationId xmlns:a16="http://schemas.microsoft.com/office/drawing/2014/main" id="{F96E1355-9F64-468E-8ADC-C24842C1D1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79" name="AutoShape 1" descr="Vista previa de toda la pantalla">
          <a:extLst>
            <a:ext uri="{FF2B5EF4-FFF2-40B4-BE49-F238E27FC236}">
              <a16:creationId xmlns:a16="http://schemas.microsoft.com/office/drawing/2014/main" id="{05A1E421-AA6C-42ED-94B8-1BF0B96319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80" name="AutoShape 1" descr="Vista previa de toda la pantalla">
          <a:extLst>
            <a:ext uri="{FF2B5EF4-FFF2-40B4-BE49-F238E27FC236}">
              <a16:creationId xmlns:a16="http://schemas.microsoft.com/office/drawing/2014/main" id="{E4B02FE8-1017-407A-9BB1-8A116B2167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81" name="AutoShape 1" descr="Vista previa de toda la pantalla">
          <a:extLst>
            <a:ext uri="{FF2B5EF4-FFF2-40B4-BE49-F238E27FC236}">
              <a16:creationId xmlns:a16="http://schemas.microsoft.com/office/drawing/2014/main" id="{D3AF8D09-FD02-491D-845C-97064B10C6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82" name="AutoShape 1" descr="Vista previa de toda la pantalla">
          <a:extLst>
            <a:ext uri="{FF2B5EF4-FFF2-40B4-BE49-F238E27FC236}">
              <a16:creationId xmlns:a16="http://schemas.microsoft.com/office/drawing/2014/main" id="{2923DBDE-024F-44AB-B9E3-4ABA664D7C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83" name="AutoShape 1" descr="Vista previa de toda la pantalla">
          <a:extLst>
            <a:ext uri="{FF2B5EF4-FFF2-40B4-BE49-F238E27FC236}">
              <a16:creationId xmlns:a16="http://schemas.microsoft.com/office/drawing/2014/main" id="{56757025-791F-4369-869C-E10B81F704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84" name="AutoShape 1" descr="Vista previa de toda la pantalla">
          <a:extLst>
            <a:ext uri="{FF2B5EF4-FFF2-40B4-BE49-F238E27FC236}">
              <a16:creationId xmlns:a16="http://schemas.microsoft.com/office/drawing/2014/main" id="{2D4980D6-A113-47FE-9446-521537F5B4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85" name="AutoShape 1" descr="Vista previa de toda la pantalla">
          <a:extLst>
            <a:ext uri="{FF2B5EF4-FFF2-40B4-BE49-F238E27FC236}">
              <a16:creationId xmlns:a16="http://schemas.microsoft.com/office/drawing/2014/main" id="{26765927-9C47-43BE-BCC2-C858AE53C0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86" name="AutoShape 1" descr="Vista previa de toda la pantalla">
          <a:extLst>
            <a:ext uri="{FF2B5EF4-FFF2-40B4-BE49-F238E27FC236}">
              <a16:creationId xmlns:a16="http://schemas.microsoft.com/office/drawing/2014/main" id="{F2529150-3972-4623-BEF5-64C48175E8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87" name="AutoShape 1" descr="Vista previa de toda la pantalla">
          <a:extLst>
            <a:ext uri="{FF2B5EF4-FFF2-40B4-BE49-F238E27FC236}">
              <a16:creationId xmlns:a16="http://schemas.microsoft.com/office/drawing/2014/main" id="{647F85C2-EA4E-401F-9CE0-0B749742B0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88" name="AutoShape 1" descr="Vista previa de toda la pantalla">
          <a:extLst>
            <a:ext uri="{FF2B5EF4-FFF2-40B4-BE49-F238E27FC236}">
              <a16:creationId xmlns:a16="http://schemas.microsoft.com/office/drawing/2014/main" id="{09028887-2219-4E87-9A43-9B29AC9F81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89" name="AutoShape 1" descr="Vista previa de toda la pantalla">
          <a:extLst>
            <a:ext uri="{FF2B5EF4-FFF2-40B4-BE49-F238E27FC236}">
              <a16:creationId xmlns:a16="http://schemas.microsoft.com/office/drawing/2014/main" id="{BDFBBB1B-BE9B-4004-ADAA-37E8C58781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90" name="AutoShape 1" descr="Vista previa de toda la pantalla">
          <a:extLst>
            <a:ext uri="{FF2B5EF4-FFF2-40B4-BE49-F238E27FC236}">
              <a16:creationId xmlns:a16="http://schemas.microsoft.com/office/drawing/2014/main" id="{3190909F-B8F9-439B-9D5B-CA249A3885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91" name="AutoShape 1" descr="Vista previa de toda la pantalla">
          <a:extLst>
            <a:ext uri="{FF2B5EF4-FFF2-40B4-BE49-F238E27FC236}">
              <a16:creationId xmlns:a16="http://schemas.microsoft.com/office/drawing/2014/main" id="{89893065-E497-4CBA-9057-15C0B10684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92" name="AutoShape 1" descr="Vista previa de toda la pantalla">
          <a:extLst>
            <a:ext uri="{FF2B5EF4-FFF2-40B4-BE49-F238E27FC236}">
              <a16:creationId xmlns:a16="http://schemas.microsoft.com/office/drawing/2014/main" id="{10F04D3F-8382-4409-ACEE-2CA683DDD3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93" name="AutoShape 1" descr="Vista previa de toda la pantalla">
          <a:extLst>
            <a:ext uri="{FF2B5EF4-FFF2-40B4-BE49-F238E27FC236}">
              <a16:creationId xmlns:a16="http://schemas.microsoft.com/office/drawing/2014/main" id="{7BA981BA-5F31-44F6-B03B-9723200C1D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94" name="AutoShape 1" descr="Vista previa de toda la pantalla">
          <a:extLst>
            <a:ext uri="{FF2B5EF4-FFF2-40B4-BE49-F238E27FC236}">
              <a16:creationId xmlns:a16="http://schemas.microsoft.com/office/drawing/2014/main" id="{EDEDE244-77FC-47A3-9496-8FB87B325B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95" name="AutoShape 1" descr="Vista previa de toda la pantalla">
          <a:extLst>
            <a:ext uri="{FF2B5EF4-FFF2-40B4-BE49-F238E27FC236}">
              <a16:creationId xmlns:a16="http://schemas.microsoft.com/office/drawing/2014/main" id="{38FC61BA-F061-45D0-BDC3-B3B00B6BFF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96" name="AutoShape 1" descr="Vista previa de toda la pantalla">
          <a:extLst>
            <a:ext uri="{FF2B5EF4-FFF2-40B4-BE49-F238E27FC236}">
              <a16:creationId xmlns:a16="http://schemas.microsoft.com/office/drawing/2014/main" id="{16A8CA7B-D3D2-46F7-B2F3-DFCDE0472E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97" name="AutoShape 1" descr="Vista previa de toda la pantalla">
          <a:extLst>
            <a:ext uri="{FF2B5EF4-FFF2-40B4-BE49-F238E27FC236}">
              <a16:creationId xmlns:a16="http://schemas.microsoft.com/office/drawing/2014/main" id="{4CD7E7CB-4F62-4292-95F1-101CD3EA8D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98" name="AutoShape 1" descr="Vista previa de toda la pantalla">
          <a:extLst>
            <a:ext uri="{FF2B5EF4-FFF2-40B4-BE49-F238E27FC236}">
              <a16:creationId xmlns:a16="http://schemas.microsoft.com/office/drawing/2014/main" id="{09E4556B-D05B-4253-8523-DED7071891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899" name="AutoShape 1" descr="Vista previa de toda la pantalla">
          <a:extLst>
            <a:ext uri="{FF2B5EF4-FFF2-40B4-BE49-F238E27FC236}">
              <a16:creationId xmlns:a16="http://schemas.microsoft.com/office/drawing/2014/main" id="{874B4C48-6AB4-4CD7-8A70-BCCFD6140E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00" name="AutoShape 1" descr="Vista previa de toda la pantalla">
          <a:extLst>
            <a:ext uri="{FF2B5EF4-FFF2-40B4-BE49-F238E27FC236}">
              <a16:creationId xmlns:a16="http://schemas.microsoft.com/office/drawing/2014/main" id="{446F0B65-B7B9-4858-84D7-D7C2C6C2DA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01" name="AutoShape 1" descr="Vista previa de toda la pantalla">
          <a:extLst>
            <a:ext uri="{FF2B5EF4-FFF2-40B4-BE49-F238E27FC236}">
              <a16:creationId xmlns:a16="http://schemas.microsoft.com/office/drawing/2014/main" id="{FBB7E095-ACB4-4588-9D13-F5B3AB2D8A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02" name="AutoShape 1" descr="Vista previa de toda la pantalla">
          <a:extLst>
            <a:ext uri="{FF2B5EF4-FFF2-40B4-BE49-F238E27FC236}">
              <a16:creationId xmlns:a16="http://schemas.microsoft.com/office/drawing/2014/main" id="{8D771A1D-8DFA-454E-B8F6-D7DF92D79E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03" name="AutoShape 1" descr="Vista previa de toda la pantalla">
          <a:extLst>
            <a:ext uri="{FF2B5EF4-FFF2-40B4-BE49-F238E27FC236}">
              <a16:creationId xmlns:a16="http://schemas.microsoft.com/office/drawing/2014/main" id="{F3E88516-7250-4A9F-854D-2E1636BDAD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04" name="AutoShape 1" descr="Vista previa de toda la pantalla">
          <a:extLst>
            <a:ext uri="{FF2B5EF4-FFF2-40B4-BE49-F238E27FC236}">
              <a16:creationId xmlns:a16="http://schemas.microsoft.com/office/drawing/2014/main" id="{82ED64E0-395B-4883-8C66-E5274DFB3B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05" name="AutoShape 1" descr="Vista previa de toda la pantalla">
          <a:extLst>
            <a:ext uri="{FF2B5EF4-FFF2-40B4-BE49-F238E27FC236}">
              <a16:creationId xmlns:a16="http://schemas.microsoft.com/office/drawing/2014/main" id="{1A554B03-839C-442C-B9BF-0D5F7D3364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06" name="AutoShape 1" descr="Vista previa de toda la pantalla">
          <a:extLst>
            <a:ext uri="{FF2B5EF4-FFF2-40B4-BE49-F238E27FC236}">
              <a16:creationId xmlns:a16="http://schemas.microsoft.com/office/drawing/2014/main" id="{C4BCC2F5-FC02-490A-98A7-DBE012858C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07" name="AutoShape 1" descr="Vista previa de toda la pantalla">
          <a:extLst>
            <a:ext uri="{FF2B5EF4-FFF2-40B4-BE49-F238E27FC236}">
              <a16:creationId xmlns:a16="http://schemas.microsoft.com/office/drawing/2014/main" id="{4DF6C25B-BAC3-42C4-A86E-F5E0CCC933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08" name="AutoShape 1" descr="Vista previa de toda la pantalla">
          <a:extLst>
            <a:ext uri="{FF2B5EF4-FFF2-40B4-BE49-F238E27FC236}">
              <a16:creationId xmlns:a16="http://schemas.microsoft.com/office/drawing/2014/main" id="{4750F106-E2D0-4A89-B5F3-EBBDC75E68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09" name="AutoShape 1" descr="Vista previa de toda la pantalla">
          <a:extLst>
            <a:ext uri="{FF2B5EF4-FFF2-40B4-BE49-F238E27FC236}">
              <a16:creationId xmlns:a16="http://schemas.microsoft.com/office/drawing/2014/main" id="{004E30E8-4C7E-49F7-BF01-406FF5B2A6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10" name="AutoShape 1" descr="Vista previa de toda la pantalla">
          <a:extLst>
            <a:ext uri="{FF2B5EF4-FFF2-40B4-BE49-F238E27FC236}">
              <a16:creationId xmlns:a16="http://schemas.microsoft.com/office/drawing/2014/main" id="{E39BB26B-3167-40D3-A873-794197B76A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11" name="AutoShape 1" descr="Vista previa de toda la pantalla">
          <a:extLst>
            <a:ext uri="{FF2B5EF4-FFF2-40B4-BE49-F238E27FC236}">
              <a16:creationId xmlns:a16="http://schemas.microsoft.com/office/drawing/2014/main" id="{2E13AF3A-836E-4553-A1D3-D4935294CB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12" name="AutoShape 1" descr="Vista previa de toda la pantalla">
          <a:extLst>
            <a:ext uri="{FF2B5EF4-FFF2-40B4-BE49-F238E27FC236}">
              <a16:creationId xmlns:a16="http://schemas.microsoft.com/office/drawing/2014/main" id="{813CC55F-257A-4253-9B94-5F77184B74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13" name="AutoShape 1" descr="Vista previa de toda la pantalla">
          <a:extLst>
            <a:ext uri="{FF2B5EF4-FFF2-40B4-BE49-F238E27FC236}">
              <a16:creationId xmlns:a16="http://schemas.microsoft.com/office/drawing/2014/main" id="{68E37F66-0A42-4035-B3EF-FF99E4AAAC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14" name="AutoShape 1" descr="Vista previa de toda la pantalla">
          <a:extLst>
            <a:ext uri="{FF2B5EF4-FFF2-40B4-BE49-F238E27FC236}">
              <a16:creationId xmlns:a16="http://schemas.microsoft.com/office/drawing/2014/main" id="{9217250F-1D93-46B5-B020-A4DD1F3B44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15" name="AutoShape 1" descr="Vista previa de toda la pantalla">
          <a:extLst>
            <a:ext uri="{FF2B5EF4-FFF2-40B4-BE49-F238E27FC236}">
              <a16:creationId xmlns:a16="http://schemas.microsoft.com/office/drawing/2014/main" id="{5B55D381-9317-4AA9-A2A4-30F9A8EF25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16" name="AutoShape 1" descr="Vista previa de toda la pantalla">
          <a:extLst>
            <a:ext uri="{FF2B5EF4-FFF2-40B4-BE49-F238E27FC236}">
              <a16:creationId xmlns:a16="http://schemas.microsoft.com/office/drawing/2014/main" id="{BE660AA1-1F44-42F1-A1CB-5D68989A26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17" name="AutoShape 1" descr="Vista previa de toda la pantalla">
          <a:extLst>
            <a:ext uri="{FF2B5EF4-FFF2-40B4-BE49-F238E27FC236}">
              <a16:creationId xmlns:a16="http://schemas.microsoft.com/office/drawing/2014/main" id="{89A143E5-09A8-425E-8846-65EECDB2BE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18" name="AutoShape 1" descr="Vista previa de toda la pantalla">
          <a:extLst>
            <a:ext uri="{FF2B5EF4-FFF2-40B4-BE49-F238E27FC236}">
              <a16:creationId xmlns:a16="http://schemas.microsoft.com/office/drawing/2014/main" id="{82065AB9-9578-45F5-9D8B-F761C3D920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19" name="AutoShape 1" descr="Vista previa de toda la pantalla">
          <a:extLst>
            <a:ext uri="{FF2B5EF4-FFF2-40B4-BE49-F238E27FC236}">
              <a16:creationId xmlns:a16="http://schemas.microsoft.com/office/drawing/2014/main" id="{86D2B3EE-BAAC-462B-8834-EDCAF0F624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20" name="AutoShape 1" descr="Vista previa de toda la pantalla">
          <a:extLst>
            <a:ext uri="{FF2B5EF4-FFF2-40B4-BE49-F238E27FC236}">
              <a16:creationId xmlns:a16="http://schemas.microsoft.com/office/drawing/2014/main" id="{A72BACD4-824B-4E43-85DC-D32B0F906C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21" name="AutoShape 1" descr="Vista previa de toda la pantalla">
          <a:extLst>
            <a:ext uri="{FF2B5EF4-FFF2-40B4-BE49-F238E27FC236}">
              <a16:creationId xmlns:a16="http://schemas.microsoft.com/office/drawing/2014/main" id="{6D038799-FA33-42D2-81D9-4219CBCCB5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22" name="AutoShape 1" descr="Vista previa de toda la pantalla">
          <a:extLst>
            <a:ext uri="{FF2B5EF4-FFF2-40B4-BE49-F238E27FC236}">
              <a16:creationId xmlns:a16="http://schemas.microsoft.com/office/drawing/2014/main" id="{0A7D2937-17C9-402D-9076-B031D868BE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23" name="AutoShape 1" descr="Vista previa de toda la pantalla">
          <a:extLst>
            <a:ext uri="{FF2B5EF4-FFF2-40B4-BE49-F238E27FC236}">
              <a16:creationId xmlns:a16="http://schemas.microsoft.com/office/drawing/2014/main" id="{F39D3988-63DB-4EC1-8CA0-E04D591D12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24" name="AutoShape 1" descr="Vista previa de toda la pantalla">
          <a:extLst>
            <a:ext uri="{FF2B5EF4-FFF2-40B4-BE49-F238E27FC236}">
              <a16:creationId xmlns:a16="http://schemas.microsoft.com/office/drawing/2014/main" id="{AC95F54E-F48D-4949-86C6-79A942C333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25" name="AutoShape 1" descr="Vista previa de toda la pantalla">
          <a:extLst>
            <a:ext uri="{FF2B5EF4-FFF2-40B4-BE49-F238E27FC236}">
              <a16:creationId xmlns:a16="http://schemas.microsoft.com/office/drawing/2014/main" id="{6D4E6484-5F10-44A0-A0BF-E00BBEFF62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26" name="AutoShape 1" descr="Vista previa de toda la pantalla">
          <a:extLst>
            <a:ext uri="{FF2B5EF4-FFF2-40B4-BE49-F238E27FC236}">
              <a16:creationId xmlns:a16="http://schemas.microsoft.com/office/drawing/2014/main" id="{85A9A065-B976-45F0-BD39-3ECCDFA6D6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27" name="AutoShape 1" descr="Vista previa de toda la pantalla">
          <a:extLst>
            <a:ext uri="{FF2B5EF4-FFF2-40B4-BE49-F238E27FC236}">
              <a16:creationId xmlns:a16="http://schemas.microsoft.com/office/drawing/2014/main" id="{A87B04B1-7FBE-4064-B3E1-5F5A707145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28" name="AutoShape 1" descr="Vista previa de toda la pantalla">
          <a:extLst>
            <a:ext uri="{FF2B5EF4-FFF2-40B4-BE49-F238E27FC236}">
              <a16:creationId xmlns:a16="http://schemas.microsoft.com/office/drawing/2014/main" id="{6722ECBB-18AE-424D-BFC5-78844E6F39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29" name="AutoShape 1" descr="Vista previa de toda la pantalla">
          <a:extLst>
            <a:ext uri="{FF2B5EF4-FFF2-40B4-BE49-F238E27FC236}">
              <a16:creationId xmlns:a16="http://schemas.microsoft.com/office/drawing/2014/main" id="{21201FAB-C536-46F8-B2D9-0522BB58B7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30" name="AutoShape 1" descr="Vista previa de toda la pantalla">
          <a:extLst>
            <a:ext uri="{FF2B5EF4-FFF2-40B4-BE49-F238E27FC236}">
              <a16:creationId xmlns:a16="http://schemas.microsoft.com/office/drawing/2014/main" id="{DAF21BA4-466B-4654-9B11-D6489C7410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31" name="AutoShape 1" descr="Vista previa de toda la pantalla">
          <a:extLst>
            <a:ext uri="{FF2B5EF4-FFF2-40B4-BE49-F238E27FC236}">
              <a16:creationId xmlns:a16="http://schemas.microsoft.com/office/drawing/2014/main" id="{DDFBBBB2-B36C-43E3-953D-F2EE90ADAD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32" name="AutoShape 1" descr="Vista previa de toda la pantalla">
          <a:extLst>
            <a:ext uri="{FF2B5EF4-FFF2-40B4-BE49-F238E27FC236}">
              <a16:creationId xmlns:a16="http://schemas.microsoft.com/office/drawing/2014/main" id="{0336C993-663B-4563-B2FA-5A4E19F0FB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33" name="AutoShape 1" descr="Vista previa de toda la pantalla">
          <a:extLst>
            <a:ext uri="{FF2B5EF4-FFF2-40B4-BE49-F238E27FC236}">
              <a16:creationId xmlns:a16="http://schemas.microsoft.com/office/drawing/2014/main" id="{25BBF274-F994-4952-8D84-802D2C2EA3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34" name="AutoShape 1" descr="Vista previa de toda la pantalla">
          <a:extLst>
            <a:ext uri="{FF2B5EF4-FFF2-40B4-BE49-F238E27FC236}">
              <a16:creationId xmlns:a16="http://schemas.microsoft.com/office/drawing/2014/main" id="{A473A1F9-1928-4C93-B76D-C58E8ED920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35" name="AutoShape 1" descr="Vista previa de toda la pantalla">
          <a:extLst>
            <a:ext uri="{FF2B5EF4-FFF2-40B4-BE49-F238E27FC236}">
              <a16:creationId xmlns:a16="http://schemas.microsoft.com/office/drawing/2014/main" id="{B86C4A29-F466-4534-B9CB-610735D911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36" name="AutoShape 1" descr="Vista previa de toda la pantalla">
          <a:extLst>
            <a:ext uri="{FF2B5EF4-FFF2-40B4-BE49-F238E27FC236}">
              <a16:creationId xmlns:a16="http://schemas.microsoft.com/office/drawing/2014/main" id="{D208AED7-C282-4158-8DAF-8501DEAB18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37" name="AutoShape 1" descr="Vista previa de toda la pantalla">
          <a:extLst>
            <a:ext uri="{FF2B5EF4-FFF2-40B4-BE49-F238E27FC236}">
              <a16:creationId xmlns:a16="http://schemas.microsoft.com/office/drawing/2014/main" id="{EFEBDFFD-773C-40B2-ACBE-001F5FA0BA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38" name="AutoShape 1" descr="Vista previa de toda la pantalla">
          <a:extLst>
            <a:ext uri="{FF2B5EF4-FFF2-40B4-BE49-F238E27FC236}">
              <a16:creationId xmlns:a16="http://schemas.microsoft.com/office/drawing/2014/main" id="{E62F13C5-58EE-4DFB-A22F-95D39C80E9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39" name="AutoShape 1" descr="Vista previa de toda la pantalla">
          <a:extLst>
            <a:ext uri="{FF2B5EF4-FFF2-40B4-BE49-F238E27FC236}">
              <a16:creationId xmlns:a16="http://schemas.microsoft.com/office/drawing/2014/main" id="{67D6B902-DA32-4208-86BB-1F76B9F3A1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40" name="AutoShape 1" descr="Vista previa de toda la pantalla">
          <a:extLst>
            <a:ext uri="{FF2B5EF4-FFF2-40B4-BE49-F238E27FC236}">
              <a16:creationId xmlns:a16="http://schemas.microsoft.com/office/drawing/2014/main" id="{9E15F950-6BF3-4A1B-9801-A12F24E1D5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41" name="AutoShape 1" descr="Vista previa de toda la pantalla">
          <a:extLst>
            <a:ext uri="{FF2B5EF4-FFF2-40B4-BE49-F238E27FC236}">
              <a16:creationId xmlns:a16="http://schemas.microsoft.com/office/drawing/2014/main" id="{1D2F08CC-C259-4AF3-AC6E-D99A9A49DF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42" name="AutoShape 1" descr="Vista previa de toda la pantalla">
          <a:extLst>
            <a:ext uri="{FF2B5EF4-FFF2-40B4-BE49-F238E27FC236}">
              <a16:creationId xmlns:a16="http://schemas.microsoft.com/office/drawing/2014/main" id="{E65C5096-64DA-409D-AE30-384CA6C9BC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43" name="AutoShape 1" descr="Vista previa de toda la pantalla">
          <a:extLst>
            <a:ext uri="{FF2B5EF4-FFF2-40B4-BE49-F238E27FC236}">
              <a16:creationId xmlns:a16="http://schemas.microsoft.com/office/drawing/2014/main" id="{41B1C160-1A11-4B35-AB63-3325C8B472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44" name="AutoShape 1" descr="Vista previa de toda la pantalla">
          <a:extLst>
            <a:ext uri="{FF2B5EF4-FFF2-40B4-BE49-F238E27FC236}">
              <a16:creationId xmlns:a16="http://schemas.microsoft.com/office/drawing/2014/main" id="{61C46F05-DEDB-41DB-8BA9-B92E8A09E7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45" name="AutoShape 1" descr="Vista previa de toda la pantalla">
          <a:extLst>
            <a:ext uri="{FF2B5EF4-FFF2-40B4-BE49-F238E27FC236}">
              <a16:creationId xmlns:a16="http://schemas.microsoft.com/office/drawing/2014/main" id="{805318F8-943A-41A1-BC78-0C1DDAB736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46" name="AutoShape 1" descr="Vista previa de toda la pantalla">
          <a:extLst>
            <a:ext uri="{FF2B5EF4-FFF2-40B4-BE49-F238E27FC236}">
              <a16:creationId xmlns:a16="http://schemas.microsoft.com/office/drawing/2014/main" id="{FA6E3FEF-A089-436C-BB00-0DF19D9027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47" name="AutoShape 1" descr="Vista previa de toda la pantalla">
          <a:extLst>
            <a:ext uri="{FF2B5EF4-FFF2-40B4-BE49-F238E27FC236}">
              <a16:creationId xmlns:a16="http://schemas.microsoft.com/office/drawing/2014/main" id="{09A61BE1-3639-439C-888E-DF4226A263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48" name="AutoShape 1" descr="Vista previa de toda la pantalla">
          <a:extLst>
            <a:ext uri="{FF2B5EF4-FFF2-40B4-BE49-F238E27FC236}">
              <a16:creationId xmlns:a16="http://schemas.microsoft.com/office/drawing/2014/main" id="{70318243-8393-433F-8D5C-46AB42B75D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49" name="AutoShape 1" descr="Vista previa de toda la pantalla">
          <a:extLst>
            <a:ext uri="{FF2B5EF4-FFF2-40B4-BE49-F238E27FC236}">
              <a16:creationId xmlns:a16="http://schemas.microsoft.com/office/drawing/2014/main" id="{F5675400-A0E3-4DBD-9255-643FD3A1F5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50" name="AutoShape 1" descr="Vista previa de toda la pantalla">
          <a:extLst>
            <a:ext uri="{FF2B5EF4-FFF2-40B4-BE49-F238E27FC236}">
              <a16:creationId xmlns:a16="http://schemas.microsoft.com/office/drawing/2014/main" id="{4D907D45-E1A6-47F5-9CD3-ABD459F3DE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51" name="AutoShape 1" descr="Vista previa de toda la pantalla">
          <a:extLst>
            <a:ext uri="{FF2B5EF4-FFF2-40B4-BE49-F238E27FC236}">
              <a16:creationId xmlns:a16="http://schemas.microsoft.com/office/drawing/2014/main" id="{10767016-29C8-45D4-8B46-976CC1E4F7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52" name="AutoShape 1" descr="Vista previa de toda la pantalla">
          <a:extLst>
            <a:ext uri="{FF2B5EF4-FFF2-40B4-BE49-F238E27FC236}">
              <a16:creationId xmlns:a16="http://schemas.microsoft.com/office/drawing/2014/main" id="{0B142512-2B2B-4E3B-82FB-65DEFEAB70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53" name="AutoShape 1" descr="Vista previa de toda la pantalla">
          <a:extLst>
            <a:ext uri="{FF2B5EF4-FFF2-40B4-BE49-F238E27FC236}">
              <a16:creationId xmlns:a16="http://schemas.microsoft.com/office/drawing/2014/main" id="{B24F106C-2614-4C10-9774-CEB90CDAFC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54" name="AutoShape 1" descr="Vista previa de toda la pantalla">
          <a:extLst>
            <a:ext uri="{FF2B5EF4-FFF2-40B4-BE49-F238E27FC236}">
              <a16:creationId xmlns:a16="http://schemas.microsoft.com/office/drawing/2014/main" id="{406F24B5-36CD-41C3-ABD1-130D7FF476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55" name="AutoShape 1" descr="Vista previa de toda la pantalla">
          <a:extLst>
            <a:ext uri="{FF2B5EF4-FFF2-40B4-BE49-F238E27FC236}">
              <a16:creationId xmlns:a16="http://schemas.microsoft.com/office/drawing/2014/main" id="{1DAA983E-4065-425F-B041-4A7B05DD39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56" name="AutoShape 1" descr="Vista previa de toda la pantalla">
          <a:extLst>
            <a:ext uri="{FF2B5EF4-FFF2-40B4-BE49-F238E27FC236}">
              <a16:creationId xmlns:a16="http://schemas.microsoft.com/office/drawing/2014/main" id="{9E829738-AF04-4A0D-8F84-FE657627F8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57" name="AutoShape 1" descr="Vista previa de toda la pantalla">
          <a:extLst>
            <a:ext uri="{FF2B5EF4-FFF2-40B4-BE49-F238E27FC236}">
              <a16:creationId xmlns:a16="http://schemas.microsoft.com/office/drawing/2014/main" id="{174983D3-6946-483D-958C-C37682CDCF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58" name="AutoShape 1" descr="Vista previa de toda la pantalla">
          <a:extLst>
            <a:ext uri="{FF2B5EF4-FFF2-40B4-BE49-F238E27FC236}">
              <a16:creationId xmlns:a16="http://schemas.microsoft.com/office/drawing/2014/main" id="{39BB9336-0050-4B4E-8F53-64203CF9E2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59" name="AutoShape 1" descr="Vista previa de toda la pantalla">
          <a:extLst>
            <a:ext uri="{FF2B5EF4-FFF2-40B4-BE49-F238E27FC236}">
              <a16:creationId xmlns:a16="http://schemas.microsoft.com/office/drawing/2014/main" id="{A43B08F1-7021-41F3-8667-FD33CBB228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60" name="AutoShape 1" descr="Vista previa de toda la pantalla">
          <a:extLst>
            <a:ext uri="{FF2B5EF4-FFF2-40B4-BE49-F238E27FC236}">
              <a16:creationId xmlns:a16="http://schemas.microsoft.com/office/drawing/2014/main" id="{35D5768C-4525-4704-BDD4-099FFDA251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61" name="AutoShape 1" descr="Vista previa de toda la pantalla">
          <a:extLst>
            <a:ext uri="{FF2B5EF4-FFF2-40B4-BE49-F238E27FC236}">
              <a16:creationId xmlns:a16="http://schemas.microsoft.com/office/drawing/2014/main" id="{EB847FB0-D147-4745-9DED-E554280487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62" name="AutoShape 1" descr="Vista previa de toda la pantalla">
          <a:extLst>
            <a:ext uri="{FF2B5EF4-FFF2-40B4-BE49-F238E27FC236}">
              <a16:creationId xmlns:a16="http://schemas.microsoft.com/office/drawing/2014/main" id="{B0A7AE3E-D24F-4796-9787-29FF47E409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63" name="AutoShape 1" descr="Vista previa de toda la pantalla">
          <a:extLst>
            <a:ext uri="{FF2B5EF4-FFF2-40B4-BE49-F238E27FC236}">
              <a16:creationId xmlns:a16="http://schemas.microsoft.com/office/drawing/2014/main" id="{7D3E9DFE-E77C-4EB9-B58B-B9F401DDD1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64" name="AutoShape 1" descr="Vista previa de toda la pantalla">
          <a:extLst>
            <a:ext uri="{FF2B5EF4-FFF2-40B4-BE49-F238E27FC236}">
              <a16:creationId xmlns:a16="http://schemas.microsoft.com/office/drawing/2014/main" id="{81F55261-387E-4672-9555-D90DBA07CE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65" name="AutoShape 1" descr="Vista previa de toda la pantalla">
          <a:extLst>
            <a:ext uri="{FF2B5EF4-FFF2-40B4-BE49-F238E27FC236}">
              <a16:creationId xmlns:a16="http://schemas.microsoft.com/office/drawing/2014/main" id="{F4F0DD3C-85C2-45A7-8528-957A862C86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66" name="AutoShape 1" descr="Vista previa de toda la pantalla">
          <a:extLst>
            <a:ext uri="{FF2B5EF4-FFF2-40B4-BE49-F238E27FC236}">
              <a16:creationId xmlns:a16="http://schemas.microsoft.com/office/drawing/2014/main" id="{4F711F86-B3E4-4CD3-ADE0-03470497D9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67" name="AutoShape 1" descr="Vista previa de toda la pantalla">
          <a:extLst>
            <a:ext uri="{FF2B5EF4-FFF2-40B4-BE49-F238E27FC236}">
              <a16:creationId xmlns:a16="http://schemas.microsoft.com/office/drawing/2014/main" id="{9CFDA653-9689-4F28-A5F7-1E0C9747CB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68" name="AutoShape 1" descr="Vista previa de toda la pantalla">
          <a:extLst>
            <a:ext uri="{FF2B5EF4-FFF2-40B4-BE49-F238E27FC236}">
              <a16:creationId xmlns:a16="http://schemas.microsoft.com/office/drawing/2014/main" id="{2C199B4A-B61B-43DE-A3F1-CA5B201405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69" name="AutoShape 1" descr="Vista previa de toda la pantalla">
          <a:extLst>
            <a:ext uri="{FF2B5EF4-FFF2-40B4-BE49-F238E27FC236}">
              <a16:creationId xmlns:a16="http://schemas.microsoft.com/office/drawing/2014/main" id="{679E1BF4-7901-4C56-A346-84636262E3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70" name="AutoShape 1" descr="Vista previa de toda la pantalla">
          <a:extLst>
            <a:ext uri="{FF2B5EF4-FFF2-40B4-BE49-F238E27FC236}">
              <a16:creationId xmlns:a16="http://schemas.microsoft.com/office/drawing/2014/main" id="{13D9E412-906E-4C76-9459-AD834243C4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71" name="AutoShape 1" descr="Vista previa de toda la pantalla">
          <a:extLst>
            <a:ext uri="{FF2B5EF4-FFF2-40B4-BE49-F238E27FC236}">
              <a16:creationId xmlns:a16="http://schemas.microsoft.com/office/drawing/2014/main" id="{111C828F-2052-4B34-927C-B417B6A39E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72" name="AutoShape 1" descr="Vista previa de toda la pantalla">
          <a:extLst>
            <a:ext uri="{FF2B5EF4-FFF2-40B4-BE49-F238E27FC236}">
              <a16:creationId xmlns:a16="http://schemas.microsoft.com/office/drawing/2014/main" id="{8C5F799F-65BB-4755-B872-E01245ACE9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73" name="AutoShape 1" descr="Vista previa de toda la pantalla">
          <a:extLst>
            <a:ext uri="{FF2B5EF4-FFF2-40B4-BE49-F238E27FC236}">
              <a16:creationId xmlns:a16="http://schemas.microsoft.com/office/drawing/2014/main" id="{616F2A74-D39B-418D-B834-69D2A9B524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74" name="AutoShape 1" descr="Vista previa de toda la pantalla">
          <a:extLst>
            <a:ext uri="{FF2B5EF4-FFF2-40B4-BE49-F238E27FC236}">
              <a16:creationId xmlns:a16="http://schemas.microsoft.com/office/drawing/2014/main" id="{0A42C847-5C53-4191-BF71-86DB0F83E4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75" name="AutoShape 1" descr="Vista previa de toda la pantalla">
          <a:extLst>
            <a:ext uri="{FF2B5EF4-FFF2-40B4-BE49-F238E27FC236}">
              <a16:creationId xmlns:a16="http://schemas.microsoft.com/office/drawing/2014/main" id="{3A970CB9-A6B4-4CED-8B8D-3804A84300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76" name="AutoShape 1" descr="Vista previa de toda la pantalla">
          <a:extLst>
            <a:ext uri="{FF2B5EF4-FFF2-40B4-BE49-F238E27FC236}">
              <a16:creationId xmlns:a16="http://schemas.microsoft.com/office/drawing/2014/main" id="{6D827E57-CE0D-4B4D-B473-4132A04397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77" name="AutoShape 1" descr="Vista previa de toda la pantalla">
          <a:extLst>
            <a:ext uri="{FF2B5EF4-FFF2-40B4-BE49-F238E27FC236}">
              <a16:creationId xmlns:a16="http://schemas.microsoft.com/office/drawing/2014/main" id="{5FCF4C32-E17D-4B74-947F-9C64646309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78" name="AutoShape 1" descr="Vista previa de toda la pantalla">
          <a:extLst>
            <a:ext uri="{FF2B5EF4-FFF2-40B4-BE49-F238E27FC236}">
              <a16:creationId xmlns:a16="http://schemas.microsoft.com/office/drawing/2014/main" id="{E0236350-120B-472A-9B62-1A8348B45F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79" name="AutoShape 1" descr="Vista previa de toda la pantalla">
          <a:extLst>
            <a:ext uri="{FF2B5EF4-FFF2-40B4-BE49-F238E27FC236}">
              <a16:creationId xmlns:a16="http://schemas.microsoft.com/office/drawing/2014/main" id="{15F92AE7-0E60-433E-8205-735C1FA5FD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80" name="AutoShape 1" descr="Vista previa de toda la pantalla">
          <a:extLst>
            <a:ext uri="{FF2B5EF4-FFF2-40B4-BE49-F238E27FC236}">
              <a16:creationId xmlns:a16="http://schemas.microsoft.com/office/drawing/2014/main" id="{EA0B36EE-1A9D-4A27-99E8-B866B39E6B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81" name="AutoShape 1" descr="Vista previa de toda la pantalla">
          <a:extLst>
            <a:ext uri="{FF2B5EF4-FFF2-40B4-BE49-F238E27FC236}">
              <a16:creationId xmlns:a16="http://schemas.microsoft.com/office/drawing/2014/main" id="{A85B20C5-DA64-4BFF-9A8C-BC44A85F3E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82" name="AutoShape 1" descr="Vista previa de toda la pantalla">
          <a:extLst>
            <a:ext uri="{FF2B5EF4-FFF2-40B4-BE49-F238E27FC236}">
              <a16:creationId xmlns:a16="http://schemas.microsoft.com/office/drawing/2014/main" id="{7A68C8A7-6F2E-460F-97B9-BE784A4DAD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83" name="AutoShape 1" descr="Vista previa de toda la pantalla">
          <a:extLst>
            <a:ext uri="{FF2B5EF4-FFF2-40B4-BE49-F238E27FC236}">
              <a16:creationId xmlns:a16="http://schemas.microsoft.com/office/drawing/2014/main" id="{CDC2E824-50E0-4E7E-84EC-8AA9917A0D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84" name="AutoShape 1" descr="Vista previa de toda la pantalla">
          <a:extLst>
            <a:ext uri="{FF2B5EF4-FFF2-40B4-BE49-F238E27FC236}">
              <a16:creationId xmlns:a16="http://schemas.microsoft.com/office/drawing/2014/main" id="{ED3F65CD-617F-4F81-9888-45802B0C00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85" name="AutoShape 1" descr="Vista previa de toda la pantalla">
          <a:extLst>
            <a:ext uri="{FF2B5EF4-FFF2-40B4-BE49-F238E27FC236}">
              <a16:creationId xmlns:a16="http://schemas.microsoft.com/office/drawing/2014/main" id="{11DD8B2C-73E1-42D1-BE6C-3AC76B0D17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86" name="AutoShape 1" descr="Vista previa de toda la pantalla">
          <a:extLst>
            <a:ext uri="{FF2B5EF4-FFF2-40B4-BE49-F238E27FC236}">
              <a16:creationId xmlns:a16="http://schemas.microsoft.com/office/drawing/2014/main" id="{5CF30E10-5202-47F4-8812-F614D0AEC8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87" name="AutoShape 1" descr="Vista previa de toda la pantalla">
          <a:extLst>
            <a:ext uri="{FF2B5EF4-FFF2-40B4-BE49-F238E27FC236}">
              <a16:creationId xmlns:a16="http://schemas.microsoft.com/office/drawing/2014/main" id="{538ACDF0-9869-4D55-AAD4-D5662C440D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88" name="AutoShape 1" descr="Vista previa de toda la pantalla">
          <a:extLst>
            <a:ext uri="{FF2B5EF4-FFF2-40B4-BE49-F238E27FC236}">
              <a16:creationId xmlns:a16="http://schemas.microsoft.com/office/drawing/2014/main" id="{D95D6763-60C1-4AD2-B8D1-3D75C0A167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989" name="AutoShape 1" descr="Vista previa de toda la pantalla">
          <a:extLst>
            <a:ext uri="{FF2B5EF4-FFF2-40B4-BE49-F238E27FC236}">
              <a16:creationId xmlns:a16="http://schemas.microsoft.com/office/drawing/2014/main" id="{AF2B0992-D963-4C3C-96DB-E57EDC879A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" name="AutoShape 1" descr="Vista previa de toda la pantalla">
          <a:extLst>
            <a:ext uri="{FF2B5EF4-FFF2-40B4-BE49-F238E27FC236}">
              <a16:creationId xmlns:a16="http://schemas.microsoft.com/office/drawing/2014/main" id="{86BCFE1B-4644-4D7F-9D34-6543E02703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" name="AutoShape 1" descr="Vista previa de toda la pantalla">
          <a:extLst>
            <a:ext uri="{FF2B5EF4-FFF2-40B4-BE49-F238E27FC236}">
              <a16:creationId xmlns:a16="http://schemas.microsoft.com/office/drawing/2014/main" id="{14D72F65-2C64-418A-860E-279270C8D6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" name="AutoShape 1" descr="Vista previa de toda la pantalla">
          <a:extLst>
            <a:ext uri="{FF2B5EF4-FFF2-40B4-BE49-F238E27FC236}">
              <a16:creationId xmlns:a16="http://schemas.microsoft.com/office/drawing/2014/main" id="{EF20277F-5EF9-46D4-A78B-B82C74DCA1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" name="AutoShape 1" descr="Vista previa de toda la pantalla">
          <a:extLst>
            <a:ext uri="{FF2B5EF4-FFF2-40B4-BE49-F238E27FC236}">
              <a16:creationId xmlns:a16="http://schemas.microsoft.com/office/drawing/2014/main" id="{5340B87E-231F-4135-A96E-31BF2535D5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" name="AutoShape 1" descr="Vista previa de toda la pantalla">
          <a:extLst>
            <a:ext uri="{FF2B5EF4-FFF2-40B4-BE49-F238E27FC236}">
              <a16:creationId xmlns:a16="http://schemas.microsoft.com/office/drawing/2014/main" id="{72412892-20FD-49E6-960F-367918F63C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" name="AutoShape 1" descr="Vista previa de toda la pantalla">
          <a:extLst>
            <a:ext uri="{FF2B5EF4-FFF2-40B4-BE49-F238E27FC236}">
              <a16:creationId xmlns:a16="http://schemas.microsoft.com/office/drawing/2014/main" id="{67EF13F7-FF43-4719-BCD3-2FE7F10A12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" name="AutoShape 1" descr="Vista previa de toda la pantalla">
          <a:extLst>
            <a:ext uri="{FF2B5EF4-FFF2-40B4-BE49-F238E27FC236}">
              <a16:creationId xmlns:a16="http://schemas.microsoft.com/office/drawing/2014/main" id="{A825AE33-60AA-42AE-A620-0FFEDDC5C5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" name="AutoShape 1" descr="Vista previa de toda la pantalla">
          <a:extLst>
            <a:ext uri="{FF2B5EF4-FFF2-40B4-BE49-F238E27FC236}">
              <a16:creationId xmlns:a16="http://schemas.microsoft.com/office/drawing/2014/main" id="{59573059-818A-45FC-8964-93CE8F788C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" name="AutoShape 1" descr="Vista previa de toda la pantalla">
          <a:extLst>
            <a:ext uri="{FF2B5EF4-FFF2-40B4-BE49-F238E27FC236}">
              <a16:creationId xmlns:a16="http://schemas.microsoft.com/office/drawing/2014/main" id="{7DC7F5CE-4A85-48E7-A728-B948DE2993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" name="AutoShape 1" descr="Vista previa de toda la pantalla">
          <a:extLst>
            <a:ext uri="{FF2B5EF4-FFF2-40B4-BE49-F238E27FC236}">
              <a16:creationId xmlns:a16="http://schemas.microsoft.com/office/drawing/2014/main" id="{681252F1-BF1F-4E5C-B97B-56113ABBCF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" name="AutoShape 1" descr="Vista previa de toda la pantalla">
          <a:extLst>
            <a:ext uri="{FF2B5EF4-FFF2-40B4-BE49-F238E27FC236}">
              <a16:creationId xmlns:a16="http://schemas.microsoft.com/office/drawing/2014/main" id="{478C2B53-9390-4B9C-8B3E-1AF3B14F2C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" name="AutoShape 1" descr="Vista previa de toda la pantalla">
          <a:extLst>
            <a:ext uri="{FF2B5EF4-FFF2-40B4-BE49-F238E27FC236}">
              <a16:creationId xmlns:a16="http://schemas.microsoft.com/office/drawing/2014/main" id="{C74EE57C-E177-4107-A468-9D49E340B1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2" name="AutoShape 1" descr="Vista previa de toda la pantalla">
          <a:extLst>
            <a:ext uri="{FF2B5EF4-FFF2-40B4-BE49-F238E27FC236}">
              <a16:creationId xmlns:a16="http://schemas.microsoft.com/office/drawing/2014/main" id="{FFDA07E3-5C94-4CB5-BEEE-EE0ED9FA2A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" name="AutoShape 1" descr="Vista previa de toda la pantalla">
          <a:extLst>
            <a:ext uri="{FF2B5EF4-FFF2-40B4-BE49-F238E27FC236}">
              <a16:creationId xmlns:a16="http://schemas.microsoft.com/office/drawing/2014/main" id="{665F3098-615B-4D1A-8C18-37D5C2627B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" name="AutoShape 1" descr="Vista previa de toda la pantalla">
          <a:extLst>
            <a:ext uri="{FF2B5EF4-FFF2-40B4-BE49-F238E27FC236}">
              <a16:creationId xmlns:a16="http://schemas.microsoft.com/office/drawing/2014/main" id="{5E9AE6CB-A937-429C-93AA-56C9EC8C53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" name="AutoShape 1" descr="Vista previa de toda la pantalla">
          <a:extLst>
            <a:ext uri="{FF2B5EF4-FFF2-40B4-BE49-F238E27FC236}">
              <a16:creationId xmlns:a16="http://schemas.microsoft.com/office/drawing/2014/main" id="{DD439541-0934-464B-8F6A-FCE8FD6400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" name="AutoShape 1" descr="Vista previa de toda la pantalla">
          <a:extLst>
            <a:ext uri="{FF2B5EF4-FFF2-40B4-BE49-F238E27FC236}">
              <a16:creationId xmlns:a16="http://schemas.microsoft.com/office/drawing/2014/main" id="{CC9B84A7-EBFE-429A-A201-BCE252BCCD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" name="AutoShape 1" descr="Vista previa de toda la pantalla">
          <a:extLst>
            <a:ext uri="{FF2B5EF4-FFF2-40B4-BE49-F238E27FC236}">
              <a16:creationId xmlns:a16="http://schemas.microsoft.com/office/drawing/2014/main" id="{9310BC1D-0CF5-4B99-BC01-8D2BF05225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" name="AutoShape 1" descr="Vista previa de toda la pantalla">
          <a:extLst>
            <a:ext uri="{FF2B5EF4-FFF2-40B4-BE49-F238E27FC236}">
              <a16:creationId xmlns:a16="http://schemas.microsoft.com/office/drawing/2014/main" id="{39D21C8D-C905-45B1-A3BB-4BFBC61785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" name="AutoShape 1" descr="Vista previa de toda la pantalla">
          <a:extLst>
            <a:ext uri="{FF2B5EF4-FFF2-40B4-BE49-F238E27FC236}">
              <a16:creationId xmlns:a16="http://schemas.microsoft.com/office/drawing/2014/main" id="{9DD4E187-D295-4714-841E-2C66DE9436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" name="AutoShape 1" descr="Vista previa de toda la pantalla">
          <a:extLst>
            <a:ext uri="{FF2B5EF4-FFF2-40B4-BE49-F238E27FC236}">
              <a16:creationId xmlns:a16="http://schemas.microsoft.com/office/drawing/2014/main" id="{723CF82A-797E-4853-B8F5-1CECC1CFF8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" name="AutoShape 1" descr="Vista previa de toda la pantalla">
          <a:extLst>
            <a:ext uri="{FF2B5EF4-FFF2-40B4-BE49-F238E27FC236}">
              <a16:creationId xmlns:a16="http://schemas.microsoft.com/office/drawing/2014/main" id="{2426B98B-8997-40F2-9324-B0A9C091BE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" name="AutoShape 1" descr="Vista previa de toda la pantalla">
          <a:extLst>
            <a:ext uri="{FF2B5EF4-FFF2-40B4-BE49-F238E27FC236}">
              <a16:creationId xmlns:a16="http://schemas.microsoft.com/office/drawing/2014/main" id="{6A3D7372-371C-42FC-8A94-0C7DB24385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" name="AutoShape 1" descr="Vista previa de toda la pantalla">
          <a:extLst>
            <a:ext uri="{FF2B5EF4-FFF2-40B4-BE49-F238E27FC236}">
              <a16:creationId xmlns:a16="http://schemas.microsoft.com/office/drawing/2014/main" id="{69BB10F1-B1E1-415C-8857-8E140349B4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" name="AutoShape 1" descr="Vista previa de toda la pantalla">
          <a:extLst>
            <a:ext uri="{FF2B5EF4-FFF2-40B4-BE49-F238E27FC236}">
              <a16:creationId xmlns:a16="http://schemas.microsoft.com/office/drawing/2014/main" id="{800D41F8-EAB3-4E26-A5B4-33BD83933F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" name="AutoShape 1" descr="Vista previa de toda la pantalla">
          <a:extLst>
            <a:ext uri="{FF2B5EF4-FFF2-40B4-BE49-F238E27FC236}">
              <a16:creationId xmlns:a16="http://schemas.microsoft.com/office/drawing/2014/main" id="{A3654023-42BE-4BB1-A174-E5D208C5B2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" name="AutoShape 1" descr="Vista previa de toda la pantalla">
          <a:extLst>
            <a:ext uri="{FF2B5EF4-FFF2-40B4-BE49-F238E27FC236}">
              <a16:creationId xmlns:a16="http://schemas.microsoft.com/office/drawing/2014/main" id="{D4111960-B639-45F6-9EAA-8C2997B6A2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" name="AutoShape 1" descr="Vista previa de toda la pantalla">
          <a:extLst>
            <a:ext uri="{FF2B5EF4-FFF2-40B4-BE49-F238E27FC236}">
              <a16:creationId xmlns:a16="http://schemas.microsoft.com/office/drawing/2014/main" id="{04A44FD1-2369-4174-A8EE-7911CF1B0D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" name="AutoShape 1" descr="Vista previa de toda la pantalla">
          <a:extLst>
            <a:ext uri="{FF2B5EF4-FFF2-40B4-BE49-F238E27FC236}">
              <a16:creationId xmlns:a16="http://schemas.microsoft.com/office/drawing/2014/main" id="{D763805C-32ED-4FD7-AEE2-70615974AA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9" name="AutoShape 1" descr="Vista previa de toda la pantalla">
          <a:extLst>
            <a:ext uri="{FF2B5EF4-FFF2-40B4-BE49-F238E27FC236}">
              <a16:creationId xmlns:a16="http://schemas.microsoft.com/office/drawing/2014/main" id="{3A91C815-881A-43A1-ACAC-E5D7B1FAD9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" name="AutoShape 1" descr="Vista previa de toda la pantalla">
          <a:extLst>
            <a:ext uri="{FF2B5EF4-FFF2-40B4-BE49-F238E27FC236}">
              <a16:creationId xmlns:a16="http://schemas.microsoft.com/office/drawing/2014/main" id="{0E89754E-0CB8-426A-9B5F-DAF9CA80C2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" name="AutoShape 1" descr="Vista previa de toda la pantalla">
          <a:extLst>
            <a:ext uri="{FF2B5EF4-FFF2-40B4-BE49-F238E27FC236}">
              <a16:creationId xmlns:a16="http://schemas.microsoft.com/office/drawing/2014/main" id="{5F9AA5C6-9CC6-4BFB-ABF3-AD7959467A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" name="AutoShape 1" descr="Vista previa de toda la pantalla">
          <a:extLst>
            <a:ext uri="{FF2B5EF4-FFF2-40B4-BE49-F238E27FC236}">
              <a16:creationId xmlns:a16="http://schemas.microsoft.com/office/drawing/2014/main" id="{253E6682-F2DC-4BFC-889A-8F5E4A842F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" name="AutoShape 1" descr="Vista previa de toda la pantalla">
          <a:extLst>
            <a:ext uri="{FF2B5EF4-FFF2-40B4-BE49-F238E27FC236}">
              <a16:creationId xmlns:a16="http://schemas.microsoft.com/office/drawing/2014/main" id="{54296037-36E4-4908-9EDE-FBD2055CC1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" name="AutoShape 1" descr="Vista previa de toda la pantalla">
          <a:extLst>
            <a:ext uri="{FF2B5EF4-FFF2-40B4-BE49-F238E27FC236}">
              <a16:creationId xmlns:a16="http://schemas.microsoft.com/office/drawing/2014/main" id="{8B5AE51D-2E13-4D64-9338-2E83E3A43D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" name="AutoShape 1" descr="Vista previa de toda la pantalla">
          <a:extLst>
            <a:ext uri="{FF2B5EF4-FFF2-40B4-BE49-F238E27FC236}">
              <a16:creationId xmlns:a16="http://schemas.microsoft.com/office/drawing/2014/main" id="{08FA8331-9435-4F76-90AC-19BF0E319C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" name="AutoShape 1" descr="Vista previa de toda la pantalla">
          <a:extLst>
            <a:ext uri="{FF2B5EF4-FFF2-40B4-BE49-F238E27FC236}">
              <a16:creationId xmlns:a16="http://schemas.microsoft.com/office/drawing/2014/main" id="{768AFF24-D07B-42DC-ACE3-01D0881A0D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" name="AutoShape 1" descr="Vista previa de toda la pantalla">
          <a:extLst>
            <a:ext uri="{FF2B5EF4-FFF2-40B4-BE49-F238E27FC236}">
              <a16:creationId xmlns:a16="http://schemas.microsoft.com/office/drawing/2014/main" id="{AF2458E7-030F-47E3-B191-D91321339E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" name="AutoShape 1" descr="Vista previa de toda la pantalla">
          <a:extLst>
            <a:ext uri="{FF2B5EF4-FFF2-40B4-BE49-F238E27FC236}">
              <a16:creationId xmlns:a16="http://schemas.microsoft.com/office/drawing/2014/main" id="{131B4517-AB84-4812-8CAA-8C6C889A56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" name="AutoShape 1" descr="Vista previa de toda la pantalla">
          <a:extLst>
            <a:ext uri="{FF2B5EF4-FFF2-40B4-BE49-F238E27FC236}">
              <a16:creationId xmlns:a16="http://schemas.microsoft.com/office/drawing/2014/main" id="{18A5C660-CE8E-4D9A-AA09-ED5846C7B7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" name="AutoShape 1" descr="Vista previa de toda la pantalla">
          <a:extLst>
            <a:ext uri="{FF2B5EF4-FFF2-40B4-BE49-F238E27FC236}">
              <a16:creationId xmlns:a16="http://schemas.microsoft.com/office/drawing/2014/main" id="{80933BAB-1351-4DAD-BEFF-F262818D15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" name="AutoShape 1" descr="Vista previa de toda la pantalla">
          <a:extLst>
            <a:ext uri="{FF2B5EF4-FFF2-40B4-BE49-F238E27FC236}">
              <a16:creationId xmlns:a16="http://schemas.microsoft.com/office/drawing/2014/main" id="{4D058EA4-7AAA-40D1-AC63-2C2509E372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" name="AutoShape 1" descr="Vista previa de toda la pantalla">
          <a:extLst>
            <a:ext uri="{FF2B5EF4-FFF2-40B4-BE49-F238E27FC236}">
              <a16:creationId xmlns:a16="http://schemas.microsoft.com/office/drawing/2014/main" id="{785E0454-3D10-4BE0-BB45-75DEE6DE96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" name="AutoShape 1" descr="Vista previa de toda la pantalla">
          <a:extLst>
            <a:ext uri="{FF2B5EF4-FFF2-40B4-BE49-F238E27FC236}">
              <a16:creationId xmlns:a16="http://schemas.microsoft.com/office/drawing/2014/main" id="{860528CC-6397-456D-9758-514EDECA10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" name="AutoShape 1" descr="Vista previa de toda la pantalla">
          <a:extLst>
            <a:ext uri="{FF2B5EF4-FFF2-40B4-BE49-F238E27FC236}">
              <a16:creationId xmlns:a16="http://schemas.microsoft.com/office/drawing/2014/main" id="{13CF17FF-2338-48B7-AE13-B64EF95737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" name="AutoShape 1" descr="Vista previa de toda la pantalla">
          <a:extLst>
            <a:ext uri="{FF2B5EF4-FFF2-40B4-BE49-F238E27FC236}">
              <a16:creationId xmlns:a16="http://schemas.microsoft.com/office/drawing/2014/main" id="{73C1152B-ECE3-486D-A969-CF7375B9DF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6" name="AutoShape 1" descr="Vista previa de toda la pantalla">
          <a:extLst>
            <a:ext uri="{FF2B5EF4-FFF2-40B4-BE49-F238E27FC236}">
              <a16:creationId xmlns:a16="http://schemas.microsoft.com/office/drawing/2014/main" id="{632F0D6F-DFDE-4D62-A4D5-31BE061E97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" name="AutoShape 1" descr="Vista previa de toda la pantalla">
          <a:extLst>
            <a:ext uri="{FF2B5EF4-FFF2-40B4-BE49-F238E27FC236}">
              <a16:creationId xmlns:a16="http://schemas.microsoft.com/office/drawing/2014/main" id="{FFA0EED3-4F48-415C-BBC9-35DE042499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" name="AutoShape 1" descr="Vista previa de toda la pantalla">
          <a:extLst>
            <a:ext uri="{FF2B5EF4-FFF2-40B4-BE49-F238E27FC236}">
              <a16:creationId xmlns:a16="http://schemas.microsoft.com/office/drawing/2014/main" id="{EF3606D0-28AC-481A-96A8-A75DAF4979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" name="AutoShape 1" descr="Vista previa de toda la pantalla">
          <a:extLst>
            <a:ext uri="{FF2B5EF4-FFF2-40B4-BE49-F238E27FC236}">
              <a16:creationId xmlns:a16="http://schemas.microsoft.com/office/drawing/2014/main" id="{3F6B7512-FF07-4D35-A5AD-EF43BA7818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" name="AutoShape 1" descr="Vista previa de toda la pantalla">
          <a:extLst>
            <a:ext uri="{FF2B5EF4-FFF2-40B4-BE49-F238E27FC236}">
              <a16:creationId xmlns:a16="http://schemas.microsoft.com/office/drawing/2014/main" id="{C5E64FEA-2B7F-4634-BF83-B225213B05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" name="AutoShape 1" descr="Vista previa de toda la pantalla">
          <a:extLst>
            <a:ext uri="{FF2B5EF4-FFF2-40B4-BE49-F238E27FC236}">
              <a16:creationId xmlns:a16="http://schemas.microsoft.com/office/drawing/2014/main" id="{53C68967-C271-4F11-8CC0-C129925F3A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" name="AutoShape 1" descr="Vista previa de toda la pantalla">
          <a:extLst>
            <a:ext uri="{FF2B5EF4-FFF2-40B4-BE49-F238E27FC236}">
              <a16:creationId xmlns:a16="http://schemas.microsoft.com/office/drawing/2014/main" id="{E8389173-84AD-4612-9463-CFB781B134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" name="AutoShape 1" descr="Vista previa de toda la pantalla">
          <a:extLst>
            <a:ext uri="{FF2B5EF4-FFF2-40B4-BE49-F238E27FC236}">
              <a16:creationId xmlns:a16="http://schemas.microsoft.com/office/drawing/2014/main" id="{9F7BF9C0-2C57-4C4F-B09F-2F2AA057B8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" name="AutoShape 1" descr="Vista previa de toda la pantalla">
          <a:extLst>
            <a:ext uri="{FF2B5EF4-FFF2-40B4-BE49-F238E27FC236}">
              <a16:creationId xmlns:a16="http://schemas.microsoft.com/office/drawing/2014/main" id="{EE45B8FF-6F88-4F36-8395-26B2BBF4B9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" name="AutoShape 1" descr="Vista previa de toda la pantalla">
          <a:extLst>
            <a:ext uri="{FF2B5EF4-FFF2-40B4-BE49-F238E27FC236}">
              <a16:creationId xmlns:a16="http://schemas.microsoft.com/office/drawing/2014/main" id="{B6D082C7-0BA4-4EB6-8964-61BD2A9C8C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" name="AutoShape 1" descr="Vista previa de toda la pantalla">
          <a:extLst>
            <a:ext uri="{FF2B5EF4-FFF2-40B4-BE49-F238E27FC236}">
              <a16:creationId xmlns:a16="http://schemas.microsoft.com/office/drawing/2014/main" id="{C47D2404-BEA4-425B-86D0-ED1C22E0DF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" name="AutoShape 1" descr="Vista previa de toda la pantalla">
          <a:extLst>
            <a:ext uri="{FF2B5EF4-FFF2-40B4-BE49-F238E27FC236}">
              <a16:creationId xmlns:a16="http://schemas.microsoft.com/office/drawing/2014/main" id="{8BCFB931-7D0A-488C-B462-173BF24590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" name="AutoShape 1" descr="Vista previa de toda la pantalla">
          <a:extLst>
            <a:ext uri="{FF2B5EF4-FFF2-40B4-BE49-F238E27FC236}">
              <a16:creationId xmlns:a16="http://schemas.microsoft.com/office/drawing/2014/main" id="{3937F42A-6E92-45DB-B277-07EB1157B3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" name="AutoShape 1" descr="Vista previa de toda la pantalla">
          <a:extLst>
            <a:ext uri="{FF2B5EF4-FFF2-40B4-BE49-F238E27FC236}">
              <a16:creationId xmlns:a16="http://schemas.microsoft.com/office/drawing/2014/main" id="{D4C10E28-0CB1-40DF-9B68-306680731B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" name="AutoShape 1" descr="Vista previa de toda la pantalla">
          <a:extLst>
            <a:ext uri="{FF2B5EF4-FFF2-40B4-BE49-F238E27FC236}">
              <a16:creationId xmlns:a16="http://schemas.microsoft.com/office/drawing/2014/main" id="{C23B54F1-C7BE-4BA9-AA01-4BC705C130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" name="AutoShape 1" descr="Vista previa de toda la pantalla">
          <a:extLst>
            <a:ext uri="{FF2B5EF4-FFF2-40B4-BE49-F238E27FC236}">
              <a16:creationId xmlns:a16="http://schemas.microsoft.com/office/drawing/2014/main" id="{35FB8992-D0F4-45F1-83AD-75ABC5C802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" name="AutoShape 1" descr="Vista previa de toda la pantalla">
          <a:extLst>
            <a:ext uri="{FF2B5EF4-FFF2-40B4-BE49-F238E27FC236}">
              <a16:creationId xmlns:a16="http://schemas.microsoft.com/office/drawing/2014/main" id="{D4481F91-3538-4070-A59A-766DEBDE4D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" name="AutoShape 1" descr="Vista previa de toda la pantalla">
          <a:extLst>
            <a:ext uri="{FF2B5EF4-FFF2-40B4-BE49-F238E27FC236}">
              <a16:creationId xmlns:a16="http://schemas.microsoft.com/office/drawing/2014/main" id="{A20F2FD3-37FB-46A1-AEF3-D83ABFCA35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" name="AutoShape 1" descr="Vista previa de toda la pantalla">
          <a:extLst>
            <a:ext uri="{FF2B5EF4-FFF2-40B4-BE49-F238E27FC236}">
              <a16:creationId xmlns:a16="http://schemas.microsoft.com/office/drawing/2014/main" id="{37F6E9BD-AD79-475C-AF42-563BF3FB50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" name="AutoShape 1" descr="Vista previa de toda la pantalla">
          <a:extLst>
            <a:ext uri="{FF2B5EF4-FFF2-40B4-BE49-F238E27FC236}">
              <a16:creationId xmlns:a16="http://schemas.microsoft.com/office/drawing/2014/main" id="{FD990665-C84D-4151-9462-6EE5BE9324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" name="AutoShape 1" descr="Vista previa de toda la pantalla">
          <a:extLst>
            <a:ext uri="{FF2B5EF4-FFF2-40B4-BE49-F238E27FC236}">
              <a16:creationId xmlns:a16="http://schemas.microsoft.com/office/drawing/2014/main" id="{95A8FD70-6515-48FC-92AD-7EC921DC66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" name="AutoShape 1" descr="Vista previa de toda la pantalla">
          <a:extLst>
            <a:ext uri="{FF2B5EF4-FFF2-40B4-BE49-F238E27FC236}">
              <a16:creationId xmlns:a16="http://schemas.microsoft.com/office/drawing/2014/main" id="{B248B870-E7FF-4C7F-B3B7-0CAA5EEB53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" name="AutoShape 1" descr="Vista previa de toda la pantalla">
          <a:extLst>
            <a:ext uri="{FF2B5EF4-FFF2-40B4-BE49-F238E27FC236}">
              <a16:creationId xmlns:a16="http://schemas.microsoft.com/office/drawing/2014/main" id="{DA1BE191-A1F1-4207-9E1F-147A0C8E02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" name="AutoShape 1" descr="Vista previa de toda la pantalla">
          <a:extLst>
            <a:ext uri="{FF2B5EF4-FFF2-40B4-BE49-F238E27FC236}">
              <a16:creationId xmlns:a16="http://schemas.microsoft.com/office/drawing/2014/main" id="{DB337C64-18C8-4699-93C0-6E19896AAA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" name="AutoShape 1" descr="Vista previa de toda la pantalla">
          <a:extLst>
            <a:ext uri="{FF2B5EF4-FFF2-40B4-BE49-F238E27FC236}">
              <a16:creationId xmlns:a16="http://schemas.microsoft.com/office/drawing/2014/main" id="{3CFD77A9-9240-4128-948A-2F0E183E4F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" name="AutoShape 1" descr="Vista previa de toda la pantalla">
          <a:extLst>
            <a:ext uri="{FF2B5EF4-FFF2-40B4-BE49-F238E27FC236}">
              <a16:creationId xmlns:a16="http://schemas.microsoft.com/office/drawing/2014/main" id="{7459C5F7-D430-4CEB-8254-0BEC90FBCA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" name="AutoShape 1" descr="Vista previa de toda la pantalla">
          <a:extLst>
            <a:ext uri="{FF2B5EF4-FFF2-40B4-BE49-F238E27FC236}">
              <a16:creationId xmlns:a16="http://schemas.microsoft.com/office/drawing/2014/main" id="{B1581CD4-C6A4-4BBD-B171-B2B3A024ED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" name="AutoShape 1" descr="Vista previa de toda la pantalla">
          <a:extLst>
            <a:ext uri="{FF2B5EF4-FFF2-40B4-BE49-F238E27FC236}">
              <a16:creationId xmlns:a16="http://schemas.microsoft.com/office/drawing/2014/main" id="{DE30DB53-DE7D-41AE-8419-7C9FBD757F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" name="AutoShape 1" descr="Vista previa de toda la pantalla">
          <a:extLst>
            <a:ext uri="{FF2B5EF4-FFF2-40B4-BE49-F238E27FC236}">
              <a16:creationId xmlns:a16="http://schemas.microsoft.com/office/drawing/2014/main" id="{CE518DA8-C2C0-4FFF-91C8-BD8075F519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" name="AutoShape 1" descr="Vista previa de toda la pantalla">
          <a:extLst>
            <a:ext uri="{FF2B5EF4-FFF2-40B4-BE49-F238E27FC236}">
              <a16:creationId xmlns:a16="http://schemas.microsoft.com/office/drawing/2014/main" id="{0CF4CCFB-2491-49E1-85EE-FCB1A699DC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" name="AutoShape 1" descr="Vista previa de toda la pantalla">
          <a:extLst>
            <a:ext uri="{FF2B5EF4-FFF2-40B4-BE49-F238E27FC236}">
              <a16:creationId xmlns:a16="http://schemas.microsoft.com/office/drawing/2014/main" id="{82228C8A-6D68-4B60-A497-121C68ED90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" name="AutoShape 1" descr="Vista previa de toda la pantalla">
          <a:extLst>
            <a:ext uri="{FF2B5EF4-FFF2-40B4-BE49-F238E27FC236}">
              <a16:creationId xmlns:a16="http://schemas.microsoft.com/office/drawing/2014/main" id="{E81F1ED1-DB8B-43EE-8E08-68199D54CE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" name="AutoShape 1" descr="Vista previa de toda la pantalla">
          <a:extLst>
            <a:ext uri="{FF2B5EF4-FFF2-40B4-BE49-F238E27FC236}">
              <a16:creationId xmlns:a16="http://schemas.microsoft.com/office/drawing/2014/main" id="{A91EF382-FB2B-44E5-9063-0F3BAA20A0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" name="AutoShape 1" descr="Vista previa de toda la pantalla">
          <a:extLst>
            <a:ext uri="{FF2B5EF4-FFF2-40B4-BE49-F238E27FC236}">
              <a16:creationId xmlns:a16="http://schemas.microsoft.com/office/drawing/2014/main" id="{B5DE1973-F765-4EB0-97A8-20B8437F6E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0" name="AutoShape 1" descr="Vista previa de toda la pantalla">
          <a:extLst>
            <a:ext uri="{FF2B5EF4-FFF2-40B4-BE49-F238E27FC236}">
              <a16:creationId xmlns:a16="http://schemas.microsoft.com/office/drawing/2014/main" id="{CFC8B8E5-E499-4134-9DDA-7CF8C6D4CA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" name="AutoShape 1" descr="Vista previa de toda la pantalla">
          <a:extLst>
            <a:ext uri="{FF2B5EF4-FFF2-40B4-BE49-F238E27FC236}">
              <a16:creationId xmlns:a16="http://schemas.microsoft.com/office/drawing/2014/main" id="{67DD842A-480B-4EE5-9671-67D0EA7A22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" name="AutoShape 1" descr="Vista previa de toda la pantalla">
          <a:extLst>
            <a:ext uri="{FF2B5EF4-FFF2-40B4-BE49-F238E27FC236}">
              <a16:creationId xmlns:a16="http://schemas.microsoft.com/office/drawing/2014/main" id="{B4A3EC4F-FEB3-4B6B-8FEB-F8A00769EF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" name="AutoShape 1" descr="Vista previa de toda la pantalla">
          <a:extLst>
            <a:ext uri="{FF2B5EF4-FFF2-40B4-BE49-F238E27FC236}">
              <a16:creationId xmlns:a16="http://schemas.microsoft.com/office/drawing/2014/main" id="{26A38352-B051-4F12-BAEF-A5D937BFA3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" name="AutoShape 1" descr="Vista previa de toda la pantalla">
          <a:extLst>
            <a:ext uri="{FF2B5EF4-FFF2-40B4-BE49-F238E27FC236}">
              <a16:creationId xmlns:a16="http://schemas.microsoft.com/office/drawing/2014/main" id="{51B77999-C60F-4754-970A-A893E9E9BB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" name="AutoShape 1" descr="Vista previa de toda la pantalla">
          <a:extLst>
            <a:ext uri="{FF2B5EF4-FFF2-40B4-BE49-F238E27FC236}">
              <a16:creationId xmlns:a16="http://schemas.microsoft.com/office/drawing/2014/main" id="{BD0D646A-5728-4D97-AF71-613D363D85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" name="AutoShape 1" descr="Vista previa de toda la pantalla">
          <a:extLst>
            <a:ext uri="{FF2B5EF4-FFF2-40B4-BE49-F238E27FC236}">
              <a16:creationId xmlns:a16="http://schemas.microsoft.com/office/drawing/2014/main" id="{CC1448E7-0395-44DE-AB4F-CC7D57475F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" name="AutoShape 1" descr="Vista previa de toda la pantalla">
          <a:extLst>
            <a:ext uri="{FF2B5EF4-FFF2-40B4-BE49-F238E27FC236}">
              <a16:creationId xmlns:a16="http://schemas.microsoft.com/office/drawing/2014/main" id="{A02F2453-9336-4114-B882-626FF7E983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" name="AutoShape 1" descr="Vista previa de toda la pantalla">
          <a:extLst>
            <a:ext uri="{FF2B5EF4-FFF2-40B4-BE49-F238E27FC236}">
              <a16:creationId xmlns:a16="http://schemas.microsoft.com/office/drawing/2014/main" id="{E0893ABB-04AD-43C4-87B6-839739BD0F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" name="AutoShape 1" descr="Vista previa de toda la pantalla">
          <a:extLst>
            <a:ext uri="{FF2B5EF4-FFF2-40B4-BE49-F238E27FC236}">
              <a16:creationId xmlns:a16="http://schemas.microsoft.com/office/drawing/2014/main" id="{E5B8D299-5EDE-439B-A4CA-9B13E46F1F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" name="AutoShape 1" descr="Vista previa de toda la pantalla">
          <a:extLst>
            <a:ext uri="{FF2B5EF4-FFF2-40B4-BE49-F238E27FC236}">
              <a16:creationId xmlns:a16="http://schemas.microsoft.com/office/drawing/2014/main" id="{3CA5727D-D2E9-4F89-9F99-FE769AAB8E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" name="AutoShape 1" descr="Vista previa de toda la pantalla">
          <a:extLst>
            <a:ext uri="{FF2B5EF4-FFF2-40B4-BE49-F238E27FC236}">
              <a16:creationId xmlns:a16="http://schemas.microsoft.com/office/drawing/2014/main" id="{77FD340D-EC97-479A-A9D2-59455A0D40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" name="AutoShape 1" descr="Vista previa de toda la pantalla">
          <a:extLst>
            <a:ext uri="{FF2B5EF4-FFF2-40B4-BE49-F238E27FC236}">
              <a16:creationId xmlns:a16="http://schemas.microsoft.com/office/drawing/2014/main" id="{479C124B-12F8-4786-9F80-BDA9EB62D7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" name="AutoShape 1" descr="Vista previa de toda la pantalla">
          <a:extLst>
            <a:ext uri="{FF2B5EF4-FFF2-40B4-BE49-F238E27FC236}">
              <a16:creationId xmlns:a16="http://schemas.microsoft.com/office/drawing/2014/main" id="{54CAB366-59A3-4F56-BC75-66BF41A650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" name="AutoShape 1" descr="Vista previa de toda la pantalla">
          <a:extLst>
            <a:ext uri="{FF2B5EF4-FFF2-40B4-BE49-F238E27FC236}">
              <a16:creationId xmlns:a16="http://schemas.microsoft.com/office/drawing/2014/main" id="{DB98AFC9-C789-4646-9F2B-A4EC5BEB9B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" name="AutoShape 1" descr="Vista previa de toda la pantalla">
          <a:extLst>
            <a:ext uri="{FF2B5EF4-FFF2-40B4-BE49-F238E27FC236}">
              <a16:creationId xmlns:a16="http://schemas.microsoft.com/office/drawing/2014/main" id="{EDC2BF66-7D45-4BD1-A5A2-58CF575607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6" name="AutoShape 1" descr="Vista previa de toda la pantalla">
          <a:extLst>
            <a:ext uri="{FF2B5EF4-FFF2-40B4-BE49-F238E27FC236}">
              <a16:creationId xmlns:a16="http://schemas.microsoft.com/office/drawing/2014/main" id="{8FAEBBCB-0C46-4F5B-85BC-3398FCFCE7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" name="AutoShape 1" descr="Vista previa de toda la pantalla">
          <a:extLst>
            <a:ext uri="{FF2B5EF4-FFF2-40B4-BE49-F238E27FC236}">
              <a16:creationId xmlns:a16="http://schemas.microsoft.com/office/drawing/2014/main" id="{E5D2BBBF-ECFD-4741-8868-E41C400F0A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" name="AutoShape 1" descr="Vista previa de toda la pantalla">
          <a:extLst>
            <a:ext uri="{FF2B5EF4-FFF2-40B4-BE49-F238E27FC236}">
              <a16:creationId xmlns:a16="http://schemas.microsoft.com/office/drawing/2014/main" id="{4A8FE6AB-A14E-48E7-B465-874A4A770D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" name="AutoShape 1" descr="Vista previa de toda la pantalla">
          <a:extLst>
            <a:ext uri="{FF2B5EF4-FFF2-40B4-BE49-F238E27FC236}">
              <a16:creationId xmlns:a16="http://schemas.microsoft.com/office/drawing/2014/main" id="{625720B9-F64D-46E4-AC62-DFB935A957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" name="AutoShape 1" descr="Vista previa de toda la pantalla">
          <a:extLst>
            <a:ext uri="{FF2B5EF4-FFF2-40B4-BE49-F238E27FC236}">
              <a16:creationId xmlns:a16="http://schemas.microsoft.com/office/drawing/2014/main" id="{C04D95B6-94F6-413C-964A-83427DABBB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" name="AutoShape 1" descr="Vista previa de toda la pantalla">
          <a:extLst>
            <a:ext uri="{FF2B5EF4-FFF2-40B4-BE49-F238E27FC236}">
              <a16:creationId xmlns:a16="http://schemas.microsoft.com/office/drawing/2014/main" id="{28BEC0BB-09E2-4FFD-B6EB-FAFE2F8F80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" name="AutoShape 1" descr="Vista previa de toda la pantalla">
          <a:extLst>
            <a:ext uri="{FF2B5EF4-FFF2-40B4-BE49-F238E27FC236}">
              <a16:creationId xmlns:a16="http://schemas.microsoft.com/office/drawing/2014/main" id="{96708587-CCA6-456E-B672-4D41E7564C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" name="AutoShape 1" descr="Vista previa de toda la pantalla">
          <a:extLst>
            <a:ext uri="{FF2B5EF4-FFF2-40B4-BE49-F238E27FC236}">
              <a16:creationId xmlns:a16="http://schemas.microsoft.com/office/drawing/2014/main" id="{43049973-236F-4CB7-A238-54FA3C3B4A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" name="AutoShape 1" descr="Vista previa de toda la pantalla">
          <a:extLst>
            <a:ext uri="{FF2B5EF4-FFF2-40B4-BE49-F238E27FC236}">
              <a16:creationId xmlns:a16="http://schemas.microsoft.com/office/drawing/2014/main" id="{6AB6819D-5C02-4310-BE08-69FFC74884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" name="AutoShape 1" descr="Vista previa de toda la pantalla">
          <a:extLst>
            <a:ext uri="{FF2B5EF4-FFF2-40B4-BE49-F238E27FC236}">
              <a16:creationId xmlns:a16="http://schemas.microsoft.com/office/drawing/2014/main" id="{699C0CF4-6011-429E-ABD5-1345D8086B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" name="AutoShape 1" descr="Vista previa de toda la pantalla">
          <a:extLst>
            <a:ext uri="{FF2B5EF4-FFF2-40B4-BE49-F238E27FC236}">
              <a16:creationId xmlns:a16="http://schemas.microsoft.com/office/drawing/2014/main" id="{E4959127-FC04-48E9-A261-7718210789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" name="AutoShape 1" descr="Vista previa de toda la pantalla">
          <a:extLst>
            <a:ext uri="{FF2B5EF4-FFF2-40B4-BE49-F238E27FC236}">
              <a16:creationId xmlns:a16="http://schemas.microsoft.com/office/drawing/2014/main" id="{6227015D-C264-400C-93B8-0A0A26FCC6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" name="AutoShape 1" descr="Vista previa de toda la pantalla">
          <a:extLst>
            <a:ext uri="{FF2B5EF4-FFF2-40B4-BE49-F238E27FC236}">
              <a16:creationId xmlns:a16="http://schemas.microsoft.com/office/drawing/2014/main" id="{57DF4CD7-1C2A-4AF7-A237-D0629394B5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" name="AutoShape 1" descr="Vista previa de toda la pantalla">
          <a:extLst>
            <a:ext uri="{FF2B5EF4-FFF2-40B4-BE49-F238E27FC236}">
              <a16:creationId xmlns:a16="http://schemas.microsoft.com/office/drawing/2014/main" id="{340283DF-8B78-47E3-A4E9-C11693359C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" name="AutoShape 1" descr="Vista previa de toda la pantalla">
          <a:extLst>
            <a:ext uri="{FF2B5EF4-FFF2-40B4-BE49-F238E27FC236}">
              <a16:creationId xmlns:a16="http://schemas.microsoft.com/office/drawing/2014/main" id="{9DA95E93-FFBB-42A8-9454-70C53F9879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" name="AutoShape 1" descr="Vista previa de toda la pantalla">
          <a:extLst>
            <a:ext uri="{FF2B5EF4-FFF2-40B4-BE49-F238E27FC236}">
              <a16:creationId xmlns:a16="http://schemas.microsoft.com/office/drawing/2014/main" id="{7D386098-749E-4EB0-994E-D584D495B2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" name="AutoShape 1" descr="Vista previa de toda la pantalla">
          <a:extLst>
            <a:ext uri="{FF2B5EF4-FFF2-40B4-BE49-F238E27FC236}">
              <a16:creationId xmlns:a16="http://schemas.microsoft.com/office/drawing/2014/main" id="{7577D269-6584-46E4-A1E8-C4E8504ADC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3" name="AutoShape 1" descr="Vista previa de toda la pantalla">
          <a:extLst>
            <a:ext uri="{FF2B5EF4-FFF2-40B4-BE49-F238E27FC236}">
              <a16:creationId xmlns:a16="http://schemas.microsoft.com/office/drawing/2014/main" id="{180C88FE-BCE7-4C5C-AE76-177D2347F8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" name="AutoShape 1" descr="Vista previa de toda la pantalla">
          <a:extLst>
            <a:ext uri="{FF2B5EF4-FFF2-40B4-BE49-F238E27FC236}">
              <a16:creationId xmlns:a16="http://schemas.microsoft.com/office/drawing/2014/main" id="{72B54466-7627-4FB6-970F-EE11A09610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" name="AutoShape 1" descr="Vista previa de toda la pantalla">
          <a:extLst>
            <a:ext uri="{FF2B5EF4-FFF2-40B4-BE49-F238E27FC236}">
              <a16:creationId xmlns:a16="http://schemas.microsoft.com/office/drawing/2014/main" id="{681B33CB-48D4-47C6-8CE8-4BE62B137C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" name="AutoShape 1" descr="Vista previa de toda la pantalla">
          <a:extLst>
            <a:ext uri="{FF2B5EF4-FFF2-40B4-BE49-F238E27FC236}">
              <a16:creationId xmlns:a16="http://schemas.microsoft.com/office/drawing/2014/main" id="{98237673-582D-4F56-8831-92DBFFA2AE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" name="AutoShape 1" descr="Vista previa de toda la pantalla">
          <a:extLst>
            <a:ext uri="{FF2B5EF4-FFF2-40B4-BE49-F238E27FC236}">
              <a16:creationId xmlns:a16="http://schemas.microsoft.com/office/drawing/2014/main" id="{7204DB32-EF0E-45F9-B94F-651A7B471F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" name="AutoShape 1" descr="Vista previa de toda la pantalla">
          <a:extLst>
            <a:ext uri="{FF2B5EF4-FFF2-40B4-BE49-F238E27FC236}">
              <a16:creationId xmlns:a16="http://schemas.microsoft.com/office/drawing/2014/main" id="{65665ABD-BD5D-4DAD-B990-A40D3BE1A4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" name="AutoShape 1" descr="Vista previa de toda la pantalla">
          <a:extLst>
            <a:ext uri="{FF2B5EF4-FFF2-40B4-BE49-F238E27FC236}">
              <a16:creationId xmlns:a16="http://schemas.microsoft.com/office/drawing/2014/main" id="{D2123377-7106-4FDD-93BE-610F3EA836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" name="AutoShape 1" descr="Vista previa de toda la pantalla">
          <a:extLst>
            <a:ext uri="{FF2B5EF4-FFF2-40B4-BE49-F238E27FC236}">
              <a16:creationId xmlns:a16="http://schemas.microsoft.com/office/drawing/2014/main" id="{6958767B-F945-430A-83A4-193CEAAEED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" name="AutoShape 1" descr="Vista previa de toda la pantalla">
          <a:extLst>
            <a:ext uri="{FF2B5EF4-FFF2-40B4-BE49-F238E27FC236}">
              <a16:creationId xmlns:a16="http://schemas.microsoft.com/office/drawing/2014/main" id="{45617F90-1D9C-471C-9681-EDBF931D54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" name="AutoShape 1" descr="Vista previa de toda la pantalla">
          <a:extLst>
            <a:ext uri="{FF2B5EF4-FFF2-40B4-BE49-F238E27FC236}">
              <a16:creationId xmlns:a16="http://schemas.microsoft.com/office/drawing/2014/main" id="{DAA548E2-1174-4CC4-ACC4-C70E72C2E9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" name="AutoShape 1" descr="Vista previa de toda la pantalla">
          <a:extLst>
            <a:ext uri="{FF2B5EF4-FFF2-40B4-BE49-F238E27FC236}">
              <a16:creationId xmlns:a16="http://schemas.microsoft.com/office/drawing/2014/main" id="{EB5136D2-6CD7-4F39-B3E3-97975E40B0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" name="AutoShape 1" descr="Vista previa de toda la pantalla">
          <a:extLst>
            <a:ext uri="{FF2B5EF4-FFF2-40B4-BE49-F238E27FC236}">
              <a16:creationId xmlns:a16="http://schemas.microsoft.com/office/drawing/2014/main" id="{89C022B6-CDEE-48F4-B99C-CA19C14B5A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" name="AutoShape 1" descr="Vista previa de toda la pantalla">
          <a:extLst>
            <a:ext uri="{FF2B5EF4-FFF2-40B4-BE49-F238E27FC236}">
              <a16:creationId xmlns:a16="http://schemas.microsoft.com/office/drawing/2014/main" id="{0B022053-3023-44DD-A2D0-6D7AE1F557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" name="AutoShape 1" descr="Vista previa de toda la pantalla">
          <a:extLst>
            <a:ext uri="{FF2B5EF4-FFF2-40B4-BE49-F238E27FC236}">
              <a16:creationId xmlns:a16="http://schemas.microsoft.com/office/drawing/2014/main" id="{CAD9E1A4-349F-4D89-B701-3E58188002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" name="AutoShape 1" descr="Vista previa de toda la pantalla">
          <a:extLst>
            <a:ext uri="{FF2B5EF4-FFF2-40B4-BE49-F238E27FC236}">
              <a16:creationId xmlns:a16="http://schemas.microsoft.com/office/drawing/2014/main" id="{94CB1AB8-103E-474F-9A48-8BF1862414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" name="AutoShape 1" descr="Vista previa de toda la pantalla">
          <a:extLst>
            <a:ext uri="{FF2B5EF4-FFF2-40B4-BE49-F238E27FC236}">
              <a16:creationId xmlns:a16="http://schemas.microsoft.com/office/drawing/2014/main" id="{A210F133-4697-4D25-8A9B-15EF3FB4A2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" name="AutoShape 1" descr="Vista previa de toda la pantalla">
          <a:extLst>
            <a:ext uri="{FF2B5EF4-FFF2-40B4-BE49-F238E27FC236}">
              <a16:creationId xmlns:a16="http://schemas.microsoft.com/office/drawing/2014/main" id="{E36CECC8-D7A2-4966-B5CB-0FDDFF5B37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" name="AutoShape 1" descr="Vista previa de toda la pantalla">
          <a:extLst>
            <a:ext uri="{FF2B5EF4-FFF2-40B4-BE49-F238E27FC236}">
              <a16:creationId xmlns:a16="http://schemas.microsoft.com/office/drawing/2014/main" id="{8E3D87AF-0FE9-4B92-BC37-42B698A9DB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" name="AutoShape 1" descr="Vista previa de toda la pantalla">
          <a:extLst>
            <a:ext uri="{FF2B5EF4-FFF2-40B4-BE49-F238E27FC236}">
              <a16:creationId xmlns:a16="http://schemas.microsoft.com/office/drawing/2014/main" id="{FCE556C0-4761-45C5-8A54-44C408FE4B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" name="AutoShape 1" descr="Vista previa de toda la pantalla">
          <a:extLst>
            <a:ext uri="{FF2B5EF4-FFF2-40B4-BE49-F238E27FC236}">
              <a16:creationId xmlns:a16="http://schemas.microsoft.com/office/drawing/2014/main" id="{47A1B16A-30A1-473D-B767-720F79B31B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" name="AutoShape 1" descr="Vista previa de toda la pantalla">
          <a:extLst>
            <a:ext uri="{FF2B5EF4-FFF2-40B4-BE49-F238E27FC236}">
              <a16:creationId xmlns:a16="http://schemas.microsoft.com/office/drawing/2014/main" id="{66604A9B-F5BE-4DB2-94BC-C4A92FA019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" name="AutoShape 1" descr="Vista previa de toda la pantalla">
          <a:extLst>
            <a:ext uri="{FF2B5EF4-FFF2-40B4-BE49-F238E27FC236}">
              <a16:creationId xmlns:a16="http://schemas.microsoft.com/office/drawing/2014/main" id="{1D90818B-800A-4E58-87CC-E6404BAF09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" name="AutoShape 1" descr="Vista previa de toda la pantalla">
          <a:extLst>
            <a:ext uri="{FF2B5EF4-FFF2-40B4-BE49-F238E27FC236}">
              <a16:creationId xmlns:a16="http://schemas.microsoft.com/office/drawing/2014/main" id="{8F2CF6FC-5FAB-4A6B-8746-92D7C7DB02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" name="AutoShape 1" descr="Vista previa de toda la pantalla">
          <a:extLst>
            <a:ext uri="{FF2B5EF4-FFF2-40B4-BE49-F238E27FC236}">
              <a16:creationId xmlns:a16="http://schemas.microsoft.com/office/drawing/2014/main" id="{111468DA-ADEB-4B20-A4C4-F6FCAA2C82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" name="AutoShape 1" descr="Vista previa de toda la pantalla">
          <a:extLst>
            <a:ext uri="{FF2B5EF4-FFF2-40B4-BE49-F238E27FC236}">
              <a16:creationId xmlns:a16="http://schemas.microsoft.com/office/drawing/2014/main" id="{6865FB4D-92BF-4FC6-910D-44F74D8FBA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" name="AutoShape 1" descr="Vista previa de toda la pantalla">
          <a:extLst>
            <a:ext uri="{FF2B5EF4-FFF2-40B4-BE49-F238E27FC236}">
              <a16:creationId xmlns:a16="http://schemas.microsoft.com/office/drawing/2014/main" id="{CF5AEAB8-81F4-4C46-8660-0DEC25D284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" name="AutoShape 1" descr="Vista previa de toda la pantalla">
          <a:extLst>
            <a:ext uri="{FF2B5EF4-FFF2-40B4-BE49-F238E27FC236}">
              <a16:creationId xmlns:a16="http://schemas.microsoft.com/office/drawing/2014/main" id="{37746360-4C95-4441-A037-AE2C1215A9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" name="AutoShape 1" descr="Vista previa de toda la pantalla">
          <a:extLst>
            <a:ext uri="{FF2B5EF4-FFF2-40B4-BE49-F238E27FC236}">
              <a16:creationId xmlns:a16="http://schemas.microsoft.com/office/drawing/2014/main" id="{EB3D87CC-E24E-4310-B33F-DF1E3A7DFE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" name="AutoShape 1" descr="Vista previa de toda la pantalla">
          <a:extLst>
            <a:ext uri="{FF2B5EF4-FFF2-40B4-BE49-F238E27FC236}">
              <a16:creationId xmlns:a16="http://schemas.microsoft.com/office/drawing/2014/main" id="{5A90171D-48A8-4752-95EB-920B1FDAE8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" name="AutoShape 1" descr="Vista previa de toda la pantalla">
          <a:extLst>
            <a:ext uri="{FF2B5EF4-FFF2-40B4-BE49-F238E27FC236}">
              <a16:creationId xmlns:a16="http://schemas.microsoft.com/office/drawing/2014/main" id="{2428E520-184E-4436-8585-8B31E93D48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" name="AutoShape 1" descr="Vista previa de toda la pantalla">
          <a:extLst>
            <a:ext uri="{FF2B5EF4-FFF2-40B4-BE49-F238E27FC236}">
              <a16:creationId xmlns:a16="http://schemas.microsoft.com/office/drawing/2014/main" id="{6B2986CF-2040-48A2-9268-2BDADC4DEC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" name="AutoShape 1" descr="Vista previa de toda la pantalla">
          <a:extLst>
            <a:ext uri="{FF2B5EF4-FFF2-40B4-BE49-F238E27FC236}">
              <a16:creationId xmlns:a16="http://schemas.microsoft.com/office/drawing/2014/main" id="{6E41E0D9-5B46-479A-8886-F2541A249E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" name="AutoShape 1" descr="Vista previa de toda la pantalla">
          <a:extLst>
            <a:ext uri="{FF2B5EF4-FFF2-40B4-BE49-F238E27FC236}">
              <a16:creationId xmlns:a16="http://schemas.microsoft.com/office/drawing/2014/main" id="{DD74F147-56B4-47A1-A4FC-919517E62F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" name="AutoShape 1" descr="Vista previa de toda la pantalla">
          <a:extLst>
            <a:ext uri="{FF2B5EF4-FFF2-40B4-BE49-F238E27FC236}">
              <a16:creationId xmlns:a16="http://schemas.microsoft.com/office/drawing/2014/main" id="{02082D23-1062-4434-836F-30E80103FB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7" name="AutoShape 1" descr="Vista previa de toda la pantalla">
          <a:extLst>
            <a:ext uri="{FF2B5EF4-FFF2-40B4-BE49-F238E27FC236}">
              <a16:creationId xmlns:a16="http://schemas.microsoft.com/office/drawing/2014/main" id="{A9E29A4A-9318-4971-B67B-610B45A5C5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" name="AutoShape 1" descr="Vista previa de toda la pantalla">
          <a:extLst>
            <a:ext uri="{FF2B5EF4-FFF2-40B4-BE49-F238E27FC236}">
              <a16:creationId xmlns:a16="http://schemas.microsoft.com/office/drawing/2014/main" id="{FF15B346-598B-40B5-9E0A-CE60F7D91B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" name="AutoShape 1" descr="Vista previa de toda la pantalla">
          <a:extLst>
            <a:ext uri="{FF2B5EF4-FFF2-40B4-BE49-F238E27FC236}">
              <a16:creationId xmlns:a16="http://schemas.microsoft.com/office/drawing/2014/main" id="{12162784-2951-4555-8B75-F2464FC0AD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" name="AutoShape 1" descr="Vista previa de toda la pantalla">
          <a:extLst>
            <a:ext uri="{FF2B5EF4-FFF2-40B4-BE49-F238E27FC236}">
              <a16:creationId xmlns:a16="http://schemas.microsoft.com/office/drawing/2014/main" id="{11401BAB-0980-4F07-832E-A70219DE41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" name="AutoShape 1" descr="Vista previa de toda la pantalla">
          <a:extLst>
            <a:ext uri="{FF2B5EF4-FFF2-40B4-BE49-F238E27FC236}">
              <a16:creationId xmlns:a16="http://schemas.microsoft.com/office/drawing/2014/main" id="{459A0F57-31A4-42CE-B2DE-89D57E46D2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" name="AutoShape 1" descr="Vista previa de toda la pantalla">
          <a:extLst>
            <a:ext uri="{FF2B5EF4-FFF2-40B4-BE49-F238E27FC236}">
              <a16:creationId xmlns:a16="http://schemas.microsoft.com/office/drawing/2014/main" id="{85F7FC31-6445-42C4-8650-7ED32CF806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" name="AutoShape 1" descr="Vista previa de toda la pantalla">
          <a:extLst>
            <a:ext uri="{FF2B5EF4-FFF2-40B4-BE49-F238E27FC236}">
              <a16:creationId xmlns:a16="http://schemas.microsoft.com/office/drawing/2014/main" id="{0748057A-4863-455C-A0F7-36EED878E1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44" name="AutoShape 1" descr="Vista previa de toda la pantalla">
          <a:extLst>
            <a:ext uri="{FF2B5EF4-FFF2-40B4-BE49-F238E27FC236}">
              <a16:creationId xmlns:a16="http://schemas.microsoft.com/office/drawing/2014/main" id="{51255579-13EA-482F-BF2A-E3238FD0AE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45" name="AutoShape 1" descr="Vista previa de toda la pantalla">
          <a:extLst>
            <a:ext uri="{FF2B5EF4-FFF2-40B4-BE49-F238E27FC236}">
              <a16:creationId xmlns:a16="http://schemas.microsoft.com/office/drawing/2014/main" id="{9D19F5B0-8C26-469F-A5DC-FCCC86D6DA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46" name="AutoShape 1" descr="Vista previa de toda la pantalla">
          <a:extLst>
            <a:ext uri="{FF2B5EF4-FFF2-40B4-BE49-F238E27FC236}">
              <a16:creationId xmlns:a16="http://schemas.microsoft.com/office/drawing/2014/main" id="{E54518CE-E1BA-4B18-8422-836DF2DEE0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47" name="AutoShape 1" descr="Vista previa de toda la pantalla">
          <a:extLst>
            <a:ext uri="{FF2B5EF4-FFF2-40B4-BE49-F238E27FC236}">
              <a16:creationId xmlns:a16="http://schemas.microsoft.com/office/drawing/2014/main" id="{A36C0CBD-DC09-4B71-932A-5DAC85D21D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48" name="AutoShape 1" descr="Vista previa de toda la pantalla">
          <a:extLst>
            <a:ext uri="{FF2B5EF4-FFF2-40B4-BE49-F238E27FC236}">
              <a16:creationId xmlns:a16="http://schemas.microsoft.com/office/drawing/2014/main" id="{9ADAB2BA-87FA-4624-BA20-6E7BEE50E8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49" name="AutoShape 1" descr="Vista previa de toda la pantalla">
          <a:extLst>
            <a:ext uri="{FF2B5EF4-FFF2-40B4-BE49-F238E27FC236}">
              <a16:creationId xmlns:a16="http://schemas.microsoft.com/office/drawing/2014/main" id="{4FFC3986-DE68-4B62-B6FE-AF4FC585C4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50" name="AutoShape 1" descr="Vista previa de toda la pantalla">
          <a:extLst>
            <a:ext uri="{FF2B5EF4-FFF2-40B4-BE49-F238E27FC236}">
              <a16:creationId xmlns:a16="http://schemas.microsoft.com/office/drawing/2014/main" id="{AEC00F9F-F91A-455A-8C23-03008ACA76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51" name="AutoShape 1" descr="Vista previa de toda la pantalla">
          <a:extLst>
            <a:ext uri="{FF2B5EF4-FFF2-40B4-BE49-F238E27FC236}">
              <a16:creationId xmlns:a16="http://schemas.microsoft.com/office/drawing/2014/main" id="{10C55DA7-9A70-4594-A1FC-2ABCED7745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52" name="AutoShape 1" descr="Vista previa de toda la pantalla">
          <a:extLst>
            <a:ext uri="{FF2B5EF4-FFF2-40B4-BE49-F238E27FC236}">
              <a16:creationId xmlns:a16="http://schemas.microsoft.com/office/drawing/2014/main" id="{88C3A5E8-6AF2-48AF-B5D4-D86932880D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53" name="AutoShape 1" descr="Vista previa de toda la pantalla">
          <a:extLst>
            <a:ext uri="{FF2B5EF4-FFF2-40B4-BE49-F238E27FC236}">
              <a16:creationId xmlns:a16="http://schemas.microsoft.com/office/drawing/2014/main" id="{16FCFE85-6E7C-42A9-81D8-2D2D9EB0E9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54" name="AutoShape 1" descr="Vista previa de toda la pantalla">
          <a:extLst>
            <a:ext uri="{FF2B5EF4-FFF2-40B4-BE49-F238E27FC236}">
              <a16:creationId xmlns:a16="http://schemas.microsoft.com/office/drawing/2014/main" id="{B1432628-963A-4F88-9691-113221AFEF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55" name="AutoShape 1" descr="Vista previa de toda la pantalla">
          <a:extLst>
            <a:ext uri="{FF2B5EF4-FFF2-40B4-BE49-F238E27FC236}">
              <a16:creationId xmlns:a16="http://schemas.microsoft.com/office/drawing/2014/main" id="{52832970-9F0F-40A3-8BAC-EC6FFFBC73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56" name="AutoShape 1" descr="Vista previa de toda la pantalla">
          <a:extLst>
            <a:ext uri="{FF2B5EF4-FFF2-40B4-BE49-F238E27FC236}">
              <a16:creationId xmlns:a16="http://schemas.microsoft.com/office/drawing/2014/main" id="{818426AE-A8D0-4121-87FD-BB9308B144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157" name="AutoShape 1" descr="Vista previa de toda la pantalla">
          <a:extLst>
            <a:ext uri="{FF2B5EF4-FFF2-40B4-BE49-F238E27FC236}">
              <a16:creationId xmlns:a16="http://schemas.microsoft.com/office/drawing/2014/main" id="{300E763C-CD36-4169-A38B-9850281174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158" name="AutoShape 1" descr="Vista previa de toda la pantalla">
          <a:extLst>
            <a:ext uri="{FF2B5EF4-FFF2-40B4-BE49-F238E27FC236}">
              <a16:creationId xmlns:a16="http://schemas.microsoft.com/office/drawing/2014/main" id="{292E4DF4-4E75-4004-90F4-94A920239D33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" name="AutoShape 1" descr="Vista previa de toda la pantalla">
          <a:extLst>
            <a:ext uri="{FF2B5EF4-FFF2-40B4-BE49-F238E27FC236}">
              <a16:creationId xmlns:a16="http://schemas.microsoft.com/office/drawing/2014/main" id="{3A263BD8-3739-49E8-B954-E4874C9A1F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" name="AutoShape 1" descr="Vista previa de toda la pantalla">
          <a:extLst>
            <a:ext uri="{FF2B5EF4-FFF2-40B4-BE49-F238E27FC236}">
              <a16:creationId xmlns:a16="http://schemas.microsoft.com/office/drawing/2014/main" id="{CABFF637-73CB-41C4-97D1-9E356ADBF8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" name="AutoShape 1" descr="Vista previa de toda la pantalla">
          <a:extLst>
            <a:ext uri="{FF2B5EF4-FFF2-40B4-BE49-F238E27FC236}">
              <a16:creationId xmlns:a16="http://schemas.microsoft.com/office/drawing/2014/main" id="{E7602723-CEC5-4643-A90C-24D767F9ED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" name="AutoShape 1" descr="Vista previa de toda la pantalla">
          <a:extLst>
            <a:ext uri="{FF2B5EF4-FFF2-40B4-BE49-F238E27FC236}">
              <a16:creationId xmlns:a16="http://schemas.microsoft.com/office/drawing/2014/main" id="{2FD887B5-5A7E-4883-92A2-8544F8CF28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" name="AutoShape 1" descr="Vista previa de toda la pantalla">
          <a:extLst>
            <a:ext uri="{FF2B5EF4-FFF2-40B4-BE49-F238E27FC236}">
              <a16:creationId xmlns:a16="http://schemas.microsoft.com/office/drawing/2014/main" id="{C266A74C-7DAE-45D4-A7B4-353CDC03C7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" name="AutoShape 1" descr="Vista previa de toda la pantalla">
          <a:extLst>
            <a:ext uri="{FF2B5EF4-FFF2-40B4-BE49-F238E27FC236}">
              <a16:creationId xmlns:a16="http://schemas.microsoft.com/office/drawing/2014/main" id="{3B87ECD9-41E5-4078-A4D1-3A91439E29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" name="AutoShape 1" descr="Vista previa de toda la pantalla">
          <a:extLst>
            <a:ext uri="{FF2B5EF4-FFF2-40B4-BE49-F238E27FC236}">
              <a16:creationId xmlns:a16="http://schemas.microsoft.com/office/drawing/2014/main" id="{7475AB82-6728-4ED6-B56C-63824FF81D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" name="AutoShape 1" descr="Vista previa de toda la pantalla">
          <a:extLst>
            <a:ext uri="{FF2B5EF4-FFF2-40B4-BE49-F238E27FC236}">
              <a16:creationId xmlns:a16="http://schemas.microsoft.com/office/drawing/2014/main" id="{A3E68E24-8587-4F32-BA65-FA28F51CAD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" name="AutoShape 1" descr="Vista previa de toda la pantalla">
          <a:extLst>
            <a:ext uri="{FF2B5EF4-FFF2-40B4-BE49-F238E27FC236}">
              <a16:creationId xmlns:a16="http://schemas.microsoft.com/office/drawing/2014/main" id="{64B2AA2F-E729-4820-91E1-BB8419506D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" name="AutoShape 1" descr="Vista previa de toda la pantalla">
          <a:extLst>
            <a:ext uri="{FF2B5EF4-FFF2-40B4-BE49-F238E27FC236}">
              <a16:creationId xmlns:a16="http://schemas.microsoft.com/office/drawing/2014/main" id="{83B9F2BF-C250-4301-BCBB-594C8A604B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" name="AutoShape 1" descr="Vista previa de toda la pantalla">
          <a:extLst>
            <a:ext uri="{FF2B5EF4-FFF2-40B4-BE49-F238E27FC236}">
              <a16:creationId xmlns:a16="http://schemas.microsoft.com/office/drawing/2014/main" id="{49D75412-663D-4021-8CB0-D42504F9C3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" name="AutoShape 1" descr="Vista previa de toda la pantalla">
          <a:extLst>
            <a:ext uri="{FF2B5EF4-FFF2-40B4-BE49-F238E27FC236}">
              <a16:creationId xmlns:a16="http://schemas.microsoft.com/office/drawing/2014/main" id="{6424FCB7-268A-45A3-8BCA-825D38906D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1" name="AutoShape 1" descr="Vista previa de toda la pantalla">
          <a:extLst>
            <a:ext uri="{FF2B5EF4-FFF2-40B4-BE49-F238E27FC236}">
              <a16:creationId xmlns:a16="http://schemas.microsoft.com/office/drawing/2014/main" id="{4944FDF4-6F3A-4157-B1E0-5F579F8624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" name="AutoShape 1" descr="Vista previa de toda la pantalla">
          <a:extLst>
            <a:ext uri="{FF2B5EF4-FFF2-40B4-BE49-F238E27FC236}">
              <a16:creationId xmlns:a16="http://schemas.microsoft.com/office/drawing/2014/main" id="{BF9193A9-7F42-41F2-869E-190E552FEF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" name="AutoShape 1" descr="Vista previa de toda la pantalla">
          <a:extLst>
            <a:ext uri="{FF2B5EF4-FFF2-40B4-BE49-F238E27FC236}">
              <a16:creationId xmlns:a16="http://schemas.microsoft.com/office/drawing/2014/main" id="{2F28EAEA-1BC9-4D9D-8823-72F58AA52E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" name="AutoShape 1" descr="Vista previa de toda la pantalla">
          <a:extLst>
            <a:ext uri="{FF2B5EF4-FFF2-40B4-BE49-F238E27FC236}">
              <a16:creationId xmlns:a16="http://schemas.microsoft.com/office/drawing/2014/main" id="{F422CCFD-C14C-4BAE-9DB4-337E008831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" name="AutoShape 1" descr="Vista previa de toda la pantalla">
          <a:extLst>
            <a:ext uri="{FF2B5EF4-FFF2-40B4-BE49-F238E27FC236}">
              <a16:creationId xmlns:a16="http://schemas.microsoft.com/office/drawing/2014/main" id="{60418C09-3E85-49BE-A4D2-E378815835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" name="AutoShape 1" descr="Vista previa de toda la pantalla">
          <a:extLst>
            <a:ext uri="{FF2B5EF4-FFF2-40B4-BE49-F238E27FC236}">
              <a16:creationId xmlns:a16="http://schemas.microsoft.com/office/drawing/2014/main" id="{D2AD15A2-B2D8-427A-A42B-A821E30954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" name="AutoShape 1" descr="Vista previa de toda la pantalla">
          <a:extLst>
            <a:ext uri="{FF2B5EF4-FFF2-40B4-BE49-F238E27FC236}">
              <a16:creationId xmlns:a16="http://schemas.microsoft.com/office/drawing/2014/main" id="{E035C7B0-F65B-4FA8-8F58-A500062AFA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" name="AutoShape 1" descr="Vista previa de toda la pantalla">
          <a:extLst>
            <a:ext uri="{FF2B5EF4-FFF2-40B4-BE49-F238E27FC236}">
              <a16:creationId xmlns:a16="http://schemas.microsoft.com/office/drawing/2014/main" id="{56F0519C-132F-486C-9DBF-F84646833F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" name="AutoShape 1" descr="Vista previa de toda la pantalla">
          <a:extLst>
            <a:ext uri="{FF2B5EF4-FFF2-40B4-BE49-F238E27FC236}">
              <a16:creationId xmlns:a16="http://schemas.microsoft.com/office/drawing/2014/main" id="{975E3BCC-25E9-4975-9F9F-E993D84339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" name="AutoShape 1" descr="Vista previa de toda la pantalla">
          <a:extLst>
            <a:ext uri="{FF2B5EF4-FFF2-40B4-BE49-F238E27FC236}">
              <a16:creationId xmlns:a16="http://schemas.microsoft.com/office/drawing/2014/main" id="{E7AD58F1-C232-4BA1-A8C5-FFD648F70E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" name="AutoShape 1" descr="Vista previa de toda la pantalla">
          <a:extLst>
            <a:ext uri="{FF2B5EF4-FFF2-40B4-BE49-F238E27FC236}">
              <a16:creationId xmlns:a16="http://schemas.microsoft.com/office/drawing/2014/main" id="{42CD14C9-51D9-415C-AED8-0ACC57020B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" name="AutoShape 1" descr="Vista previa de toda la pantalla">
          <a:extLst>
            <a:ext uri="{FF2B5EF4-FFF2-40B4-BE49-F238E27FC236}">
              <a16:creationId xmlns:a16="http://schemas.microsoft.com/office/drawing/2014/main" id="{533A9727-8EC3-465E-A266-2011ACFA24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" name="AutoShape 1" descr="Vista previa de toda la pantalla">
          <a:extLst>
            <a:ext uri="{FF2B5EF4-FFF2-40B4-BE49-F238E27FC236}">
              <a16:creationId xmlns:a16="http://schemas.microsoft.com/office/drawing/2014/main" id="{5F87A612-3444-4618-B881-104F7D8E6E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" name="AutoShape 1" descr="Vista previa de toda la pantalla">
          <a:extLst>
            <a:ext uri="{FF2B5EF4-FFF2-40B4-BE49-F238E27FC236}">
              <a16:creationId xmlns:a16="http://schemas.microsoft.com/office/drawing/2014/main" id="{ED2208D8-D777-49AE-A8E9-1C4D4E8F32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" name="AutoShape 1" descr="Vista previa de toda la pantalla">
          <a:extLst>
            <a:ext uri="{FF2B5EF4-FFF2-40B4-BE49-F238E27FC236}">
              <a16:creationId xmlns:a16="http://schemas.microsoft.com/office/drawing/2014/main" id="{DE6FF291-6642-449B-A2FA-535799070D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" name="AutoShape 1" descr="Vista previa de toda la pantalla">
          <a:extLst>
            <a:ext uri="{FF2B5EF4-FFF2-40B4-BE49-F238E27FC236}">
              <a16:creationId xmlns:a16="http://schemas.microsoft.com/office/drawing/2014/main" id="{746543C3-7A6F-47BB-AB54-32DDB84CBC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" name="AutoShape 1" descr="Vista previa de toda la pantalla">
          <a:extLst>
            <a:ext uri="{FF2B5EF4-FFF2-40B4-BE49-F238E27FC236}">
              <a16:creationId xmlns:a16="http://schemas.microsoft.com/office/drawing/2014/main" id="{E4AD5461-A2BC-4816-A5B9-2CA4DA1510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" name="AutoShape 1" descr="Vista previa de toda la pantalla">
          <a:extLst>
            <a:ext uri="{FF2B5EF4-FFF2-40B4-BE49-F238E27FC236}">
              <a16:creationId xmlns:a16="http://schemas.microsoft.com/office/drawing/2014/main" id="{5A939EBE-30ED-4B8C-86DA-F2AB457F9C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" name="AutoShape 1" descr="Vista previa de toda la pantalla">
          <a:extLst>
            <a:ext uri="{FF2B5EF4-FFF2-40B4-BE49-F238E27FC236}">
              <a16:creationId xmlns:a16="http://schemas.microsoft.com/office/drawing/2014/main" id="{72886074-BDDE-4348-822E-D8975437A4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" name="AutoShape 1" descr="Vista previa de toda la pantalla">
          <a:extLst>
            <a:ext uri="{FF2B5EF4-FFF2-40B4-BE49-F238E27FC236}">
              <a16:creationId xmlns:a16="http://schemas.microsoft.com/office/drawing/2014/main" id="{BF7B6A0A-CB64-440B-851F-7474C75C62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" name="AutoShape 1" descr="Vista previa de toda la pantalla">
          <a:extLst>
            <a:ext uri="{FF2B5EF4-FFF2-40B4-BE49-F238E27FC236}">
              <a16:creationId xmlns:a16="http://schemas.microsoft.com/office/drawing/2014/main" id="{DAB442F4-EA70-45B6-AC25-8117AF6592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" name="AutoShape 1" descr="Vista previa de toda la pantalla">
          <a:extLst>
            <a:ext uri="{FF2B5EF4-FFF2-40B4-BE49-F238E27FC236}">
              <a16:creationId xmlns:a16="http://schemas.microsoft.com/office/drawing/2014/main" id="{A45187AC-EF00-4D09-ABC9-C5226D7C79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" name="AutoShape 1" descr="Vista previa de toda la pantalla">
          <a:extLst>
            <a:ext uri="{FF2B5EF4-FFF2-40B4-BE49-F238E27FC236}">
              <a16:creationId xmlns:a16="http://schemas.microsoft.com/office/drawing/2014/main" id="{AB328702-C0A4-4B7F-84D1-113FA0CE5E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" name="AutoShape 1" descr="Vista previa de toda la pantalla">
          <a:extLst>
            <a:ext uri="{FF2B5EF4-FFF2-40B4-BE49-F238E27FC236}">
              <a16:creationId xmlns:a16="http://schemas.microsoft.com/office/drawing/2014/main" id="{DD4CB4AD-02CF-40DF-BE6D-3F179CF162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" name="AutoShape 1" descr="Vista previa de toda la pantalla">
          <a:extLst>
            <a:ext uri="{FF2B5EF4-FFF2-40B4-BE49-F238E27FC236}">
              <a16:creationId xmlns:a16="http://schemas.microsoft.com/office/drawing/2014/main" id="{CA039A88-29FA-4E23-B6A5-904E8C08C4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" name="AutoShape 1" descr="Vista previa de toda la pantalla">
          <a:extLst>
            <a:ext uri="{FF2B5EF4-FFF2-40B4-BE49-F238E27FC236}">
              <a16:creationId xmlns:a16="http://schemas.microsoft.com/office/drawing/2014/main" id="{5AFBBC2E-D5DA-42C8-AF01-5976C50BF5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" name="AutoShape 1" descr="Vista previa de toda la pantalla">
          <a:extLst>
            <a:ext uri="{FF2B5EF4-FFF2-40B4-BE49-F238E27FC236}">
              <a16:creationId xmlns:a16="http://schemas.microsoft.com/office/drawing/2014/main" id="{E7AAD46D-C475-44F6-8A80-9A6B564E85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" name="AutoShape 1" descr="Vista previa de toda la pantalla">
          <a:extLst>
            <a:ext uri="{FF2B5EF4-FFF2-40B4-BE49-F238E27FC236}">
              <a16:creationId xmlns:a16="http://schemas.microsoft.com/office/drawing/2014/main" id="{A4C1C13F-0E68-4276-A23F-8A207DEAB9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" name="AutoShape 1" descr="Vista previa de toda la pantalla">
          <a:extLst>
            <a:ext uri="{FF2B5EF4-FFF2-40B4-BE49-F238E27FC236}">
              <a16:creationId xmlns:a16="http://schemas.microsoft.com/office/drawing/2014/main" id="{CC9D5AF9-93B0-4B53-86ED-0913FC8F3D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" name="AutoShape 1" descr="Vista previa de toda la pantalla">
          <a:extLst>
            <a:ext uri="{FF2B5EF4-FFF2-40B4-BE49-F238E27FC236}">
              <a16:creationId xmlns:a16="http://schemas.microsoft.com/office/drawing/2014/main" id="{D30F181D-DDA5-4B36-8672-A7660FFC13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" name="AutoShape 1" descr="Vista previa de toda la pantalla">
          <a:extLst>
            <a:ext uri="{FF2B5EF4-FFF2-40B4-BE49-F238E27FC236}">
              <a16:creationId xmlns:a16="http://schemas.microsoft.com/office/drawing/2014/main" id="{F0F8A66E-D134-4105-A3B1-83D617D6EF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" name="AutoShape 1" descr="Vista previa de toda la pantalla">
          <a:extLst>
            <a:ext uri="{FF2B5EF4-FFF2-40B4-BE49-F238E27FC236}">
              <a16:creationId xmlns:a16="http://schemas.microsoft.com/office/drawing/2014/main" id="{DF4361B8-0766-4AD5-8E9B-5CAB5DC0BE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" name="AutoShape 1" descr="Vista previa de toda la pantalla">
          <a:extLst>
            <a:ext uri="{FF2B5EF4-FFF2-40B4-BE49-F238E27FC236}">
              <a16:creationId xmlns:a16="http://schemas.microsoft.com/office/drawing/2014/main" id="{AF7FE645-E371-405C-B300-FC4857D898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" name="AutoShape 1" descr="Vista previa de toda la pantalla">
          <a:extLst>
            <a:ext uri="{FF2B5EF4-FFF2-40B4-BE49-F238E27FC236}">
              <a16:creationId xmlns:a16="http://schemas.microsoft.com/office/drawing/2014/main" id="{1A1BA3ED-EE21-4766-8A9C-DD1AB9F109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5" name="AutoShape 1" descr="Vista previa de toda la pantalla">
          <a:extLst>
            <a:ext uri="{FF2B5EF4-FFF2-40B4-BE49-F238E27FC236}">
              <a16:creationId xmlns:a16="http://schemas.microsoft.com/office/drawing/2014/main" id="{0DBDBE20-4E08-4F10-A6A7-93C60B12B2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" name="AutoShape 1" descr="Vista previa de toda la pantalla">
          <a:extLst>
            <a:ext uri="{FF2B5EF4-FFF2-40B4-BE49-F238E27FC236}">
              <a16:creationId xmlns:a16="http://schemas.microsoft.com/office/drawing/2014/main" id="{5595BCE9-E6A1-4074-A769-8D698ECA04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" name="AutoShape 1" descr="Vista previa de toda la pantalla">
          <a:extLst>
            <a:ext uri="{FF2B5EF4-FFF2-40B4-BE49-F238E27FC236}">
              <a16:creationId xmlns:a16="http://schemas.microsoft.com/office/drawing/2014/main" id="{AF6C4DE4-E350-4499-8313-7E2EE1FF49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" name="AutoShape 1" descr="Vista previa de toda la pantalla">
          <a:extLst>
            <a:ext uri="{FF2B5EF4-FFF2-40B4-BE49-F238E27FC236}">
              <a16:creationId xmlns:a16="http://schemas.microsoft.com/office/drawing/2014/main" id="{586C2EBB-89DB-451D-97D7-2CFB30F78E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" name="AutoShape 1" descr="Vista previa de toda la pantalla">
          <a:extLst>
            <a:ext uri="{FF2B5EF4-FFF2-40B4-BE49-F238E27FC236}">
              <a16:creationId xmlns:a16="http://schemas.microsoft.com/office/drawing/2014/main" id="{78BF2C7F-1E42-4669-8611-8B7A1F2DDA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" name="AutoShape 1" descr="Vista previa de toda la pantalla">
          <a:extLst>
            <a:ext uri="{FF2B5EF4-FFF2-40B4-BE49-F238E27FC236}">
              <a16:creationId xmlns:a16="http://schemas.microsoft.com/office/drawing/2014/main" id="{C052E0F5-7081-4217-83A3-FF9A771B0E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" name="AutoShape 1" descr="Vista previa de toda la pantalla">
          <a:extLst>
            <a:ext uri="{FF2B5EF4-FFF2-40B4-BE49-F238E27FC236}">
              <a16:creationId xmlns:a16="http://schemas.microsoft.com/office/drawing/2014/main" id="{1E90395B-F024-40F5-966E-93F57B958A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" name="AutoShape 1" descr="Vista previa de toda la pantalla">
          <a:extLst>
            <a:ext uri="{FF2B5EF4-FFF2-40B4-BE49-F238E27FC236}">
              <a16:creationId xmlns:a16="http://schemas.microsoft.com/office/drawing/2014/main" id="{B9CADE06-AA7C-424E-807B-C9DA688854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" name="AutoShape 1" descr="Vista previa de toda la pantalla">
          <a:extLst>
            <a:ext uri="{FF2B5EF4-FFF2-40B4-BE49-F238E27FC236}">
              <a16:creationId xmlns:a16="http://schemas.microsoft.com/office/drawing/2014/main" id="{4978B1E8-84F1-4712-A622-2234AB38C8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" name="AutoShape 1" descr="Vista previa de toda la pantalla">
          <a:extLst>
            <a:ext uri="{FF2B5EF4-FFF2-40B4-BE49-F238E27FC236}">
              <a16:creationId xmlns:a16="http://schemas.microsoft.com/office/drawing/2014/main" id="{591D1069-E008-4428-B5EC-AA53F3F3FE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" name="AutoShape 1" descr="Vista previa de toda la pantalla">
          <a:extLst>
            <a:ext uri="{FF2B5EF4-FFF2-40B4-BE49-F238E27FC236}">
              <a16:creationId xmlns:a16="http://schemas.microsoft.com/office/drawing/2014/main" id="{E72DFE48-CA1D-4D2F-A283-302A55AC2A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" name="AutoShape 1" descr="Vista previa de toda la pantalla">
          <a:extLst>
            <a:ext uri="{FF2B5EF4-FFF2-40B4-BE49-F238E27FC236}">
              <a16:creationId xmlns:a16="http://schemas.microsoft.com/office/drawing/2014/main" id="{585E948F-EB12-47F4-B931-F2C211C77B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" name="AutoShape 1" descr="Vista previa de toda la pantalla">
          <a:extLst>
            <a:ext uri="{FF2B5EF4-FFF2-40B4-BE49-F238E27FC236}">
              <a16:creationId xmlns:a16="http://schemas.microsoft.com/office/drawing/2014/main" id="{EFD2F735-4A3A-472F-B642-C9E64CD15D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" name="AutoShape 1" descr="Vista previa de toda la pantalla">
          <a:extLst>
            <a:ext uri="{FF2B5EF4-FFF2-40B4-BE49-F238E27FC236}">
              <a16:creationId xmlns:a16="http://schemas.microsoft.com/office/drawing/2014/main" id="{774B10FE-DD08-4D90-885E-1885E530B9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" name="AutoShape 1" descr="Vista previa de toda la pantalla">
          <a:extLst>
            <a:ext uri="{FF2B5EF4-FFF2-40B4-BE49-F238E27FC236}">
              <a16:creationId xmlns:a16="http://schemas.microsoft.com/office/drawing/2014/main" id="{A2C7BA3A-228F-4C23-8816-34A17A5F4A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" name="AutoShape 1" descr="Vista previa de toda la pantalla">
          <a:extLst>
            <a:ext uri="{FF2B5EF4-FFF2-40B4-BE49-F238E27FC236}">
              <a16:creationId xmlns:a16="http://schemas.microsoft.com/office/drawing/2014/main" id="{7AB20129-846B-4CC7-8FB7-E9E999DD1F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1" name="AutoShape 1" descr="Vista previa de toda la pantalla">
          <a:extLst>
            <a:ext uri="{FF2B5EF4-FFF2-40B4-BE49-F238E27FC236}">
              <a16:creationId xmlns:a16="http://schemas.microsoft.com/office/drawing/2014/main" id="{468AA0AD-8D4A-4C44-95F9-EB4C748CDE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" name="AutoShape 1" descr="Vista previa de toda la pantalla">
          <a:extLst>
            <a:ext uri="{FF2B5EF4-FFF2-40B4-BE49-F238E27FC236}">
              <a16:creationId xmlns:a16="http://schemas.microsoft.com/office/drawing/2014/main" id="{907DE19D-8804-420A-87BF-7B8F4E466C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" name="AutoShape 1" descr="Vista previa de toda la pantalla">
          <a:extLst>
            <a:ext uri="{FF2B5EF4-FFF2-40B4-BE49-F238E27FC236}">
              <a16:creationId xmlns:a16="http://schemas.microsoft.com/office/drawing/2014/main" id="{1A9EECC9-44B0-4EEB-8B5F-80B09062B0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" name="AutoShape 1" descr="Vista previa de toda la pantalla">
          <a:extLst>
            <a:ext uri="{FF2B5EF4-FFF2-40B4-BE49-F238E27FC236}">
              <a16:creationId xmlns:a16="http://schemas.microsoft.com/office/drawing/2014/main" id="{16BAFB76-AB00-460F-9659-15DD5A7DC1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" name="AutoShape 1" descr="Vista previa de toda la pantalla">
          <a:extLst>
            <a:ext uri="{FF2B5EF4-FFF2-40B4-BE49-F238E27FC236}">
              <a16:creationId xmlns:a16="http://schemas.microsoft.com/office/drawing/2014/main" id="{7188985F-2BF4-4B8E-906F-F0C609936A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" name="AutoShape 1" descr="Vista previa de toda la pantalla">
          <a:extLst>
            <a:ext uri="{FF2B5EF4-FFF2-40B4-BE49-F238E27FC236}">
              <a16:creationId xmlns:a16="http://schemas.microsoft.com/office/drawing/2014/main" id="{9316DD7F-3BDB-4D10-9071-6A71678B59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" name="AutoShape 1" descr="Vista previa de toda la pantalla">
          <a:extLst>
            <a:ext uri="{FF2B5EF4-FFF2-40B4-BE49-F238E27FC236}">
              <a16:creationId xmlns:a16="http://schemas.microsoft.com/office/drawing/2014/main" id="{2A07E687-CCA2-49C2-B999-C0C31A6160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" name="AutoShape 1" descr="Vista previa de toda la pantalla">
          <a:extLst>
            <a:ext uri="{FF2B5EF4-FFF2-40B4-BE49-F238E27FC236}">
              <a16:creationId xmlns:a16="http://schemas.microsoft.com/office/drawing/2014/main" id="{5F560057-40BA-46C5-8F6F-AA5E62A23A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" name="AutoShape 1" descr="Vista previa de toda la pantalla">
          <a:extLst>
            <a:ext uri="{FF2B5EF4-FFF2-40B4-BE49-F238E27FC236}">
              <a16:creationId xmlns:a16="http://schemas.microsoft.com/office/drawing/2014/main" id="{DC56D9F9-0B84-45B0-BF4C-F6F1C72D46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" name="AutoShape 1" descr="Vista previa de toda la pantalla">
          <a:extLst>
            <a:ext uri="{FF2B5EF4-FFF2-40B4-BE49-F238E27FC236}">
              <a16:creationId xmlns:a16="http://schemas.microsoft.com/office/drawing/2014/main" id="{5BB28BCF-29ED-4571-AAD5-D13868A5C9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" name="AutoShape 1" descr="Vista previa de toda la pantalla">
          <a:extLst>
            <a:ext uri="{FF2B5EF4-FFF2-40B4-BE49-F238E27FC236}">
              <a16:creationId xmlns:a16="http://schemas.microsoft.com/office/drawing/2014/main" id="{692BDC1F-41BB-4779-BCFD-17E368AF59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" name="AutoShape 1" descr="Vista previa de toda la pantalla">
          <a:extLst>
            <a:ext uri="{FF2B5EF4-FFF2-40B4-BE49-F238E27FC236}">
              <a16:creationId xmlns:a16="http://schemas.microsoft.com/office/drawing/2014/main" id="{12D94D7F-11C8-48B3-9048-9A33968A04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" name="AutoShape 1" descr="Vista previa de toda la pantalla">
          <a:extLst>
            <a:ext uri="{FF2B5EF4-FFF2-40B4-BE49-F238E27FC236}">
              <a16:creationId xmlns:a16="http://schemas.microsoft.com/office/drawing/2014/main" id="{824A46A1-FCFD-41C2-9974-74CCEEF737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" name="AutoShape 1" descr="Vista previa de toda la pantalla">
          <a:extLst>
            <a:ext uri="{FF2B5EF4-FFF2-40B4-BE49-F238E27FC236}">
              <a16:creationId xmlns:a16="http://schemas.microsoft.com/office/drawing/2014/main" id="{E42B4C72-B6A6-4D4E-B27A-AC1D79DDE7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" name="AutoShape 1" descr="Vista previa de toda la pantalla">
          <a:extLst>
            <a:ext uri="{FF2B5EF4-FFF2-40B4-BE49-F238E27FC236}">
              <a16:creationId xmlns:a16="http://schemas.microsoft.com/office/drawing/2014/main" id="{4B6E5AE1-FFE3-4076-A967-37D0554DF3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" name="AutoShape 1" descr="Vista previa de toda la pantalla">
          <a:extLst>
            <a:ext uri="{FF2B5EF4-FFF2-40B4-BE49-F238E27FC236}">
              <a16:creationId xmlns:a16="http://schemas.microsoft.com/office/drawing/2014/main" id="{09EE4705-04E2-4400-92A3-C4E5E1D737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" name="AutoShape 1" descr="Vista previa de toda la pantalla">
          <a:extLst>
            <a:ext uri="{FF2B5EF4-FFF2-40B4-BE49-F238E27FC236}">
              <a16:creationId xmlns:a16="http://schemas.microsoft.com/office/drawing/2014/main" id="{73DFF499-F1DF-410B-9786-8E88A3D255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8" name="AutoShape 1" descr="Vista previa de toda la pantalla">
          <a:extLst>
            <a:ext uri="{FF2B5EF4-FFF2-40B4-BE49-F238E27FC236}">
              <a16:creationId xmlns:a16="http://schemas.microsoft.com/office/drawing/2014/main" id="{D1BA1A7B-F2EE-4B1F-9980-242F3CBFD1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" name="AutoShape 1" descr="Vista previa de toda la pantalla">
          <a:extLst>
            <a:ext uri="{FF2B5EF4-FFF2-40B4-BE49-F238E27FC236}">
              <a16:creationId xmlns:a16="http://schemas.microsoft.com/office/drawing/2014/main" id="{8F354A10-0F84-4487-8CA7-06667EA135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" name="AutoShape 1" descr="Vista previa de toda la pantalla">
          <a:extLst>
            <a:ext uri="{FF2B5EF4-FFF2-40B4-BE49-F238E27FC236}">
              <a16:creationId xmlns:a16="http://schemas.microsoft.com/office/drawing/2014/main" id="{C4E1BD92-8977-4ED2-B8D2-5F1439E0C8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" name="AutoShape 1" descr="Vista previa de toda la pantalla">
          <a:extLst>
            <a:ext uri="{FF2B5EF4-FFF2-40B4-BE49-F238E27FC236}">
              <a16:creationId xmlns:a16="http://schemas.microsoft.com/office/drawing/2014/main" id="{745CDE0A-43B6-472D-91EA-2B7BD8242B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" name="AutoShape 1" descr="Vista previa de toda la pantalla">
          <a:extLst>
            <a:ext uri="{FF2B5EF4-FFF2-40B4-BE49-F238E27FC236}">
              <a16:creationId xmlns:a16="http://schemas.microsoft.com/office/drawing/2014/main" id="{CB0EFB83-DA61-4383-B288-EB9EEEAA0F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" name="AutoShape 1" descr="Vista previa de toda la pantalla">
          <a:extLst>
            <a:ext uri="{FF2B5EF4-FFF2-40B4-BE49-F238E27FC236}">
              <a16:creationId xmlns:a16="http://schemas.microsoft.com/office/drawing/2014/main" id="{7174D580-808C-4036-808F-577BC5DCC1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" name="AutoShape 1" descr="Vista previa de toda la pantalla">
          <a:extLst>
            <a:ext uri="{FF2B5EF4-FFF2-40B4-BE49-F238E27FC236}">
              <a16:creationId xmlns:a16="http://schemas.microsoft.com/office/drawing/2014/main" id="{EA0BEDD2-D802-40C2-AEDD-4284D47B39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" name="AutoShape 1" descr="Vista previa de toda la pantalla">
          <a:extLst>
            <a:ext uri="{FF2B5EF4-FFF2-40B4-BE49-F238E27FC236}">
              <a16:creationId xmlns:a16="http://schemas.microsoft.com/office/drawing/2014/main" id="{FCA138C2-2516-483C-9B2D-B667B924F8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" name="AutoShape 1" descr="Vista previa de toda la pantalla">
          <a:extLst>
            <a:ext uri="{FF2B5EF4-FFF2-40B4-BE49-F238E27FC236}">
              <a16:creationId xmlns:a16="http://schemas.microsoft.com/office/drawing/2014/main" id="{3EADA41B-5012-4995-BF16-FFDE4DEF73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" name="AutoShape 1" descr="Vista previa de toda la pantalla">
          <a:extLst>
            <a:ext uri="{FF2B5EF4-FFF2-40B4-BE49-F238E27FC236}">
              <a16:creationId xmlns:a16="http://schemas.microsoft.com/office/drawing/2014/main" id="{0195D6AB-8DF0-43E1-82CD-F26B20C2A2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" name="AutoShape 1" descr="Vista previa de toda la pantalla">
          <a:extLst>
            <a:ext uri="{FF2B5EF4-FFF2-40B4-BE49-F238E27FC236}">
              <a16:creationId xmlns:a16="http://schemas.microsoft.com/office/drawing/2014/main" id="{B3643042-2AC4-483B-923E-C23569E8C2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" name="AutoShape 1" descr="Vista previa de toda la pantalla">
          <a:extLst>
            <a:ext uri="{FF2B5EF4-FFF2-40B4-BE49-F238E27FC236}">
              <a16:creationId xmlns:a16="http://schemas.microsoft.com/office/drawing/2014/main" id="{7D01D6E7-08D4-4D49-B48A-EDF2A4FAF8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" name="AutoShape 1" descr="Vista previa de toda la pantalla">
          <a:extLst>
            <a:ext uri="{FF2B5EF4-FFF2-40B4-BE49-F238E27FC236}">
              <a16:creationId xmlns:a16="http://schemas.microsoft.com/office/drawing/2014/main" id="{B4B372EF-8DF2-4930-8544-CFBD795DD1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" name="AutoShape 1" descr="Vista previa de toda la pantalla">
          <a:extLst>
            <a:ext uri="{FF2B5EF4-FFF2-40B4-BE49-F238E27FC236}">
              <a16:creationId xmlns:a16="http://schemas.microsoft.com/office/drawing/2014/main" id="{AEB36BAB-DD48-4C75-8617-23111CA3B9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" name="AutoShape 1" descr="Vista previa de toda la pantalla">
          <a:extLst>
            <a:ext uri="{FF2B5EF4-FFF2-40B4-BE49-F238E27FC236}">
              <a16:creationId xmlns:a16="http://schemas.microsoft.com/office/drawing/2014/main" id="{6581D23D-2A08-4DF4-A325-59720C2C74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" name="AutoShape 1" descr="Vista previa de toda la pantalla">
          <a:extLst>
            <a:ext uri="{FF2B5EF4-FFF2-40B4-BE49-F238E27FC236}">
              <a16:creationId xmlns:a16="http://schemas.microsoft.com/office/drawing/2014/main" id="{D76D366B-4007-404E-ACCA-59F71B7DC6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" name="AutoShape 1" descr="Vista previa de toda la pantalla">
          <a:extLst>
            <a:ext uri="{FF2B5EF4-FFF2-40B4-BE49-F238E27FC236}">
              <a16:creationId xmlns:a16="http://schemas.microsoft.com/office/drawing/2014/main" id="{F84FBECA-35A9-4E9B-BD12-F12F6382EE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" name="AutoShape 1" descr="Vista previa de toda la pantalla">
          <a:extLst>
            <a:ext uri="{FF2B5EF4-FFF2-40B4-BE49-F238E27FC236}">
              <a16:creationId xmlns:a16="http://schemas.microsoft.com/office/drawing/2014/main" id="{ED05A32E-CEA9-4BFD-8745-7C3B77B310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6" name="AutoShape 1" descr="Vista previa de toda la pantalla">
          <a:extLst>
            <a:ext uri="{FF2B5EF4-FFF2-40B4-BE49-F238E27FC236}">
              <a16:creationId xmlns:a16="http://schemas.microsoft.com/office/drawing/2014/main" id="{CA22C04C-6C3C-412E-9708-35221794D5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" name="AutoShape 1" descr="Vista previa de toda la pantalla">
          <a:extLst>
            <a:ext uri="{FF2B5EF4-FFF2-40B4-BE49-F238E27FC236}">
              <a16:creationId xmlns:a16="http://schemas.microsoft.com/office/drawing/2014/main" id="{4F02EFC9-B783-40A3-B173-6A740ECA4C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8" name="AutoShape 1" descr="Vista previa de toda la pantalla">
          <a:extLst>
            <a:ext uri="{FF2B5EF4-FFF2-40B4-BE49-F238E27FC236}">
              <a16:creationId xmlns:a16="http://schemas.microsoft.com/office/drawing/2014/main" id="{2E8D4071-CF70-44EF-ABC8-007F458E3B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" name="AutoShape 1" descr="Vista previa de toda la pantalla">
          <a:extLst>
            <a:ext uri="{FF2B5EF4-FFF2-40B4-BE49-F238E27FC236}">
              <a16:creationId xmlns:a16="http://schemas.microsoft.com/office/drawing/2014/main" id="{8CB43551-3AD4-49E6-8467-5475542280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" name="AutoShape 1" descr="Vista previa de toda la pantalla">
          <a:extLst>
            <a:ext uri="{FF2B5EF4-FFF2-40B4-BE49-F238E27FC236}">
              <a16:creationId xmlns:a16="http://schemas.microsoft.com/office/drawing/2014/main" id="{12813DCE-51EA-4273-930D-3F240EAD5B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" name="AutoShape 1" descr="Vista previa de toda la pantalla">
          <a:extLst>
            <a:ext uri="{FF2B5EF4-FFF2-40B4-BE49-F238E27FC236}">
              <a16:creationId xmlns:a16="http://schemas.microsoft.com/office/drawing/2014/main" id="{DF01AA56-3427-4975-A614-864F2C75E3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" name="AutoShape 1" descr="Vista previa de toda la pantalla">
          <a:extLst>
            <a:ext uri="{FF2B5EF4-FFF2-40B4-BE49-F238E27FC236}">
              <a16:creationId xmlns:a16="http://schemas.microsoft.com/office/drawing/2014/main" id="{CC6CA17E-7A52-4AB9-AA9F-2B46DE1CD6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" name="AutoShape 1" descr="Vista previa de toda la pantalla">
          <a:extLst>
            <a:ext uri="{FF2B5EF4-FFF2-40B4-BE49-F238E27FC236}">
              <a16:creationId xmlns:a16="http://schemas.microsoft.com/office/drawing/2014/main" id="{C4C97219-C451-4279-9A16-279B8DACF1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" name="AutoShape 1" descr="Vista previa de toda la pantalla">
          <a:extLst>
            <a:ext uri="{FF2B5EF4-FFF2-40B4-BE49-F238E27FC236}">
              <a16:creationId xmlns:a16="http://schemas.microsoft.com/office/drawing/2014/main" id="{F815ECC8-23B2-444E-9E1D-58A3321F49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" name="AutoShape 1" descr="Vista previa de toda la pantalla">
          <a:extLst>
            <a:ext uri="{FF2B5EF4-FFF2-40B4-BE49-F238E27FC236}">
              <a16:creationId xmlns:a16="http://schemas.microsoft.com/office/drawing/2014/main" id="{C3E0B01E-91ED-4740-81AB-A2F129E4EC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" name="AutoShape 1" descr="Vista previa de toda la pantalla">
          <a:extLst>
            <a:ext uri="{FF2B5EF4-FFF2-40B4-BE49-F238E27FC236}">
              <a16:creationId xmlns:a16="http://schemas.microsoft.com/office/drawing/2014/main" id="{60C30D94-C302-458C-8A46-F51F3BAE5D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" name="AutoShape 1" descr="Vista previa de toda la pantalla">
          <a:extLst>
            <a:ext uri="{FF2B5EF4-FFF2-40B4-BE49-F238E27FC236}">
              <a16:creationId xmlns:a16="http://schemas.microsoft.com/office/drawing/2014/main" id="{5E5A19DC-5A42-42AA-949F-A170717C49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" name="AutoShape 1" descr="Vista previa de toda la pantalla">
          <a:extLst>
            <a:ext uri="{FF2B5EF4-FFF2-40B4-BE49-F238E27FC236}">
              <a16:creationId xmlns:a16="http://schemas.microsoft.com/office/drawing/2014/main" id="{38AD3288-118F-4564-A2FD-E156C97F8E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" name="AutoShape 1" descr="Vista previa de toda la pantalla">
          <a:extLst>
            <a:ext uri="{FF2B5EF4-FFF2-40B4-BE49-F238E27FC236}">
              <a16:creationId xmlns:a16="http://schemas.microsoft.com/office/drawing/2014/main" id="{BFBBF340-6184-4652-A9C5-7691BEF8F8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" name="AutoShape 1" descr="Vista previa de toda la pantalla">
          <a:extLst>
            <a:ext uri="{FF2B5EF4-FFF2-40B4-BE49-F238E27FC236}">
              <a16:creationId xmlns:a16="http://schemas.microsoft.com/office/drawing/2014/main" id="{F50F6B98-4A43-4225-85A9-BCB17296B3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1" name="AutoShape 1" descr="Vista previa de toda la pantalla">
          <a:extLst>
            <a:ext uri="{FF2B5EF4-FFF2-40B4-BE49-F238E27FC236}">
              <a16:creationId xmlns:a16="http://schemas.microsoft.com/office/drawing/2014/main" id="{1467392E-8B5B-41B1-87DC-0F4E367774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" name="AutoShape 1" descr="Vista previa de toda la pantalla">
          <a:extLst>
            <a:ext uri="{FF2B5EF4-FFF2-40B4-BE49-F238E27FC236}">
              <a16:creationId xmlns:a16="http://schemas.microsoft.com/office/drawing/2014/main" id="{396025EB-5F91-4014-814A-D4BF2CF316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" name="AutoShape 1" descr="Vista previa de toda la pantalla">
          <a:extLst>
            <a:ext uri="{FF2B5EF4-FFF2-40B4-BE49-F238E27FC236}">
              <a16:creationId xmlns:a16="http://schemas.microsoft.com/office/drawing/2014/main" id="{7751ACAA-4C90-4051-BEB1-957E94AD5A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" name="AutoShape 1" descr="Vista previa de toda la pantalla">
          <a:extLst>
            <a:ext uri="{FF2B5EF4-FFF2-40B4-BE49-F238E27FC236}">
              <a16:creationId xmlns:a16="http://schemas.microsoft.com/office/drawing/2014/main" id="{35817D9F-28E1-45D9-8957-A5F447167A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" name="AutoShape 1" descr="Vista previa de toda la pantalla">
          <a:extLst>
            <a:ext uri="{FF2B5EF4-FFF2-40B4-BE49-F238E27FC236}">
              <a16:creationId xmlns:a16="http://schemas.microsoft.com/office/drawing/2014/main" id="{BCAE9DEC-6748-41D8-8645-B30311B5D9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" name="AutoShape 1" descr="Vista previa de toda la pantalla">
          <a:extLst>
            <a:ext uri="{FF2B5EF4-FFF2-40B4-BE49-F238E27FC236}">
              <a16:creationId xmlns:a16="http://schemas.microsoft.com/office/drawing/2014/main" id="{EAB33B96-CE75-427A-A32B-A42FBEC91B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" name="AutoShape 1" descr="Vista previa de toda la pantalla">
          <a:extLst>
            <a:ext uri="{FF2B5EF4-FFF2-40B4-BE49-F238E27FC236}">
              <a16:creationId xmlns:a16="http://schemas.microsoft.com/office/drawing/2014/main" id="{3D9A427F-DB2C-405E-A30B-D5F50439BC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" name="AutoShape 1" descr="Vista previa de toda la pantalla">
          <a:extLst>
            <a:ext uri="{FF2B5EF4-FFF2-40B4-BE49-F238E27FC236}">
              <a16:creationId xmlns:a16="http://schemas.microsoft.com/office/drawing/2014/main" id="{68F32541-15E9-43F5-93E1-60C3ACCEC9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" name="AutoShape 1" descr="Vista previa de toda la pantalla">
          <a:extLst>
            <a:ext uri="{FF2B5EF4-FFF2-40B4-BE49-F238E27FC236}">
              <a16:creationId xmlns:a16="http://schemas.microsoft.com/office/drawing/2014/main" id="{700E0311-5C89-416D-B8A2-AC0F18D118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" name="AutoShape 1" descr="Vista previa de toda la pantalla">
          <a:extLst>
            <a:ext uri="{FF2B5EF4-FFF2-40B4-BE49-F238E27FC236}">
              <a16:creationId xmlns:a16="http://schemas.microsoft.com/office/drawing/2014/main" id="{E672FFF1-016F-43B0-978A-5A9F2118A4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" name="AutoShape 1" descr="Vista previa de toda la pantalla">
          <a:extLst>
            <a:ext uri="{FF2B5EF4-FFF2-40B4-BE49-F238E27FC236}">
              <a16:creationId xmlns:a16="http://schemas.microsoft.com/office/drawing/2014/main" id="{FACC269B-3BB8-4F25-B6A4-C065C6BE99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" name="AutoShape 1" descr="Vista previa de toda la pantalla">
          <a:extLst>
            <a:ext uri="{FF2B5EF4-FFF2-40B4-BE49-F238E27FC236}">
              <a16:creationId xmlns:a16="http://schemas.microsoft.com/office/drawing/2014/main" id="{F77EA68D-7E27-4059-9E12-02F282F1BC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" name="AutoShape 1" descr="Vista previa de toda la pantalla">
          <a:extLst>
            <a:ext uri="{FF2B5EF4-FFF2-40B4-BE49-F238E27FC236}">
              <a16:creationId xmlns:a16="http://schemas.microsoft.com/office/drawing/2014/main" id="{AE1A21F4-D408-4F85-A68C-831EDCDD69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" name="AutoShape 1" descr="Vista previa de toda la pantalla">
          <a:extLst>
            <a:ext uri="{FF2B5EF4-FFF2-40B4-BE49-F238E27FC236}">
              <a16:creationId xmlns:a16="http://schemas.microsoft.com/office/drawing/2014/main" id="{7FF72182-09D8-451A-9833-E7BA23B849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" name="AutoShape 1" descr="Vista previa de toda la pantalla">
          <a:extLst>
            <a:ext uri="{FF2B5EF4-FFF2-40B4-BE49-F238E27FC236}">
              <a16:creationId xmlns:a16="http://schemas.microsoft.com/office/drawing/2014/main" id="{F6693692-4A69-4662-90F6-FA222F1122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" name="AutoShape 1" descr="Vista previa de toda la pantalla">
          <a:extLst>
            <a:ext uri="{FF2B5EF4-FFF2-40B4-BE49-F238E27FC236}">
              <a16:creationId xmlns:a16="http://schemas.microsoft.com/office/drawing/2014/main" id="{9ECE4D88-B296-4082-8872-67EEE40F52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" name="AutoShape 1" descr="Vista previa de toda la pantalla">
          <a:extLst>
            <a:ext uri="{FF2B5EF4-FFF2-40B4-BE49-F238E27FC236}">
              <a16:creationId xmlns:a16="http://schemas.microsoft.com/office/drawing/2014/main" id="{20B635B5-5622-481C-A846-21E836D808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8" name="AutoShape 1" descr="Vista previa de toda la pantalla">
          <a:extLst>
            <a:ext uri="{FF2B5EF4-FFF2-40B4-BE49-F238E27FC236}">
              <a16:creationId xmlns:a16="http://schemas.microsoft.com/office/drawing/2014/main" id="{97574078-F6E4-4D9E-8C78-DF28325A57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" name="AutoShape 1" descr="Vista previa de toda la pantalla">
          <a:extLst>
            <a:ext uri="{FF2B5EF4-FFF2-40B4-BE49-F238E27FC236}">
              <a16:creationId xmlns:a16="http://schemas.microsoft.com/office/drawing/2014/main" id="{1B8C03E6-4E7A-42FB-84F5-19D6BBDAB1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" name="AutoShape 1" descr="Vista previa de toda la pantalla">
          <a:extLst>
            <a:ext uri="{FF2B5EF4-FFF2-40B4-BE49-F238E27FC236}">
              <a16:creationId xmlns:a16="http://schemas.microsoft.com/office/drawing/2014/main" id="{A1EF83D9-E4ED-40EA-9F8A-662C5F7DCD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" name="AutoShape 1" descr="Vista previa de toda la pantalla">
          <a:extLst>
            <a:ext uri="{FF2B5EF4-FFF2-40B4-BE49-F238E27FC236}">
              <a16:creationId xmlns:a16="http://schemas.microsoft.com/office/drawing/2014/main" id="{0B449576-5622-4558-83E8-808AB7C93D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" name="AutoShape 1" descr="Vista previa de toda la pantalla">
          <a:extLst>
            <a:ext uri="{FF2B5EF4-FFF2-40B4-BE49-F238E27FC236}">
              <a16:creationId xmlns:a16="http://schemas.microsoft.com/office/drawing/2014/main" id="{835E9389-D01D-4FDC-863A-25772698D6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" name="AutoShape 1" descr="Vista previa de toda la pantalla">
          <a:extLst>
            <a:ext uri="{FF2B5EF4-FFF2-40B4-BE49-F238E27FC236}">
              <a16:creationId xmlns:a16="http://schemas.microsoft.com/office/drawing/2014/main" id="{7273DB52-9009-4281-8D60-5100C4228C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" name="AutoShape 1" descr="Vista previa de toda la pantalla">
          <a:extLst>
            <a:ext uri="{FF2B5EF4-FFF2-40B4-BE49-F238E27FC236}">
              <a16:creationId xmlns:a16="http://schemas.microsoft.com/office/drawing/2014/main" id="{8CC98A57-0A92-4BA5-B260-3889483DB5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" name="AutoShape 1" descr="Vista previa de toda la pantalla">
          <a:extLst>
            <a:ext uri="{FF2B5EF4-FFF2-40B4-BE49-F238E27FC236}">
              <a16:creationId xmlns:a16="http://schemas.microsoft.com/office/drawing/2014/main" id="{2FA02168-A3DC-47EC-B5B3-0A428D990D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" name="AutoShape 1" descr="Vista previa de toda la pantalla">
          <a:extLst>
            <a:ext uri="{FF2B5EF4-FFF2-40B4-BE49-F238E27FC236}">
              <a16:creationId xmlns:a16="http://schemas.microsoft.com/office/drawing/2014/main" id="{DE246F2C-E62B-4942-9DEF-9C7F92BC1C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" name="AutoShape 1" descr="Vista previa de toda la pantalla">
          <a:extLst>
            <a:ext uri="{FF2B5EF4-FFF2-40B4-BE49-F238E27FC236}">
              <a16:creationId xmlns:a16="http://schemas.microsoft.com/office/drawing/2014/main" id="{E0D51FAE-A770-48DC-AACA-8A2138B2EB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" name="AutoShape 1" descr="Vista previa de toda la pantalla">
          <a:extLst>
            <a:ext uri="{FF2B5EF4-FFF2-40B4-BE49-F238E27FC236}">
              <a16:creationId xmlns:a16="http://schemas.microsoft.com/office/drawing/2014/main" id="{29B2213D-F955-4B9D-BCE1-6B7831CD39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" name="AutoShape 1" descr="Vista previa de toda la pantalla">
          <a:extLst>
            <a:ext uri="{FF2B5EF4-FFF2-40B4-BE49-F238E27FC236}">
              <a16:creationId xmlns:a16="http://schemas.microsoft.com/office/drawing/2014/main" id="{840CB88F-F199-4E02-BE39-8D75C9CF39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" name="AutoShape 1" descr="Vista previa de toda la pantalla">
          <a:extLst>
            <a:ext uri="{FF2B5EF4-FFF2-40B4-BE49-F238E27FC236}">
              <a16:creationId xmlns:a16="http://schemas.microsoft.com/office/drawing/2014/main" id="{D2BA05E4-3925-42FB-A2DA-77DD6AED0A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" name="AutoShape 1" descr="Vista previa de toda la pantalla">
          <a:extLst>
            <a:ext uri="{FF2B5EF4-FFF2-40B4-BE49-F238E27FC236}">
              <a16:creationId xmlns:a16="http://schemas.microsoft.com/office/drawing/2014/main" id="{00CEA8F5-4934-4E0F-92D7-31715D6F59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" name="AutoShape 1" descr="Vista previa de toda la pantalla">
          <a:extLst>
            <a:ext uri="{FF2B5EF4-FFF2-40B4-BE49-F238E27FC236}">
              <a16:creationId xmlns:a16="http://schemas.microsoft.com/office/drawing/2014/main" id="{D042D72F-A57B-434C-837B-30DA8D2E37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" name="AutoShape 1" descr="Vista previa de toda la pantalla">
          <a:extLst>
            <a:ext uri="{FF2B5EF4-FFF2-40B4-BE49-F238E27FC236}">
              <a16:creationId xmlns:a16="http://schemas.microsoft.com/office/drawing/2014/main" id="{56807933-B2B1-4C3E-96A0-3C22CC04CD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" name="AutoShape 1" descr="Vista previa de toda la pantalla">
          <a:extLst>
            <a:ext uri="{FF2B5EF4-FFF2-40B4-BE49-F238E27FC236}">
              <a16:creationId xmlns:a16="http://schemas.microsoft.com/office/drawing/2014/main" id="{0F86FD3C-D244-43EA-9273-0278479268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5" name="AutoShape 1" descr="Vista previa de toda la pantalla">
          <a:extLst>
            <a:ext uri="{FF2B5EF4-FFF2-40B4-BE49-F238E27FC236}">
              <a16:creationId xmlns:a16="http://schemas.microsoft.com/office/drawing/2014/main" id="{A5457106-F767-4D25-8A60-DE468FC7D2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" name="AutoShape 1" descr="Vista previa de toda la pantalla">
          <a:extLst>
            <a:ext uri="{FF2B5EF4-FFF2-40B4-BE49-F238E27FC236}">
              <a16:creationId xmlns:a16="http://schemas.microsoft.com/office/drawing/2014/main" id="{E2A37889-5DCD-447B-9B29-62F2A5CF2A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" name="AutoShape 1" descr="Vista previa de toda la pantalla">
          <a:extLst>
            <a:ext uri="{FF2B5EF4-FFF2-40B4-BE49-F238E27FC236}">
              <a16:creationId xmlns:a16="http://schemas.microsoft.com/office/drawing/2014/main" id="{7B6F171A-1258-417D-8C6B-024B52662B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" name="AutoShape 1" descr="Vista previa de toda la pantalla">
          <a:extLst>
            <a:ext uri="{FF2B5EF4-FFF2-40B4-BE49-F238E27FC236}">
              <a16:creationId xmlns:a16="http://schemas.microsoft.com/office/drawing/2014/main" id="{29698BA7-C1EB-43A1-85F7-CE7828395A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" name="AutoShape 1" descr="Vista previa de toda la pantalla">
          <a:extLst>
            <a:ext uri="{FF2B5EF4-FFF2-40B4-BE49-F238E27FC236}">
              <a16:creationId xmlns:a16="http://schemas.microsoft.com/office/drawing/2014/main" id="{6E5CDD3D-C590-415C-9DC0-0583E73349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" name="AutoShape 1" descr="Vista previa de toda la pantalla">
          <a:extLst>
            <a:ext uri="{FF2B5EF4-FFF2-40B4-BE49-F238E27FC236}">
              <a16:creationId xmlns:a16="http://schemas.microsoft.com/office/drawing/2014/main" id="{154E3E95-AA52-4741-B172-62DB011C63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" name="AutoShape 1" descr="Vista previa de toda la pantalla">
          <a:extLst>
            <a:ext uri="{FF2B5EF4-FFF2-40B4-BE49-F238E27FC236}">
              <a16:creationId xmlns:a16="http://schemas.microsoft.com/office/drawing/2014/main" id="{DC4B1680-63CA-4974-9CB8-99CE7E5713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" name="AutoShape 1" descr="Vista previa de toda la pantalla">
          <a:extLst>
            <a:ext uri="{FF2B5EF4-FFF2-40B4-BE49-F238E27FC236}">
              <a16:creationId xmlns:a16="http://schemas.microsoft.com/office/drawing/2014/main" id="{E1B53378-B45E-49A8-ABFD-0B89B60615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13" name="AutoShape 1" descr="Vista previa de toda la pantalla">
          <a:extLst>
            <a:ext uri="{FF2B5EF4-FFF2-40B4-BE49-F238E27FC236}">
              <a16:creationId xmlns:a16="http://schemas.microsoft.com/office/drawing/2014/main" id="{B97078C2-48EB-4CDC-A37D-786A9544DD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14" name="AutoShape 1" descr="Vista previa de toda la pantalla">
          <a:extLst>
            <a:ext uri="{FF2B5EF4-FFF2-40B4-BE49-F238E27FC236}">
              <a16:creationId xmlns:a16="http://schemas.microsoft.com/office/drawing/2014/main" id="{9A00A835-531B-46AB-8135-9FD1D6F67A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15" name="AutoShape 1" descr="Vista previa de toda la pantalla">
          <a:extLst>
            <a:ext uri="{FF2B5EF4-FFF2-40B4-BE49-F238E27FC236}">
              <a16:creationId xmlns:a16="http://schemas.microsoft.com/office/drawing/2014/main" id="{BEF97128-04E9-4C60-BA1F-A3AE7CE355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16" name="AutoShape 1" descr="Vista previa de toda la pantalla">
          <a:extLst>
            <a:ext uri="{FF2B5EF4-FFF2-40B4-BE49-F238E27FC236}">
              <a16:creationId xmlns:a16="http://schemas.microsoft.com/office/drawing/2014/main" id="{2D662CF7-6851-4EB4-AC95-B5C308A9C9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17" name="AutoShape 1" descr="Vista previa de toda la pantalla">
          <a:extLst>
            <a:ext uri="{FF2B5EF4-FFF2-40B4-BE49-F238E27FC236}">
              <a16:creationId xmlns:a16="http://schemas.microsoft.com/office/drawing/2014/main" id="{0D8D9A28-A4CB-4AD3-90FA-A55F919DA4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18" name="AutoShape 1" descr="Vista previa de toda la pantalla">
          <a:extLst>
            <a:ext uri="{FF2B5EF4-FFF2-40B4-BE49-F238E27FC236}">
              <a16:creationId xmlns:a16="http://schemas.microsoft.com/office/drawing/2014/main" id="{E3D2AC10-DA56-4F0F-BF18-8FB7773994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19" name="AutoShape 1" descr="Vista previa de toda la pantalla">
          <a:extLst>
            <a:ext uri="{FF2B5EF4-FFF2-40B4-BE49-F238E27FC236}">
              <a16:creationId xmlns:a16="http://schemas.microsoft.com/office/drawing/2014/main" id="{84027254-BDD5-4FC2-9EEA-106E4DA7FC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20" name="AutoShape 1" descr="Vista previa de toda la pantalla">
          <a:extLst>
            <a:ext uri="{FF2B5EF4-FFF2-40B4-BE49-F238E27FC236}">
              <a16:creationId xmlns:a16="http://schemas.microsoft.com/office/drawing/2014/main" id="{CF6CCE41-2978-4B69-8747-36F82A1897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21" name="AutoShape 1" descr="Vista previa de toda la pantalla">
          <a:extLst>
            <a:ext uri="{FF2B5EF4-FFF2-40B4-BE49-F238E27FC236}">
              <a16:creationId xmlns:a16="http://schemas.microsoft.com/office/drawing/2014/main" id="{2D0BB94B-3B5C-4960-B278-4FFE0D8EBE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22" name="AutoShape 1" descr="Vista previa de toda la pantalla">
          <a:extLst>
            <a:ext uri="{FF2B5EF4-FFF2-40B4-BE49-F238E27FC236}">
              <a16:creationId xmlns:a16="http://schemas.microsoft.com/office/drawing/2014/main" id="{51348A01-A5D4-4862-BC32-C20C8BC8DA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23" name="AutoShape 1" descr="Vista previa de toda la pantalla">
          <a:extLst>
            <a:ext uri="{FF2B5EF4-FFF2-40B4-BE49-F238E27FC236}">
              <a16:creationId xmlns:a16="http://schemas.microsoft.com/office/drawing/2014/main" id="{5C703732-0906-48D9-A055-91A4189FE0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24" name="AutoShape 1" descr="Vista previa de toda la pantalla">
          <a:extLst>
            <a:ext uri="{FF2B5EF4-FFF2-40B4-BE49-F238E27FC236}">
              <a16:creationId xmlns:a16="http://schemas.microsoft.com/office/drawing/2014/main" id="{03782A00-B0B4-41D8-8D3A-5032466C7A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25" name="AutoShape 1" descr="Vista previa de toda la pantalla">
          <a:extLst>
            <a:ext uri="{FF2B5EF4-FFF2-40B4-BE49-F238E27FC236}">
              <a16:creationId xmlns:a16="http://schemas.microsoft.com/office/drawing/2014/main" id="{61695310-F061-4CBD-B04C-5F24DDA828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326" name="AutoShape 1" descr="Vista previa de toda la pantalla">
          <a:extLst>
            <a:ext uri="{FF2B5EF4-FFF2-40B4-BE49-F238E27FC236}">
              <a16:creationId xmlns:a16="http://schemas.microsoft.com/office/drawing/2014/main" id="{34C467A1-B53B-4541-9553-3DFFAFB593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327" name="AutoShape 1" descr="Vista previa de toda la pantalla">
          <a:extLst>
            <a:ext uri="{FF2B5EF4-FFF2-40B4-BE49-F238E27FC236}">
              <a16:creationId xmlns:a16="http://schemas.microsoft.com/office/drawing/2014/main" id="{BAAC5239-2296-495C-B859-77CC2CFACAE4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" name="AutoShape 1" descr="Vista previa de toda la pantalla">
          <a:extLst>
            <a:ext uri="{FF2B5EF4-FFF2-40B4-BE49-F238E27FC236}">
              <a16:creationId xmlns:a16="http://schemas.microsoft.com/office/drawing/2014/main" id="{D452B695-86F6-4805-84DE-2E8DE211FC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" name="AutoShape 1" descr="Vista previa de toda la pantalla">
          <a:extLst>
            <a:ext uri="{FF2B5EF4-FFF2-40B4-BE49-F238E27FC236}">
              <a16:creationId xmlns:a16="http://schemas.microsoft.com/office/drawing/2014/main" id="{2A828547-E5DC-4136-BE0C-D0140047B6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" name="AutoShape 1" descr="Vista previa de toda la pantalla">
          <a:extLst>
            <a:ext uri="{FF2B5EF4-FFF2-40B4-BE49-F238E27FC236}">
              <a16:creationId xmlns:a16="http://schemas.microsoft.com/office/drawing/2014/main" id="{B338812C-7BF6-4BF4-8F53-F2F467C64D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" name="AutoShape 1" descr="Vista previa de toda la pantalla">
          <a:extLst>
            <a:ext uri="{FF2B5EF4-FFF2-40B4-BE49-F238E27FC236}">
              <a16:creationId xmlns:a16="http://schemas.microsoft.com/office/drawing/2014/main" id="{BD4683CF-785F-44B0-B0F5-7A44F21D4A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" name="AutoShape 1" descr="Vista previa de toda la pantalla">
          <a:extLst>
            <a:ext uri="{FF2B5EF4-FFF2-40B4-BE49-F238E27FC236}">
              <a16:creationId xmlns:a16="http://schemas.microsoft.com/office/drawing/2014/main" id="{7E8CFC80-47DA-45DA-A01B-5B6C3AEAF5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" name="AutoShape 1" descr="Vista previa de toda la pantalla">
          <a:extLst>
            <a:ext uri="{FF2B5EF4-FFF2-40B4-BE49-F238E27FC236}">
              <a16:creationId xmlns:a16="http://schemas.microsoft.com/office/drawing/2014/main" id="{45B3E956-6DC5-4B37-8751-44A04751AD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" name="AutoShape 1" descr="Vista previa de toda la pantalla">
          <a:extLst>
            <a:ext uri="{FF2B5EF4-FFF2-40B4-BE49-F238E27FC236}">
              <a16:creationId xmlns:a16="http://schemas.microsoft.com/office/drawing/2014/main" id="{9118121D-65E4-44F9-9B35-C379C820C4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" name="AutoShape 1" descr="Vista previa de toda la pantalla">
          <a:extLst>
            <a:ext uri="{FF2B5EF4-FFF2-40B4-BE49-F238E27FC236}">
              <a16:creationId xmlns:a16="http://schemas.microsoft.com/office/drawing/2014/main" id="{197BC54F-42F6-4D3C-9F9C-20E7222E32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" name="AutoShape 1" descr="Vista previa de toda la pantalla">
          <a:extLst>
            <a:ext uri="{FF2B5EF4-FFF2-40B4-BE49-F238E27FC236}">
              <a16:creationId xmlns:a16="http://schemas.microsoft.com/office/drawing/2014/main" id="{D71482B2-5744-430B-87D2-CC7B214684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" name="AutoShape 1" descr="Vista previa de toda la pantalla">
          <a:extLst>
            <a:ext uri="{FF2B5EF4-FFF2-40B4-BE49-F238E27FC236}">
              <a16:creationId xmlns:a16="http://schemas.microsoft.com/office/drawing/2014/main" id="{7118013D-DEDE-4328-9C50-8F76F5B86A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8" name="AutoShape 1" descr="Vista previa de toda la pantalla">
          <a:extLst>
            <a:ext uri="{FF2B5EF4-FFF2-40B4-BE49-F238E27FC236}">
              <a16:creationId xmlns:a16="http://schemas.microsoft.com/office/drawing/2014/main" id="{49A1FD31-2B7F-4856-9E6F-06F0C122C7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" name="AutoShape 1" descr="Vista previa de toda la pantalla">
          <a:extLst>
            <a:ext uri="{FF2B5EF4-FFF2-40B4-BE49-F238E27FC236}">
              <a16:creationId xmlns:a16="http://schemas.microsoft.com/office/drawing/2014/main" id="{99AC5B72-27C3-445E-9687-CEF8687B0C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" name="AutoShape 1" descr="Vista previa de toda la pantalla">
          <a:extLst>
            <a:ext uri="{FF2B5EF4-FFF2-40B4-BE49-F238E27FC236}">
              <a16:creationId xmlns:a16="http://schemas.microsoft.com/office/drawing/2014/main" id="{24DBE4E5-F1D8-478E-A037-A810B4811A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" name="AutoShape 1" descr="Vista previa de toda la pantalla">
          <a:extLst>
            <a:ext uri="{FF2B5EF4-FFF2-40B4-BE49-F238E27FC236}">
              <a16:creationId xmlns:a16="http://schemas.microsoft.com/office/drawing/2014/main" id="{4BEB549D-DE32-49BE-95BE-C189AEB389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" name="AutoShape 1" descr="Vista previa de toda la pantalla">
          <a:extLst>
            <a:ext uri="{FF2B5EF4-FFF2-40B4-BE49-F238E27FC236}">
              <a16:creationId xmlns:a16="http://schemas.microsoft.com/office/drawing/2014/main" id="{869F9445-EB04-47EF-B0DC-60A16C150D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" name="AutoShape 1" descr="Vista previa de toda la pantalla">
          <a:extLst>
            <a:ext uri="{FF2B5EF4-FFF2-40B4-BE49-F238E27FC236}">
              <a16:creationId xmlns:a16="http://schemas.microsoft.com/office/drawing/2014/main" id="{84CBF7F2-83D3-43AA-A1B5-FCC6C2E5C3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" name="AutoShape 1" descr="Vista previa de toda la pantalla">
          <a:extLst>
            <a:ext uri="{FF2B5EF4-FFF2-40B4-BE49-F238E27FC236}">
              <a16:creationId xmlns:a16="http://schemas.microsoft.com/office/drawing/2014/main" id="{54CA980D-47E7-4705-8631-319EFEE875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" name="AutoShape 1" descr="Vista previa de toda la pantalla">
          <a:extLst>
            <a:ext uri="{FF2B5EF4-FFF2-40B4-BE49-F238E27FC236}">
              <a16:creationId xmlns:a16="http://schemas.microsoft.com/office/drawing/2014/main" id="{6F7D23B2-0207-4E2D-A813-130FAA5689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" name="AutoShape 1" descr="Vista previa de toda la pantalla">
          <a:extLst>
            <a:ext uri="{FF2B5EF4-FFF2-40B4-BE49-F238E27FC236}">
              <a16:creationId xmlns:a16="http://schemas.microsoft.com/office/drawing/2014/main" id="{F1D8D3CB-DD33-4DE0-A1BA-D91F5161CF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" name="AutoShape 1" descr="Vista previa de toda la pantalla">
          <a:extLst>
            <a:ext uri="{FF2B5EF4-FFF2-40B4-BE49-F238E27FC236}">
              <a16:creationId xmlns:a16="http://schemas.microsoft.com/office/drawing/2014/main" id="{B95AF850-8418-459D-8D62-DF3C366FFC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" name="AutoShape 1" descr="Vista previa de toda la pantalla">
          <a:extLst>
            <a:ext uri="{FF2B5EF4-FFF2-40B4-BE49-F238E27FC236}">
              <a16:creationId xmlns:a16="http://schemas.microsoft.com/office/drawing/2014/main" id="{0554EDF1-AD8D-44E4-A28D-E8D9BC819B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" name="AutoShape 1" descr="Vista previa de toda la pantalla">
          <a:extLst>
            <a:ext uri="{FF2B5EF4-FFF2-40B4-BE49-F238E27FC236}">
              <a16:creationId xmlns:a16="http://schemas.microsoft.com/office/drawing/2014/main" id="{98DA2027-B373-42C7-A619-39E32F22CF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" name="AutoShape 1" descr="Vista previa de toda la pantalla">
          <a:extLst>
            <a:ext uri="{FF2B5EF4-FFF2-40B4-BE49-F238E27FC236}">
              <a16:creationId xmlns:a16="http://schemas.microsoft.com/office/drawing/2014/main" id="{AB94DF26-35BC-467F-896C-D2F73024A5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" name="AutoShape 1" descr="Vista previa de toda la pantalla">
          <a:extLst>
            <a:ext uri="{FF2B5EF4-FFF2-40B4-BE49-F238E27FC236}">
              <a16:creationId xmlns:a16="http://schemas.microsoft.com/office/drawing/2014/main" id="{D3D7D600-411C-48A5-B084-E85F931266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" name="AutoShape 1" descr="Vista previa de toda la pantalla">
          <a:extLst>
            <a:ext uri="{FF2B5EF4-FFF2-40B4-BE49-F238E27FC236}">
              <a16:creationId xmlns:a16="http://schemas.microsoft.com/office/drawing/2014/main" id="{F8155585-BD16-4BD3-BF0E-B5CF3D56BC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" name="AutoShape 1" descr="Vista previa de toda la pantalla">
          <a:extLst>
            <a:ext uri="{FF2B5EF4-FFF2-40B4-BE49-F238E27FC236}">
              <a16:creationId xmlns:a16="http://schemas.microsoft.com/office/drawing/2014/main" id="{BFDC2AD3-44FE-4A0C-833D-73C1CB23C2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" name="AutoShape 1" descr="Vista previa de toda la pantalla">
          <a:extLst>
            <a:ext uri="{FF2B5EF4-FFF2-40B4-BE49-F238E27FC236}">
              <a16:creationId xmlns:a16="http://schemas.microsoft.com/office/drawing/2014/main" id="{649DE850-E536-4956-8E37-3AAE82BE8D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5" name="AutoShape 1" descr="Vista previa de toda la pantalla">
          <a:extLst>
            <a:ext uri="{FF2B5EF4-FFF2-40B4-BE49-F238E27FC236}">
              <a16:creationId xmlns:a16="http://schemas.microsoft.com/office/drawing/2014/main" id="{AB7459E7-51BD-4F02-8406-818451182F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" name="AutoShape 1" descr="Vista previa de toda la pantalla">
          <a:extLst>
            <a:ext uri="{FF2B5EF4-FFF2-40B4-BE49-F238E27FC236}">
              <a16:creationId xmlns:a16="http://schemas.microsoft.com/office/drawing/2014/main" id="{64B111BB-44A9-43E7-AFA1-0C38665078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" name="AutoShape 1" descr="Vista previa de toda la pantalla">
          <a:extLst>
            <a:ext uri="{FF2B5EF4-FFF2-40B4-BE49-F238E27FC236}">
              <a16:creationId xmlns:a16="http://schemas.microsoft.com/office/drawing/2014/main" id="{CA296732-C1A6-430F-9FC9-C9608A00E8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" name="AutoShape 1" descr="Vista previa de toda la pantalla">
          <a:extLst>
            <a:ext uri="{FF2B5EF4-FFF2-40B4-BE49-F238E27FC236}">
              <a16:creationId xmlns:a16="http://schemas.microsoft.com/office/drawing/2014/main" id="{C78BA5F5-C77B-4415-8991-A24C8E9FE6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" name="AutoShape 1" descr="Vista previa de toda la pantalla">
          <a:extLst>
            <a:ext uri="{FF2B5EF4-FFF2-40B4-BE49-F238E27FC236}">
              <a16:creationId xmlns:a16="http://schemas.microsoft.com/office/drawing/2014/main" id="{CC267026-DB94-4B29-BDD8-E3097B2C8C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" name="AutoShape 1" descr="Vista previa de toda la pantalla">
          <a:extLst>
            <a:ext uri="{FF2B5EF4-FFF2-40B4-BE49-F238E27FC236}">
              <a16:creationId xmlns:a16="http://schemas.microsoft.com/office/drawing/2014/main" id="{57D96302-432F-4211-9371-69644BAD22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" name="AutoShape 1" descr="Vista previa de toda la pantalla">
          <a:extLst>
            <a:ext uri="{FF2B5EF4-FFF2-40B4-BE49-F238E27FC236}">
              <a16:creationId xmlns:a16="http://schemas.microsoft.com/office/drawing/2014/main" id="{8ECC9CF0-6FB3-4F95-9F40-F20B174BA7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" name="AutoShape 1" descr="Vista previa de toda la pantalla">
          <a:extLst>
            <a:ext uri="{FF2B5EF4-FFF2-40B4-BE49-F238E27FC236}">
              <a16:creationId xmlns:a16="http://schemas.microsoft.com/office/drawing/2014/main" id="{87820049-13B8-4D82-93A1-7A16FBD193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" name="AutoShape 1" descr="Vista previa de toda la pantalla">
          <a:extLst>
            <a:ext uri="{FF2B5EF4-FFF2-40B4-BE49-F238E27FC236}">
              <a16:creationId xmlns:a16="http://schemas.microsoft.com/office/drawing/2014/main" id="{4034487E-FFFA-4E51-8571-BD97E031A7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" name="AutoShape 1" descr="Vista previa de toda la pantalla">
          <a:extLst>
            <a:ext uri="{FF2B5EF4-FFF2-40B4-BE49-F238E27FC236}">
              <a16:creationId xmlns:a16="http://schemas.microsoft.com/office/drawing/2014/main" id="{400D908E-892E-47B2-A13C-110F746BFC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" name="AutoShape 1" descr="Vista previa de toda la pantalla">
          <a:extLst>
            <a:ext uri="{FF2B5EF4-FFF2-40B4-BE49-F238E27FC236}">
              <a16:creationId xmlns:a16="http://schemas.microsoft.com/office/drawing/2014/main" id="{6BFE24BE-0F06-483F-90AD-4020CCB5D8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" name="AutoShape 1" descr="Vista previa de toda la pantalla">
          <a:extLst>
            <a:ext uri="{FF2B5EF4-FFF2-40B4-BE49-F238E27FC236}">
              <a16:creationId xmlns:a16="http://schemas.microsoft.com/office/drawing/2014/main" id="{E467B051-9F94-4407-BB13-70C4844ACB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" name="AutoShape 1" descr="Vista previa de toda la pantalla">
          <a:extLst>
            <a:ext uri="{FF2B5EF4-FFF2-40B4-BE49-F238E27FC236}">
              <a16:creationId xmlns:a16="http://schemas.microsoft.com/office/drawing/2014/main" id="{2DD046F9-06C5-442B-B1F7-87DC232F2C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" name="AutoShape 1" descr="Vista previa de toda la pantalla">
          <a:extLst>
            <a:ext uri="{FF2B5EF4-FFF2-40B4-BE49-F238E27FC236}">
              <a16:creationId xmlns:a16="http://schemas.microsoft.com/office/drawing/2014/main" id="{59587748-BE29-487E-9BD4-53AB80BB57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" name="AutoShape 1" descr="Vista previa de toda la pantalla">
          <a:extLst>
            <a:ext uri="{FF2B5EF4-FFF2-40B4-BE49-F238E27FC236}">
              <a16:creationId xmlns:a16="http://schemas.microsoft.com/office/drawing/2014/main" id="{3FD4162C-ACBE-4DD2-85E3-401211C7B9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" name="AutoShape 1" descr="Vista previa de toda la pantalla">
          <a:extLst>
            <a:ext uri="{FF2B5EF4-FFF2-40B4-BE49-F238E27FC236}">
              <a16:creationId xmlns:a16="http://schemas.microsoft.com/office/drawing/2014/main" id="{5D85602F-8677-40A6-B72E-05CEBE2209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" name="AutoShape 1" descr="Vista previa de toda la pantalla">
          <a:extLst>
            <a:ext uri="{FF2B5EF4-FFF2-40B4-BE49-F238E27FC236}">
              <a16:creationId xmlns:a16="http://schemas.microsoft.com/office/drawing/2014/main" id="{98309A5C-64AE-4C7B-9CA0-6CEE43F6B4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2" name="AutoShape 1" descr="Vista previa de toda la pantalla">
          <a:extLst>
            <a:ext uri="{FF2B5EF4-FFF2-40B4-BE49-F238E27FC236}">
              <a16:creationId xmlns:a16="http://schemas.microsoft.com/office/drawing/2014/main" id="{544019A9-C506-4F2E-B071-5B0EF71273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" name="AutoShape 1" descr="Vista previa de toda la pantalla">
          <a:extLst>
            <a:ext uri="{FF2B5EF4-FFF2-40B4-BE49-F238E27FC236}">
              <a16:creationId xmlns:a16="http://schemas.microsoft.com/office/drawing/2014/main" id="{7CE67C47-4329-451E-ADBC-AA617C36B5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" name="AutoShape 1" descr="Vista previa de toda la pantalla">
          <a:extLst>
            <a:ext uri="{FF2B5EF4-FFF2-40B4-BE49-F238E27FC236}">
              <a16:creationId xmlns:a16="http://schemas.microsoft.com/office/drawing/2014/main" id="{12F7105A-5FF0-4140-AAB8-C3F80D3FD3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" name="AutoShape 1" descr="Vista previa de toda la pantalla">
          <a:extLst>
            <a:ext uri="{FF2B5EF4-FFF2-40B4-BE49-F238E27FC236}">
              <a16:creationId xmlns:a16="http://schemas.microsoft.com/office/drawing/2014/main" id="{E35E3E21-20C3-4344-8012-4FEC4C09E3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" name="AutoShape 1" descr="Vista previa de toda la pantalla">
          <a:extLst>
            <a:ext uri="{FF2B5EF4-FFF2-40B4-BE49-F238E27FC236}">
              <a16:creationId xmlns:a16="http://schemas.microsoft.com/office/drawing/2014/main" id="{BE7B30A8-1E9B-4522-9F27-97115054DA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" name="AutoShape 1" descr="Vista previa de toda la pantalla">
          <a:extLst>
            <a:ext uri="{FF2B5EF4-FFF2-40B4-BE49-F238E27FC236}">
              <a16:creationId xmlns:a16="http://schemas.microsoft.com/office/drawing/2014/main" id="{BB903018-9D5F-44B8-BECD-0B2EED5249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" name="AutoShape 1" descr="Vista previa de toda la pantalla">
          <a:extLst>
            <a:ext uri="{FF2B5EF4-FFF2-40B4-BE49-F238E27FC236}">
              <a16:creationId xmlns:a16="http://schemas.microsoft.com/office/drawing/2014/main" id="{A226EA2F-0466-4358-A50A-F294C44BE2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" name="AutoShape 1" descr="Vista previa de toda la pantalla">
          <a:extLst>
            <a:ext uri="{FF2B5EF4-FFF2-40B4-BE49-F238E27FC236}">
              <a16:creationId xmlns:a16="http://schemas.microsoft.com/office/drawing/2014/main" id="{30EB074B-A3ED-4F81-B84D-CFAB76FC4C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" name="AutoShape 1" descr="Vista previa de toda la pantalla">
          <a:extLst>
            <a:ext uri="{FF2B5EF4-FFF2-40B4-BE49-F238E27FC236}">
              <a16:creationId xmlns:a16="http://schemas.microsoft.com/office/drawing/2014/main" id="{261C4D67-7097-4963-94E4-C170107A9C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" name="AutoShape 1" descr="Vista previa de toda la pantalla">
          <a:extLst>
            <a:ext uri="{FF2B5EF4-FFF2-40B4-BE49-F238E27FC236}">
              <a16:creationId xmlns:a16="http://schemas.microsoft.com/office/drawing/2014/main" id="{F6A6CE7F-96E2-41C5-A12F-AA4A5F4017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" name="AutoShape 1" descr="Vista previa de toda la pantalla">
          <a:extLst>
            <a:ext uri="{FF2B5EF4-FFF2-40B4-BE49-F238E27FC236}">
              <a16:creationId xmlns:a16="http://schemas.microsoft.com/office/drawing/2014/main" id="{AFAF8ADC-C057-4C5F-9688-01BD1A2FA2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" name="AutoShape 1" descr="Vista previa de toda la pantalla">
          <a:extLst>
            <a:ext uri="{FF2B5EF4-FFF2-40B4-BE49-F238E27FC236}">
              <a16:creationId xmlns:a16="http://schemas.microsoft.com/office/drawing/2014/main" id="{60162852-D952-4859-8CDF-96FD7C3BAD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" name="AutoShape 1" descr="Vista previa de toda la pantalla">
          <a:extLst>
            <a:ext uri="{FF2B5EF4-FFF2-40B4-BE49-F238E27FC236}">
              <a16:creationId xmlns:a16="http://schemas.microsoft.com/office/drawing/2014/main" id="{445AE945-CC7B-414E-987E-C5ACDB8432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" name="AutoShape 1" descr="Vista previa de toda la pantalla">
          <a:extLst>
            <a:ext uri="{FF2B5EF4-FFF2-40B4-BE49-F238E27FC236}">
              <a16:creationId xmlns:a16="http://schemas.microsoft.com/office/drawing/2014/main" id="{4355185A-6C12-49FE-B6C9-A6E4124A7E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" name="AutoShape 1" descr="Vista previa de toda la pantalla">
          <a:extLst>
            <a:ext uri="{FF2B5EF4-FFF2-40B4-BE49-F238E27FC236}">
              <a16:creationId xmlns:a16="http://schemas.microsoft.com/office/drawing/2014/main" id="{32339DD7-CC95-4E81-9915-F92DFC671D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" name="AutoShape 1" descr="Vista previa de toda la pantalla">
          <a:extLst>
            <a:ext uri="{FF2B5EF4-FFF2-40B4-BE49-F238E27FC236}">
              <a16:creationId xmlns:a16="http://schemas.microsoft.com/office/drawing/2014/main" id="{36FD0D95-7A41-4974-A5BF-CADA3245AC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" name="AutoShape 1" descr="Vista previa de toda la pantalla">
          <a:extLst>
            <a:ext uri="{FF2B5EF4-FFF2-40B4-BE49-F238E27FC236}">
              <a16:creationId xmlns:a16="http://schemas.microsoft.com/office/drawing/2014/main" id="{E31CB532-ACA6-44E4-B677-E30406EBE6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" name="AutoShape 1" descr="Vista previa de toda la pantalla">
          <a:extLst>
            <a:ext uri="{FF2B5EF4-FFF2-40B4-BE49-F238E27FC236}">
              <a16:creationId xmlns:a16="http://schemas.microsoft.com/office/drawing/2014/main" id="{72A394FC-C03D-46AF-9E58-536F0AA656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" name="AutoShape 1" descr="Vista previa de toda la pantalla">
          <a:extLst>
            <a:ext uri="{FF2B5EF4-FFF2-40B4-BE49-F238E27FC236}">
              <a16:creationId xmlns:a16="http://schemas.microsoft.com/office/drawing/2014/main" id="{0FCD17BA-C1FC-41C7-B3BE-21FB9776C0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" name="AutoShape 1" descr="Vista previa de toda la pantalla">
          <a:extLst>
            <a:ext uri="{FF2B5EF4-FFF2-40B4-BE49-F238E27FC236}">
              <a16:creationId xmlns:a16="http://schemas.microsoft.com/office/drawing/2014/main" id="{7C99EB32-4834-421C-A4B0-FE8405BD09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" name="AutoShape 1" descr="Vista previa de toda la pantalla">
          <a:extLst>
            <a:ext uri="{FF2B5EF4-FFF2-40B4-BE49-F238E27FC236}">
              <a16:creationId xmlns:a16="http://schemas.microsoft.com/office/drawing/2014/main" id="{12FE0687-856B-4976-8CA4-0D0131EE80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" name="AutoShape 1" descr="Vista previa de toda la pantalla">
          <a:extLst>
            <a:ext uri="{FF2B5EF4-FFF2-40B4-BE49-F238E27FC236}">
              <a16:creationId xmlns:a16="http://schemas.microsoft.com/office/drawing/2014/main" id="{95824955-8365-40BA-841C-59EA451215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" name="AutoShape 1" descr="Vista previa de toda la pantalla">
          <a:extLst>
            <a:ext uri="{FF2B5EF4-FFF2-40B4-BE49-F238E27FC236}">
              <a16:creationId xmlns:a16="http://schemas.microsoft.com/office/drawing/2014/main" id="{222A58DD-5BD3-4DF4-B572-1430C57601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" name="AutoShape 1" descr="Vista previa de toda la pantalla">
          <a:extLst>
            <a:ext uri="{FF2B5EF4-FFF2-40B4-BE49-F238E27FC236}">
              <a16:creationId xmlns:a16="http://schemas.microsoft.com/office/drawing/2014/main" id="{5948B492-166D-45BA-B344-CB6CDDA27F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" name="AutoShape 1" descr="Vista previa de toda la pantalla">
          <a:extLst>
            <a:ext uri="{FF2B5EF4-FFF2-40B4-BE49-F238E27FC236}">
              <a16:creationId xmlns:a16="http://schemas.microsoft.com/office/drawing/2014/main" id="{DEC67648-F6A2-498E-8527-E8DD1037E1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" name="AutoShape 1" descr="Vista previa de toda la pantalla">
          <a:extLst>
            <a:ext uri="{FF2B5EF4-FFF2-40B4-BE49-F238E27FC236}">
              <a16:creationId xmlns:a16="http://schemas.microsoft.com/office/drawing/2014/main" id="{206D1199-B237-41A1-844F-C70964D4A0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" name="AutoShape 1" descr="Vista previa de toda la pantalla">
          <a:extLst>
            <a:ext uri="{FF2B5EF4-FFF2-40B4-BE49-F238E27FC236}">
              <a16:creationId xmlns:a16="http://schemas.microsoft.com/office/drawing/2014/main" id="{B47E11F0-6693-4776-9BEE-7396C6ECF9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" name="AutoShape 1" descr="Vista previa de toda la pantalla">
          <a:extLst>
            <a:ext uri="{FF2B5EF4-FFF2-40B4-BE49-F238E27FC236}">
              <a16:creationId xmlns:a16="http://schemas.microsoft.com/office/drawing/2014/main" id="{58171E55-7D68-4C78-8F0C-2B6059BA97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" name="AutoShape 1" descr="Vista previa de toda la pantalla">
          <a:extLst>
            <a:ext uri="{FF2B5EF4-FFF2-40B4-BE49-F238E27FC236}">
              <a16:creationId xmlns:a16="http://schemas.microsoft.com/office/drawing/2014/main" id="{4AC0807E-EF6B-4600-9C96-DF68507406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" name="AutoShape 1" descr="Vista previa de toda la pantalla">
          <a:extLst>
            <a:ext uri="{FF2B5EF4-FFF2-40B4-BE49-F238E27FC236}">
              <a16:creationId xmlns:a16="http://schemas.microsoft.com/office/drawing/2014/main" id="{EE1454BB-6931-46C7-B7C5-441E7DB73C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" name="AutoShape 1" descr="Vista previa de toda la pantalla">
          <a:extLst>
            <a:ext uri="{FF2B5EF4-FFF2-40B4-BE49-F238E27FC236}">
              <a16:creationId xmlns:a16="http://schemas.microsoft.com/office/drawing/2014/main" id="{E902CC7D-A371-4D3D-A9E7-A69BA061D7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" name="AutoShape 1" descr="Vista previa de toda la pantalla">
          <a:extLst>
            <a:ext uri="{FF2B5EF4-FFF2-40B4-BE49-F238E27FC236}">
              <a16:creationId xmlns:a16="http://schemas.microsoft.com/office/drawing/2014/main" id="{F2E99F86-2E05-4630-ABF3-0FA3D2B9F9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" name="AutoShape 1" descr="Vista previa de toda la pantalla">
          <a:extLst>
            <a:ext uri="{FF2B5EF4-FFF2-40B4-BE49-F238E27FC236}">
              <a16:creationId xmlns:a16="http://schemas.microsoft.com/office/drawing/2014/main" id="{60AA45CE-5F02-48C3-BE22-3BABE472FB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" name="AutoShape 1" descr="Vista previa de toda la pantalla">
          <a:extLst>
            <a:ext uri="{FF2B5EF4-FFF2-40B4-BE49-F238E27FC236}">
              <a16:creationId xmlns:a16="http://schemas.microsoft.com/office/drawing/2014/main" id="{7CF9133C-54D8-4458-8301-8033F7CD82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6" name="AutoShape 1" descr="Vista previa de toda la pantalla">
          <a:extLst>
            <a:ext uri="{FF2B5EF4-FFF2-40B4-BE49-F238E27FC236}">
              <a16:creationId xmlns:a16="http://schemas.microsoft.com/office/drawing/2014/main" id="{CB038033-3787-4845-B8B9-B59239299C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" name="AutoShape 1" descr="Vista previa de toda la pantalla">
          <a:extLst>
            <a:ext uri="{FF2B5EF4-FFF2-40B4-BE49-F238E27FC236}">
              <a16:creationId xmlns:a16="http://schemas.microsoft.com/office/drawing/2014/main" id="{2166F8AC-A66F-4322-9B9F-99F4BA6520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" name="AutoShape 1" descr="Vista previa de toda la pantalla">
          <a:extLst>
            <a:ext uri="{FF2B5EF4-FFF2-40B4-BE49-F238E27FC236}">
              <a16:creationId xmlns:a16="http://schemas.microsoft.com/office/drawing/2014/main" id="{A78B1F40-E0D7-4751-89DB-32F8049401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" name="AutoShape 1" descr="Vista previa de toda la pantalla">
          <a:extLst>
            <a:ext uri="{FF2B5EF4-FFF2-40B4-BE49-F238E27FC236}">
              <a16:creationId xmlns:a16="http://schemas.microsoft.com/office/drawing/2014/main" id="{CF830B8E-05BF-4E97-AD9C-A8A76FFD60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" name="AutoShape 1" descr="Vista previa de toda la pantalla">
          <a:extLst>
            <a:ext uri="{FF2B5EF4-FFF2-40B4-BE49-F238E27FC236}">
              <a16:creationId xmlns:a16="http://schemas.microsoft.com/office/drawing/2014/main" id="{C023515F-9884-4A48-BC90-428F1DEBE8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" name="AutoShape 1" descr="Vista previa de toda la pantalla">
          <a:extLst>
            <a:ext uri="{FF2B5EF4-FFF2-40B4-BE49-F238E27FC236}">
              <a16:creationId xmlns:a16="http://schemas.microsoft.com/office/drawing/2014/main" id="{9DDB10D4-60A1-4965-90B9-94FB2787C4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" name="AutoShape 1" descr="Vista previa de toda la pantalla">
          <a:extLst>
            <a:ext uri="{FF2B5EF4-FFF2-40B4-BE49-F238E27FC236}">
              <a16:creationId xmlns:a16="http://schemas.microsoft.com/office/drawing/2014/main" id="{29D04F37-098F-4491-A843-F8C26B9CBA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" name="AutoShape 1" descr="Vista previa de toda la pantalla">
          <a:extLst>
            <a:ext uri="{FF2B5EF4-FFF2-40B4-BE49-F238E27FC236}">
              <a16:creationId xmlns:a16="http://schemas.microsoft.com/office/drawing/2014/main" id="{54ED53C7-E262-4A02-8225-A4AAC54DE7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" name="AutoShape 1" descr="Vista previa de toda la pantalla">
          <a:extLst>
            <a:ext uri="{FF2B5EF4-FFF2-40B4-BE49-F238E27FC236}">
              <a16:creationId xmlns:a16="http://schemas.microsoft.com/office/drawing/2014/main" id="{625364A3-B791-41E1-9F11-42EA4D1168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" name="AutoShape 1" descr="Vista previa de toda la pantalla">
          <a:extLst>
            <a:ext uri="{FF2B5EF4-FFF2-40B4-BE49-F238E27FC236}">
              <a16:creationId xmlns:a16="http://schemas.microsoft.com/office/drawing/2014/main" id="{3B86B787-518C-4B91-B6DA-57125189B7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" name="AutoShape 1" descr="Vista previa de toda la pantalla">
          <a:extLst>
            <a:ext uri="{FF2B5EF4-FFF2-40B4-BE49-F238E27FC236}">
              <a16:creationId xmlns:a16="http://schemas.microsoft.com/office/drawing/2014/main" id="{F0E5865E-D48F-4465-93C1-AF8C6BF395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" name="AutoShape 1" descr="Vista previa de toda la pantalla">
          <a:extLst>
            <a:ext uri="{FF2B5EF4-FFF2-40B4-BE49-F238E27FC236}">
              <a16:creationId xmlns:a16="http://schemas.microsoft.com/office/drawing/2014/main" id="{26EB8E92-27AE-4785-B37E-37775A23FA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" name="AutoShape 1" descr="Vista previa de toda la pantalla">
          <a:extLst>
            <a:ext uri="{FF2B5EF4-FFF2-40B4-BE49-F238E27FC236}">
              <a16:creationId xmlns:a16="http://schemas.microsoft.com/office/drawing/2014/main" id="{29199D10-14B7-418B-9849-AAD271ED25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" name="AutoShape 1" descr="Vista previa de toda la pantalla">
          <a:extLst>
            <a:ext uri="{FF2B5EF4-FFF2-40B4-BE49-F238E27FC236}">
              <a16:creationId xmlns:a16="http://schemas.microsoft.com/office/drawing/2014/main" id="{74C1C382-0370-45C5-8E75-9600AEC447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" name="AutoShape 1" descr="Vista previa de toda la pantalla">
          <a:extLst>
            <a:ext uri="{FF2B5EF4-FFF2-40B4-BE49-F238E27FC236}">
              <a16:creationId xmlns:a16="http://schemas.microsoft.com/office/drawing/2014/main" id="{4378BAFB-6282-49F5-98E4-8FE9D896F1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" name="AutoShape 1" descr="Vista previa de toda la pantalla">
          <a:extLst>
            <a:ext uri="{FF2B5EF4-FFF2-40B4-BE49-F238E27FC236}">
              <a16:creationId xmlns:a16="http://schemas.microsoft.com/office/drawing/2014/main" id="{D6FD9BF5-1ED9-42C9-99A3-F118DC83A3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" name="AutoShape 1" descr="Vista previa de toda la pantalla">
          <a:extLst>
            <a:ext uri="{FF2B5EF4-FFF2-40B4-BE49-F238E27FC236}">
              <a16:creationId xmlns:a16="http://schemas.microsoft.com/office/drawing/2014/main" id="{55BA91E8-0BBF-4648-A98C-32311928CD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3" name="AutoShape 1" descr="Vista previa de toda la pantalla">
          <a:extLst>
            <a:ext uri="{FF2B5EF4-FFF2-40B4-BE49-F238E27FC236}">
              <a16:creationId xmlns:a16="http://schemas.microsoft.com/office/drawing/2014/main" id="{AAD5762B-3A0B-4BDD-876D-F6B0EDE9C2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" name="AutoShape 1" descr="Vista previa de toda la pantalla">
          <a:extLst>
            <a:ext uri="{FF2B5EF4-FFF2-40B4-BE49-F238E27FC236}">
              <a16:creationId xmlns:a16="http://schemas.microsoft.com/office/drawing/2014/main" id="{3F955C5F-B3C2-456B-AFD7-55749FEB85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" name="AutoShape 1" descr="Vista previa de toda la pantalla">
          <a:extLst>
            <a:ext uri="{FF2B5EF4-FFF2-40B4-BE49-F238E27FC236}">
              <a16:creationId xmlns:a16="http://schemas.microsoft.com/office/drawing/2014/main" id="{26301669-2603-4C62-9C8C-D13EA5D14E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" name="AutoShape 1" descr="Vista previa de toda la pantalla">
          <a:extLst>
            <a:ext uri="{FF2B5EF4-FFF2-40B4-BE49-F238E27FC236}">
              <a16:creationId xmlns:a16="http://schemas.microsoft.com/office/drawing/2014/main" id="{584EDC79-BD5C-448E-BB8E-1123635EFE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" name="AutoShape 1" descr="Vista previa de toda la pantalla">
          <a:extLst>
            <a:ext uri="{FF2B5EF4-FFF2-40B4-BE49-F238E27FC236}">
              <a16:creationId xmlns:a16="http://schemas.microsoft.com/office/drawing/2014/main" id="{44CAB355-C4CA-4373-97F7-2765B0CAD7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" name="AutoShape 1" descr="Vista previa de toda la pantalla">
          <a:extLst>
            <a:ext uri="{FF2B5EF4-FFF2-40B4-BE49-F238E27FC236}">
              <a16:creationId xmlns:a16="http://schemas.microsoft.com/office/drawing/2014/main" id="{2FE50EE3-3016-4EB8-B368-CEFC326128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" name="AutoShape 1" descr="Vista previa de toda la pantalla">
          <a:extLst>
            <a:ext uri="{FF2B5EF4-FFF2-40B4-BE49-F238E27FC236}">
              <a16:creationId xmlns:a16="http://schemas.microsoft.com/office/drawing/2014/main" id="{81D97AEA-D0E6-4B32-8540-BA64720789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" name="AutoShape 1" descr="Vista previa de toda la pantalla">
          <a:extLst>
            <a:ext uri="{FF2B5EF4-FFF2-40B4-BE49-F238E27FC236}">
              <a16:creationId xmlns:a16="http://schemas.microsoft.com/office/drawing/2014/main" id="{81E558FF-F3B8-4528-A910-797CAD0ADD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" name="AutoShape 1" descr="Vista previa de toda la pantalla">
          <a:extLst>
            <a:ext uri="{FF2B5EF4-FFF2-40B4-BE49-F238E27FC236}">
              <a16:creationId xmlns:a16="http://schemas.microsoft.com/office/drawing/2014/main" id="{202505C7-EB1D-48EF-B142-DF4F811BEB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" name="AutoShape 1" descr="Vista previa de toda la pantalla">
          <a:extLst>
            <a:ext uri="{FF2B5EF4-FFF2-40B4-BE49-F238E27FC236}">
              <a16:creationId xmlns:a16="http://schemas.microsoft.com/office/drawing/2014/main" id="{738646AE-2FE7-4636-BACC-3972DD6B0D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" name="AutoShape 1" descr="Vista previa de toda la pantalla">
          <a:extLst>
            <a:ext uri="{FF2B5EF4-FFF2-40B4-BE49-F238E27FC236}">
              <a16:creationId xmlns:a16="http://schemas.microsoft.com/office/drawing/2014/main" id="{2700E9E6-EA9C-4877-A38F-2E07E4D94D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" name="AutoShape 1" descr="Vista previa de toda la pantalla">
          <a:extLst>
            <a:ext uri="{FF2B5EF4-FFF2-40B4-BE49-F238E27FC236}">
              <a16:creationId xmlns:a16="http://schemas.microsoft.com/office/drawing/2014/main" id="{AE0DB480-515C-4E0C-AFCD-890C6DACFE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" name="AutoShape 1" descr="Vista previa de toda la pantalla">
          <a:extLst>
            <a:ext uri="{FF2B5EF4-FFF2-40B4-BE49-F238E27FC236}">
              <a16:creationId xmlns:a16="http://schemas.microsoft.com/office/drawing/2014/main" id="{FF94CE78-439E-4A02-A7F4-5454F91E7C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" name="AutoShape 1" descr="Vista previa de toda la pantalla">
          <a:extLst>
            <a:ext uri="{FF2B5EF4-FFF2-40B4-BE49-F238E27FC236}">
              <a16:creationId xmlns:a16="http://schemas.microsoft.com/office/drawing/2014/main" id="{63533671-A26C-4B76-91D2-9C48BD6EB4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" name="AutoShape 1" descr="Vista previa de toda la pantalla">
          <a:extLst>
            <a:ext uri="{FF2B5EF4-FFF2-40B4-BE49-F238E27FC236}">
              <a16:creationId xmlns:a16="http://schemas.microsoft.com/office/drawing/2014/main" id="{3D787799-0790-4935-B734-4D3BEEFE84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" name="AutoShape 1" descr="Vista previa de toda la pantalla">
          <a:extLst>
            <a:ext uri="{FF2B5EF4-FFF2-40B4-BE49-F238E27FC236}">
              <a16:creationId xmlns:a16="http://schemas.microsoft.com/office/drawing/2014/main" id="{8C3486B7-D37C-4EC5-8090-73521805C9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" name="AutoShape 1" descr="Vista previa de toda la pantalla">
          <a:extLst>
            <a:ext uri="{FF2B5EF4-FFF2-40B4-BE49-F238E27FC236}">
              <a16:creationId xmlns:a16="http://schemas.microsoft.com/office/drawing/2014/main" id="{3F705A26-7F46-416A-88AA-5F8A64D93D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0" name="AutoShape 1" descr="Vista previa de toda la pantalla">
          <a:extLst>
            <a:ext uri="{FF2B5EF4-FFF2-40B4-BE49-F238E27FC236}">
              <a16:creationId xmlns:a16="http://schemas.microsoft.com/office/drawing/2014/main" id="{D1EE1BD5-D88F-45DE-BB0C-1187F095E6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" name="AutoShape 1" descr="Vista previa de toda la pantalla">
          <a:extLst>
            <a:ext uri="{FF2B5EF4-FFF2-40B4-BE49-F238E27FC236}">
              <a16:creationId xmlns:a16="http://schemas.microsoft.com/office/drawing/2014/main" id="{E785DF06-37F2-429C-A542-8C41FA4620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" name="AutoShape 1" descr="Vista previa de toda la pantalla">
          <a:extLst>
            <a:ext uri="{FF2B5EF4-FFF2-40B4-BE49-F238E27FC236}">
              <a16:creationId xmlns:a16="http://schemas.microsoft.com/office/drawing/2014/main" id="{A5B56574-5DF2-49AD-91F7-FF78EA5F38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" name="AutoShape 1" descr="Vista previa de toda la pantalla">
          <a:extLst>
            <a:ext uri="{FF2B5EF4-FFF2-40B4-BE49-F238E27FC236}">
              <a16:creationId xmlns:a16="http://schemas.microsoft.com/office/drawing/2014/main" id="{8922F107-DDB2-47D3-AE9F-FA88973D34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" name="AutoShape 1" descr="Vista previa de toda la pantalla">
          <a:extLst>
            <a:ext uri="{FF2B5EF4-FFF2-40B4-BE49-F238E27FC236}">
              <a16:creationId xmlns:a16="http://schemas.microsoft.com/office/drawing/2014/main" id="{3338F9CA-F273-4913-AED0-F66910AAEC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" name="AutoShape 1" descr="Vista previa de toda la pantalla">
          <a:extLst>
            <a:ext uri="{FF2B5EF4-FFF2-40B4-BE49-F238E27FC236}">
              <a16:creationId xmlns:a16="http://schemas.microsoft.com/office/drawing/2014/main" id="{594B14E7-5E32-467F-93AD-9F8EFA2D13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" name="AutoShape 1" descr="Vista previa de toda la pantalla">
          <a:extLst>
            <a:ext uri="{FF2B5EF4-FFF2-40B4-BE49-F238E27FC236}">
              <a16:creationId xmlns:a16="http://schemas.microsoft.com/office/drawing/2014/main" id="{59CA96C6-C890-45BF-8F7B-C07ECE1033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" name="AutoShape 1" descr="Vista previa de toda la pantalla">
          <a:extLst>
            <a:ext uri="{FF2B5EF4-FFF2-40B4-BE49-F238E27FC236}">
              <a16:creationId xmlns:a16="http://schemas.microsoft.com/office/drawing/2014/main" id="{A7310C81-78DC-42A9-9739-1CB8074904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" name="AutoShape 1" descr="Vista previa de toda la pantalla">
          <a:extLst>
            <a:ext uri="{FF2B5EF4-FFF2-40B4-BE49-F238E27FC236}">
              <a16:creationId xmlns:a16="http://schemas.microsoft.com/office/drawing/2014/main" id="{DDE07A01-C2B5-4775-968B-3E92C7E023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" name="AutoShape 1" descr="Vista previa de toda la pantalla">
          <a:extLst>
            <a:ext uri="{FF2B5EF4-FFF2-40B4-BE49-F238E27FC236}">
              <a16:creationId xmlns:a16="http://schemas.microsoft.com/office/drawing/2014/main" id="{6DD0F000-AD29-4D74-9F4F-41B94ABB0D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" name="AutoShape 1" descr="Vista previa de toda la pantalla">
          <a:extLst>
            <a:ext uri="{FF2B5EF4-FFF2-40B4-BE49-F238E27FC236}">
              <a16:creationId xmlns:a16="http://schemas.microsoft.com/office/drawing/2014/main" id="{30DCA205-F3C1-4C0B-A8CC-EBCF3064F0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" name="AutoShape 1" descr="Vista previa de toda la pantalla">
          <a:extLst>
            <a:ext uri="{FF2B5EF4-FFF2-40B4-BE49-F238E27FC236}">
              <a16:creationId xmlns:a16="http://schemas.microsoft.com/office/drawing/2014/main" id="{2934815D-53B7-4DDF-8953-C7BC5EC394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" name="AutoShape 1" descr="Vista previa de toda la pantalla">
          <a:extLst>
            <a:ext uri="{FF2B5EF4-FFF2-40B4-BE49-F238E27FC236}">
              <a16:creationId xmlns:a16="http://schemas.microsoft.com/office/drawing/2014/main" id="{27822457-9528-4B50-8524-8C5FB76579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" name="AutoShape 1" descr="Vista previa de toda la pantalla">
          <a:extLst>
            <a:ext uri="{FF2B5EF4-FFF2-40B4-BE49-F238E27FC236}">
              <a16:creationId xmlns:a16="http://schemas.microsoft.com/office/drawing/2014/main" id="{1152D973-C80C-4B41-891A-6E4FF089B9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" name="AutoShape 1" descr="Vista previa de toda la pantalla">
          <a:extLst>
            <a:ext uri="{FF2B5EF4-FFF2-40B4-BE49-F238E27FC236}">
              <a16:creationId xmlns:a16="http://schemas.microsoft.com/office/drawing/2014/main" id="{8B9033B2-FC60-41B2-8158-7CA9E53B99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" name="AutoShape 1" descr="Vista previa de toda la pantalla">
          <a:extLst>
            <a:ext uri="{FF2B5EF4-FFF2-40B4-BE49-F238E27FC236}">
              <a16:creationId xmlns:a16="http://schemas.microsoft.com/office/drawing/2014/main" id="{50A74EF0-5A9F-4F09-9503-66F6C92A4F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" name="AutoShape 1" descr="Vista previa de toda la pantalla">
          <a:extLst>
            <a:ext uri="{FF2B5EF4-FFF2-40B4-BE49-F238E27FC236}">
              <a16:creationId xmlns:a16="http://schemas.microsoft.com/office/drawing/2014/main" id="{92A7813D-9360-46AE-9D4B-ED4EA5CA19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" name="AutoShape 1" descr="Vista previa de toda la pantalla">
          <a:extLst>
            <a:ext uri="{FF2B5EF4-FFF2-40B4-BE49-F238E27FC236}">
              <a16:creationId xmlns:a16="http://schemas.microsoft.com/office/drawing/2014/main" id="{F53CE155-2359-4DAA-AF85-0A131D834B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" name="AutoShape 1" descr="Vista previa de toda la pantalla">
          <a:extLst>
            <a:ext uri="{FF2B5EF4-FFF2-40B4-BE49-F238E27FC236}">
              <a16:creationId xmlns:a16="http://schemas.microsoft.com/office/drawing/2014/main" id="{6082377E-3ECA-46B4-99FB-5F81C9C2BD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" name="AutoShape 1" descr="Vista previa de toda la pantalla">
          <a:extLst>
            <a:ext uri="{FF2B5EF4-FFF2-40B4-BE49-F238E27FC236}">
              <a16:creationId xmlns:a16="http://schemas.microsoft.com/office/drawing/2014/main" id="{6EB889A0-6080-430A-8234-9032750B57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" name="AutoShape 1" descr="Vista previa de toda la pantalla">
          <a:extLst>
            <a:ext uri="{FF2B5EF4-FFF2-40B4-BE49-F238E27FC236}">
              <a16:creationId xmlns:a16="http://schemas.microsoft.com/office/drawing/2014/main" id="{ADFA3338-B3AE-4E16-81BC-2A7F82CD0C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" name="AutoShape 1" descr="Vista previa de toda la pantalla">
          <a:extLst>
            <a:ext uri="{FF2B5EF4-FFF2-40B4-BE49-F238E27FC236}">
              <a16:creationId xmlns:a16="http://schemas.microsoft.com/office/drawing/2014/main" id="{C7801983-CD6C-43B4-84B5-12819BF611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" name="AutoShape 1" descr="Vista previa de toda la pantalla">
          <a:extLst>
            <a:ext uri="{FF2B5EF4-FFF2-40B4-BE49-F238E27FC236}">
              <a16:creationId xmlns:a16="http://schemas.microsoft.com/office/drawing/2014/main" id="{DB72EDC3-F66E-4A77-A604-7CF04A7950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" name="AutoShape 1" descr="Vista previa de toda la pantalla">
          <a:extLst>
            <a:ext uri="{FF2B5EF4-FFF2-40B4-BE49-F238E27FC236}">
              <a16:creationId xmlns:a16="http://schemas.microsoft.com/office/drawing/2014/main" id="{5C450F2A-778F-425F-BB0F-E646C0F254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" name="AutoShape 1" descr="Vista previa de toda la pantalla">
          <a:extLst>
            <a:ext uri="{FF2B5EF4-FFF2-40B4-BE49-F238E27FC236}">
              <a16:creationId xmlns:a16="http://schemas.microsoft.com/office/drawing/2014/main" id="{0B3B9DF4-7EC7-41BF-99FD-54D05B3774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" name="AutoShape 1" descr="Vista previa de toda la pantalla">
          <a:extLst>
            <a:ext uri="{FF2B5EF4-FFF2-40B4-BE49-F238E27FC236}">
              <a16:creationId xmlns:a16="http://schemas.microsoft.com/office/drawing/2014/main" id="{3B28DFFC-06D3-46FC-91A9-FBFD67F289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" name="AutoShape 1" descr="Vista previa de toda la pantalla">
          <a:extLst>
            <a:ext uri="{FF2B5EF4-FFF2-40B4-BE49-F238E27FC236}">
              <a16:creationId xmlns:a16="http://schemas.microsoft.com/office/drawing/2014/main" id="{8AC3C677-1A19-4B76-B05F-933002CF9C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" name="AutoShape 1" descr="Vista previa de toda la pantalla">
          <a:extLst>
            <a:ext uri="{FF2B5EF4-FFF2-40B4-BE49-F238E27FC236}">
              <a16:creationId xmlns:a16="http://schemas.microsoft.com/office/drawing/2014/main" id="{B7AE0475-3239-48CB-A46E-E0876BA5B0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" name="AutoShape 1" descr="Vista previa de toda la pantalla">
          <a:extLst>
            <a:ext uri="{FF2B5EF4-FFF2-40B4-BE49-F238E27FC236}">
              <a16:creationId xmlns:a16="http://schemas.microsoft.com/office/drawing/2014/main" id="{0020F784-15D2-480A-A792-6FA21220D1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" name="AutoShape 1" descr="Vista previa de toda la pantalla">
          <a:extLst>
            <a:ext uri="{FF2B5EF4-FFF2-40B4-BE49-F238E27FC236}">
              <a16:creationId xmlns:a16="http://schemas.microsoft.com/office/drawing/2014/main" id="{12485E12-F8ED-4162-8F0A-BBCF0A8E8A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" name="AutoShape 1" descr="Vista previa de toda la pantalla">
          <a:extLst>
            <a:ext uri="{FF2B5EF4-FFF2-40B4-BE49-F238E27FC236}">
              <a16:creationId xmlns:a16="http://schemas.microsoft.com/office/drawing/2014/main" id="{440E8CEC-74E4-440B-9E6A-4894F63FB1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" name="AutoShape 1" descr="Vista previa de toda la pantalla">
          <a:extLst>
            <a:ext uri="{FF2B5EF4-FFF2-40B4-BE49-F238E27FC236}">
              <a16:creationId xmlns:a16="http://schemas.microsoft.com/office/drawing/2014/main" id="{E850ADE0-EA77-4C43-A589-9AC908D847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" name="AutoShape 1" descr="Vista previa de toda la pantalla">
          <a:extLst>
            <a:ext uri="{FF2B5EF4-FFF2-40B4-BE49-F238E27FC236}">
              <a16:creationId xmlns:a16="http://schemas.microsoft.com/office/drawing/2014/main" id="{81F8078F-925C-4E21-BC13-14ABA2AC5D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3" name="AutoShape 1" descr="Vista previa de toda la pantalla">
          <a:extLst>
            <a:ext uri="{FF2B5EF4-FFF2-40B4-BE49-F238E27FC236}">
              <a16:creationId xmlns:a16="http://schemas.microsoft.com/office/drawing/2014/main" id="{F30DCA5A-DA58-4EB3-A41E-B1D239020B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" name="AutoShape 1" descr="Vista previa de toda la pantalla">
          <a:extLst>
            <a:ext uri="{FF2B5EF4-FFF2-40B4-BE49-F238E27FC236}">
              <a16:creationId xmlns:a16="http://schemas.microsoft.com/office/drawing/2014/main" id="{76BF7FF8-645E-4F67-A6F6-8068B5D7AC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" name="AutoShape 1" descr="Vista previa de toda la pantalla">
          <a:extLst>
            <a:ext uri="{FF2B5EF4-FFF2-40B4-BE49-F238E27FC236}">
              <a16:creationId xmlns:a16="http://schemas.microsoft.com/office/drawing/2014/main" id="{943ED200-0966-4B89-95AF-E4873D6503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" name="AutoShape 1" descr="Vista previa de toda la pantalla">
          <a:extLst>
            <a:ext uri="{FF2B5EF4-FFF2-40B4-BE49-F238E27FC236}">
              <a16:creationId xmlns:a16="http://schemas.microsoft.com/office/drawing/2014/main" id="{8BD0F8C6-7001-4942-B154-0069C93E02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" name="AutoShape 1" descr="Vista previa de toda la pantalla">
          <a:extLst>
            <a:ext uri="{FF2B5EF4-FFF2-40B4-BE49-F238E27FC236}">
              <a16:creationId xmlns:a16="http://schemas.microsoft.com/office/drawing/2014/main" id="{74FC1B35-874F-46F2-B1EB-0EE913AD99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" name="AutoShape 1" descr="Vista previa de toda la pantalla">
          <a:extLst>
            <a:ext uri="{FF2B5EF4-FFF2-40B4-BE49-F238E27FC236}">
              <a16:creationId xmlns:a16="http://schemas.microsoft.com/office/drawing/2014/main" id="{14C7A688-355E-4392-8609-4E5E35059D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" name="AutoShape 1" descr="Vista previa de toda la pantalla">
          <a:extLst>
            <a:ext uri="{FF2B5EF4-FFF2-40B4-BE49-F238E27FC236}">
              <a16:creationId xmlns:a16="http://schemas.microsoft.com/office/drawing/2014/main" id="{DAA0CE87-B815-40AC-93DA-DA4BC0CD6D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" name="AutoShape 1" descr="Vista previa de toda la pantalla">
          <a:extLst>
            <a:ext uri="{FF2B5EF4-FFF2-40B4-BE49-F238E27FC236}">
              <a16:creationId xmlns:a16="http://schemas.microsoft.com/office/drawing/2014/main" id="{90AA32AE-DE1D-4889-A3C5-3E53A07262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" name="AutoShape 1" descr="Vista previa de toda la pantalla">
          <a:extLst>
            <a:ext uri="{FF2B5EF4-FFF2-40B4-BE49-F238E27FC236}">
              <a16:creationId xmlns:a16="http://schemas.microsoft.com/office/drawing/2014/main" id="{85BD831B-D701-4221-A7BC-2C129710B1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82" name="AutoShape 1" descr="Vista previa de toda la pantalla">
          <a:extLst>
            <a:ext uri="{FF2B5EF4-FFF2-40B4-BE49-F238E27FC236}">
              <a16:creationId xmlns:a16="http://schemas.microsoft.com/office/drawing/2014/main" id="{F71ECA7C-604B-4A27-8130-ED21C77B05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83" name="AutoShape 1" descr="Vista previa de toda la pantalla">
          <a:extLst>
            <a:ext uri="{FF2B5EF4-FFF2-40B4-BE49-F238E27FC236}">
              <a16:creationId xmlns:a16="http://schemas.microsoft.com/office/drawing/2014/main" id="{36B6BB4A-B2D6-416D-A546-EE2419A53D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84" name="AutoShape 1" descr="Vista previa de toda la pantalla">
          <a:extLst>
            <a:ext uri="{FF2B5EF4-FFF2-40B4-BE49-F238E27FC236}">
              <a16:creationId xmlns:a16="http://schemas.microsoft.com/office/drawing/2014/main" id="{B3D0283A-890C-40EF-8934-BC24788AE0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85" name="AutoShape 1" descr="Vista previa de toda la pantalla">
          <a:extLst>
            <a:ext uri="{FF2B5EF4-FFF2-40B4-BE49-F238E27FC236}">
              <a16:creationId xmlns:a16="http://schemas.microsoft.com/office/drawing/2014/main" id="{08512405-55BF-4544-B4F5-1EA25F9B18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86" name="AutoShape 1" descr="Vista previa de toda la pantalla">
          <a:extLst>
            <a:ext uri="{FF2B5EF4-FFF2-40B4-BE49-F238E27FC236}">
              <a16:creationId xmlns:a16="http://schemas.microsoft.com/office/drawing/2014/main" id="{58B3EF93-19FE-4571-87C4-96EFEBED60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87" name="AutoShape 1" descr="Vista previa de toda la pantalla">
          <a:extLst>
            <a:ext uri="{FF2B5EF4-FFF2-40B4-BE49-F238E27FC236}">
              <a16:creationId xmlns:a16="http://schemas.microsoft.com/office/drawing/2014/main" id="{D2393746-7E24-45D8-86DC-99C476FB48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88" name="AutoShape 1" descr="Vista previa de toda la pantalla">
          <a:extLst>
            <a:ext uri="{FF2B5EF4-FFF2-40B4-BE49-F238E27FC236}">
              <a16:creationId xmlns:a16="http://schemas.microsoft.com/office/drawing/2014/main" id="{D0293458-9DA5-4A20-A391-FDB8C1251E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89" name="AutoShape 1" descr="Vista previa de toda la pantalla">
          <a:extLst>
            <a:ext uri="{FF2B5EF4-FFF2-40B4-BE49-F238E27FC236}">
              <a16:creationId xmlns:a16="http://schemas.microsoft.com/office/drawing/2014/main" id="{17A89F66-2F87-422F-9DF2-9C1BF681B1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90" name="AutoShape 1" descr="Vista previa de toda la pantalla">
          <a:extLst>
            <a:ext uri="{FF2B5EF4-FFF2-40B4-BE49-F238E27FC236}">
              <a16:creationId xmlns:a16="http://schemas.microsoft.com/office/drawing/2014/main" id="{CF40FC55-B36A-40C1-B1F6-7522D2D561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91" name="AutoShape 1" descr="Vista previa de toda la pantalla">
          <a:extLst>
            <a:ext uri="{FF2B5EF4-FFF2-40B4-BE49-F238E27FC236}">
              <a16:creationId xmlns:a16="http://schemas.microsoft.com/office/drawing/2014/main" id="{9C213EE5-BB6A-4CBD-8989-4F1BE4D245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92" name="AutoShape 1" descr="Vista previa de toda la pantalla">
          <a:extLst>
            <a:ext uri="{FF2B5EF4-FFF2-40B4-BE49-F238E27FC236}">
              <a16:creationId xmlns:a16="http://schemas.microsoft.com/office/drawing/2014/main" id="{94081474-FDB1-4C66-803F-66E3253815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93" name="AutoShape 1" descr="Vista previa de toda la pantalla">
          <a:extLst>
            <a:ext uri="{FF2B5EF4-FFF2-40B4-BE49-F238E27FC236}">
              <a16:creationId xmlns:a16="http://schemas.microsoft.com/office/drawing/2014/main" id="{0D862539-52EC-45FB-8E50-FE67E5205D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94" name="AutoShape 1" descr="Vista previa de toda la pantalla">
          <a:extLst>
            <a:ext uri="{FF2B5EF4-FFF2-40B4-BE49-F238E27FC236}">
              <a16:creationId xmlns:a16="http://schemas.microsoft.com/office/drawing/2014/main" id="{8F69B2DC-FFB5-4733-936F-35A6B1B38F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495" name="AutoShape 1" descr="Vista previa de toda la pantalla">
          <a:extLst>
            <a:ext uri="{FF2B5EF4-FFF2-40B4-BE49-F238E27FC236}">
              <a16:creationId xmlns:a16="http://schemas.microsoft.com/office/drawing/2014/main" id="{9E457D41-A481-4BF9-BF79-68FC6D5A0E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3</xdr:row>
      <xdr:rowOff>0</xdr:rowOff>
    </xdr:from>
    <xdr:ext cx="304800" cy="302602"/>
    <xdr:sp macro="" textlink="">
      <xdr:nvSpPr>
        <xdr:cNvPr id="1496" name="AutoShape 1" descr="Vista previa de toda la pantalla">
          <a:extLst>
            <a:ext uri="{FF2B5EF4-FFF2-40B4-BE49-F238E27FC236}">
              <a16:creationId xmlns:a16="http://schemas.microsoft.com/office/drawing/2014/main" id="{94757EAC-1886-4E0D-9139-1FED2FADE8E8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" name="AutoShape 1" descr="Vista previa de toda la pantalla">
          <a:extLst>
            <a:ext uri="{FF2B5EF4-FFF2-40B4-BE49-F238E27FC236}">
              <a16:creationId xmlns:a16="http://schemas.microsoft.com/office/drawing/2014/main" id="{6319A53E-D945-4022-92C8-6346A0270E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" name="AutoShape 1" descr="Vista previa de toda la pantalla">
          <a:extLst>
            <a:ext uri="{FF2B5EF4-FFF2-40B4-BE49-F238E27FC236}">
              <a16:creationId xmlns:a16="http://schemas.microsoft.com/office/drawing/2014/main" id="{69079E86-C5EF-41F7-8391-05D3611F2E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" name="AutoShape 1" descr="Vista previa de toda la pantalla">
          <a:extLst>
            <a:ext uri="{FF2B5EF4-FFF2-40B4-BE49-F238E27FC236}">
              <a16:creationId xmlns:a16="http://schemas.microsoft.com/office/drawing/2014/main" id="{359FDF36-9D79-43C4-81D5-8B304D7772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" name="AutoShape 1" descr="Vista previa de toda la pantalla">
          <a:extLst>
            <a:ext uri="{FF2B5EF4-FFF2-40B4-BE49-F238E27FC236}">
              <a16:creationId xmlns:a16="http://schemas.microsoft.com/office/drawing/2014/main" id="{3957B395-5C87-4A6C-9E05-69ED0459AE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" name="AutoShape 1" descr="Vista previa de toda la pantalla">
          <a:extLst>
            <a:ext uri="{FF2B5EF4-FFF2-40B4-BE49-F238E27FC236}">
              <a16:creationId xmlns:a16="http://schemas.microsoft.com/office/drawing/2014/main" id="{AFBEC94C-1CCC-48D4-9676-7092A7CA2A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" name="AutoShape 1" descr="Vista previa de toda la pantalla">
          <a:extLst>
            <a:ext uri="{FF2B5EF4-FFF2-40B4-BE49-F238E27FC236}">
              <a16:creationId xmlns:a16="http://schemas.microsoft.com/office/drawing/2014/main" id="{89BFDD28-CFE2-4A64-A870-2288CCA6B6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" name="AutoShape 1" descr="Vista previa de toda la pantalla">
          <a:extLst>
            <a:ext uri="{FF2B5EF4-FFF2-40B4-BE49-F238E27FC236}">
              <a16:creationId xmlns:a16="http://schemas.microsoft.com/office/drawing/2014/main" id="{9E7AF00B-BD7B-47D2-8432-623035C4A8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" name="AutoShape 1" descr="Vista previa de toda la pantalla">
          <a:extLst>
            <a:ext uri="{FF2B5EF4-FFF2-40B4-BE49-F238E27FC236}">
              <a16:creationId xmlns:a16="http://schemas.microsoft.com/office/drawing/2014/main" id="{B8EDC3D8-77E2-440D-914B-E6C21E27F9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" name="AutoShape 1" descr="Vista previa de toda la pantalla">
          <a:extLst>
            <a:ext uri="{FF2B5EF4-FFF2-40B4-BE49-F238E27FC236}">
              <a16:creationId xmlns:a16="http://schemas.microsoft.com/office/drawing/2014/main" id="{73C042F5-DBD6-4717-9554-0CDB3EF54A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" name="AutoShape 1" descr="Vista previa de toda la pantalla">
          <a:extLst>
            <a:ext uri="{FF2B5EF4-FFF2-40B4-BE49-F238E27FC236}">
              <a16:creationId xmlns:a16="http://schemas.microsoft.com/office/drawing/2014/main" id="{CEEAC458-6E8A-4503-90AB-A5ADCD8134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7" name="AutoShape 1" descr="Vista previa de toda la pantalla">
          <a:extLst>
            <a:ext uri="{FF2B5EF4-FFF2-40B4-BE49-F238E27FC236}">
              <a16:creationId xmlns:a16="http://schemas.microsoft.com/office/drawing/2014/main" id="{828CC0C1-860B-49BF-B999-215AEC014B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" name="AutoShape 1" descr="Vista previa de toda la pantalla">
          <a:extLst>
            <a:ext uri="{FF2B5EF4-FFF2-40B4-BE49-F238E27FC236}">
              <a16:creationId xmlns:a16="http://schemas.microsoft.com/office/drawing/2014/main" id="{7A42B44A-9095-434A-9A4D-3DFD85E9EF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" name="AutoShape 1" descr="Vista previa de toda la pantalla">
          <a:extLst>
            <a:ext uri="{FF2B5EF4-FFF2-40B4-BE49-F238E27FC236}">
              <a16:creationId xmlns:a16="http://schemas.microsoft.com/office/drawing/2014/main" id="{DAB47AC8-C1CD-4680-AB6F-DE71FD1179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" name="AutoShape 1" descr="Vista previa de toda la pantalla">
          <a:extLst>
            <a:ext uri="{FF2B5EF4-FFF2-40B4-BE49-F238E27FC236}">
              <a16:creationId xmlns:a16="http://schemas.microsoft.com/office/drawing/2014/main" id="{C8833692-FA35-44A8-8E74-3683220862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" name="AutoShape 1" descr="Vista previa de toda la pantalla">
          <a:extLst>
            <a:ext uri="{FF2B5EF4-FFF2-40B4-BE49-F238E27FC236}">
              <a16:creationId xmlns:a16="http://schemas.microsoft.com/office/drawing/2014/main" id="{74EF24F8-F109-4043-91C1-D681C47886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" name="AutoShape 1" descr="Vista previa de toda la pantalla">
          <a:extLst>
            <a:ext uri="{FF2B5EF4-FFF2-40B4-BE49-F238E27FC236}">
              <a16:creationId xmlns:a16="http://schemas.microsoft.com/office/drawing/2014/main" id="{1FC8AA0D-2CF1-4299-A94E-FD7F7318E5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" name="AutoShape 1" descr="Vista previa de toda la pantalla">
          <a:extLst>
            <a:ext uri="{FF2B5EF4-FFF2-40B4-BE49-F238E27FC236}">
              <a16:creationId xmlns:a16="http://schemas.microsoft.com/office/drawing/2014/main" id="{DA2A737B-3BB8-4F4C-B541-C556E4C3E1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" name="AutoShape 1" descr="Vista previa de toda la pantalla">
          <a:extLst>
            <a:ext uri="{FF2B5EF4-FFF2-40B4-BE49-F238E27FC236}">
              <a16:creationId xmlns:a16="http://schemas.microsoft.com/office/drawing/2014/main" id="{DB156FD5-E763-4FA2-B307-B4F658114F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" name="AutoShape 1" descr="Vista previa de toda la pantalla">
          <a:extLst>
            <a:ext uri="{FF2B5EF4-FFF2-40B4-BE49-F238E27FC236}">
              <a16:creationId xmlns:a16="http://schemas.microsoft.com/office/drawing/2014/main" id="{4F6C3743-8503-4218-B836-BF668AB67B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" name="AutoShape 1" descr="Vista previa de toda la pantalla">
          <a:extLst>
            <a:ext uri="{FF2B5EF4-FFF2-40B4-BE49-F238E27FC236}">
              <a16:creationId xmlns:a16="http://schemas.microsoft.com/office/drawing/2014/main" id="{A92DAED1-B197-4DBC-B711-E55F601751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" name="AutoShape 1" descr="Vista previa de toda la pantalla">
          <a:extLst>
            <a:ext uri="{FF2B5EF4-FFF2-40B4-BE49-F238E27FC236}">
              <a16:creationId xmlns:a16="http://schemas.microsoft.com/office/drawing/2014/main" id="{14367EAE-2B5C-474A-B025-F7E3E8E9B1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" name="AutoShape 1" descr="Vista previa de toda la pantalla">
          <a:extLst>
            <a:ext uri="{FF2B5EF4-FFF2-40B4-BE49-F238E27FC236}">
              <a16:creationId xmlns:a16="http://schemas.microsoft.com/office/drawing/2014/main" id="{C7757D96-9624-4B19-B82F-4F88FBBBBD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" name="AutoShape 1" descr="Vista previa de toda la pantalla">
          <a:extLst>
            <a:ext uri="{FF2B5EF4-FFF2-40B4-BE49-F238E27FC236}">
              <a16:creationId xmlns:a16="http://schemas.microsoft.com/office/drawing/2014/main" id="{8BEA3501-F083-4CD5-A631-3ADE62A4ED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" name="AutoShape 1" descr="Vista previa de toda la pantalla">
          <a:extLst>
            <a:ext uri="{FF2B5EF4-FFF2-40B4-BE49-F238E27FC236}">
              <a16:creationId xmlns:a16="http://schemas.microsoft.com/office/drawing/2014/main" id="{3A7CB800-EF20-48F3-927C-FE8E3476B7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" name="AutoShape 1" descr="Vista previa de toda la pantalla">
          <a:extLst>
            <a:ext uri="{FF2B5EF4-FFF2-40B4-BE49-F238E27FC236}">
              <a16:creationId xmlns:a16="http://schemas.microsoft.com/office/drawing/2014/main" id="{14C865A2-F3E7-4F60-9851-0DACE7955B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" name="AutoShape 1" descr="Vista previa de toda la pantalla">
          <a:extLst>
            <a:ext uri="{FF2B5EF4-FFF2-40B4-BE49-F238E27FC236}">
              <a16:creationId xmlns:a16="http://schemas.microsoft.com/office/drawing/2014/main" id="{8B6D8899-133C-49DA-8173-BD89073EB6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" name="AutoShape 1" descr="Vista previa de toda la pantalla">
          <a:extLst>
            <a:ext uri="{FF2B5EF4-FFF2-40B4-BE49-F238E27FC236}">
              <a16:creationId xmlns:a16="http://schemas.microsoft.com/office/drawing/2014/main" id="{BF90A1B0-8050-474B-84DF-BBFF394EAD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" name="AutoShape 1" descr="Vista previa de toda la pantalla">
          <a:extLst>
            <a:ext uri="{FF2B5EF4-FFF2-40B4-BE49-F238E27FC236}">
              <a16:creationId xmlns:a16="http://schemas.microsoft.com/office/drawing/2014/main" id="{CDC2FC20-3E34-4782-B02A-142368DB71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5" name="AutoShape 1" descr="Vista previa de toda la pantalla">
          <a:extLst>
            <a:ext uri="{FF2B5EF4-FFF2-40B4-BE49-F238E27FC236}">
              <a16:creationId xmlns:a16="http://schemas.microsoft.com/office/drawing/2014/main" id="{C880B2A8-BEA5-41F6-A3C5-2D34158A8A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" name="AutoShape 1" descr="Vista previa de toda la pantalla">
          <a:extLst>
            <a:ext uri="{FF2B5EF4-FFF2-40B4-BE49-F238E27FC236}">
              <a16:creationId xmlns:a16="http://schemas.microsoft.com/office/drawing/2014/main" id="{14540D91-9B5D-4481-86D0-5CA36A8E45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7" name="AutoShape 1" descr="Vista previa de toda la pantalla">
          <a:extLst>
            <a:ext uri="{FF2B5EF4-FFF2-40B4-BE49-F238E27FC236}">
              <a16:creationId xmlns:a16="http://schemas.microsoft.com/office/drawing/2014/main" id="{FFD35593-AD11-46A3-B442-57233B6642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8" name="AutoShape 1" descr="Vista previa de toda la pantalla">
          <a:extLst>
            <a:ext uri="{FF2B5EF4-FFF2-40B4-BE49-F238E27FC236}">
              <a16:creationId xmlns:a16="http://schemas.microsoft.com/office/drawing/2014/main" id="{3FC0EBC4-1295-4D46-A4C8-2570A72814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9" name="AutoShape 1" descr="Vista previa de toda la pantalla">
          <a:extLst>
            <a:ext uri="{FF2B5EF4-FFF2-40B4-BE49-F238E27FC236}">
              <a16:creationId xmlns:a16="http://schemas.microsoft.com/office/drawing/2014/main" id="{B8218E05-2F53-44F6-A8E5-7FE341255C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30" name="AutoShape 1" descr="Vista previa de toda la pantalla">
          <a:extLst>
            <a:ext uri="{FF2B5EF4-FFF2-40B4-BE49-F238E27FC236}">
              <a16:creationId xmlns:a16="http://schemas.microsoft.com/office/drawing/2014/main" id="{456D912A-F56F-4867-BA13-700419C320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31" name="AutoShape 1" descr="Vista previa de toda la pantalla">
          <a:extLst>
            <a:ext uri="{FF2B5EF4-FFF2-40B4-BE49-F238E27FC236}">
              <a16:creationId xmlns:a16="http://schemas.microsoft.com/office/drawing/2014/main" id="{46DE3548-DCAE-49AF-86C0-D170447189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32" name="AutoShape 1" descr="Vista previa de toda la pantalla">
          <a:extLst>
            <a:ext uri="{FF2B5EF4-FFF2-40B4-BE49-F238E27FC236}">
              <a16:creationId xmlns:a16="http://schemas.microsoft.com/office/drawing/2014/main" id="{1FA52016-55E5-4966-B862-D7CA6B51C6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33" name="AutoShape 1" descr="Vista previa de toda la pantalla">
          <a:extLst>
            <a:ext uri="{FF2B5EF4-FFF2-40B4-BE49-F238E27FC236}">
              <a16:creationId xmlns:a16="http://schemas.microsoft.com/office/drawing/2014/main" id="{6742ECC7-1AA9-48BB-98D9-7B83893BE8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34" name="AutoShape 1" descr="Vista previa de toda la pantalla">
          <a:extLst>
            <a:ext uri="{FF2B5EF4-FFF2-40B4-BE49-F238E27FC236}">
              <a16:creationId xmlns:a16="http://schemas.microsoft.com/office/drawing/2014/main" id="{BD865741-FD22-4348-A291-A4DD68C7A6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35" name="AutoShape 1" descr="Vista previa de toda la pantalla">
          <a:extLst>
            <a:ext uri="{FF2B5EF4-FFF2-40B4-BE49-F238E27FC236}">
              <a16:creationId xmlns:a16="http://schemas.microsoft.com/office/drawing/2014/main" id="{83461701-EFF4-4709-91C5-092FF44CC0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36" name="AutoShape 1" descr="Vista previa de toda la pantalla">
          <a:extLst>
            <a:ext uri="{FF2B5EF4-FFF2-40B4-BE49-F238E27FC236}">
              <a16:creationId xmlns:a16="http://schemas.microsoft.com/office/drawing/2014/main" id="{DF2D888C-78EB-4B99-A7D0-6593BF15E5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37" name="AutoShape 1" descr="Vista previa de toda la pantalla">
          <a:extLst>
            <a:ext uri="{FF2B5EF4-FFF2-40B4-BE49-F238E27FC236}">
              <a16:creationId xmlns:a16="http://schemas.microsoft.com/office/drawing/2014/main" id="{B3F59699-6458-43E9-AC86-211DE44624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38" name="AutoShape 1" descr="Vista previa de toda la pantalla">
          <a:extLst>
            <a:ext uri="{FF2B5EF4-FFF2-40B4-BE49-F238E27FC236}">
              <a16:creationId xmlns:a16="http://schemas.microsoft.com/office/drawing/2014/main" id="{451BFFEB-3353-4585-BA79-0657548EE1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39" name="AutoShape 1" descr="Vista previa de toda la pantalla">
          <a:extLst>
            <a:ext uri="{FF2B5EF4-FFF2-40B4-BE49-F238E27FC236}">
              <a16:creationId xmlns:a16="http://schemas.microsoft.com/office/drawing/2014/main" id="{996AEC0D-608E-41A8-8A0D-699FD161EB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40" name="AutoShape 1" descr="Vista previa de toda la pantalla">
          <a:extLst>
            <a:ext uri="{FF2B5EF4-FFF2-40B4-BE49-F238E27FC236}">
              <a16:creationId xmlns:a16="http://schemas.microsoft.com/office/drawing/2014/main" id="{E7344F36-7D58-4E06-A0C0-143D40CD83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41" name="AutoShape 1" descr="Vista previa de toda la pantalla">
          <a:extLst>
            <a:ext uri="{FF2B5EF4-FFF2-40B4-BE49-F238E27FC236}">
              <a16:creationId xmlns:a16="http://schemas.microsoft.com/office/drawing/2014/main" id="{21F4215E-E89B-491A-8026-CD12DFEE54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42" name="AutoShape 1" descr="Vista previa de toda la pantalla">
          <a:extLst>
            <a:ext uri="{FF2B5EF4-FFF2-40B4-BE49-F238E27FC236}">
              <a16:creationId xmlns:a16="http://schemas.microsoft.com/office/drawing/2014/main" id="{2A83856C-892D-4C5D-95FA-E232253A49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43" name="AutoShape 1" descr="Vista previa de toda la pantalla">
          <a:extLst>
            <a:ext uri="{FF2B5EF4-FFF2-40B4-BE49-F238E27FC236}">
              <a16:creationId xmlns:a16="http://schemas.microsoft.com/office/drawing/2014/main" id="{4A2CDAE3-E552-476E-A96E-859234E449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44" name="AutoShape 1" descr="Vista previa de toda la pantalla">
          <a:extLst>
            <a:ext uri="{FF2B5EF4-FFF2-40B4-BE49-F238E27FC236}">
              <a16:creationId xmlns:a16="http://schemas.microsoft.com/office/drawing/2014/main" id="{790AF1C0-5684-4CD3-B55C-B675896DFA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45" name="AutoShape 1" descr="Vista previa de toda la pantalla">
          <a:extLst>
            <a:ext uri="{FF2B5EF4-FFF2-40B4-BE49-F238E27FC236}">
              <a16:creationId xmlns:a16="http://schemas.microsoft.com/office/drawing/2014/main" id="{3DA934D7-12EA-47CC-A7A7-D05EF3D447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46" name="AutoShape 1" descr="Vista previa de toda la pantalla">
          <a:extLst>
            <a:ext uri="{FF2B5EF4-FFF2-40B4-BE49-F238E27FC236}">
              <a16:creationId xmlns:a16="http://schemas.microsoft.com/office/drawing/2014/main" id="{F497329C-FC9B-4EC6-ADC2-1D4901A419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47" name="AutoShape 1" descr="Vista previa de toda la pantalla">
          <a:extLst>
            <a:ext uri="{FF2B5EF4-FFF2-40B4-BE49-F238E27FC236}">
              <a16:creationId xmlns:a16="http://schemas.microsoft.com/office/drawing/2014/main" id="{DF74FB9C-0E9C-4CC8-ADDA-4BD1744E63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48" name="AutoShape 1" descr="Vista previa de toda la pantalla">
          <a:extLst>
            <a:ext uri="{FF2B5EF4-FFF2-40B4-BE49-F238E27FC236}">
              <a16:creationId xmlns:a16="http://schemas.microsoft.com/office/drawing/2014/main" id="{AB416159-F388-44DB-A67B-C17C05A04C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49" name="AutoShape 1" descr="Vista previa de toda la pantalla">
          <a:extLst>
            <a:ext uri="{FF2B5EF4-FFF2-40B4-BE49-F238E27FC236}">
              <a16:creationId xmlns:a16="http://schemas.microsoft.com/office/drawing/2014/main" id="{A926532C-D832-4B5D-82D6-2CBD600AA2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50" name="AutoShape 1" descr="Vista previa de toda la pantalla">
          <a:extLst>
            <a:ext uri="{FF2B5EF4-FFF2-40B4-BE49-F238E27FC236}">
              <a16:creationId xmlns:a16="http://schemas.microsoft.com/office/drawing/2014/main" id="{A4291433-5817-48A8-BD54-E381295CA6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51" name="AutoShape 1" descr="Vista previa de toda la pantalla">
          <a:extLst>
            <a:ext uri="{FF2B5EF4-FFF2-40B4-BE49-F238E27FC236}">
              <a16:creationId xmlns:a16="http://schemas.microsoft.com/office/drawing/2014/main" id="{AB716FC9-9354-41AE-8B0E-A304657C4D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52" name="AutoShape 1" descr="Vista previa de toda la pantalla">
          <a:extLst>
            <a:ext uri="{FF2B5EF4-FFF2-40B4-BE49-F238E27FC236}">
              <a16:creationId xmlns:a16="http://schemas.microsoft.com/office/drawing/2014/main" id="{A18CF672-C07B-47EC-B684-2CC32D88ED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53" name="AutoShape 1" descr="Vista previa de toda la pantalla">
          <a:extLst>
            <a:ext uri="{FF2B5EF4-FFF2-40B4-BE49-F238E27FC236}">
              <a16:creationId xmlns:a16="http://schemas.microsoft.com/office/drawing/2014/main" id="{3DB488B2-84F6-4BDC-9F5F-EB7C10F635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54" name="AutoShape 1" descr="Vista previa de toda la pantalla">
          <a:extLst>
            <a:ext uri="{FF2B5EF4-FFF2-40B4-BE49-F238E27FC236}">
              <a16:creationId xmlns:a16="http://schemas.microsoft.com/office/drawing/2014/main" id="{62566972-0998-4EF3-984F-199D775085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55" name="AutoShape 1" descr="Vista previa de toda la pantalla">
          <a:extLst>
            <a:ext uri="{FF2B5EF4-FFF2-40B4-BE49-F238E27FC236}">
              <a16:creationId xmlns:a16="http://schemas.microsoft.com/office/drawing/2014/main" id="{658D3D8F-3D4F-4F1F-AFFC-52367AD55F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56" name="AutoShape 1" descr="Vista previa de toda la pantalla">
          <a:extLst>
            <a:ext uri="{FF2B5EF4-FFF2-40B4-BE49-F238E27FC236}">
              <a16:creationId xmlns:a16="http://schemas.microsoft.com/office/drawing/2014/main" id="{79692DD7-500B-4067-AEF9-8686D20E9C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57" name="AutoShape 1" descr="Vista previa de toda la pantalla">
          <a:extLst>
            <a:ext uri="{FF2B5EF4-FFF2-40B4-BE49-F238E27FC236}">
              <a16:creationId xmlns:a16="http://schemas.microsoft.com/office/drawing/2014/main" id="{F06DCB63-4CE5-40EE-9F57-7942D20AFA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58" name="AutoShape 1" descr="Vista previa de toda la pantalla">
          <a:extLst>
            <a:ext uri="{FF2B5EF4-FFF2-40B4-BE49-F238E27FC236}">
              <a16:creationId xmlns:a16="http://schemas.microsoft.com/office/drawing/2014/main" id="{2FC6D43C-033F-4A1F-A9B0-B9A6416407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59" name="AutoShape 1" descr="Vista previa de toda la pantalla">
          <a:extLst>
            <a:ext uri="{FF2B5EF4-FFF2-40B4-BE49-F238E27FC236}">
              <a16:creationId xmlns:a16="http://schemas.microsoft.com/office/drawing/2014/main" id="{22C07AE4-BCC5-46E1-BB64-03D2B11E6C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0" name="AutoShape 1" descr="Vista previa de toda la pantalla">
          <a:extLst>
            <a:ext uri="{FF2B5EF4-FFF2-40B4-BE49-F238E27FC236}">
              <a16:creationId xmlns:a16="http://schemas.microsoft.com/office/drawing/2014/main" id="{625CD1BD-BADD-4A2C-BCA6-801C2D8613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1" name="AutoShape 1" descr="Vista previa de toda la pantalla">
          <a:extLst>
            <a:ext uri="{FF2B5EF4-FFF2-40B4-BE49-F238E27FC236}">
              <a16:creationId xmlns:a16="http://schemas.microsoft.com/office/drawing/2014/main" id="{6F6477C1-D008-4990-8503-F6D18ED6FD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2" name="AutoShape 1" descr="Vista previa de toda la pantalla">
          <a:extLst>
            <a:ext uri="{FF2B5EF4-FFF2-40B4-BE49-F238E27FC236}">
              <a16:creationId xmlns:a16="http://schemas.microsoft.com/office/drawing/2014/main" id="{D37EADC5-1362-4BB3-BDBF-CF845F5B93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3" name="AutoShape 1" descr="Vista previa de toda la pantalla">
          <a:extLst>
            <a:ext uri="{FF2B5EF4-FFF2-40B4-BE49-F238E27FC236}">
              <a16:creationId xmlns:a16="http://schemas.microsoft.com/office/drawing/2014/main" id="{B0732CF6-8AE1-4B76-8303-D06FB421FC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4" name="AutoShape 1" descr="Vista previa de toda la pantalla">
          <a:extLst>
            <a:ext uri="{FF2B5EF4-FFF2-40B4-BE49-F238E27FC236}">
              <a16:creationId xmlns:a16="http://schemas.microsoft.com/office/drawing/2014/main" id="{BC7B9A3D-E577-4022-B30A-C4B067B29D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5" name="AutoShape 1" descr="Vista previa de toda la pantalla">
          <a:extLst>
            <a:ext uri="{FF2B5EF4-FFF2-40B4-BE49-F238E27FC236}">
              <a16:creationId xmlns:a16="http://schemas.microsoft.com/office/drawing/2014/main" id="{D88E8EB6-0835-421E-B1F3-2674BFE9B4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6" name="AutoShape 1" descr="Vista previa de toda la pantalla">
          <a:extLst>
            <a:ext uri="{FF2B5EF4-FFF2-40B4-BE49-F238E27FC236}">
              <a16:creationId xmlns:a16="http://schemas.microsoft.com/office/drawing/2014/main" id="{B33B4DB8-461E-473F-AEEA-79029B2652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7" name="AutoShape 1" descr="Vista previa de toda la pantalla">
          <a:extLst>
            <a:ext uri="{FF2B5EF4-FFF2-40B4-BE49-F238E27FC236}">
              <a16:creationId xmlns:a16="http://schemas.microsoft.com/office/drawing/2014/main" id="{C396C2F3-3B3A-4D62-8D27-C22801DD62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8" name="AutoShape 1" descr="Vista previa de toda la pantalla">
          <a:extLst>
            <a:ext uri="{FF2B5EF4-FFF2-40B4-BE49-F238E27FC236}">
              <a16:creationId xmlns:a16="http://schemas.microsoft.com/office/drawing/2014/main" id="{EB0C52F1-43B5-47E7-904E-1419E761DD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69" name="AutoShape 1" descr="Vista previa de toda la pantalla">
          <a:extLst>
            <a:ext uri="{FF2B5EF4-FFF2-40B4-BE49-F238E27FC236}">
              <a16:creationId xmlns:a16="http://schemas.microsoft.com/office/drawing/2014/main" id="{3358371F-4C4A-4CB7-9301-5AD7B0F3D4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0" name="AutoShape 1" descr="Vista previa de toda la pantalla">
          <a:extLst>
            <a:ext uri="{FF2B5EF4-FFF2-40B4-BE49-F238E27FC236}">
              <a16:creationId xmlns:a16="http://schemas.microsoft.com/office/drawing/2014/main" id="{C4694856-B94F-420A-9AAA-FDB6E773C8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1" name="AutoShape 1" descr="Vista previa de toda la pantalla">
          <a:extLst>
            <a:ext uri="{FF2B5EF4-FFF2-40B4-BE49-F238E27FC236}">
              <a16:creationId xmlns:a16="http://schemas.microsoft.com/office/drawing/2014/main" id="{C13997F0-BB08-4857-B3E9-CCC19695F6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2" name="AutoShape 1" descr="Vista previa de toda la pantalla">
          <a:extLst>
            <a:ext uri="{FF2B5EF4-FFF2-40B4-BE49-F238E27FC236}">
              <a16:creationId xmlns:a16="http://schemas.microsoft.com/office/drawing/2014/main" id="{06AEC988-A8C8-4EA5-9613-BA8DE3AA13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3" name="AutoShape 1" descr="Vista previa de toda la pantalla">
          <a:extLst>
            <a:ext uri="{FF2B5EF4-FFF2-40B4-BE49-F238E27FC236}">
              <a16:creationId xmlns:a16="http://schemas.microsoft.com/office/drawing/2014/main" id="{9655EC09-EAC9-4A38-B717-F088CFE65F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4" name="AutoShape 1" descr="Vista previa de toda la pantalla">
          <a:extLst>
            <a:ext uri="{FF2B5EF4-FFF2-40B4-BE49-F238E27FC236}">
              <a16:creationId xmlns:a16="http://schemas.microsoft.com/office/drawing/2014/main" id="{47CBC1E6-F0DA-47A5-83CC-4BB30E85D9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5" name="AutoShape 1" descr="Vista previa de toda la pantalla">
          <a:extLst>
            <a:ext uri="{FF2B5EF4-FFF2-40B4-BE49-F238E27FC236}">
              <a16:creationId xmlns:a16="http://schemas.microsoft.com/office/drawing/2014/main" id="{DA228A9C-7DB7-452D-B21A-3588348FD4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6" name="AutoShape 1" descr="Vista previa de toda la pantalla">
          <a:extLst>
            <a:ext uri="{FF2B5EF4-FFF2-40B4-BE49-F238E27FC236}">
              <a16:creationId xmlns:a16="http://schemas.microsoft.com/office/drawing/2014/main" id="{3C954F1D-94D4-47D4-955F-63780A2F65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7" name="AutoShape 1" descr="Vista previa de toda la pantalla">
          <a:extLst>
            <a:ext uri="{FF2B5EF4-FFF2-40B4-BE49-F238E27FC236}">
              <a16:creationId xmlns:a16="http://schemas.microsoft.com/office/drawing/2014/main" id="{46F317A3-C628-4583-B544-C2AFD4850D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8" name="AutoShape 1" descr="Vista previa de toda la pantalla">
          <a:extLst>
            <a:ext uri="{FF2B5EF4-FFF2-40B4-BE49-F238E27FC236}">
              <a16:creationId xmlns:a16="http://schemas.microsoft.com/office/drawing/2014/main" id="{D809A70A-11E9-4742-84E9-F087A2E04F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79" name="AutoShape 1" descr="Vista previa de toda la pantalla">
          <a:extLst>
            <a:ext uri="{FF2B5EF4-FFF2-40B4-BE49-F238E27FC236}">
              <a16:creationId xmlns:a16="http://schemas.microsoft.com/office/drawing/2014/main" id="{95C2BFE2-BEB0-457B-BB54-4C73EA1BD3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0" name="AutoShape 1" descr="Vista previa de toda la pantalla">
          <a:extLst>
            <a:ext uri="{FF2B5EF4-FFF2-40B4-BE49-F238E27FC236}">
              <a16:creationId xmlns:a16="http://schemas.microsoft.com/office/drawing/2014/main" id="{5620C198-FE63-4777-AA9A-98FF094EE5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1" name="AutoShape 1" descr="Vista previa de toda la pantalla">
          <a:extLst>
            <a:ext uri="{FF2B5EF4-FFF2-40B4-BE49-F238E27FC236}">
              <a16:creationId xmlns:a16="http://schemas.microsoft.com/office/drawing/2014/main" id="{6CEB0486-F9D3-4B26-9564-B0E0CD3F53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2" name="AutoShape 1" descr="Vista previa de toda la pantalla">
          <a:extLst>
            <a:ext uri="{FF2B5EF4-FFF2-40B4-BE49-F238E27FC236}">
              <a16:creationId xmlns:a16="http://schemas.microsoft.com/office/drawing/2014/main" id="{0C5A85A7-F26B-41B7-B6E6-88880B7599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3" name="AutoShape 1" descr="Vista previa de toda la pantalla">
          <a:extLst>
            <a:ext uri="{FF2B5EF4-FFF2-40B4-BE49-F238E27FC236}">
              <a16:creationId xmlns:a16="http://schemas.microsoft.com/office/drawing/2014/main" id="{5E11DC3F-9049-4817-86F1-B800B6B8D6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4" name="AutoShape 1" descr="Vista previa de toda la pantalla">
          <a:extLst>
            <a:ext uri="{FF2B5EF4-FFF2-40B4-BE49-F238E27FC236}">
              <a16:creationId xmlns:a16="http://schemas.microsoft.com/office/drawing/2014/main" id="{05824BBB-1EDA-4150-B3B4-17406CD678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5" name="AutoShape 1" descr="Vista previa de toda la pantalla">
          <a:extLst>
            <a:ext uri="{FF2B5EF4-FFF2-40B4-BE49-F238E27FC236}">
              <a16:creationId xmlns:a16="http://schemas.microsoft.com/office/drawing/2014/main" id="{4765AA2C-13AA-4FA7-8388-AAFE2D9557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6" name="AutoShape 1" descr="Vista previa de toda la pantalla">
          <a:extLst>
            <a:ext uri="{FF2B5EF4-FFF2-40B4-BE49-F238E27FC236}">
              <a16:creationId xmlns:a16="http://schemas.microsoft.com/office/drawing/2014/main" id="{7AC4E898-F786-42B6-8B12-5DE6FC2259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7" name="AutoShape 1" descr="Vista previa de toda la pantalla">
          <a:extLst>
            <a:ext uri="{FF2B5EF4-FFF2-40B4-BE49-F238E27FC236}">
              <a16:creationId xmlns:a16="http://schemas.microsoft.com/office/drawing/2014/main" id="{BDF2AA36-505C-48F1-BDCA-BED34BDF6A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8" name="AutoShape 1" descr="Vista previa de toda la pantalla">
          <a:extLst>
            <a:ext uri="{FF2B5EF4-FFF2-40B4-BE49-F238E27FC236}">
              <a16:creationId xmlns:a16="http://schemas.microsoft.com/office/drawing/2014/main" id="{0887680D-A4EA-4603-AF74-6DE2C44DFA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89" name="AutoShape 1" descr="Vista previa de toda la pantalla">
          <a:extLst>
            <a:ext uri="{FF2B5EF4-FFF2-40B4-BE49-F238E27FC236}">
              <a16:creationId xmlns:a16="http://schemas.microsoft.com/office/drawing/2014/main" id="{57670673-E50D-4BDC-92B8-BDF7AA92DB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0" name="AutoShape 1" descr="Vista previa de toda la pantalla">
          <a:extLst>
            <a:ext uri="{FF2B5EF4-FFF2-40B4-BE49-F238E27FC236}">
              <a16:creationId xmlns:a16="http://schemas.microsoft.com/office/drawing/2014/main" id="{0E5A1AA7-247D-4BA1-B818-81F1C40CBD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1" name="AutoShape 1" descr="Vista previa de toda la pantalla">
          <a:extLst>
            <a:ext uri="{FF2B5EF4-FFF2-40B4-BE49-F238E27FC236}">
              <a16:creationId xmlns:a16="http://schemas.microsoft.com/office/drawing/2014/main" id="{65A0DC94-C5DC-4000-BA4B-BE2C4E3A9F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2" name="AutoShape 1" descr="Vista previa de toda la pantalla">
          <a:extLst>
            <a:ext uri="{FF2B5EF4-FFF2-40B4-BE49-F238E27FC236}">
              <a16:creationId xmlns:a16="http://schemas.microsoft.com/office/drawing/2014/main" id="{ECC0BBCA-02B7-4C33-AFDE-D9C73BEF61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3" name="AutoShape 1" descr="Vista previa de toda la pantalla">
          <a:extLst>
            <a:ext uri="{FF2B5EF4-FFF2-40B4-BE49-F238E27FC236}">
              <a16:creationId xmlns:a16="http://schemas.microsoft.com/office/drawing/2014/main" id="{288F0262-83A7-4FAB-AF31-B5C674A3FF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4" name="AutoShape 1" descr="Vista previa de toda la pantalla">
          <a:extLst>
            <a:ext uri="{FF2B5EF4-FFF2-40B4-BE49-F238E27FC236}">
              <a16:creationId xmlns:a16="http://schemas.microsoft.com/office/drawing/2014/main" id="{AEA8460B-0264-4393-A7D4-3ED8FAD94F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5" name="AutoShape 1" descr="Vista previa de toda la pantalla">
          <a:extLst>
            <a:ext uri="{FF2B5EF4-FFF2-40B4-BE49-F238E27FC236}">
              <a16:creationId xmlns:a16="http://schemas.microsoft.com/office/drawing/2014/main" id="{4D9B1898-7668-4221-BB89-486B4D5168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6" name="AutoShape 1" descr="Vista previa de toda la pantalla">
          <a:extLst>
            <a:ext uri="{FF2B5EF4-FFF2-40B4-BE49-F238E27FC236}">
              <a16:creationId xmlns:a16="http://schemas.microsoft.com/office/drawing/2014/main" id="{721C2473-9FE3-4F83-96C2-9DA9AF5682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7" name="AutoShape 1" descr="Vista previa de toda la pantalla">
          <a:extLst>
            <a:ext uri="{FF2B5EF4-FFF2-40B4-BE49-F238E27FC236}">
              <a16:creationId xmlns:a16="http://schemas.microsoft.com/office/drawing/2014/main" id="{3223A0B3-FDC1-477F-A7AE-F0812BF212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8" name="AutoShape 1" descr="Vista previa de toda la pantalla">
          <a:extLst>
            <a:ext uri="{FF2B5EF4-FFF2-40B4-BE49-F238E27FC236}">
              <a16:creationId xmlns:a16="http://schemas.microsoft.com/office/drawing/2014/main" id="{8E3F1190-88B1-48C5-940E-731DC64106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99" name="AutoShape 1" descr="Vista previa de toda la pantalla">
          <a:extLst>
            <a:ext uri="{FF2B5EF4-FFF2-40B4-BE49-F238E27FC236}">
              <a16:creationId xmlns:a16="http://schemas.microsoft.com/office/drawing/2014/main" id="{D0DB904A-1353-4B76-8CA2-F9954965BE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00" name="AutoShape 1" descr="Vista previa de toda la pantalla">
          <a:extLst>
            <a:ext uri="{FF2B5EF4-FFF2-40B4-BE49-F238E27FC236}">
              <a16:creationId xmlns:a16="http://schemas.microsoft.com/office/drawing/2014/main" id="{E8F87BCC-A8D6-4BD8-832F-F002D50851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01" name="AutoShape 1" descr="Vista previa de toda la pantalla">
          <a:extLst>
            <a:ext uri="{FF2B5EF4-FFF2-40B4-BE49-F238E27FC236}">
              <a16:creationId xmlns:a16="http://schemas.microsoft.com/office/drawing/2014/main" id="{503884CD-7A4E-4BD1-886C-3FA6341B98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02" name="AutoShape 1" descr="Vista previa de toda la pantalla">
          <a:extLst>
            <a:ext uri="{FF2B5EF4-FFF2-40B4-BE49-F238E27FC236}">
              <a16:creationId xmlns:a16="http://schemas.microsoft.com/office/drawing/2014/main" id="{C32AAB53-782C-4CAD-B72F-CB0BA9BE47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03" name="AutoShape 1" descr="Vista previa de toda la pantalla">
          <a:extLst>
            <a:ext uri="{FF2B5EF4-FFF2-40B4-BE49-F238E27FC236}">
              <a16:creationId xmlns:a16="http://schemas.microsoft.com/office/drawing/2014/main" id="{0C5E99A5-3F49-49A0-88E1-6F60FBF3AD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04" name="AutoShape 1" descr="Vista previa de toda la pantalla">
          <a:extLst>
            <a:ext uri="{FF2B5EF4-FFF2-40B4-BE49-F238E27FC236}">
              <a16:creationId xmlns:a16="http://schemas.microsoft.com/office/drawing/2014/main" id="{A1F0E79B-7858-4286-885B-6C6E4BB2D7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05" name="AutoShape 1" descr="Vista previa de toda la pantalla">
          <a:extLst>
            <a:ext uri="{FF2B5EF4-FFF2-40B4-BE49-F238E27FC236}">
              <a16:creationId xmlns:a16="http://schemas.microsoft.com/office/drawing/2014/main" id="{17CA0BE7-98CC-4F81-B083-499BF22B40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06" name="AutoShape 1" descr="Vista previa de toda la pantalla">
          <a:extLst>
            <a:ext uri="{FF2B5EF4-FFF2-40B4-BE49-F238E27FC236}">
              <a16:creationId xmlns:a16="http://schemas.microsoft.com/office/drawing/2014/main" id="{01F324EC-4E50-4D02-BFDB-2338892046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07" name="AutoShape 1" descr="Vista previa de toda la pantalla">
          <a:extLst>
            <a:ext uri="{FF2B5EF4-FFF2-40B4-BE49-F238E27FC236}">
              <a16:creationId xmlns:a16="http://schemas.microsoft.com/office/drawing/2014/main" id="{2CFF1A00-11D9-4F3D-B962-0478FA17FB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08" name="AutoShape 1" descr="Vista previa de toda la pantalla">
          <a:extLst>
            <a:ext uri="{FF2B5EF4-FFF2-40B4-BE49-F238E27FC236}">
              <a16:creationId xmlns:a16="http://schemas.microsoft.com/office/drawing/2014/main" id="{0A89CAF3-EBF5-41EC-9D04-CD713BBADB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09" name="AutoShape 1" descr="Vista previa de toda la pantalla">
          <a:extLst>
            <a:ext uri="{FF2B5EF4-FFF2-40B4-BE49-F238E27FC236}">
              <a16:creationId xmlns:a16="http://schemas.microsoft.com/office/drawing/2014/main" id="{E85872DF-9CDA-48E4-8A05-CE5B3B7012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0" name="AutoShape 1" descr="Vista previa de toda la pantalla">
          <a:extLst>
            <a:ext uri="{FF2B5EF4-FFF2-40B4-BE49-F238E27FC236}">
              <a16:creationId xmlns:a16="http://schemas.microsoft.com/office/drawing/2014/main" id="{A6B35C46-2694-426D-9CE6-C7EF03BFDA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1" name="AutoShape 1" descr="Vista previa de toda la pantalla">
          <a:extLst>
            <a:ext uri="{FF2B5EF4-FFF2-40B4-BE49-F238E27FC236}">
              <a16:creationId xmlns:a16="http://schemas.microsoft.com/office/drawing/2014/main" id="{47594726-1FA5-4107-BEEC-29E88D4441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2" name="AutoShape 1" descr="Vista previa de toda la pantalla">
          <a:extLst>
            <a:ext uri="{FF2B5EF4-FFF2-40B4-BE49-F238E27FC236}">
              <a16:creationId xmlns:a16="http://schemas.microsoft.com/office/drawing/2014/main" id="{02D06038-F6AB-4FA3-BA4C-7E0FF86FD2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3" name="AutoShape 1" descr="Vista previa de toda la pantalla">
          <a:extLst>
            <a:ext uri="{FF2B5EF4-FFF2-40B4-BE49-F238E27FC236}">
              <a16:creationId xmlns:a16="http://schemas.microsoft.com/office/drawing/2014/main" id="{5D74B184-EA21-42B1-BA51-5D694C30F9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4" name="AutoShape 1" descr="Vista previa de toda la pantalla">
          <a:extLst>
            <a:ext uri="{FF2B5EF4-FFF2-40B4-BE49-F238E27FC236}">
              <a16:creationId xmlns:a16="http://schemas.microsoft.com/office/drawing/2014/main" id="{35287703-0F0E-40AA-8CA9-44F9A457DD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5" name="AutoShape 1" descr="Vista previa de toda la pantalla">
          <a:extLst>
            <a:ext uri="{FF2B5EF4-FFF2-40B4-BE49-F238E27FC236}">
              <a16:creationId xmlns:a16="http://schemas.microsoft.com/office/drawing/2014/main" id="{E6DD8003-01AA-4753-ADF8-0ADD095455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6" name="AutoShape 1" descr="Vista previa de toda la pantalla">
          <a:extLst>
            <a:ext uri="{FF2B5EF4-FFF2-40B4-BE49-F238E27FC236}">
              <a16:creationId xmlns:a16="http://schemas.microsoft.com/office/drawing/2014/main" id="{A941735E-2340-49F1-9DA5-15A6C54034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7" name="AutoShape 1" descr="Vista previa de toda la pantalla">
          <a:extLst>
            <a:ext uri="{FF2B5EF4-FFF2-40B4-BE49-F238E27FC236}">
              <a16:creationId xmlns:a16="http://schemas.microsoft.com/office/drawing/2014/main" id="{5675D4EA-A6D9-4B1C-BBA8-350A92508F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8" name="AutoShape 1" descr="Vista previa de toda la pantalla">
          <a:extLst>
            <a:ext uri="{FF2B5EF4-FFF2-40B4-BE49-F238E27FC236}">
              <a16:creationId xmlns:a16="http://schemas.microsoft.com/office/drawing/2014/main" id="{0C8318AC-F081-4C1D-BE8F-32E0979B2F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19" name="AutoShape 1" descr="Vista previa de toda la pantalla">
          <a:extLst>
            <a:ext uri="{FF2B5EF4-FFF2-40B4-BE49-F238E27FC236}">
              <a16:creationId xmlns:a16="http://schemas.microsoft.com/office/drawing/2014/main" id="{EB5DE609-466B-4B70-966A-A83D432ACC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0" name="AutoShape 1" descr="Vista previa de toda la pantalla">
          <a:extLst>
            <a:ext uri="{FF2B5EF4-FFF2-40B4-BE49-F238E27FC236}">
              <a16:creationId xmlns:a16="http://schemas.microsoft.com/office/drawing/2014/main" id="{31ABB60C-2440-49A1-B2FE-E8AF72C217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1" name="AutoShape 1" descr="Vista previa de toda la pantalla">
          <a:extLst>
            <a:ext uri="{FF2B5EF4-FFF2-40B4-BE49-F238E27FC236}">
              <a16:creationId xmlns:a16="http://schemas.microsoft.com/office/drawing/2014/main" id="{46069D06-359F-476E-8A4C-16754F3CCC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2" name="AutoShape 1" descr="Vista previa de toda la pantalla">
          <a:extLst>
            <a:ext uri="{FF2B5EF4-FFF2-40B4-BE49-F238E27FC236}">
              <a16:creationId xmlns:a16="http://schemas.microsoft.com/office/drawing/2014/main" id="{188EDBF2-D4AD-4C64-AF72-C278C1FC8A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3" name="AutoShape 1" descr="Vista previa de toda la pantalla">
          <a:extLst>
            <a:ext uri="{FF2B5EF4-FFF2-40B4-BE49-F238E27FC236}">
              <a16:creationId xmlns:a16="http://schemas.microsoft.com/office/drawing/2014/main" id="{D4CCC0C8-A346-48FE-9036-F488A80758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4" name="AutoShape 1" descr="Vista previa de toda la pantalla">
          <a:extLst>
            <a:ext uri="{FF2B5EF4-FFF2-40B4-BE49-F238E27FC236}">
              <a16:creationId xmlns:a16="http://schemas.microsoft.com/office/drawing/2014/main" id="{59743459-7021-4848-9D3D-2C511F701C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5" name="AutoShape 1" descr="Vista previa de toda la pantalla">
          <a:extLst>
            <a:ext uri="{FF2B5EF4-FFF2-40B4-BE49-F238E27FC236}">
              <a16:creationId xmlns:a16="http://schemas.microsoft.com/office/drawing/2014/main" id="{061BBA55-A496-458E-AB85-C4FD225AE5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6" name="AutoShape 1" descr="Vista previa de toda la pantalla">
          <a:extLst>
            <a:ext uri="{FF2B5EF4-FFF2-40B4-BE49-F238E27FC236}">
              <a16:creationId xmlns:a16="http://schemas.microsoft.com/office/drawing/2014/main" id="{C868E113-F88B-4B06-A479-ACBD61EEEF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7" name="AutoShape 1" descr="Vista previa de toda la pantalla">
          <a:extLst>
            <a:ext uri="{FF2B5EF4-FFF2-40B4-BE49-F238E27FC236}">
              <a16:creationId xmlns:a16="http://schemas.microsoft.com/office/drawing/2014/main" id="{F7E58EAF-E31E-4657-9FF8-31FA2552BE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8" name="AutoShape 1" descr="Vista previa de toda la pantalla">
          <a:extLst>
            <a:ext uri="{FF2B5EF4-FFF2-40B4-BE49-F238E27FC236}">
              <a16:creationId xmlns:a16="http://schemas.microsoft.com/office/drawing/2014/main" id="{2D951559-AB68-4004-BE5E-14CF2E4961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29" name="AutoShape 1" descr="Vista previa de toda la pantalla">
          <a:extLst>
            <a:ext uri="{FF2B5EF4-FFF2-40B4-BE49-F238E27FC236}">
              <a16:creationId xmlns:a16="http://schemas.microsoft.com/office/drawing/2014/main" id="{5C25FF67-1354-40AC-B635-3B73DB309F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0" name="AutoShape 1" descr="Vista previa de toda la pantalla">
          <a:extLst>
            <a:ext uri="{FF2B5EF4-FFF2-40B4-BE49-F238E27FC236}">
              <a16:creationId xmlns:a16="http://schemas.microsoft.com/office/drawing/2014/main" id="{1B3CE911-F0A4-4E07-9967-6EDBC3E895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1" name="AutoShape 1" descr="Vista previa de toda la pantalla">
          <a:extLst>
            <a:ext uri="{FF2B5EF4-FFF2-40B4-BE49-F238E27FC236}">
              <a16:creationId xmlns:a16="http://schemas.microsoft.com/office/drawing/2014/main" id="{A7747DFA-6321-4D43-9E12-318A7E5EA5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2" name="AutoShape 1" descr="Vista previa de toda la pantalla">
          <a:extLst>
            <a:ext uri="{FF2B5EF4-FFF2-40B4-BE49-F238E27FC236}">
              <a16:creationId xmlns:a16="http://schemas.microsoft.com/office/drawing/2014/main" id="{8A1CD6B4-B4A7-4C74-AFFA-703BC2BE6A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3" name="AutoShape 1" descr="Vista previa de toda la pantalla">
          <a:extLst>
            <a:ext uri="{FF2B5EF4-FFF2-40B4-BE49-F238E27FC236}">
              <a16:creationId xmlns:a16="http://schemas.microsoft.com/office/drawing/2014/main" id="{A2D65F76-A919-4C8D-92AB-0C6C1F66A5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4" name="AutoShape 1" descr="Vista previa de toda la pantalla">
          <a:extLst>
            <a:ext uri="{FF2B5EF4-FFF2-40B4-BE49-F238E27FC236}">
              <a16:creationId xmlns:a16="http://schemas.microsoft.com/office/drawing/2014/main" id="{1942C9A2-1446-405E-ABB6-9FDE5C5B14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5" name="AutoShape 1" descr="Vista previa de toda la pantalla">
          <a:extLst>
            <a:ext uri="{FF2B5EF4-FFF2-40B4-BE49-F238E27FC236}">
              <a16:creationId xmlns:a16="http://schemas.microsoft.com/office/drawing/2014/main" id="{7CD718B6-6D99-4D36-A790-0F4AFC6B4B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6" name="AutoShape 1" descr="Vista previa de toda la pantalla">
          <a:extLst>
            <a:ext uri="{FF2B5EF4-FFF2-40B4-BE49-F238E27FC236}">
              <a16:creationId xmlns:a16="http://schemas.microsoft.com/office/drawing/2014/main" id="{BDD9D412-EBDC-4DFD-A6EC-01E993A7A0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7" name="AutoShape 1" descr="Vista previa de toda la pantalla">
          <a:extLst>
            <a:ext uri="{FF2B5EF4-FFF2-40B4-BE49-F238E27FC236}">
              <a16:creationId xmlns:a16="http://schemas.microsoft.com/office/drawing/2014/main" id="{7A73AA2A-FDB9-4D09-B971-D8B1DDBCFA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8" name="AutoShape 1" descr="Vista previa de toda la pantalla">
          <a:extLst>
            <a:ext uri="{FF2B5EF4-FFF2-40B4-BE49-F238E27FC236}">
              <a16:creationId xmlns:a16="http://schemas.microsoft.com/office/drawing/2014/main" id="{8495D2B6-2453-4F57-9E5D-C4FC69F2E0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39" name="AutoShape 1" descr="Vista previa de toda la pantalla">
          <a:extLst>
            <a:ext uri="{FF2B5EF4-FFF2-40B4-BE49-F238E27FC236}">
              <a16:creationId xmlns:a16="http://schemas.microsoft.com/office/drawing/2014/main" id="{CA7831AB-3F0B-437F-8682-7A7489051E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0" name="AutoShape 1" descr="Vista previa de toda la pantalla">
          <a:extLst>
            <a:ext uri="{FF2B5EF4-FFF2-40B4-BE49-F238E27FC236}">
              <a16:creationId xmlns:a16="http://schemas.microsoft.com/office/drawing/2014/main" id="{92D2E04E-EEF4-47B6-8199-BE1E52C55E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1" name="AutoShape 1" descr="Vista previa de toda la pantalla">
          <a:extLst>
            <a:ext uri="{FF2B5EF4-FFF2-40B4-BE49-F238E27FC236}">
              <a16:creationId xmlns:a16="http://schemas.microsoft.com/office/drawing/2014/main" id="{A1135E23-1EE9-4E3D-922B-4F8CE363C5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2" name="AutoShape 1" descr="Vista previa de toda la pantalla">
          <a:extLst>
            <a:ext uri="{FF2B5EF4-FFF2-40B4-BE49-F238E27FC236}">
              <a16:creationId xmlns:a16="http://schemas.microsoft.com/office/drawing/2014/main" id="{0A921E83-93EB-4755-B406-C333FF085C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3" name="AutoShape 1" descr="Vista previa de toda la pantalla">
          <a:extLst>
            <a:ext uri="{FF2B5EF4-FFF2-40B4-BE49-F238E27FC236}">
              <a16:creationId xmlns:a16="http://schemas.microsoft.com/office/drawing/2014/main" id="{B799AA36-68B5-4849-AC12-8B83F68E47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4" name="AutoShape 1" descr="Vista previa de toda la pantalla">
          <a:extLst>
            <a:ext uri="{FF2B5EF4-FFF2-40B4-BE49-F238E27FC236}">
              <a16:creationId xmlns:a16="http://schemas.microsoft.com/office/drawing/2014/main" id="{2C38A65B-92E3-406A-AB77-D71993359A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5" name="AutoShape 1" descr="Vista previa de toda la pantalla">
          <a:extLst>
            <a:ext uri="{FF2B5EF4-FFF2-40B4-BE49-F238E27FC236}">
              <a16:creationId xmlns:a16="http://schemas.microsoft.com/office/drawing/2014/main" id="{E7CB396A-91A9-419D-8780-2519D9732F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6" name="AutoShape 1" descr="Vista previa de toda la pantalla">
          <a:extLst>
            <a:ext uri="{FF2B5EF4-FFF2-40B4-BE49-F238E27FC236}">
              <a16:creationId xmlns:a16="http://schemas.microsoft.com/office/drawing/2014/main" id="{29D0FFF8-A79B-4FA5-B2BB-A3740235BA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7" name="AutoShape 1" descr="Vista previa de toda la pantalla">
          <a:extLst>
            <a:ext uri="{FF2B5EF4-FFF2-40B4-BE49-F238E27FC236}">
              <a16:creationId xmlns:a16="http://schemas.microsoft.com/office/drawing/2014/main" id="{B8D685E7-6CA5-4C74-8A70-365EDEC99C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8" name="AutoShape 1" descr="Vista previa de toda la pantalla">
          <a:extLst>
            <a:ext uri="{FF2B5EF4-FFF2-40B4-BE49-F238E27FC236}">
              <a16:creationId xmlns:a16="http://schemas.microsoft.com/office/drawing/2014/main" id="{F25D556C-8759-442E-BB72-44690BCAE6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49" name="AutoShape 1" descr="Vista previa de toda la pantalla">
          <a:extLst>
            <a:ext uri="{FF2B5EF4-FFF2-40B4-BE49-F238E27FC236}">
              <a16:creationId xmlns:a16="http://schemas.microsoft.com/office/drawing/2014/main" id="{744F000F-D104-4297-AE47-73924361D9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50" name="AutoShape 1" descr="Vista previa de toda la pantalla">
          <a:extLst>
            <a:ext uri="{FF2B5EF4-FFF2-40B4-BE49-F238E27FC236}">
              <a16:creationId xmlns:a16="http://schemas.microsoft.com/office/drawing/2014/main" id="{16AC2B8F-D410-468F-B375-742FE157A7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51" name="AutoShape 1" descr="Vista previa de toda la pantalla">
          <a:extLst>
            <a:ext uri="{FF2B5EF4-FFF2-40B4-BE49-F238E27FC236}">
              <a16:creationId xmlns:a16="http://schemas.microsoft.com/office/drawing/2014/main" id="{F2FF1186-6B3B-431A-94D4-A3FCEE8153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52" name="AutoShape 1" descr="Vista previa de toda la pantalla">
          <a:extLst>
            <a:ext uri="{FF2B5EF4-FFF2-40B4-BE49-F238E27FC236}">
              <a16:creationId xmlns:a16="http://schemas.microsoft.com/office/drawing/2014/main" id="{024C2B41-84E1-49A1-A2C4-73378A02CD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53" name="AutoShape 1" descr="Vista previa de toda la pantalla">
          <a:extLst>
            <a:ext uri="{FF2B5EF4-FFF2-40B4-BE49-F238E27FC236}">
              <a16:creationId xmlns:a16="http://schemas.microsoft.com/office/drawing/2014/main" id="{92E6908C-09F2-49AD-9892-9A81E8961E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54" name="AutoShape 1" descr="Vista previa de toda la pantalla">
          <a:extLst>
            <a:ext uri="{FF2B5EF4-FFF2-40B4-BE49-F238E27FC236}">
              <a16:creationId xmlns:a16="http://schemas.microsoft.com/office/drawing/2014/main" id="{91C5C609-2CF2-491F-8DC2-C97DCC7979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55" name="AutoShape 1" descr="Vista previa de toda la pantalla">
          <a:extLst>
            <a:ext uri="{FF2B5EF4-FFF2-40B4-BE49-F238E27FC236}">
              <a16:creationId xmlns:a16="http://schemas.microsoft.com/office/drawing/2014/main" id="{5EB88D18-D438-433B-8253-1972AB2D6E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56" name="AutoShape 1" descr="Vista previa de toda la pantalla">
          <a:extLst>
            <a:ext uri="{FF2B5EF4-FFF2-40B4-BE49-F238E27FC236}">
              <a16:creationId xmlns:a16="http://schemas.microsoft.com/office/drawing/2014/main" id="{93501D85-9AE2-4E74-BFE7-07F1854C27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57" name="AutoShape 1" descr="Vista previa de toda la pantalla">
          <a:extLst>
            <a:ext uri="{FF2B5EF4-FFF2-40B4-BE49-F238E27FC236}">
              <a16:creationId xmlns:a16="http://schemas.microsoft.com/office/drawing/2014/main" id="{A1E85E62-0850-4827-88F1-E824A3C994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58" name="AutoShape 1" descr="Vista previa de toda la pantalla">
          <a:extLst>
            <a:ext uri="{FF2B5EF4-FFF2-40B4-BE49-F238E27FC236}">
              <a16:creationId xmlns:a16="http://schemas.microsoft.com/office/drawing/2014/main" id="{1D33F33C-14A3-44C0-9554-F285A500C3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59" name="AutoShape 1" descr="Vista previa de toda la pantalla">
          <a:extLst>
            <a:ext uri="{FF2B5EF4-FFF2-40B4-BE49-F238E27FC236}">
              <a16:creationId xmlns:a16="http://schemas.microsoft.com/office/drawing/2014/main" id="{2F77AE6C-E308-4771-A2EF-319D11D13B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60" name="AutoShape 1" descr="Vista previa de toda la pantalla">
          <a:extLst>
            <a:ext uri="{FF2B5EF4-FFF2-40B4-BE49-F238E27FC236}">
              <a16:creationId xmlns:a16="http://schemas.microsoft.com/office/drawing/2014/main" id="{D039C89B-2087-43CC-997C-D42AB8B1F9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61" name="AutoShape 1" descr="Vista previa de toda la pantalla">
          <a:extLst>
            <a:ext uri="{FF2B5EF4-FFF2-40B4-BE49-F238E27FC236}">
              <a16:creationId xmlns:a16="http://schemas.microsoft.com/office/drawing/2014/main" id="{9C7B312A-DD4E-45C2-ABA4-93F460D68C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62" name="AutoShape 1" descr="Vista previa de toda la pantalla">
          <a:extLst>
            <a:ext uri="{FF2B5EF4-FFF2-40B4-BE49-F238E27FC236}">
              <a16:creationId xmlns:a16="http://schemas.microsoft.com/office/drawing/2014/main" id="{427D1D2F-58F5-4B9E-B578-0BD2D5D6C0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63" name="AutoShape 1" descr="Vista previa de toda la pantalla">
          <a:extLst>
            <a:ext uri="{FF2B5EF4-FFF2-40B4-BE49-F238E27FC236}">
              <a16:creationId xmlns:a16="http://schemas.microsoft.com/office/drawing/2014/main" id="{1B75CB6F-65D0-440B-A636-389DEF607F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2602"/>
    <xdr:sp macro="" textlink="">
      <xdr:nvSpPr>
        <xdr:cNvPr id="1664" name="AutoShape 1" descr="Vista previa de toda la pantalla">
          <a:extLst>
            <a:ext uri="{FF2B5EF4-FFF2-40B4-BE49-F238E27FC236}">
              <a16:creationId xmlns:a16="http://schemas.microsoft.com/office/drawing/2014/main" id="{AC3127B8-EEA5-4BDA-A84D-03DC18BBB4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65" name="AutoShape 1" descr="Vista previa de toda la pantalla">
          <a:extLst>
            <a:ext uri="{FF2B5EF4-FFF2-40B4-BE49-F238E27FC236}">
              <a16:creationId xmlns:a16="http://schemas.microsoft.com/office/drawing/2014/main" id="{71240261-5B62-4100-AC20-A46A5E65E7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66" name="AutoShape 1" descr="Vista previa de toda la pantalla">
          <a:extLst>
            <a:ext uri="{FF2B5EF4-FFF2-40B4-BE49-F238E27FC236}">
              <a16:creationId xmlns:a16="http://schemas.microsoft.com/office/drawing/2014/main" id="{7FA6C1F3-7A7E-4C10-96FD-2F52C4563F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67" name="AutoShape 1" descr="Vista previa de toda la pantalla">
          <a:extLst>
            <a:ext uri="{FF2B5EF4-FFF2-40B4-BE49-F238E27FC236}">
              <a16:creationId xmlns:a16="http://schemas.microsoft.com/office/drawing/2014/main" id="{1469D17E-F7F6-403F-8D35-DDFDA5610B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68" name="AutoShape 1" descr="Vista previa de toda la pantalla">
          <a:extLst>
            <a:ext uri="{FF2B5EF4-FFF2-40B4-BE49-F238E27FC236}">
              <a16:creationId xmlns:a16="http://schemas.microsoft.com/office/drawing/2014/main" id="{EB2C09BC-A260-44BD-83DC-C655A333F7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69" name="AutoShape 1" descr="Vista previa de toda la pantalla">
          <a:extLst>
            <a:ext uri="{FF2B5EF4-FFF2-40B4-BE49-F238E27FC236}">
              <a16:creationId xmlns:a16="http://schemas.microsoft.com/office/drawing/2014/main" id="{BA81962B-9084-4B31-BAE0-960682C25D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0" name="AutoShape 1" descr="Vista previa de toda la pantalla">
          <a:extLst>
            <a:ext uri="{FF2B5EF4-FFF2-40B4-BE49-F238E27FC236}">
              <a16:creationId xmlns:a16="http://schemas.microsoft.com/office/drawing/2014/main" id="{B4A23EC7-4BFB-4D5E-99AA-78A85D0D8D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1" name="AutoShape 1" descr="Vista previa de toda la pantalla">
          <a:extLst>
            <a:ext uri="{FF2B5EF4-FFF2-40B4-BE49-F238E27FC236}">
              <a16:creationId xmlns:a16="http://schemas.microsoft.com/office/drawing/2014/main" id="{EFCC64AF-CCE4-47C3-B714-55DADDF587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2" name="AutoShape 1" descr="Vista previa de toda la pantalla">
          <a:extLst>
            <a:ext uri="{FF2B5EF4-FFF2-40B4-BE49-F238E27FC236}">
              <a16:creationId xmlns:a16="http://schemas.microsoft.com/office/drawing/2014/main" id="{0404B43E-582C-4CC2-9BF3-A9DF8DE07C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3" name="AutoShape 1" descr="Vista previa de toda la pantalla">
          <a:extLst>
            <a:ext uri="{FF2B5EF4-FFF2-40B4-BE49-F238E27FC236}">
              <a16:creationId xmlns:a16="http://schemas.microsoft.com/office/drawing/2014/main" id="{9B94517B-1DB8-462C-9529-2298C2E9DF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4" name="AutoShape 1" descr="Vista previa de toda la pantalla">
          <a:extLst>
            <a:ext uri="{FF2B5EF4-FFF2-40B4-BE49-F238E27FC236}">
              <a16:creationId xmlns:a16="http://schemas.microsoft.com/office/drawing/2014/main" id="{13E3BAC2-1303-406B-A163-44606DF573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5" name="AutoShape 1" descr="Vista previa de toda la pantalla">
          <a:extLst>
            <a:ext uri="{FF2B5EF4-FFF2-40B4-BE49-F238E27FC236}">
              <a16:creationId xmlns:a16="http://schemas.microsoft.com/office/drawing/2014/main" id="{D9014881-6AF2-42D4-AE8E-B93E30F5F4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6" name="AutoShape 1" descr="Vista previa de toda la pantalla">
          <a:extLst>
            <a:ext uri="{FF2B5EF4-FFF2-40B4-BE49-F238E27FC236}">
              <a16:creationId xmlns:a16="http://schemas.microsoft.com/office/drawing/2014/main" id="{CEC23145-CEF3-462F-8EC5-66DFAA5981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7" name="AutoShape 1" descr="Vista previa de toda la pantalla">
          <a:extLst>
            <a:ext uri="{FF2B5EF4-FFF2-40B4-BE49-F238E27FC236}">
              <a16:creationId xmlns:a16="http://schemas.microsoft.com/office/drawing/2014/main" id="{9B1A96D0-0C86-4D59-B3A0-2F899E8449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8" name="AutoShape 1" descr="Vista previa de toda la pantalla">
          <a:extLst>
            <a:ext uri="{FF2B5EF4-FFF2-40B4-BE49-F238E27FC236}">
              <a16:creationId xmlns:a16="http://schemas.microsoft.com/office/drawing/2014/main" id="{FB7C4D3E-9DEB-4FCC-8C49-7CB91C0C6E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79" name="AutoShape 1" descr="Vista previa de toda la pantalla">
          <a:extLst>
            <a:ext uri="{FF2B5EF4-FFF2-40B4-BE49-F238E27FC236}">
              <a16:creationId xmlns:a16="http://schemas.microsoft.com/office/drawing/2014/main" id="{EA3895BB-6F24-4BF3-9E8B-B9343907D9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0" name="AutoShape 1" descr="Vista previa de toda la pantalla">
          <a:extLst>
            <a:ext uri="{FF2B5EF4-FFF2-40B4-BE49-F238E27FC236}">
              <a16:creationId xmlns:a16="http://schemas.microsoft.com/office/drawing/2014/main" id="{F1D4ECD4-709D-4BD9-AC6A-8014B5A76A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1" name="AutoShape 1" descr="Vista previa de toda la pantalla">
          <a:extLst>
            <a:ext uri="{FF2B5EF4-FFF2-40B4-BE49-F238E27FC236}">
              <a16:creationId xmlns:a16="http://schemas.microsoft.com/office/drawing/2014/main" id="{62E682B2-AFB8-46CA-B34A-7FFD4674F4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2" name="AutoShape 1" descr="Vista previa de toda la pantalla">
          <a:extLst>
            <a:ext uri="{FF2B5EF4-FFF2-40B4-BE49-F238E27FC236}">
              <a16:creationId xmlns:a16="http://schemas.microsoft.com/office/drawing/2014/main" id="{AFE4C631-8EE6-4054-B9F5-735EC31FA8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3" name="AutoShape 1" descr="Vista previa de toda la pantalla">
          <a:extLst>
            <a:ext uri="{FF2B5EF4-FFF2-40B4-BE49-F238E27FC236}">
              <a16:creationId xmlns:a16="http://schemas.microsoft.com/office/drawing/2014/main" id="{A5D8B436-D779-4AFB-B545-F77D51DEA9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4" name="AutoShape 1" descr="Vista previa de toda la pantalla">
          <a:extLst>
            <a:ext uri="{FF2B5EF4-FFF2-40B4-BE49-F238E27FC236}">
              <a16:creationId xmlns:a16="http://schemas.microsoft.com/office/drawing/2014/main" id="{13D7CB67-0D8A-4936-A999-16795881E8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5" name="AutoShape 1" descr="Vista previa de toda la pantalla">
          <a:extLst>
            <a:ext uri="{FF2B5EF4-FFF2-40B4-BE49-F238E27FC236}">
              <a16:creationId xmlns:a16="http://schemas.microsoft.com/office/drawing/2014/main" id="{34BF1A40-548E-4298-BE09-F243D1EA63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6" name="AutoShape 1" descr="Vista previa de toda la pantalla">
          <a:extLst>
            <a:ext uri="{FF2B5EF4-FFF2-40B4-BE49-F238E27FC236}">
              <a16:creationId xmlns:a16="http://schemas.microsoft.com/office/drawing/2014/main" id="{764D66A5-348C-4397-B1C5-6EF52A638D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7" name="AutoShape 1" descr="Vista previa de toda la pantalla">
          <a:extLst>
            <a:ext uri="{FF2B5EF4-FFF2-40B4-BE49-F238E27FC236}">
              <a16:creationId xmlns:a16="http://schemas.microsoft.com/office/drawing/2014/main" id="{FB6A37F4-AC5E-4AD4-BDEC-1619124532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8" name="AutoShape 1" descr="Vista previa de toda la pantalla">
          <a:extLst>
            <a:ext uri="{FF2B5EF4-FFF2-40B4-BE49-F238E27FC236}">
              <a16:creationId xmlns:a16="http://schemas.microsoft.com/office/drawing/2014/main" id="{F3304CDE-8D22-48D9-BD81-A653B30A29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89" name="AutoShape 1" descr="Vista previa de toda la pantalla">
          <a:extLst>
            <a:ext uri="{FF2B5EF4-FFF2-40B4-BE49-F238E27FC236}">
              <a16:creationId xmlns:a16="http://schemas.microsoft.com/office/drawing/2014/main" id="{9225C1A1-2438-432E-A1FD-E583521479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0" name="AutoShape 1" descr="Vista previa de toda la pantalla">
          <a:extLst>
            <a:ext uri="{FF2B5EF4-FFF2-40B4-BE49-F238E27FC236}">
              <a16:creationId xmlns:a16="http://schemas.microsoft.com/office/drawing/2014/main" id="{4FE6BF98-08C3-4927-A0BF-9AB8348349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1" name="AutoShape 1" descr="Vista previa de toda la pantalla">
          <a:extLst>
            <a:ext uri="{FF2B5EF4-FFF2-40B4-BE49-F238E27FC236}">
              <a16:creationId xmlns:a16="http://schemas.microsoft.com/office/drawing/2014/main" id="{ED02BF93-1FD0-4A3A-B24C-CF40B55D5A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2" name="AutoShape 1" descr="Vista previa de toda la pantalla">
          <a:extLst>
            <a:ext uri="{FF2B5EF4-FFF2-40B4-BE49-F238E27FC236}">
              <a16:creationId xmlns:a16="http://schemas.microsoft.com/office/drawing/2014/main" id="{3D666E83-CE53-430C-9F0C-D1B54E3148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3" name="AutoShape 1" descr="Vista previa de toda la pantalla">
          <a:extLst>
            <a:ext uri="{FF2B5EF4-FFF2-40B4-BE49-F238E27FC236}">
              <a16:creationId xmlns:a16="http://schemas.microsoft.com/office/drawing/2014/main" id="{637987C6-F74F-463E-B81E-FCFFF2DBF2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4" name="AutoShape 1" descr="Vista previa de toda la pantalla">
          <a:extLst>
            <a:ext uri="{FF2B5EF4-FFF2-40B4-BE49-F238E27FC236}">
              <a16:creationId xmlns:a16="http://schemas.microsoft.com/office/drawing/2014/main" id="{5E4DFEAE-E7F3-4F22-963D-67C4CE114F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5" name="AutoShape 1" descr="Vista previa de toda la pantalla">
          <a:extLst>
            <a:ext uri="{FF2B5EF4-FFF2-40B4-BE49-F238E27FC236}">
              <a16:creationId xmlns:a16="http://schemas.microsoft.com/office/drawing/2014/main" id="{B6A6C4C8-AEEA-4047-B226-44200DBA07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6" name="AutoShape 1" descr="Vista previa de toda la pantalla">
          <a:extLst>
            <a:ext uri="{FF2B5EF4-FFF2-40B4-BE49-F238E27FC236}">
              <a16:creationId xmlns:a16="http://schemas.microsoft.com/office/drawing/2014/main" id="{51000027-EB07-4836-A5EC-3CDB23A77B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7" name="AutoShape 1" descr="Vista previa de toda la pantalla">
          <a:extLst>
            <a:ext uri="{FF2B5EF4-FFF2-40B4-BE49-F238E27FC236}">
              <a16:creationId xmlns:a16="http://schemas.microsoft.com/office/drawing/2014/main" id="{C2487BAE-26C8-4C68-9C0E-567ED4F89F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8" name="AutoShape 1" descr="Vista previa de toda la pantalla">
          <a:extLst>
            <a:ext uri="{FF2B5EF4-FFF2-40B4-BE49-F238E27FC236}">
              <a16:creationId xmlns:a16="http://schemas.microsoft.com/office/drawing/2014/main" id="{904868E6-7CA7-474E-9D3E-2395BF4080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699" name="AutoShape 1" descr="Vista previa de toda la pantalla">
          <a:extLst>
            <a:ext uri="{FF2B5EF4-FFF2-40B4-BE49-F238E27FC236}">
              <a16:creationId xmlns:a16="http://schemas.microsoft.com/office/drawing/2014/main" id="{13D3099A-E514-42CC-B324-F3D6B05D4B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00" name="AutoShape 1" descr="Vista previa de toda la pantalla">
          <a:extLst>
            <a:ext uri="{FF2B5EF4-FFF2-40B4-BE49-F238E27FC236}">
              <a16:creationId xmlns:a16="http://schemas.microsoft.com/office/drawing/2014/main" id="{F65BF9C5-DAE9-43D6-BF11-8B6E2019D1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01" name="AutoShape 1" descr="Vista previa de toda la pantalla">
          <a:extLst>
            <a:ext uri="{FF2B5EF4-FFF2-40B4-BE49-F238E27FC236}">
              <a16:creationId xmlns:a16="http://schemas.microsoft.com/office/drawing/2014/main" id="{F8FB799F-8C73-40D4-AE82-C77FB76830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02" name="AutoShape 1" descr="Vista previa de toda la pantalla">
          <a:extLst>
            <a:ext uri="{FF2B5EF4-FFF2-40B4-BE49-F238E27FC236}">
              <a16:creationId xmlns:a16="http://schemas.microsoft.com/office/drawing/2014/main" id="{CBD9515F-5B0A-4251-9322-49CEC08715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03" name="AutoShape 1" descr="Vista previa de toda la pantalla">
          <a:extLst>
            <a:ext uri="{FF2B5EF4-FFF2-40B4-BE49-F238E27FC236}">
              <a16:creationId xmlns:a16="http://schemas.microsoft.com/office/drawing/2014/main" id="{3A5B3A6A-2230-42F5-A6A7-C41A49F6DB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04" name="AutoShape 1" descr="Vista previa de toda la pantalla">
          <a:extLst>
            <a:ext uri="{FF2B5EF4-FFF2-40B4-BE49-F238E27FC236}">
              <a16:creationId xmlns:a16="http://schemas.microsoft.com/office/drawing/2014/main" id="{AC068E33-4D63-4020-AB88-D15D8264FA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05" name="AutoShape 1" descr="Vista previa de toda la pantalla">
          <a:extLst>
            <a:ext uri="{FF2B5EF4-FFF2-40B4-BE49-F238E27FC236}">
              <a16:creationId xmlns:a16="http://schemas.microsoft.com/office/drawing/2014/main" id="{A53DF299-3717-4183-888C-97EF25A9A6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06" name="AutoShape 1" descr="Vista previa de toda la pantalla">
          <a:extLst>
            <a:ext uri="{FF2B5EF4-FFF2-40B4-BE49-F238E27FC236}">
              <a16:creationId xmlns:a16="http://schemas.microsoft.com/office/drawing/2014/main" id="{92744940-38FE-4C2D-A03E-5577692CA5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07" name="AutoShape 1" descr="Vista previa de toda la pantalla">
          <a:extLst>
            <a:ext uri="{FF2B5EF4-FFF2-40B4-BE49-F238E27FC236}">
              <a16:creationId xmlns:a16="http://schemas.microsoft.com/office/drawing/2014/main" id="{FA068263-9E13-41B7-AF90-E7ABBA3C4B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08" name="AutoShape 1" descr="Vista previa de toda la pantalla">
          <a:extLst>
            <a:ext uri="{FF2B5EF4-FFF2-40B4-BE49-F238E27FC236}">
              <a16:creationId xmlns:a16="http://schemas.microsoft.com/office/drawing/2014/main" id="{78380570-EC54-42B6-9363-FB622D2DD9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09" name="AutoShape 1" descr="Vista previa de toda la pantalla">
          <a:extLst>
            <a:ext uri="{FF2B5EF4-FFF2-40B4-BE49-F238E27FC236}">
              <a16:creationId xmlns:a16="http://schemas.microsoft.com/office/drawing/2014/main" id="{8E7334C4-81A9-48B5-AB1F-9093565E73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0" name="AutoShape 1" descr="Vista previa de toda la pantalla">
          <a:extLst>
            <a:ext uri="{FF2B5EF4-FFF2-40B4-BE49-F238E27FC236}">
              <a16:creationId xmlns:a16="http://schemas.microsoft.com/office/drawing/2014/main" id="{E546CE24-2AED-46EB-9044-CEF7A6C0AD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1" name="AutoShape 1" descr="Vista previa de toda la pantalla">
          <a:extLst>
            <a:ext uri="{FF2B5EF4-FFF2-40B4-BE49-F238E27FC236}">
              <a16:creationId xmlns:a16="http://schemas.microsoft.com/office/drawing/2014/main" id="{009FB203-F595-4D78-973A-F36970F409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2" name="AutoShape 1" descr="Vista previa de toda la pantalla">
          <a:extLst>
            <a:ext uri="{FF2B5EF4-FFF2-40B4-BE49-F238E27FC236}">
              <a16:creationId xmlns:a16="http://schemas.microsoft.com/office/drawing/2014/main" id="{29B91EC2-4229-4D10-B7C1-CA6492446B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3" name="AutoShape 1" descr="Vista previa de toda la pantalla">
          <a:extLst>
            <a:ext uri="{FF2B5EF4-FFF2-40B4-BE49-F238E27FC236}">
              <a16:creationId xmlns:a16="http://schemas.microsoft.com/office/drawing/2014/main" id="{12670861-8C55-47FC-A9D2-01656C3909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4" name="AutoShape 1" descr="Vista previa de toda la pantalla">
          <a:extLst>
            <a:ext uri="{FF2B5EF4-FFF2-40B4-BE49-F238E27FC236}">
              <a16:creationId xmlns:a16="http://schemas.microsoft.com/office/drawing/2014/main" id="{5B735259-6978-4FE1-BE3F-9DCE5AE60A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5" name="AutoShape 1" descr="Vista previa de toda la pantalla">
          <a:extLst>
            <a:ext uri="{FF2B5EF4-FFF2-40B4-BE49-F238E27FC236}">
              <a16:creationId xmlns:a16="http://schemas.microsoft.com/office/drawing/2014/main" id="{8183FE98-0D78-4FC1-BC9D-DD36506ED6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6" name="AutoShape 1" descr="Vista previa de toda la pantalla">
          <a:extLst>
            <a:ext uri="{FF2B5EF4-FFF2-40B4-BE49-F238E27FC236}">
              <a16:creationId xmlns:a16="http://schemas.microsoft.com/office/drawing/2014/main" id="{06DA83F9-5601-4BFB-94F7-38DADAD844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7" name="AutoShape 1" descr="Vista previa de toda la pantalla">
          <a:extLst>
            <a:ext uri="{FF2B5EF4-FFF2-40B4-BE49-F238E27FC236}">
              <a16:creationId xmlns:a16="http://schemas.microsoft.com/office/drawing/2014/main" id="{A63AEFEF-FFA8-4DEF-B3F9-FEAD5A0889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8" name="AutoShape 1" descr="Vista previa de toda la pantalla">
          <a:extLst>
            <a:ext uri="{FF2B5EF4-FFF2-40B4-BE49-F238E27FC236}">
              <a16:creationId xmlns:a16="http://schemas.microsoft.com/office/drawing/2014/main" id="{571361E8-0D02-47A7-A62C-54589F29F3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19" name="AutoShape 1" descr="Vista previa de toda la pantalla">
          <a:extLst>
            <a:ext uri="{FF2B5EF4-FFF2-40B4-BE49-F238E27FC236}">
              <a16:creationId xmlns:a16="http://schemas.microsoft.com/office/drawing/2014/main" id="{2437897F-2004-4976-AC7E-BE8E296187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0" name="AutoShape 1" descr="Vista previa de toda la pantalla">
          <a:extLst>
            <a:ext uri="{FF2B5EF4-FFF2-40B4-BE49-F238E27FC236}">
              <a16:creationId xmlns:a16="http://schemas.microsoft.com/office/drawing/2014/main" id="{961613F3-0545-4E0C-AACC-E7FFCCC4D0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1" name="AutoShape 1" descr="Vista previa de toda la pantalla">
          <a:extLst>
            <a:ext uri="{FF2B5EF4-FFF2-40B4-BE49-F238E27FC236}">
              <a16:creationId xmlns:a16="http://schemas.microsoft.com/office/drawing/2014/main" id="{9E97B5D9-B1E1-4420-8A60-A63862C64F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2" name="AutoShape 1" descr="Vista previa de toda la pantalla">
          <a:extLst>
            <a:ext uri="{FF2B5EF4-FFF2-40B4-BE49-F238E27FC236}">
              <a16:creationId xmlns:a16="http://schemas.microsoft.com/office/drawing/2014/main" id="{8C0B6073-5E0E-468E-BD72-CC63AFD920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3" name="AutoShape 1" descr="Vista previa de toda la pantalla">
          <a:extLst>
            <a:ext uri="{FF2B5EF4-FFF2-40B4-BE49-F238E27FC236}">
              <a16:creationId xmlns:a16="http://schemas.microsoft.com/office/drawing/2014/main" id="{DC30BBC0-EDEB-4883-B02F-CF2A7E32AD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4" name="AutoShape 1" descr="Vista previa de toda la pantalla">
          <a:extLst>
            <a:ext uri="{FF2B5EF4-FFF2-40B4-BE49-F238E27FC236}">
              <a16:creationId xmlns:a16="http://schemas.microsoft.com/office/drawing/2014/main" id="{7530649C-0775-4730-9E96-762F76535B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5" name="AutoShape 1" descr="Vista previa de toda la pantalla">
          <a:extLst>
            <a:ext uri="{FF2B5EF4-FFF2-40B4-BE49-F238E27FC236}">
              <a16:creationId xmlns:a16="http://schemas.microsoft.com/office/drawing/2014/main" id="{625156F9-64A6-4A88-8449-F8133FE1E6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6" name="AutoShape 1" descr="Vista previa de toda la pantalla">
          <a:extLst>
            <a:ext uri="{FF2B5EF4-FFF2-40B4-BE49-F238E27FC236}">
              <a16:creationId xmlns:a16="http://schemas.microsoft.com/office/drawing/2014/main" id="{7C1F04FB-BBAC-4624-8886-0866093005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7" name="AutoShape 1" descr="Vista previa de toda la pantalla">
          <a:extLst>
            <a:ext uri="{FF2B5EF4-FFF2-40B4-BE49-F238E27FC236}">
              <a16:creationId xmlns:a16="http://schemas.microsoft.com/office/drawing/2014/main" id="{AF2205BF-81A9-4591-AC7D-09644ECA53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8" name="AutoShape 1" descr="Vista previa de toda la pantalla">
          <a:extLst>
            <a:ext uri="{FF2B5EF4-FFF2-40B4-BE49-F238E27FC236}">
              <a16:creationId xmlns:a16="http://schemas.microsoft.com/office/drawing/2014/main" id="{920BB984-61AF-49CD-94BC-F0006B51BA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29" name="AutoShape 1" descr="Vista previa de toda la pantalla">
          <a:extLst>
            <a:ext uri="{FF2B5EF4-FFF2-40B4-BE49-F238E27FC236}">
              <a16:creationId xmlns:a16="http://schemas.microsoft.com/office/drawing/2014/main" id="{FAC3A7FF-4D56-424B-8EF0-83CAD37BD1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0" name="AutoShape 1" descr="Vista previa de toda la pantalla">
          <a:extLst>
            <a:ext uri="{FF2B5EF4-FFF2-40B4-BE49-F238E27FC236}">
              <a16:creationId xmlns:a16="http://schemas.microsoft.com/office/drawing/2014/main" id="{E18E444B-4180-45FC-920F-885065CB67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1" name="AutoShape 1" descr="Vista previa de toda la pantalla">
          <a:extLst>
            <a:ext uri="{FF2B5EF4-FFF2-40B4-BE49-F238E27FC236}">
              <a16:creationId xmlns:a16="http://schemas.microsoft.com/office/drawing/2014/main" id="{001C5D61-125A-45F6-BF20-F77A0E6936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2" name="AutoShape 1" descr="Vista previa de toda la pantalla">
          <a:extLst>
            <a:ext uri="{FF2B5EF4-FFF2-40B4-BE49-F238E27FC236}">
              <a16:creationId xmlns:a16="http://schemas.microsoft.com/office/drawing/2014/main" id="{1D5ED36C-38A6-4B48-B814-D03BDC0361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3" name="AutoShape 1" descr="Vista previa de toda la pantalla">
          <a:extLst>
            <a:ext uri="{FF2B5EF4-FFF2-40B4-BE49-F238E27FC236}">
              <a16:creationId xmlns:a16="http://schemas.microsoft.com/office/drawing/2014/main" id="{92F9FDD6-430E-4790-802A-EA0CE30103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4" name="AutoShape 1" descr="Vista previa de toda la pantalla">
          <a:extLst>
            <a:ext uri="{FF2B5EF4-FFF2-40B4-BE49-F238E27FC236}">
              <a16:creationId xmlns:a16="http://schemas.microsoft.com/office/drawing/2014/main" id="{916F0947-3060-45AC-AFD6-27F2D25A25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5" name="AutoShape 1" descr="Vista previa de toda la pantalla">
          <a:extLst>
            <a:ext uri="{FF2B5EF4-FFF2-40B4-BE49-F238E27FC236}">
              <a16:creationId xmlns:a16="http://schemas.microsoft.com/office/drawing/2014/main" id="{41E63B44-8F32-4A8D-B000-7E90EACC49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6" name="AutoShape 1" descr="Vista previa de toda la pantalla">
          <a:extLst>
            <a:ext uri="{FF2B5EF4-FFF2-40B4-BE49-F238E27FC236}">
              <a16:creationId xmlns:a16="http://schemas.microsoft.com/office/drawing/2014/main" id="{DB234DA1-9389-496B-8F25-6CFC0AD6B0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7" name="AutoShape 1" descr="Vista previa de toda la pantalla">
          <a:extLst>
            <a:ext uri="{FF2B5EF4-FFF2-40B4-BE49-F238E27FC236}">
              <a16:creationId xmlns:a16="http://schemas.microsoft.com/office/drawing/2014/main" id="{0BA9E3F3-5F6D-4759-B30A-6F32E65DF5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8" name="AutoShape 1" descr="Vista previa de toda la pantalla">
          <a:extLst>
            <a:ext uri="{FF2B5EF4-FFF2-40B4-BE49-F238E27FC236}">
              <a16:creationId xmlns:a16="http://schemas.microsoft.com/office/drawing/2014/main" id="{3E53F28B-EB45-49F4-9161-65EC8F063B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39" name="AutoShape 1" descr="Vista previa de toda la pantalla">
          <a:extLst>
            <a:ext uri="{FF2B5EF4-FFF2-40B4-BE49-F238E27FC236}">
              <a16:creationId xmlns:a16="http://schemas.microsoft.com/office/drawing/2014/main" id="{85904204-729F-4819-9DE7-954CEC90F8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0" name="AutoShape 1" descr="Vista previa de toda la pantalla">
          <a:extLst>
            <a:ext uri="{FF2B5EF4-FFF2-40B4-BE49-F238E27FC236}">
              <a16:creationId xmlns:a16="http://schemas.microsoft.com/office/drawing/2014/main" id="{B91C1937-3F38-44DA-9949-13A00501EA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1" name="AutoShape 1" descr="Vista previa de toda la pantalla">
          <a:extLst>
            <a:ext uri="{FF2B5EF4-FFF2-40B4-BE49-F238E27FC236}">
              <a16:creationId xmlns:a16="http://schemas.microsoft.com/office/drawing/2014/main" id="{83458B04-FD04-40E9-8FAA-FDEE0A0ED8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2" name="AutoShape 1" descr="Vista previa de toda la pantalla">
          <a:extLst>
            <a:ext uri="{FF2B5EF4-FFF2-40B4-BE49-F238E27FC236}">
              <a16:creationId xmlns:a16="http://schemas.microsoft.com/office/drawing/2014/main" id="{AC6F0169-B0FB-4F45-B5EB-90D2BC0D5C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3" name="AutoShape 1" descr="Vista previa de toda la pantalla">
          <a:extLst>
            <a:ext uri="{FF2B5EF4-FFF2-40B4-BE49-F238E27FC236}">
              <a16:creationId xmlns:a16="http://schemas.microsoft.com/office/drawing/2014/main" id="{823525FF-0C84-44B0-80BB-F3A37B172A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4" name="AutoShape 1" descr="Vista previa de toda la pantalla">
          <a:extLst>
            <a:ext uri="{FF2B5EF4-FFF2-40B4-BE49-F238E27FC236}">
              <a16:creationId xmlns:a16="http://schemas.microsoft.com/office/drawing/2014/main" id="{F127E4E2-EFA8-46F4-A3AF-C32559DA69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5" name="AutoShape 1" descr="Vista previa de toda la pantalla">
          <a:extLst>
            <a:ext uri="{FF2B5EF4-FFF2-40B4-BE49-F238E27FC236}">
              <a16:creationId xmlns:a16="http://schemas.microsoft.com/office/drawing/2014/main" id="{C34E1A11-4359-4F41-B515-E7B84888DD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6" name="AutoShape 1" descr="Vista previa de toda la pantalla">
          <a:extLst>
            <a:ext uri="{FF2B5EF4-FFF2-40B4-BE49-F238E27FC236}">
              <a16:creationId xmlns:a16="http://schemas.microsoft.com/office/drawing/2014/main" id="{11FAA1BA-C181-4F91-88D5-AE97A1A297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7" name="AutoShape 1" descr="Vista previa de toda la pantalla">
          <a:extLst>
            <a:ext uri="{FF2B5EF4-FFF2-40B4-BE49-F238E27FC236}">
              <a16:creationId xmlns:a16="http://schemas.microsoft.com/office/drawing/2014/main" id="{6BCEDBA1-7D43-4ED0-82E0-A9832B27EA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8" name="AutoShape 1" descr="Vista previa de toda la pantalla">
          <a:extLst>
            <a:ext uri="{FF2B5EF4-FFF2-40B4-BE49-F238E27FC236}">
              <a16:creationId xmlns:a16="http://schemas.microsoft.com/office/drawing/2014/main" id="{0A039023-9C7F-4BC2-92FA-A9922A81CA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49" name="AutoShape 1" descr="Vista previa de toda la pantalla">
          <a:extLst>
            <a:ext uri="{FF2B5EF4-FFF2-40B4-BE49-F238E27FC236}">
              <a16:creationId xmlns:a16="http://schemas.microsoft.com/office/drawing/2014/main" id="{1E3B9E42-0DE9-4FFF-810A-23D92CFC0D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50" name="AutoShape 1" descr="Vista previa de toda la pantalla">
          <a:extLst>
            <a:ext uri="{FF2B5EF4-FFF2-40B4-BE49-F238E27FC236}">
              <a16:creationId xmlns:a16="http://schemas.microsoft.com/office/drawing/2014/main" id="{AABB3DE8-8367-48A5-AB02-4D4F868401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51" name="AutoShape 1" descr="Vista previa de toda la pantalla">
          <a:extLst>
            <a:ext uri="{FF2B5EF4-FFF2-40B4-BE49-F238E27FC236}">
              <a16:creationId xmlns:a16="http://schemas.microsoft.com/office/drawing/2014/main" id="{C8320DCC-E2DD-4098-BC54-3E5C5B3ABB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52" name="AutoShape 1" descr="Vista previa de toda la pantalla">
          <a:extLst>
            <a:ext uri="{FF2B5EF4-FFF2-40B4-BE49-F238E27FC236}">
              <a16:creationId xmlns:a16="http://schemas.microsoft.com/office/drawing/2014/main" id="{C0D652DB-C14C-4ECB-A3E2-F897FF81C3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53" name="AutoShape 1" descr="Vista previa de toda la pantalla">
          <a:extLst>
            <a:ext uri="{FF2B5EF4-FFF2-40B4-BE49-F238E27FC236}">
              <a16:creationId xmlns:a16="http://schemas.microsoft.com/office/drawing/2014/main" id="{2C350701-1A65-4195-94E0-074D812194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54" name="AutoShape 1" descr="Vista previa de toda la pantalla">
          <a:extLst>
            <a:ext uri="{FF2B5EF4-FFF2-40B4-BE49-F238E27FC236}">
              <a16:creationId xmlns:a16="http://schemas.microsoft.com/office/drawing/2014/main" id="{09748BB0-BC01-4D11-A71F-CCB7ED8B6F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55" name="AutoShape 1" descr="Vista previa de toda la pantalla">
          <a:extLst>
            <a:ext uri="{FF2B5EF4-FFF2-40B4-BE49-F238E27FC236}">
              <a16:creationId xmlns:a16="http://schemas.microsoft.com/office/drawing/2014/main" id="{90A76449-F7BA-4311-A438-5E60888CBD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56" name="AutoShape 1" descr="Vista previa de toda la pantalla">
          <a:extLst>
            <a:ext uri="{FF2B5EF4-FFF2-40B4-BE49-F238E27FC236}">
              <a16:creationId xmlns:a16="http://schemas.microsoft.com/office/drawing/2014/main" id="{F4C01A32-4382-4B4D-8D32-17B44CE1D2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57" name="AutoShape 1" descr="Vista previa de toda la pantalla">
          <a:extLst>
            <a:ext uri="{FF2B5EF4-FFF2-40B4-BE49-F238E27FC236}">
              <a16:creationId xmlns:a16="http://schemas.microsoft.com/office/drawing/2014/main" id="{F199496D-CB1F-458F-A074-7A6B069E1F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58" name="AutoShape 1" descr="Vista previa de toda la pantalla">
          <a:extLst>
            <a:ext uri="{FF2B5EF4-FFF2-40B4-BE49-F238E27FC236}">
              <a16:creationId xmlns:a16="http://schemas.microsoft.com/office/drawing/2014/main" id="{DE314099-FCD8-4F44-8505-F551F93A34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59" name="AutoShape 1" descr="Vista previa de toda la pantalla">
          <a:extLst>
            <a:ext uri="{FF2B5EF4-FFF2-40B4-BE49-F238E27FC236}">
              <a16:creationId xmlns:a16="http://schemas.microsoft.com/office/drawing/2014/main" id="{C43F1D97-C445-4ECB-9CFD-3CF4672AFA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0" name="AutoShape 1" descr="Vista previa de toda la pantalla">
          <a:extLst>
            <a:ext uri="{FF2B5EF4-FFF2-40B4-BE49-F238E27FC236}">
              <a16:creationId xmlns:a16="http://schemas.microsoft.com/office/drawing/2014/main" id="{CDE61358-B402-4BD6-804A-D67B5C002A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1" name="AutoShape 1" descr="Vista previa de toda la pantalla">
          <a:extLst>
            <a:ext uri="{FF2B5EF4-FFF2-40B4-BE49-F238E27FC236}">
              <a16:creationId xmlns:a16="http://schemas.microsoft.com/office/drawing/2014/main" id="{D759E888-4A85-44D3-86B2-C568732BCA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2" name="AutoShape 1" descr="Vista previa de toda la pantalla">
          <a:extLst>
            <a:ext uri="{FF2B5EF4-FFF2-40B4-BE49-F238E27FC236}">
              <a16:creationId xmlns:a16="http://schemas.microsoft.com/office/drawing/2014/main" id="{054364BF-D689-431E-BA06-AA004074EC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3" name="AutoShape 1" descr="Vista previa de toda la pantalla">
          <a:extLst>
            <a:ext uri="{FF2B5EF4-FFF2-40B4-BE49-F238E27FC236}">
              <a16:creationId xmlns:a16="http://schemas.microsoft.com/office/drawing/2014/main" id="{DE481DA8-D2C2-470C-AAFF-C55DAD4108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4" name="AutoShape 1" descr="Vista previa de toda la pantalla">
          <a:extLst>
            <a:ext uri="{FF2B5EF4-FFF2-40B4-BE49-F238E27FC236}">
              <a16:creationId xmlns:a16="http://schemas.microsoft.com/office/drawing/2014/main" id="{CE3EC922-C7B8-47D3-AA27-0FE76A9A81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5" name="AutoShape 1" descr="Vista previa de toda la pantalla">
          <a:extLst>
            <a:ext uri="{FF2B5EF4-FFF2-40B4-BE49-F238E27FC236}">
              <a16:creationId xmlns:a16="http://schemas.microsoft.com/office/drawing/2014/main" id="{5ECD7F3A-BC39-4367-92CA-6C8618F523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6" name="AutoShape 1" descr="Vista previa de toda la pantalla">
          <a:extLst>
            <a:ext uri="{FF2B5EF4-FFF2-40B4-BE49-F238E27FC236}">
              <a16:creationId xmlns:a16="http://schemas.microsoft.com/office/drawing/2014/main" id="{2C57AB50-522B-493C-9302-33EC9941E3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7" name="AutoShape 1" descr="Vista previa de toda la pantalla">
          <a:extLst>
            <a:ext uri="{FF2B5EF4-FFF2-40B4-BE49-F238E27FC236}">
              <a16:creationId xmlns:a16="http://schemas.microsoft.com/office/drawing/2014/main" id="{85C39CB8-B0BA-4172-B943-8E5AF3A2F4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8" name="AutoShape 1" descr="Vista previa de toda la pantalla">
          <a:extLst>
            <a:ext uri="{FF2B5EF4-FFF2-40B4-BE49-F238E27FC236}">
              <a16:creationId xmlns:a16="http://schemas.microsoft.com/office/drawing/2014/main" id="{D173583F-7382-48E4-941C-32D006ED80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69" name="AutoShape 1" descr="Vista previa de toda la pantalla">
          <a:extLst>
            <a:ext uri="{FF2B5EF4-FFF2-40B4-BE49-F238E27FC236}">
              <a16:creationId xmlns:a16="http://schemas.microsoft.com/office/drawing/2014/main" id="{2529D852-BC4D-45D8-BABE-A082A91428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0" name="AutoShape 1" descr="Vista previa de toda la pantalla">
          <a:extLst>
            <a:ext uri="{FF2B5EF4-FFF2-40B4-BE49-F238E27FC236}">
              <a16:creationId xmlns:a16="http://schemas.microsoft.com/office/drawing/2014/main" id="{7872A204-1DA2-4091-8391-F934233A94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1" name="AutoShape 1" descr="Vista previa de toda la pantalla">
          <a:extLst>
            <a:ext uri="{FF2B5EF4-FFF2-40B4-BE49-F238E27FC236}">
              <a16:creationId xmlns:a16="http://schemas.microsoft.com/office/drawing/2014/main" id="{6FEC18A2-9E9B-4FD5-BBDD-408489D069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2" name="AutoShape 1" descr="Vista previa de toda la pantalla">
          <a:extLst>
            <a:ext uri="{FF2B5EF4-FFF2-40B4-BE49-F238E27FC236}">
              <a16:creationId xmlns:a16="http://schemas.microsoft.com/office/drawing/2014/main" id="{A6A9ED84-6BCA-4316-9A6C-564667F683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3" name="AutoShape 1" descr="Vista previa de toda la pantalla">
          <a:extLst>
            <a:ext uri="{FF2B5EF4-FFF2-40B4-BE49-F238E27FC236}">
              <a16:creationId xmlns:a16="http://schemas.microsoft.com/office/drawing/2014/main" id="{C23C05BC-2436-46CC-A014-3D720ABCB5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4" name="AutoShape 1" descr="Vista previa de toda la pantalla">
          <a:extLst>
            <a:ext uri="{FF2B5EF4-FFF2-40B4-BE49-F238E27FC236}">
              <a16:creationId xmlns:a16="http://schemas.microsoft.com/office/drawing/2014/main" id="{D9BD3D14-6F85-4B6E-855C-DD0E7E32F5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5" name="AutoShape 1" descr="Vista previa de toda la pantalla">
          <a:extLst>
            <a:ext uri="{FF2B5EF4-FFF2-40B4-BE49-F238E27FC236}">
              <a16:creationId xmlns:a16="http://schemas.microsoft.com/office/drawing/2014/main" id="{1970DD05-4968-4428-BBF8-BDF1E79B98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6" name="AutoShape 1" descr="Vista previa de toda la pantalla">
          <a:extLst>
            <a:ext uri="{FF2B5EF4-FFF2-40B4-BE49-F238E27FC236}">
              <a16:creationId xmlns:a16="http://schemas.microsoft.com/office/drawing/2014/main" id="{6FF9777D-99F5-4A66-B395-6B6D546E70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7" name="AutoShape 1" descr="Vista previa de toda la pantalla">
          <a:extLst>
            <a:ext uri="{FF2B5EF4-FFF2-40B4-BE49-F238E27FC236}">
              <a16:creationId xmlns:a16="http://schemas.microsoft.com/office/drawing/2014/main" id="{8E4A41E2-8BEA-490E-8C47-0DE5A1E0B0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8" name="AutoShape 1" descr="Vista previa de toda la pantalla">
          <a:extLst>
            <a:ext uri="{FF2B5EF4-FFF2-40B4-BE49-F238E27FC236}">
              <a16:creationId xmlns:a16="http://schemas.microsoft.com/office/drawing/2014/main" id="{BF485B6F-61B7-4439-B30C-1E213D4B6C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79" name="AutoShape 1" descr="Vista previa de toda la pantalla">
          <a:extLst>
            <a:ext uri="{FF2B5EF4-FFF2-40B4-BE49-F238E27FC236}">
              <a16:creationId xmlns:a16="http://schemas.microsoft.com/office/drawing/2014/main" id="{E8A71B47-528E-425C-82A4-611B8172F0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0" name="AutoShape 1" descr="Vista previa de toda la pantalla">
          <a:extLst>
            <a:ext uri="{FF2B5EF4-FFF2-40B4-BE49-F238E27FC236}">
              <a16:creationId xmlns:a16="http://schemas.microsoft.com/office/drawing/2014/main" id="{D11AB414-3A82-4A76-BB70-4F866D98D1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1" name="AutoShape 1" descr="Vista previa de toda la pantalla">
          <a:extLst>
            <a:ext uri="{FF2B5EF4-FFF2-40B4-BE49-F238E27FC236}">
              <a16:creationId xmlns:a16="http://schemas.microsoft.com/office/drawing/2014/main" id="{5FBE5574-8B20-462D-AE00-07D38F27E7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2" name="AutoShape 1" descr="Vista previa de toda la pantalla">
          <a:extLst>
            <a:ext uri="{FF2B5EF4-FFF2-40B4-BE49-F238E27FC236}">
              <a16:creationId xmlns:a16="http://schemas.microsoft.com/office/drawing/2014/main" id="{DDF7C48B-84F5-4AE5-A872-31C0B32BE9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3" name="AutoShape 1" descr="Vista previa de toda la pantalla">
          <a:extLst>
            <a:ext uri="{FF2B5EF4-FFF2-40B4-BE49-F238E27FC236}">
              <a16:creationId xmlns:a16="http://schemas.microsoft.com/office/drawing/2014/main" id="{9C15667C-40B8-468C-B6E2-C2C51BAA7F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4" name="AutoShape 1" descr="Vista previa de toda la pantalla">
          <a:extLst>
            <a:ext uri="{FF2B5EF4-FFF2-40B4-BE49-F238E27FC236}">
              <a16:creationId xmlns:a16="http://schemas.microsoft.com/office/drawing/2014/main" id="{1E9897E0-4D98-4418-90B7-B8FA3A4C6C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5" name="AutoShape 1" descr="Vista previa de toda la pantalla">
          <a:extLst>
            <a:ext uri="{FF2B5EF4-FFF2-40B4-BE49-F238E27FC236}">
              <a16:creationId xmlns:a16="http://schemas.microsoft.com/office/drawing/2014/main" id="{58862F00-F188-430A-8780-C7848CC56C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6" name="AutoShape 1" descr="Vista previa de toda la pantalla">
          <a:extLst>
            <a:ext uri="{FF2B5EF4-FFF2-40B4-BE49-F238E27FC236}">
              <a16:creationId xmlns:a16="http://schemas.microsoft.com/office/drawing/2014/main" id="{710D21A2-C109-4EE5-80B5-A1B5A53A4D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7" name="AutoShape 1" descr="Vista previa de toda la pantalla">
          <a:extLst>
            <a:ext uri="{FF2B5EF4-FFF2-40B4-BE49-F238E27FC236}">
              <a16:creationId xmlns:a16="http://schemas.microsoft.com/office/drawing/2014/main" id="{6DD68569-A3E9-425E-971B-5E5AF1CB3F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8" name="AutoShape 1" descr="Vista previa de toda la pantalla">
          <a:extLst>
            <a:ext uri="{FF2B5EF4-FFF2-40B4-BE49-F238E27FC236}">
              <a16:creationId xmlns:a16="http://schemas.microsoft.com/office/drawing/2014/main" id="{237DC029-C965-497F-87C5-3C15002ACB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89" name="AutoShape 1" descr="Vista previa de toda la pantalla">
          <a:extLst>
            <a:ext uri="{FF2B5EF4-FFF2-40B4-BE49-F238E27FC236}">
              <a16:creationId xmlns:a16="http://schemas.microsoft.com/office/drawing/2014/main" id="{32377033-0F30-4E4F-A8DF-79214F2611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0" name="AutoShape 1" descr="Vista previa de toda la pantalla">
          <a:extLst>
            <a:ext uri="{FF2B5EF4-FFF2-40B4-BE49-F238E27FC236}">
              <a16:creationId xmlns:a16="http://schemas.microsoft.com/office/drawing/2014/main" id="{9C69C74A-E195-46FE-AD95-0631C7B87A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1" name="AutoShape 1" descr="Vista previa de toda la pantalla">
          <a:extLst>
            <a:ext uri="{FF2B5EF4-FFF2-40B4-BE49-F238E27FC236}">
              <a16:creationId xmlns:a16="http://schemas.microsoft.com/office/drawing/2014/main" id="{54A49FC6-216E-4951-9132-70F6346F6F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2" name="AutoShape 1" descr="Vista previa de toda la pantalla">
          <a:extLst>
            <a:ext uri="{FF2B5EF4-FFF2-40B4-BE49-F238E27FC236}">
              <a16:creationId xmlns:a16="http://schemas.microsoft.com/office/drawing/2014/main" id="{EF987F10-89F2-414C-8103-5BA7BE2456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3" name="AutoShape 1" descr="Vista previa de toda la pantalla">
          <a:extLst>
            <a:ext uri="{FF2B5EF4-FFF2-40B4-BE49-F238E27FC236}">
              <a16:creationId xmlns:a16="http://schemas.microsoft.com/office/drawing/2014/main" id="{C5FF19D6-0759-41B8-B9E6-5AB8E2C5F5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4" name="AutoShape 1" descr="Vista previa de toda la pantalla">
          <a:extLst>
            <a:ext uri="{FF2B5EF4-FFF2-40B4-BE49-F238E27FC236}">
              <a16:creationId xmlns:a16="http://schemas.microsoft.com/office/drawing/2014/main" id="{3CA89995-3224-438C-BA59-8C748537C6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5" name="AutoShape 1" descr="Vista previa de toda la pantalla">
          <a:extLst>
            <a:ext uri="{FF2B5EF4-FFF2-40B4-BE49-F238E27FC236}">
              <a16:creationId xmlns:a16="http://schemas.microsoft.com/office/drawing/2014/main" id="{7AF3C956-C68C-4216-B972-1C61D74B32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6" name="AutoShape 1" descr="Vista previa de toda la pantalla">
          <a:extLst>
            <a:ext uri="{FF2B5EF4-FFF2-40B4-BE49-F238E27FC236}">
              <a16:creationId xmlns:a16="http://schemas.microsoft.com/office/drawing/2014/main" id="{4C28238E-0BB1-4CAD-9E41-C84D6CE00E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7" name="AutoShape 1" descr="Vista previa de toda la pantalla">
          <a:extLst>
            <a:ext uri="{FF2B5EF4-FFF2-40B4-BE49-F238E27FC236}">
              <a16:creationId xmlns:a16="http://schemas.microsoft.com/office/drawing/2014/main" id="{DA844F31-D8FC-48B8-A5CB-6446D0E45A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8" name="AutoShape 1" descr="Vista previa de toda la pantalla">
          <a:extLst>
            <a:ext uri="{FF2B5EF4-FFF2-40B4-BE49-F238E27FC236}">
              <a16:creationId xmlns:a16="http://schemas.microsoft.com/office/drawing/2014/main" id="{15642F5D-DFA0-4FDE-8EE3-6C05F2EEE5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799" name="AutoShape 1" descr="Vista previa de toda la pantalla">
          <a:extLst>
            <a:ext uri="{FF2B5EF4-FFF2-40B4-BE49-F238E27FC236}">
              <a16:creationId xmlns:a16="http://schemas.microsoft.com/office/drawing/2014/main" id="{50198077-E456-45B3-B8F6-8FB5DF03AB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00" name="AutoShape 1" descr="Vista previa de toda la pantalla">
          <a:extLst>
            <a:ext uri="{FF2B5EF4-FFF2-40B4-BE49-F238E27FC236}">
              <a16:creationId xmlns:a16="http://schemas.microsoft.com/office/drawing/2014/main" id="{641D8B0C-25C1-4A4C-8E29-CD8462A824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01" name="AutoShape 1" descr="Vista previa de toda la pantalla">
          <a:extLst>
            <a:ext uri="{FF2B5EF4-FFF2-40B4-BE49-F238E27FC236}">
              <a16:creationId xmlns:a16="http://schemas.microsoft.com/office/drawing/2014/main" id="{BDAFBB2E-56FD-433E-BFF7-529E7EC01C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02" name="AutoShape 1" descr="Vista previa de toda la pantalla">
          <a:extLst>
            <a:ext uri="{FF2B5EF4-FFF2-40B4-BE49-F238E27FC236}">
              <a16:creationId xmlns:a16="http://schemas.microsoft.com/office/drawing/2014/main" id="{9B124BD0-F438-4129-81AB-678C33F47C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03" name="AutoShape 1" descr="Vista previa de toda la pantalla">
          <a:extLst>
            <a:ext uri="{FF2B5EF4-FFF2-40B4-BE49-F238E27FC236}">
              <a16:creationId xmlns:a16="http://schemas.microsoft.com/office/drawing/2014/main" id="{59E19E1C-995C-4B41-A6F3-099370286B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04" name="AutoShape 1" descr="Vista previa de toda la pantalla">
          <a:extLst>
            <a:ext uri="{FF2B5EF4-FFF2-40B4-BE49-F238E27FC236}">
              <a16:creationId xmlns:a16="http://schemas.microsoft.com/office/drawing/2014/main" id="{99749557-B73B-44F2-9BCD-D7452C9F4A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05" name="AutoShape 1" descr="Vista previa de toda la pantalla">
          <a:extLst>
            <a:ext uri="{FF2B5EF4-FFF2-40B4-BE49-F238E27FC236}">
              <a16:creationId xmlns:a16="http://schemas.microsoft.com/office/drawing/2014/main" id="{9DF8DA3B-D2B0-4FB8-9EAF-2AF0233BF7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06" name="AutoShape 1" descr="Vista previa de toda la pantalla">
          <a:extLst>
            <a:ext uri="{FF2B5EF4-FFF2-40B4-BE49-F238E27FC236}">
              <a16:creationId xmlns:a16="http://schemas.microsoft.com/office/drawing/2014/main" id="{F63A68CF-86BD-477B-8969-F74FC21E4D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07" name="AutoShape 1" descr="Vista previa de toda la pantalla">
          <a:extLst>
            <a:ext uri="{FF2B5EF4-FFF2-40B4-BE49-F238E27FC236}">
              <a16:creationId xmlns:a16="http://schemas.microsoft.com/office/drawing/2014/main" id="{6A855F85-A1C6-4000-92BA-F1A06977A9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08" name="AutoShape 1" descr="Vista previa de toda la pantalla">
          <a:extLst>
            <a:ext uri="{FF2B5EF4-FFF2-40B4-BE49-F238E27FC236}">
              <a16:creationId xmlns:a16="http://schemas.microsoft.com/office/drawing/2014/main" id="{879416F5-C0FA-4C8A-B6B7-2B008D1405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09" name="AutoShape 1" descr="Vista previa de toda la pantalla">
          <a:extLst>
            <a:ext uri="{FF2B5EF4-FFF2-40B4-BE49-F238E27FC236}">
              <a16:creationId xmlns:a16="http://schemas.microsoft.com/office/drawing/2014/main" id="{7101EFAF-C7D7-45E0-BDCD-D08F3F3C68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0" name="AutoShape 1" descr="Vista previa de toda la pantalla">
          <a:extLst>
            <a:ext uri="{FF2B5EF4-FFF2-40B4-BE49-F238E27FC236}">
              <a16:creationId xmlns:a16="http://schemas.microsoft.com/office/drawing/2014/main" id="{DDA15EF1-B244-47F3-8CBF-DCF03410F7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1" name="AutoShape 1" descr="Vista previa de toda la pantalla">
          <a:extLst>
            <a:ext uri="{FF2B5EF4-FFF2-40B4-BE49-F238E27FC236}">
              <a16:creationId xmlns:a16="http://schemas.microsoft.com/office/drawing/2014/main" id="{A825777C-C8FE-46FA-B760-CF735EBFA5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2" name="AutoShape 1" descr="Vista previa de toda la pantalla">
          <a:extLst>
            <a:ext uri="{FF2B5EF4-FFF2-40B4-BE49-F238E27FC236}">
              <a16:creationId xmlns:a16="http://schemas.microsoft.com/office/drawing/2014/main" id="{E19188AE-1EE1-4246-9B63-847ECE78D6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3" name="AutoShape 1" descr="Vista previa de toda la pantalla">
          <a:extLst>
            <a:ext uri="{FF2B5EF4-FFF2-40B4-BE49-F238E27FC236}">
              <a16:creationId xmlns:a16="http://schemas.microsoft.com/office/drawing/2014/main" id="{26B701B2-E010-471C-83A6-27FE7B9223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4" name="AutoShape 1" descr="Vista previa de toda la pantalla">
          <a:extLst>
            <a:ext uri="{FF2B5EF4-FFF2-40B4-BE49-F238E27FC236}">
              <a16:creationId xmlns:a16="http://schemas.microsoft.com/office/drawing/2014/main" id="{5ABBC977-4910-40AB-807C-C6B76DB40A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5" name="AutoShape 1" descr="Vista previa de toda la pantalla">
          <a:extLst>
            <a:ext uri="{FF2B5EF4-FFF2-40B4-BE49-F238E27FC236}">
              <a16:creationId xmlns:a16="http://schemas.microsoft.com/office/drawing/2014/main" id="{98B7E98C-FC5A-4D1C-A403-1C50843879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6" name="AutoShape 1" descr="Vista previa de toda la pantalla">
          <a:extLst>
            <a:ext uri="{FF2B5EF4-FFF2-40B4-BE49-F238E27FC236}">
              <a16:creationId xmlns:a16="http://schemas.microsoft.com/office/drawing/2014/main" id="{578DE14C-2B54-4B6C-91A0-3FE8047FC8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7" name="AutoShape 1" descr="Vista previa de toda la pantalla">
          <a:extLst>
            <a:ext uri="{FF2B5EF4-FFF2-40B4-BE49-F238E27FC236}">
              <a16:creationId xmlns:a16="http://schemas.microsoft.com/office/drawing/2014/main" id="{0163B307-8C32-4138-96E3-515986E3FB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8" name="AutoShape 1" descr="Vista previa de toda la pantalla">
          <a:extLst>
            <a:ext uri="{FF2B5EF4-FFF2-40B4-BE49-F238E27FC236}">
              <a16:creationId xmlns:a16="http://schemas.microsoft.com/office/drawing/2014/main" id="{BA38DCB6-4722-419F-AD4E-FCB9C57BDF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19" name="AutoShape 1" descr="Vista previa de toda la pantalla">
          <a:extLst>
            <a:ext uri="{FF2B5EF4-FFF2-40B4-BE49-F238E27FC236}">
              <a16:creationId xmlns:a16="http://schemas.microsoft.com/office/drawing/2014/main" id="{5AD4D127-6BE4-47C5-A645-4FD07CCAA7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0" name="AutoShape 1" descr="Vista previa de toda la pantalla">
          <a:extLst>
            <a:ext uri="{FF2B5EF4-FFF2-40B4-BE49-F238E27FC236}">
              <a16:creationId xmlns:a16="http://schemas.microsoft.com/office/drawing/2014/main" id="{DBC69C98-FDFD-4167-A7EB-8975ED78B8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1" name="AutoShape 1" descr="Vista previa de toda la pantalla">
          <a:extLst>
            <a:ext uri="{FF2B5EF4-FFF2-40B4-BE49-F238E27FC236}">
              <a16:creationId xmlns:a16="http://schemas.microsoft.com/office/drawing/2014/main" id="{5A90CA9D-51BD-4387-8DE4-C7BF698EA0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2" name="AutoShape 1" descr="Vista previa de toda la pantalla">
          <a:extLst>
            <a:ext uri="{FF2B5EF4-FFF2-40B4-BE49-F238E27FC236}">
              <a16:creationId xmlns:a16="http://schemas.microsoft.com/office/drawing/2014/main" id="{E898289E-7E31-4D77-8403-EF8CA9303C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3" name="AutoShape 1" descr="Vista previa de toda la pantalla">
          <a:extLst>
            <a:ext uri="{FF2B5EF4-FFF2-40B4-BE49-F238E27FC236}">
              <a16:creationId xmlns:a16="http://schemas.microsoft.com/office/drawing/2014/main" id="{35726086-1828-4163-A283-397B0287F4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4" name="AutoShape 1" descr="Vista previa de toda la pantalla">
          <a:extLst>
            <a:ext uri="{FF2B5EF4-FFF2-40B4-BE49-F238E27FC236}">
              <a16:creationId xmlns:a16="http://schemas.microsoft.com/office/drawing/2014/main" id="{85B2619E-69BA-4167-B3FD-05DD7F990A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5" name="AutoShape 1" descr="Vista previa de toda la pantalla">
          <a:extLst>
            <a:ext uri="{FF2B5EF4-FFF2-40B4-BE49-F238E27FC236}">
              <a16:creationId xmlns:a16="http://schemas.microsoft.com/office/drawing/2014/main" id="{54A013C5-A21E-471A-95A1-B13BEA0E85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6" name="AutoShape 1" descr="Vista previa de toda la pantalla">
          <a:extLst>
            <a:ext uri="{FF2B5EF4-FFF2-40B4-BE49-F238E27FC236}">
              <a16:creationId xmlns:a16="http://schemas.microsoft.com/office/drawing/2014/main" id="{DAB1B83E-2BDA-492A-A114-72F84C2669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7" name="AutoShape 1" descr="Vista previa de toda la pantalla">
          <a:extLst>
            <a:ext uri="{FF2B5EF4-FFF2-40B4-BE49-F238E27FC236}">
              <a16:creationId xmlns:a16="http://schemas.microsoft.com/office/drawing/2014/main" id="{4D40C9D6-1A5B-486D-9AEA-AF08DF2551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8" name="AutoShape 1" descr="Vista previa de toda la pantalla">
          <a:extLst>
            <a:ext uri="{FF2B5EF4-FFF2-40B4-BE49-F238E27FC236}">
              <a16:creationId xmlns:a16="http://schemas.microsoft.com/office/drawing/2014/main" id="{C4327A82-0A86-4DF1-AEA9-82A9A76424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29" name="AutoShape 1" descr="Vista previa de toda la pantalla">
          <a:extLst>
            <a:ext uri="{FF2B5EF4-FFF2-40B4-BE49-F238E27FC236}">
              <a16:creationId xmlns:a16="http://schemas.microsoft.com/office/drawing/2014/main" id="{B01FD4CF-3934-4516-8C24-7BAD9ABC23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30" name="AutoShape 1" descr="Vista previa de toda la pantalla">
          <a:extLst>
            <a:ext uri="{FF2B5EF4-FFF2-40B4-BE49-F238E27FC236}">
              <a16:creationId xmlns:a16="http://schemas.microsoft.com/office/drawing/2014/main" id="{D1AF37FE-F65A-42D4-85A7-FB9EBE5222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31" name="AutoShape 1" descr="Vista previa de toda la pantalla">
          <a:extLst>
            <a:ext uri="{FF2B5EF4-FFF2-40B4-BE49-F238E27FC236}">
              <a16:creationId xmlns:a16="http://schemas.microsoft.com/office/drawing/2014/main" id="{0D35A8C9-78E1-4423-8DD0-0CC50DBC65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32" name="AutoShape 1" descr="Vista previa de toda la pantalla">
          <a:extLst>
            <a:ext uri="{FF2B5EF4-FFF2-40B4-BE49-F238E27FC236}">
              <a16:creationId xmlns:a16="http://schemas.microsoft.com/office/drawing/2014/main" id="{39C8F790-E23E-4957-B522-11C79CCB52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833" name="AutoShape 1" descr="Vista previa de toda la pantalla">
          <a:extLst>
            <a:ext uri="{FF2B5EF4-FFF2-40B4-BE49-F238E27FC236}">
              <a16:creationId xmlns:a16="http://schemas.microsoft.com/office/drawing/2014/main" id="{C2BB6F88-3260-4C91-BA86-EE6DC0A3221D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34" name="AutoShape 1" descr="Vista previa de toda la pantalla">
          <a:extLst>
            <a:ext uri="{FF2B5EF4-FFF2-40B4-BE49-F238E27FC236}">
              <a16:creationId xmlns:a16="http://schemas.microsoft.com/office/drawing/2014/main" id="{364F6F71-C679-42B8-AB7B-7208B823DA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35" name="AutoShape 1" descr="Vista previa de toda la pantalla">
          <a:extLst>
            <a:ext uri="{FF2B5EF4-FFF2-40B4-BE49-F238E27FC236}">
              <a16:creationId xmlns:a16="http://schemas.microsoft.com/office/drawing/2014/main" id="{833E746B-C881-476B-BB29-DACBD363BB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36" name="AutoShape 1" descr="Vista previa de toda la pantalla">
          <a:extLst>
            <a:ext uri="{FF2B5EF4-FFF2-40B4-BE49-F238E27FC236}">
              <a16:creationId xmlns:a16="http://schemas.microsoft.com/office/drawing/2014/main" id="{B25CE0BA-17A5-4597-97E6-3B58085B8E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37" name="AutoShape 1" descr="Vista previa de toda la pantalla">
          <a:extLst>
            <a:ext uri="{FF2B5EF4-FFF2-40B4-BE49-F238E27FC236}">
              <a16:creationId xmlns:a16="http://schemas.microsoft.com/office/drawing/2014/main" id="{8062D888-D12D-43F9-B5D2-7231A272C8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38" name="AutoShape 1" descr="Vista previa de toda la pantalla">
          <a:extLst>
            <a:ext uri="{FF2B5EF4-FFF2-40B4-BE49-F238E27FC236}">
              <a16:creationId xmlns:a16="http://schemas.microsoft.com/office/drawing/2014/main" id="{C26A2383-E8F5-43B0-B378-9EFD96D3F2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39" name="AutoShape 1" descr="Vista previa de toda la pantalla">
          <a:extLst>
            <a:ext uri="{FF2B5EF4-FFF2-40B4-BE49-F238E27FC236}">
              <a16:creationId xmlns:a16="http://schemas.microsoft.com/office/drawing/2014/main" id="{9698861B-6BEF-4093-BF23-98B4D6CD88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0" name="AutoShape 1" descr="Vista previa de toda la pantalla">
          <a:extLst>
            <a:ext uri="{FF2B5EF4-FFF2-40B4-BE49-F238E27FC236}">
              <a16:creationId xmlns:a16="http://schemas.microsoft.com/office/drawing/2014/main" id="{5E667EEC-E119-4E1D-8D26-93F975D51C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1" name="AutoShape 1" descr="Vista previa de toda la pantalla">
          <a:extLst>
            <a:ext uri="{FF2B5EF4-FFF2-40B4-BE49-F238E27FC236}">
              <a16:creationId xmlns:a16="http://schemas.microsoft.com/office/drawing/2014/main" id="{FCD8B6CE-34A4-43D7-88E7-5384AACCC0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2" name="AutoShape 1" descr="Vista previa de toda la pantalla">
          <a:extLst>
            <a:ext uri="{FF2B5EF4-FFF2-40B4-BE49-F238E27FC236}">
              <a16:creationId xmlns:a16="http://schemas.microsoft.com/office/drawing/2014/main" id="{5DF80666-6068-4821-BE41-E191734A87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3" name="AutoShape 1" descr="Vista previa de toda la pantalla">
          <a:extLst>
            <a:ext uri="{FF2B5EF4-FFF2-40B4-BE49-F238E27FC236}">
              <a16:creationId xmlns:a16="http://schemas.microsoft.com/office/drawing/2014/main" id="{A0C9DEB3-7AE3-4497-AF54-EA256DA434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4" name="AutoShape 1" descr="Vista previa de toda la pantalla">
          <a:extLst>
            <a:ext uri="{FF2B5EF4-FFF2-40B4-BE49-F238E27FC236}">
              <a16:creationId xmlns:a16="http://schemas.microsoft.com/office/drawing/2014/main" id="{BC03C48B-989D-4AE9-9880-591ADBF8BE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5" name="AutoShape 1" descr="Vista previa de toda la pantalla">
          <a:extLst>
            <a:ext uri="{FF2B5EF4-FFF2-40B4-BE49-F238E27FC236}">
              <a16:creationId xmlns:a16="http://schemas.microsoft.com/office/drawing/2014/main" id="{C6885053-6456-4175-890C-F6D766E4DD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6" name="AutoShape 1" descr="Vista previa de toda la pantalla">
          <a:extLst>
            <a:ext uri="{FF2B5EF4-FFF2-40B4-BE49-F238E27FC236}">
              <a16:creationId xmlns:a16="http://schemas.microsoft.com/office/drawing/2014/main" id="{BB7234CE-C22E-4D50-B0D2-19439D28DE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7" name="AutoShape 1" descr="Vista previa de toda la pantalla">
          <a:extLst>
            <a:ext uri="{FF2B5EF4-FFF2-40B4-BE49-F238E27FC236}">
              <a16:creationId xmlns:a16="http://schemas.microsoft.com/office/drawing/2014/main" id="{6BBB8B18-350E-4021-8D62-BFD0C8AD2D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8" name="AutoShape 1" descr="Vista previa de toda la pantalla">
          <a:extLst>
            <a:ext uri="{FF2B5EF4-FFF2-40B4-BE49-F238E27FC236}">
              <a16:creationId xmlns:a16="http://schemas.microsoft.com/office/drawing/2014/main" id="{7DF3EC68-740A-4292-9388-D1DAEFC2DA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49" name="AutoShape 1" descr="Vista previa de toda la pantalla">
          <a:extLst>
            <a:ext uri="{FF2B5EF4-FFF2-40B4-BE49-F238E27FC236}">
              <a16:creationId xmlns:a16="http://schemas.microsoft.com/office/drawing/2014/main" id="{7EB70482-F59D-451A-B4B3-09D9CB42BF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50" name="AutoShape 1" descr="Vista previa de toda la pantalla">
          <a:extLst>
            <a:ext uri="{FF2B5EF4-FFF2-40B4-BE49-F238E27FC236}">
              <a16:creationId xmlns:a16="http://schemas.microsoft.com/office/drawing/2014/main" id="{8B418D00-0C46-413C-BC77-C7C62CC27C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51" name="AutoShape 1" descr="Vista previa de toda la pantalla">
          <a:extLst>
            <a:ext uri="{FF2B5EF4-FFF2-40B4-BE49-F238E27FC236}">
              <a16:creationId xmlns:a16="http://schemas.microsoft.com/office/drawing/2014/main" id="{F84935ED-9670-4D2A-8486-E8E70DFCC5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52" name="AutoShape 1" descr="Vista previa de toda la pantalla">
          <a:extLst>
            <a:ext uri="{FF2B5EF4-FFF2-40B4-BE49-F238E27FC236}">
              <a16:creationId xmlns:a16="http://schemas.microsoft.com/office/drawing/2014/main" id="{5FB0318A-2965-4A7E-9C26-D9C9C24BA8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53" name="AutoShape 1" descr="Vista previa de toda la pantalla">
          <a:extLst>
            <a:ext uri="{FF2B5EF4-FFF2-40B4-BE49-F238E27FC236}">
              <a16:creationId xmlns:a16="http://schemas.microsoft.com/office/drawing/2014/main" id="{4379F96D-D2CF-445A-A2E3-4A3A7D671C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54" name="AutoShape 1" descr="Vista previa de toda la pantalla">
          <a:extLst>
            <a:ext uri="{FF2B5EF4-FFF2-40B4-BE49-F238E27FC236}">
              <a16:creationId xmlns:a16="http://schemas.microsoft.com/office/drawing/2014/main" id="{4F916662-D48B-4D67-A83C-41442B1F7E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55" name="AutoShape 1" descr="Vista previa de toda la pantalla">
          <a:extLst>
            <a:ext uri="{FF2B5EF4-FFF2-40B4-BE49-F238E27FC236}">
              <a16:creationId xmlns:a16="http://schemas.microsoft.com/office/drawing/2014/main" id="{DA4985ED-DA50-4679-AF6A-A30A08819A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56" name="AutoShape 1" descr="Vista previa de toda la pantalla">
          <a:extLst>
            <a:ext uri="{FF2B5EF4-FFF2-40B4-BE49-F238E27FC236}">
              <a16:creationId xmlns:a16="http://schemas.microsoft.com/office/drawing/2014/main" id="{14E1510D-04B4-4655-A2DA-12C27E6F4B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57" name="AutoShape 1" descr="Vista previa de toda la pantalla">
          <a:extLst>
            <a:ext uri="{FF2B5EF4-FFF2-40B4-BE49-F238E27FC236}">
              <a16:creationId xmlns:a16="http://schemas.microsoft.com/office/drawing/2014/main" id="{63025DC1-BD04-400A-A36B-5FD6C68AF4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58" name="AutoShape 1" descr="Vista previa de toda la pantalla">
          <a:extLst>
            <a:ext uri="{FF2B5EF4-FFF2-40B4-BE49-F238E27FC236}">
              <a16:creationId xmlns:a16="http://schemas.microsoft.com/office/drawing/2014/main" id="{936EEF37-477E-4B40-B37A-BC787FF104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59" name="AutoShape 1" descr="Vista previa de toda la pantalla">
          <a:extLst>
            <a:ext uri="{FF2B5EF4-FFF2-40B4-BE49-F238E27FC236}">
              <a16:creationId xmlns:a16="http://schemas.microsoft.com/office/drawing/2014/main" id="{C24C2F04-AA67-438E-8B2E-9D4C6E7367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0" name="AutoShape 1" descr="Vista previa de toda la pantalla">
          <a:extLst>
            <a:ext uri="{FF2B5EF4-FFF2-40B4-BE49-F238E27FC236}">
              <a16:creationId xmlns:a16="http://schemas.microsoft.com/office/drawing/2014/main" id="{ED9EF39A-993D-445E-B990-2A60D76C6A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1" name="AutoShape 1" descr="Vista previa de toda la pantalla">
          <a:extLst>
            <a:ext uri="{FF2B5EF4-FFF2-40B4-BE49-F238E27FC236}">
              <a16:creationId xmlns:a16="http://schemas.microsoft.com/office/drawing/2014/main" id="{12970F26-7B15-4ED9-8E3C-E3BC6B0A54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2" name="AutoShape 1" descr="Vista previa de toda la pantalla">
          <a:extLst>
            <a:ext uri="{FF2B5EF4-FFF2-40B4-BE49-F238E27FC236}">
              <a16:creationId xmlns:a16="http://schemas.microsoft.com/office/drawing/2014/main" id="{F519229E-A997-4ED5-870E-BFFB200440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3" name="AutoShape 1" descr="Vista previa de toda la pantalla">
          <a:extLst>
            <a:ext uri="{FF2B5EF4-FFF2-40B4-BE49-F238E27FC236}">
              <a16:creationId xmlns:a16="http://schemas.microsoft.com/office/drawing/2014/main" id="{CEFE8387-1329-4005-B57D-F472E7B284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4" name="AutoShape 1" descr="Vista previa de toda la pantalla">
          <a:extLst>
            <a:ext uri="{FF2B5EF4-FFF2-40B4-BE49-F238E27FC236}">
              <a16:creationId xmlns:a16="http://schemas.microsoft.com/office/drawing/2014/main" id="{A7595625-8D01-4766-BA6B-77F4367218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5" name="AutoShape 1" descr="Vista previa de toda la pantalla">
          <a:extLst>
            <a:ext uri="{FF2B5EF4-FFF2-40B4-BE49-F238E27FC236}">
              <a16:creationId xmlns:a16="http://schemas.microsoft.com/office/drawing/2014/main" id="{D4D2EE96-7131-489B-B6CE-76D54ED148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6" name="AutoShape 1" descr="Vista previa de toda la pantalla">
          <a:extLst>
            <a:ext uri="{FF2B5EF4-FFF2-40B4-BE49-F238E27FC236}">
              <a16:creationId xmlns:a16="http://schemas.microsoft.com/office/drawing/2014/main" id="{96B997A4-ECE0-4CF0-8E5D-9A23EB26FD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7" name="AutoShape 1" descr="Vista previa de toda la pantalla">
          <a:extLst>
            <a:ext uri="{FF2B5EF4-FFF2-40B4-BE49-F238E27FC236}">
              <a16:creationId xmlns:a16="http://schemas.microsoft.com/office/drawing/2014/main" id="{23A75214-D59E-4454-87FE-1B6205ACC6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8" name="AutoShape 1" descr="Vista previa de toda la pantalla">
          <a:extLst>
            <a:ext uri="{FF2B5EF4-FFF2-40B4-BE49-F238E27FC236}">
              <a16:creationId xmlns:a16="http://schemas.microsoft.com/office/drawing/2014/main" id="{D6D75AEE-DAAF-4D56-A66D-178499A8F5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69" name="AutoShape 1" descr="Vista previa de toda la pantalla">
          <a:extLst>
            <a:ext uri="{FF2B5EF4-FFF2-40B4-BE49-F238E27FC236}">
              <a16:creationId xmlns:a16="http://schemas.microsoft.com/office/drawing/2014/main" id="{F3596E73-2E25-4802-A9CB-A251178593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0" name="AutoShape 1" descr="Vista previa de toda la pantalla">
          <a:extLst>
            <a:ext uri="{FF2B5EF4-FFF2-40B4-BE49-F238E27FC236}">
              <a16:creationId xmlns:a16="http://schemas.microsoft.com/office/drawing/2014/main" id="{D0545E43-9CC0-4A85-9819-324626194D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1" name="AutoShape 1" descr="Vista previa de toda la pantalla">
          <a:extLst>
            <a:ext uri="{FF2B5EF4-FFF2-40B4-BE49-F238E27FC236}">
              <a16:creationId xmlns:a16="http://schemas.microsoft.com/office/drawing/2014/main" id="{7550E554-B7B8-4026-85EF-E05F882725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2" name="AutoShape 1" descr="Vista previa de toda la pantalla">
          <a:extLst>
            <a:ext uri="{FF2B5EF4-FFF2-40B4-BE49-F238E27FC236}">
              <a16:creationId xmlns:a16="http://schemas.microsoft.com/office/drawing/2014/main" id="{70A804D8-0454-4367-BDB4-D7A2E83199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3" name="AutoShape 1" descr="Vista previa de toda la pantalla">
          <a:extLst>
            <a:ext uri="{FF2B5EF4-FFF2-40B4-BE49-F238E27FC236}">
              <a16:creationId xmlns:a16="http://schemas.microsoft.com/office/drawing/2014/main" id="{FC94E5AF-ADC3-41A9-BA68-47095A7C5D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4" name="AutoShape 1" descr="Vista previa de toda la pantalla">
          <a:extLst>
            <a:ext uri="{FF2B5EF4-FFF2-40B4-BE49-F238E27FC236}">
              <a16:creationId xmlns:a16="http://schemas.microsoft.com/office/drawing/2014/main" id="{162C4A0F-C98E-44B1-AF34-43657C55E3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5" name="AutoShape 1" descr="Vista previa de toda la pantalla">
          <a:extLst>
            <a:ext uri="{FF2B5EF4-FFF2-40B4-BE49-F238E27FC236}">
              <a16:creationId xmlns:a16="http://schemas.microsoft.com/office/drawing/2014/main" id="{D0B15FFF-1BD8-4E34-BE2A-D87EBD1F77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6" name="AutoShape 1" descr="Vista previa de toda la pantalla">
          <a:extLst>
            <a:ext uri="{FF2B5EF4-FFF2-40B4-BE49-F238E27FC236}">
              <a16:creationId xmlns:a16="http://schemas.microsoft.com/office/drawing/2014/main" id="{6D20E708-74E3-403B-8304-0996CD31B4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7" name="AutoShape 1" descr="Vista previa de toda la pantalla">
          <a:extLst>
            <a:ext uri="{FF2B5EF4-FFF2-40B4-BE49-F238E27FC236}">
              <a16:creationId xmlns:a16="http://schemas.microsoft.com/office/drawing/2014/main" id="{338FCC7B-BFA6-4545-9632-77E614BA57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8" name="AutoShape 1" descr="Vista previa de toda la pantalla">
          <a:extLst>
            <a:ext uri="{FF2B5EF4-FFF2-40B4-BE49-F238E27FC236}">
              <a16:creationId xmlns:a16="http://schemas.microsoft.com/office/drawing/2014/main" id="{0321C268-4573-4259-AAD3-1614379642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79" name="AutoShape 1" descr="Vista previa de toda la pantalla">
          <a:extLst>
            <a:ext uri="{FF2B5EF4-FFF2-40B4-BE49-F238E27FC236}">
              <a16:creationId xmlns:a16="http://schemas.microsoft.com/office/drawing/2014/main" id="{C6648893-2D71-4E9A-97FD-D9FCFDFE6D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0" name="AutoShape 1" descr="Vista previa de toda la pantalla">
          <a:extLst>
            <a:ext uri="{FF2B5EF4-FFF2-40B4-BE49-F238E27FC236}">
              <a16:creationId xmlns:a16="http://schemas.microsoft.com/office/drawing/2014/main" id="{5E32B303-C62D-46C2-A77B-3157DF3BCA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1" name="AutoShape 1" descr="Vista previa de toda la pantalla">
          <a:extLst>
            <a:ext uri="{FF2B5EF4-FFF2-40B4-BE49-F238E27FC236}">
              <a16:creationId xmlns:a16="http://schemas.microsoft.com/office/drawing/2014/main" id="{C284CE44-89EA-4C56-959C-7BF992495E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2" name="AutoShape 1" descr="Vista previa de toda la pantalla">
          <a:extLst>
            <a:ext uri="{FF2B5EF4-FFF2-40B4-BE49-F238E27FC236}">
              <a16:creationId xmlns:a16="http://schemas.microsoft.com/office/drawing/2014/main" id="{F0E16751-D94F-46C3-BA3F-88B2A26A69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3" name="AutoShape 1" descr="Vista previa de toda la pantalla">
          <a:extLst>
            <a:ext uri="{FF2B5EF4-FFF2-40B4-BE49-F238E27FC236}">
              <a16:creationId xmlns:a16="http://schemas.microsoft.com/office/drawing/2014/main" id="{DA424424-E2EC-42F8-8446-9271AB3C82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4" name="AutoShape 1" descr="Vista previa de toda la pantalla">
          <a:extLst>
            <a:ext uri="{FF2B5EF4-FFF2-40B4-BE49-F238E27FC236}">
              <a16:creationId xmlns:a16="http://schemas.microsoft.com/office/drawing/2014/main" id="{0EDF2799-A93F-430B-A99E-84E3A9C576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5" name="AutoShape 1" descr="Vista previa de toda la pantalla">
          <a:extLst>
            <a:ext uri="{FF2B5EF4-FFF2-40B4-BE49-F238E27FC236}">
              <a16:creationId xmlns:a16="http://schemas.microsoft.com/office/drawing/2014/main" id="{7F614957-D1EE-4ED7-BC7F-80522C83F5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6" name="AutoShape 1" descr="Vista previa de toda la pantalla">
          <a:extLst>
            <a:ext uri="{FF2B5EF4-FFF2-40B4-BE49-F238E27FC236}">
              <a16:creationId xmlns:a16="http://schemas.microsoft.com/office/drawing/2014/main" id="{720636B3-9610-4808-9AEB-D8F4B2C83C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7" name="AutoShape 1" descr="Vista previa de toda la pantalla">
          <a:extLst>
            <a:ext uri="{FF2B5EF4-FFF2-40B4-BE49-F238E27FC236}">
              <a16:creationId xmlns:a16="http://schemas.microsoft.com/office/drawing/2014/main" id="{9E90CC5F-D4E5-4723-A7CF-38DA9B0D17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8" name="AutoShape 1" descr="Vista previa de toda la pantalla">
          <a:extLst>
            <a:ext uri="{FF2B5EF4-FFF2-40B4-BE49-F238E27FC236}">
              <a16:creationId xmlns:a16="http://schemas.microsoft.com/office/drawing/2014/main" id="{54908BAE-32F4-4130-B834-0C9A8778EC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89" name="AutoShape 1" descr="Vista previa de toda la pantalla">
          <a:extLst>
            <a:ext uri="{FF2B5EF4-FFF2-40B4-BE49-F238E27FC236}">
              <a16:creationId xmlns:a16="http://schemas.microsoft.com/office/drawing/2014/main" id="{E6A994B8-72D1-4AB6-A364-E7DB196C61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0" name="AutoShape 1" descr="Vista previa de toda la pantalla">
          <a:extLst>
            <a:ext uri="{FF2B5EF4-FFF2-40B4-BE49-F238E27FC236}">
              <a16:creationId xmlns:a16="http://schemas.microsoft.com/office/drawing/2014/main" id="{ACD33C7D-5A5B-4488-8CA6-909B34A28D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1" name="AutoShape 1" descr="Vista previa de toda la pantalla">
          <a:extLst>
            <a:ext uri="{FF2B5EF4-FFF2-40B4-BE49-F238E27FC236}">
              <a16:creationId xmlns:a16="http://schemas.microsoft.com/office/drawing/2014/main" id="{D2F6399D-B8A4-4F15-BB84-4642ABD57D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2" name="AutoShape 1" descr="Vista previa de toda la pantalla">
          <a:extLst>
            <a:ext uri="{FF2B5EF4-FFF2-40B4-BE49-F238E27FC236}">
              <a16:creationId xmlns:a16="http://schemas.microsoft.com/office/drawing/2014/main" id="{5173ADE8-3509-4218-BCD2-731A0590E9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3" name="AutoShape 1" descr="Vista previa de toda la pantalla">
          <a:extLst>
            <a:ext uri="{FF2B5EF4-FFF2-40B4-BE49-F238E27FC236}">
              <a16:creationId xmlns:a16="http://schemas.microsoft.com/office/drawing/2014/main" id="{681979A4-19A1-4E62-9965-4940B396E5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4" name="AutoShape 1" descr="Vista previa de toda la pantalla">
          <a:extLst>
            <a:ext uri="{FF2B5EF4-FFF2-40B4-BE49-F238E27FC236}">
              <a16:creationId xmlns:a16="http://schemas.microsoft.com/office/drawing/2014/main" id="{23A4F89E-7494-49EB-BA2C-CCDE6784E0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5" name="AutoShape 1" descr="Vista previa de toda la pantalla">
          <a:extLst>
            <a:ext uri="{FF2B5EF4-FFF2-40B4-BE49-F238E27FC236}">
              <a16:creationId xmlns:a16="http://schemas.microsoft.com/office/drawing/2014/main" id="{43CED15E-2D39-45F5-ACD8-AD9E911507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6" name="AutoShape 1" descr="Vista previa de toda la pantalla">
          <a:extLst>
            <a:ext uri="{FF2B5EF4-FFF2-40B4-BE49-F238E27FC236}">
              <a16:creationId xmlns:a16="http://schemas.microsoft.com/office/drawing/2014/main" id="{EDE5CD32-57EE-4F16-B149-CA8F44196E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7" name="AutoShape 1" descr="Vista previa de toda la pantalla">
          <a:extLst>
            <a:ext uri="{FF2B5EF4-FFF2-40B4-BE49-F238E27FC236}">
              <a16:creationId xmlns:a16="http://schemas.microsoft.com/office/drawing/2014/main" id="{CEA2BF17-B3A7-4C70-9D88-B443F4B124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8" name="AutoShape 1" descr="Vista previa de toda la pantalla">
          <a:extLst>
            <a:ext uri="{FF2B5EF4-FFF2-40B4-BE49-F238E27FC236}">
              <a16:creationId xmlns:a16="http://schemas.microsoft.com/office/drawing/2014/main" id="{92CDEEB2-6B3B-4EB3-A216-2C119AED83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899" name="AutoShape 1" descr="Vista previa de toda la pantalla">
          <a:extLst>
            <a:ext uri="{FF2B5EF4-FFF2-40B4-BE49-F238E27FC236}">
              <a16:creationId xmlns:a16="http://schemas.microsoft.com/office/drawing/2014/main" id="{414B7EE1-2CC9-4257-B410-A21B512288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00" name="AutoShape 1" descr="Vista previa de toda la pantalla">
          <a:extLst>
            <a:ext uri="{FF2B5EF4-FFF2-40B4-BE49-F238E27FC236}">
              <a16:creationId xmlns:a16="http://schemas.microsoft.com/office/drawing/2014/main" id="{5EBE4350-B3F2-479F-86FC-1D0E09300A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01" name="AutoShape 1" descr="Vista previa de toda la pantalla">
          <a:extLst>
            <a:ext uri="{FF2B5EF4-FFF2-40B4-BE49-F238E27FC236}">
              <a16:creationId xmlns:a16="http://schemas.microsoft.com/office/drawing/2014/main" id="{4815A88F-473B-4351-A20B-9D61873113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02" name="AutoShape 1" descr="Vista previa de toda la pantalla">
          <a:extLst>
            <a:ext uri="{FF2B5EF4-FFF2-40B4-BE49-F238E27FC236}">
              <a16:creationId xmlns:a16="http://schemas.microsoft.com/office/drawing/2014/main" id="{27325EAF-08FD-4341-BE5E-D9605EF1A8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03" name="AutoShape 1" descr="Vista previa de toda la pantalla">
          <a:extLst>
            <a:ext uri="{FF2B5EF4-FFF2-40B4-BE49-F238E27FC236}">
              <a16:creationId xmlns:a16="http://schemas.microsoft.com/office/drawing/2014/main" id="{71621DFA-BEC8-494B-A87E-35760653A2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04" name="AutoShape 1" descr="Vista previa de toda la pantalla">
          <a:extLst>
            <a:ext uri="{FF2B5EF4-FFF2-40B4-BE49-F238E27FC236}">
              <a16:creationId xmlns:a16="http://schemas.microsoft.com/office/drawing/2014/main" id="{1337A00A-3540-41F7-AC1B-2D1FE8FC4F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05" name="AutoShape 1" descr="Vista previa de toda la pantalla">
          <a:extLst>
            <a:ext uri="{FF2B5EF4-FFF2-40B4-BE49-F238E27FC236}">
              <a16:creationId xmlns:a16="http://schemas.microsoft.com/office/drawing/2014/main" id="{BFE0B91B-E6D2-4BA0-A137-1AEFDBFF1D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06" name="AutoShape 1" descr="Vista previa de toda la pantalla">
          <a:extLst>
            <a:ext uri="{FF2B5EF4-FFF2-40B4-BE49-F238E27FC236}">
              <a16:creationId xmlns:a16="http://schemas.microsoft.com/office/drawing/2014/main" id="{8234B3EB-7479-49A7-9614-559A8C340C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07" name="AutoShape 1" descr="Vista previa de toda la pantalla">
          <a:extLst>
            <a:ext uri="{FF2B5EF4-FFF2-40B4-BE49-F238E27FC236}">
              <a16:creationId xmlns:a16="http://schemas.microsoft.com/office/drawing/2014/main" id="{C6B8DC7F-4335-40EE-8598-3DFAF05E52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08" name="AutoShape 1" descr="Vista previa de toda la pantalla">
          <a:extLst>
            <a:ext uri="{FF2B5EF4-FFF2-40B4-BE49-F238E27FC236}">
              <a16:creationId xmlns:a16="http://schemas.microsoft.com/office/drawing/2014/main" id="{372FF035-B9E3-4353-8CF6-CFEBE62BCF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09" name="AutoShape 1" descr="Vista previa de toda la pantalla">
          <a:extLst>
            <a:ext uri="{FF2B5EF4-FFF2-40B4-BE49-F238E27FC236}">
              <a16:creationId xmlns:a16="http://schemas.microsoft.com/office/drawing/2014/main" id="{F0E2A0E8-2D76-463A-AE0C-39D74D5E6A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0" name="AutoShape 1" descr="Vista previa de toda la pantalla">
          <a:extLst>
            <a:ext uri="{FF2B5EF4-FFF2-40B4-BE49-F238E27FC236}">
              <a16:creationId xmlns:a16="http://schemas.microsoft.com/office/drawing/2014/main" id="{25F9C99F-EF7C-4506-B341-26E50C3AE3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1" name="AutoShape 1" descr="Vista previa de toda la pantalla">
          <a:extLst>
            <a:ext uri="{FF2B5EF4-FFF2-40B4-BE49-F238E27FC236}">
              <a16:creationId xmlns:a16="http://schemas.microsoft.com/office/drawing/2014/main" id="{84806BDC-D21B-4089-BE21-E55EB5936D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2" name="AutoShape 1" descr="Vista previa de toda la pantalla">
          <a:extLst>
            <a:ext uri="{FF2B5EF4-FFF2-40B4-BE49-F238E27FC236}">
              <a16:creationId xmlns:a16="http://schemas.microsoft.com/office/drawing/2014/main" id="{479C8B5B-D943-4152-BE03-29B170A02E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3" name="AutoShape 1" descr="Vista previa de toda la pantalla">
          <a:extLst>
            <a:ext uri="{FF2B5EF4-FFF2-40B4-BE49-F238E27FC236}">
              <a16:creationId xmlns:a16="http://schemas.microsoft.com/office/drawing/2014/main" id="{6D4CCCE3-DB2B-4BF9-9161-C15208B878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4" name="AutoShape 1" descr="Vista previa de toda la pantalla">
          <a:extLst>
            <a:ext uri="{FF2B5EF4-FFF2-40B4-BE49-F238E27FC236}">
              <a16:creationId xmlns:a16="http://schemas.microsoft.com/office/drawing/2014/main" id="{C0395B62-2DBB-4AD4-AAD4-FA558238FC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5" name="AutoShape 1" descr="Vista previa de toda la pantalla">
          <a:extLst>
            <a:ext uri="{FF2B5EF4-FFF2-40B4-BE49-F238E27FC236}">
              <a16:creationId xmlns:a16="http://schemas.microsoft.com/office/drawing/2014/main" id="{CB2BBF39-FF42-4F08-AD51-91662B75FC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6" name="AutoShape 1" descr="Vista previa de toda la pantalla">
          <a:extLst>
            <a:ext uri="{FF2B5EF4-FFF2-40B4-BE49-F238E27FC236}">
              <a16:creationId xmlns:a16="http://schemas.microsoft.com/office/drawing/2014/main" id="{BA4B7A55-68C0-4982-AB5D-0BF158F2D5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7" name="AutoShape 1" descr="Vista previa de toda la pantalla">
          <a:extLst>
            <a:ext uri="{FF2B5EF4-FFF2-40B4-BE49-F238E27FC236}">
              <a16:creationId xmlns:a16="http://schemas.microsoft.com/office/drawing/2014/main" id="{13DFD438-DC44-4C67-8CF9-ED3AE5ACD4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8" name="AutoShape 1" descr="Vista previa de toda la pantalla">
          <a:extLst>
            <a:ext uri="{FF2B5EF4-FFF2-40B4-BE49-F238E27FC236}">
              <a16:creationId xmlns:a16="http://schemas.microsoft.com/office/drawing/2014/main" id="{38A47725-DA60-4FE9-98A5-00BEA3C7E2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19" name="AutoShape 1" descr="Vista previa de toda la pantalla">
          <a:extLst>
            <a:ext uri="{FF2B5EF4-FFF2-40B4-BE49-F238E27FC236}">
              <a16:creationId xmlns:a16="http://schemas.microsoft.com/office/drawing/2014/main" id="{2F22523F-C523-4B48-BBFD-FB73B521BA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0" name="AutoShape 1" descr="Vista previa de toda la pantalla">
          <a:extLst>
            <a:ext uri="{FF2B5EF4-FFF2-40B4-BE49-F238E27FC236}">
              <a16:creationId xmlns:a16="http://schemas.microsoft.com/office/drawing/2014/main" id="{B53A49B6-8AF9-46B0-880C-FD08D37C28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1" name="AutoShape 1" descr="Vista previa de toda la pantalla">
          <a:extLst>
            <a:ext uri="{FF2B5EF4-FFF2-40B4-BE49-F238E27FC236}">
              <a16:creationId xmlns:a16="http://schemas.microsoft.com/office/drawing/2014/main" id="{D93AFDC6-68AB-4EBE-AF84-B1E1B5066E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2" name="AutoShape 1" descr="Vista previa de toda la pantalla">
          <a:extLst>
            <a:ext uri="{FF2B5EF4-FFF2-40B4-BE49-F238E27FC236}">
              <a16:creationId xmlns:a16="http://schemas.microsoft.com/office/drawing/2014/main" id="{8DBC2182-54EF-4EA0-98C8-225C8FDFBD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3" name="AutoShape 1" descr="Vista previa de toda la pantalla">
          <a:extLst>
            <a:ext uri="{FF2B5EF4-FFF2-40B4-BE49-F238E27FC236}">
              <a16:creationId xmlns:a16="http://schemas.microsoft.com/office/drawing/2014/main" id="{EBB5E3CE-647B-4643-8350-C041EF5B8F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4" name="AutoShape 1" descr="Vista previa de toda la pantalla">
          <a:extLst>
            <a:ext uri="{FF2B5EF4-FFF2-40B4-BE49-F238E27FC236}">
              <a16:creationId xmlns:a16="http://schemas.microsoft.com/office/drawing/2014/main" id="{BB145B8C-8CE1-4BE1-87DE-F3637C5FD6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5" name="AutoShape 1" descr="Vista previa de toda la pantalla">
          <a:extLst>
            <a:ext uri="{FF2B5EF4-FFF2-40B4-BE49-F238E27FC236}">
              <a16:creationId xmlns:a16="http://schemas.microsoft.com/office/drawing/2014/main" id="{988284E5-BE55-4F99-BE08-F84905C50F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6" name="AutoShape 1" descr="Vista previa de toda la pantalla">
          <a:extLst>
            <a:ext uri="{FF2B5EF4-FFF2-40B4-BE49-F238E27FC236}">
              <a16:creationId xmlns:a16="http://schemas.microsoft.com/office/drawing/2014/main" id="{338323CF-AC8C-4E71-BF04-04957F472F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7" name="AutoShape 1" descr="Vista previa de toda la pantalla">
          <a:extLst>
            <a:ext uri="{FF2B5EF4-FFF2-40B4-BE49-F238E27FC236}">
              <a16:creationId xmlns:a16="http://schemas.microsoft.com/office/drawing/2014/main" id="{96FE7CDC-94DE-43AD-B7D1-416468A77A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8" name="AutoShape 1" descr="Vista previa de toda la pantalla">
          <a:extLst>
            <a:ext uri="{FF2B5EF4-FFF2-40B4-BE49-F238E27FC236}">
              <a16:creationId xmlns:a16="http://schemas.microsoft.com/office/drawing/2014/main" id="{5D887F35-6EA1-48DE-B46C-22C72A1769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29" name="AutoShape 1" descr="Vista previa de toda la pantalla">
          <a:extLst>
            <a:ext uri="{FF2B5EF4-FFF2-40B4-BE49-F238E27FC236}">
              <a16:creationId xmlns:a16="http://schemas.microsoft.com/office/drawing/2014/main" id="{4A4EB98E-8D7C-416C-B4D3-652FD07DE7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0" name="AutoShape 1" descr="Vista previa de toda la pantalla">
          <a:extLst>
            <a:ext uri="{FF2B5EF4-FFF2-40B4-BE49-F238E27FC236}">
              <a16:creationId xmlns:a16="http://schemas.microsoft.com/office/drawing/2014/main" id="{D06AF00A-6190-4222-8AF0-E45B1B8BC4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1" name="AutoShape 1" descr="Vista previa de toda la pantalla">
          <a:extLst>
            <a:ext uri="{FF2B5EF4-FFF2-40B4-BE49-F238E27FC236}">
              <a16:creationId xmlns:a16="http://schemas.microsoft.com/office/drawing/2014/main" id="{517BC2A0-F8B0-4D44-88A6-5A40EF0B4A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2" name="AutoShape 1" descr="Vista previa de toda la pantalla">
          <a:extLst>
            <a:ext uri="{FF2B5EF4-FFF2-40B4-BE49-F238E27FC236}">
              <a16:creationId xmlns:a16="http://schemas.microsoft.com/office/drawing/2014/main" id="{EF8CB017-8256-4DB5-81BC-273684E178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3" name="AutoShape 1" descr="Vista previa de toda la pantalla">
          <a:extLst>
            <a:ext uri="{FF2B5EF4-FFF2-40B4-BE49-F238E27FC236}">
              <a16:creationId xmlns:a16="http://schemas.microsoft.com/office/drawing/2014/main" id="{D425E1EB-3DF0-41A2-9095-60B0FFB459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4" name="AutoShape 1" descr="Vista previa de toda la pantalla">
          <a:extLst>
            <a:ext uri="{FF2B5EF4-FFF2-40B4-BE49-F238E27FC236}">
              <a16:creationId xmlns:a16="http://schemas.microsoft.com/office/drawing/2014/main" id="{100AD93C-EC05-4640-8E3E-3374FAC7C9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5" name="AutoShape 1" descr="Vista previa de toda la pantalla">
          <a:extLst>
            <a:ext uri="{FF2B5EF4-FFF2-40B4-BE49-F238E27FC236}">
              <a16:creationId xmlns:a16="http://schemas.microsoft.com/office/drawing/2014/main" id="{4547497E-096B-4041-8023-BE2A5AB729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6" name="AutoShape 1" descr="Vista previa de toda la pantalla">
          <a:extLst>
            <a:ext uri="{FF2B5EF4-FFF2-40B4-BE49-F238E27FC236}">
              <a16:creationId xmlns:a16="http://schemas.microsoft.com/office/drawing/2014/main" id="{885DFDA2-2A91-4D54-A872-EE90B72E88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7" name="AutoShape 1" descr="Vista previa de toda la pantalla">
          <a:extLst>
            <a:ext uri="{FF2B5EF4-FFF2-40B4-BE49-F238E27FC236}">
              <a16:creationId xmlns:a16="http://schemas.microsoft.com/office/drawing/2014/main" id="{428595CA-19B2-40A1-B2DA-4F1C333196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8" name="AutoShape 1" descr="Vista previa de toda la pantalla">
          <a:extLst>
            <a:ext uri="{FF2B5EF4-FFF2-40B4-BE49-F238E27FC236}">
              <a16:creationId xmlns:a16="http://schemas.microsoft.com/office/drawing/2014/main" id="{D64ACEC8-52A3-4E3D-849E-E71C7774CC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39" name="AutoShape 1" descr="Vista previa de toda la pantalla">
          <a:extLst>
            <a:ext uri="{FF2B5EF4-FFF2-40B4-BE49-F238E27FC236}">
              <a16:creationId xmlns:a16="http://schemas.microsoft.com/office/drawing/2014/main" id="{7D37C80B-EDB2-4461-858A-4D04D9D004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0" name="AutoShape 1" descr="Vista previa de toda la pantalla">
          <a:extLst>
            <a:ext uri="{FF2B5EF4-FFF2-40B4-BE49-F238E27FC236}">
              <a16:creationId xmlns:a16="http://schemas.microsoft.com/office/drawing/2014/main" id="{535EB8C6-E8B8-4BA7-BBB7-59C308402A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1" name="AutoShape 1" descr="Vista previa de toda la pantalla">
          <a:extLst>
            <a:ext uri="{FF2B5EF4-FFF2-40B4-BE49-F238E27FC236}">
              <a16:creationId xmlns:a16="http://schemas.microsoft.com/office/drawing/2014/main" id="{A2720594-3EC8-49D2-9EAC-65D38AD441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2" name="AutoShape 1" descr="Vista previa de toda la pantalla">
          <a:extLst>
            <a:ext uri="{FF2B5EF4-FFF2-40B4-BE49-F238E27FC236}">
              <a16:creationId xmlns:a16="http://schemas.microsoft.com/office/drawing/2014/main" id="{04F068C5-4BC7-4D55-B698-CECA496281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3" name="AutoShape 1" descr="Vista previa de toda la pantalla">
          <a:extLst>
            <a:ext uri="{FF2B5EF4-FFF2-40B4-BE49-F238E27FC236}">
              <a16:creationId xmlns:a16="http://schemas.microsoft.com/office/drawing/2014/main" id="{118EBE36-7E5F-4E21-B85C-41BA144944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4" name="AutoShape 1" descr="Vista previa de toda la pantalla">
          <a:extLst>
            <a:ext uri="{FF2B5EF4-FFF2-40B4-BE49-F238E27FC236}">
              <a16:creationId xmlns:a16="http://schemas.microsoft.com/office/drawing/2014/main" id="{5DD037C6-F994-43C5-B50E-AE7C579417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5" name="AutoShape 1" descr="Vista previa de toda la pantalla">
          <a:extLst>
            <a:ext uri="{FF2B5EF4-FFF2-40B4-BE49-F238E27FC236}">
              <a16:creationId xmlns:a16="http://schemas.microsoft.com/office/drawing/2014/main" id="{085F2367-4A95-4FE7-BC00-322E6A25A5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6" name="AutoShape 1" descr="Vista previa de toda la pantalla">
          <a:extLst>
            <a:ext uri="{FF2B5EF4-FFF2-40B4-BE49-F238E27FC236}">
              <a16:creationId xmlns:a16="http://schemas.microsoft.com/office/drawing/2014/main" id="{0AA8E1E0-76D2-41A7-A664-077247F4E9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7" name="AutoShape 1" descr="Vista previa de toda la pantalla">
          <a:extLst>
            <a:ext uri="{FF2B5EF4-FFF2-40B4-BE49-F238E27FC236}">
              <a16:creationId xmlns:a16="http://schemas.microsoft.com/office/drawing/2014/main" id="{E3E29C97-8509-4527-B23E-733BC87174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8" name="AutoShape 1" descr="Vista previa de toda la pantalla">
          <a:extLst>
            <a:ext uri="{FF2B5EF4-FFF2-40B4-BE49-F238E27FC236}">
              <a16:creationId xmlns:a16="http://schemas.microsoft.com/office/drawing/2014/main" id="{4EA94CB5-D78A-43AD-835B-93C6AF4F85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49" name="AutoShape 1" descr="Vista previa de toda la pantalla">
          <a:extLst>
            <a:ext uri="{FF2B5EF4-FFF2-40B4-BE49-F238E27FC236}">
              <a16:creationId xmlns:a16="http://schemas.microsoft.com/office/drawing/2014/main" id="{A5C5501C-B7CE-407E-BAF2-21738D7904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50" name="AutoShape 1" descr="Vista previa de toda la pantalla">
          <a:extLst>
            <a:ext uri="{FF2B5EF4-FFF2-40B4-BE49-F238E27FC236}">
              <a16:creationId xmlns:a16="http://schemas.microsoft.com/office/drawing/2014/main" id="{442465E8-DEF4-44EB-9FBC-3E553CA73D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51" name="AutoShape 1" descr="Vista previa de toda la pantalla">
          <a:extLst>
            <a:ext uri="{FF2B5EF4-FFF2-40B4-BE49-F238E27FC236}">
              <a16:creationId xmlns:a16="http://schemas.microsoft.com/office/drawing/2014/main" id="{11D1D713-A559-4D46-BBFC-AE9CD81CB4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52" name="AutoShape 1" descr="Vista previa de toda la pantalla">
          <a:extLst>
            <a:ext uri="{FF2B5EF4-FFF2-40B4-BE49-F238E27FC236}">
              <a16:creationId xmlns:a16="http://schemas.microsoft.com/office/drawing/2014/main" id="{D835113B-B293-4194-81E9-09BF99ECD1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53" name="AutoShape 1" descr="Vista previa de toda la pantalla">
          <a:extLst>
            <a:ext uri="{FF2B5EF4-FFF2-40B4-BE49-F238E27FC236}">
              <a16:creationId xmlns:a16="http://schemas.microsoft.com/office/drawing/2014/main" id="{4A5AD85A-9372-4D4A-8CE0-A34D5B59F6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54" name="AutoShape 1" descr="Vista previa de toda la pantalla">
          <a:extLst>
            <a:ext uri="{FF2B5EF4-FFF2-40B4-BE49-F238E27FC236}">
              <a16:creationId xmlns:a16="http://schemas.microsoft.com/office/drawing/2014/main" id="{7416C2F8-2DB8-4B0B-BCD0-2B6B91FEFE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55" name="AutoShape 1" descr="Vista previa de toda la pantalla">
          <a:extLst>
            <a:ext uri="{FF2B5EF4-FFF2-40B4-BE49-F238E27FC236}">
              <a16:creationId xmlns:a16="http://schemas.microsoft.com/office/drawing/2014/main" id="{5AF8BF11-C6F1-43E2-89C1-029C69B7C4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56" name="AutoShape 1" descr="Vista previa de toda la pantalla">
          <a:extLst>
            <a:ext uri="{FF2B5EF4-FFF2-40B4-BE49-F238E27FC236}">
              <a16:creationId xmlns:a16="http://schemas.microsoft.com/office/drawing/2014/main" id="{0DF5BC1B-1CA0-4A14-9A3D-B089AF6B89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57" name="AutoShape 1" descr="Vista previa de toda la pantalla">
          <a:extLst>
            <a:ext uri="{FF2B5EF4-FFF2-40B4-BE49-F238E27FC236}">
              <a16:creationId xmlns:a16="http://schemas.microsoft.com/office/drawing/2014/main" id="{2182AFB2-DE0C-4BCB-B021-CE87F8D678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58" name="AutoShape 1" descr="Vista previa de toda la pantalla">
          <a:extLst>
            <a:ext uri="{FF2B5EF4-FFF2-40B4-BE49-F238E27FC236}">
              <a16:creationId xmlns:a16="http://schemas.microsoft.com/office/drawing/2014/main" id="{35D07B44-C028-486A-B7AA-310474A664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59" name="AutoShape 1" descr="Vista previa de toda la pantalla">
          <a:extLst>
            <a:ext uri="{FF2B5EF4-FFF2-40B4-BE49-F238E27FC236}">
              <a16:creationId xmlns:a16="http://schemas.microsoft.com/office/drawing/2014/main" id="{307623E6-4015-44F2-B9F7-4461B36E17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0" name="AutoShape 1" descr="Vista previa de toda la pantalla">
          <a:extLst>
            <a:ext uri="{FF2B5EF4-FFF2-40B4-BE49-F238E27FC236}">
              <a16:creationId xmlns:a16="http://schemas.microsoft.com/office/drawing/2014/main" id="{FB865DCA-6D20-456F-AAE5-823D6DA422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1" name="AutoShape 1" descr="Vista previa de toda la pantalla">
          <a:extLst>
            <a:ext uri="{FF2B5EF4-FFF2-40B4-BE49-F238E27FC236}">
              <a16:creationId xmlns:a16="http://schemas.microsoft.com/office/drawing/2014/main" id="{F86932F7-1509-49E2-B778-01535162EC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2" name="AutoShape 1" descr="Vista previa de toda la pantalla">
          <a:extLst>
            <a:ext uri="{FF2B5EF4-FFF2-40B4-BE49-F238E27FC236}">
              <a16:creationId xmlns:a16="http://schemas.microsoft.com/office/drawing/2014/main" id="{A302A1ED-6E88-4605-B894-0253C91CB4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3" name="AutoShape 1" descr="Vista previa de toda la pantalla">
          <a:extLst>
            <a:ext uri="{FF2B5EF4-FFF2-40B4-BE49-F238E27FC236}">
              <a16:creationId xmlns:a16="http://schemas.microsoft.com/office/drawing/2014/main" id="{93E8B958-D70B-4D8A-AD94-5EFA3EFBE0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4" name="AutoShape 1" descr="Vista previa de toda la pantalla">
          <a:extLst>
            <a:ext uri="{FF2B5EF4-FFF2-40B4-BE49-F238E27FC236}">
              <a16:creationId xmlns:a16="http://schemas.microsoft.com/office/drawing/2014/main" id="{36973670-40D9-4093-91F9-14B9F5785F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5" name="AutoShape 1" descr="Vista previa de toda la pantalla">
          <a:extLst>
            <a:ext uri="{FF2B5EF4-FFF2-40B4-BE49-F238E27FC236}">
              <a16:creationId xmlns:a16="http://schemas.microsoft.com/office/drawing/2014/main" id="{056DD0A8-4D03-4C0C-80B7-A4CA4C9EAB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6" name="AutoShape 1" descr="Vista previa de toda la pantalla">
          <a:extLst>
            <a:ext uri="{FF2B5EF4-FFF2-40B4-BE49-F238E27FC236}">
              <a16:creationId xmlns:a16="http://schemas.microsoft.com/office/drawing/2014/main" id="{E3DCAD30-A79D-4C9C-ACE9-85CFFA162D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7" name="AutoShape 1" descr="Vista previa de toda la pantalla">
          <a:extLst>
            <a:ext uri="{FF2B5EF4-FFF2-40B4-BE49-F238E27FC236}">
              <a16:creationId xmlns:a16="http://schemas.microsoft.com/office/drawing/2014/main" id="{08003DEA-2ED5-4509-AD45-3725E7CB17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8" name="AutoShape 1" descr="Vista previa de toda la pantalla">
          <a:extLst>
            <a:ext uri="{FF2B5EF4-FFF2-40B4-BE49-F238E27FC236}">
              <a16:creationId xmlns:a16="http://schemas.microsoft.com/office/drawing/2014/main" id="{9E4A7B0E-72FC-4CAE-9E32-51EBBD4CEA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69" name="AutoShape 1" descr="Vista previa de toda la pantalla">
          <a:extLst>
            <a:ext uri="{FF2B5EF4-FFF2-40B4-BE49-F238E27FC236}">
              <a16:creationId xmlns:a16="http://schemas.microsoft.com/office/drawing/2014/main" id="{6B4DC4FF-7916-47D1-B036-F756BD4C55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0" name="AutoShape 1" descr="Vista previa de toda la pantalla">
          <a:extLst>
            <a:ext uri="{FF2B5EF4-FFF2-40B4-BE49-F238E27FC236}">
              <a16:creationId xmlns:a16="http://schemas.microsoft.com/office/drawing/2014/main" id="{2072BF86-F146-477F-AE0F-88529348FB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1" name="AutoShape 1" descr="Vista previa de toda la pantalla">
          <a:extLst>
            <a:ext uri="{FF2B5EF4-FFF2-40B4-BE49-F238E27FC236}">
              <a16:creationId xmlns:a16="http://schemas.microsoft.com/office/drawing/2014/main" id="{4ABD99B3-54B8-4A44-819E-A2A95E3CBD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2" name="AutoShape 1" descr="Vista previa de toda la pantalla">
          <a:extLst>
            <a:ext uri="{FF2B5EF4-FFF2-40B4-BE49-F238E27FC236}">
              <a16:creationId xmlns:a16="http://schemas.microsoft.com/office/drawing/2014/main" id="{283BD2F3-71F6-4B3E-8239-45A927B9DF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3" name="AutoShape 1" descr="Vista previa de toda la pantalla">
          <a:extLst>
            <a:ext uri="{FF2B5EF4-FFF2-40B4-BE49-F238E27FC236}">
              <a16:creationId xmlns:a16="http://schemas.microsoft.com/office/drawing/2014/main" id="{3A4BF187-5A17-41D0-A31E-8386E3C899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4" name="AutoShape 1" descr="Vista previa de toda la pantalla">
          <a:extLst>
            <a:ext uri="{FF2B5EF4-FFF2-40B4-BE49-F238E27FC236}">
              <a16:creationId xmlns:a16="http://schemas.microsoft.com/office/drawing/2014/main" id="{DF6ABB3C-D1EA-4D52-914C-ED5BDA5705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5" name="AutoShape 1" descr="Vista previa de toda la pantalla">
          <a:extLst>
            <a:ext uri="{FF2B5EF4-FFF2-40B4-BE49-F238E27FC236}">
              <a16:creationId xmlns:a16="http://schemas.microsoft.com/office/drawing/2014/main" id="{C8C90D3C-8A49-4FB2-9833-7628C39E0A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6" name="AutoShape 1" descr="Vista previa de toda la pantalla">
          <a:extLst>
            <a:ext uri="{FF2B5EF4-FFF2-40B4-BE49-F238E27FC236}">
              <a16:creationId xmlns:a16="http://schemas.microsoft.com/office/drawing/2014/main" id="{45E95ABA-6553-4003-8779-16ACF70262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7" name="AutoShape 1" descr="Vista previa de toda la pantalla">
          <a:extLst>
            <a:ext uri="{FF2B5EF4-FFF2-40B4-BE49-F238E27FC236}">
              <a16:creationId xmlns:a16="http://schemas.microsoft.com/office/drawing/2014/main" id="{20E134F7-0F09-49D2-87BC-5BD74F7EA3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8" name="AutoShape 1" descr="Vista previa de toda la pantalla">
          <a:extLst>
            <a:ext uri="{FF2B5EF4-FFF2-40B4-BE49-F238E27FC236}">
              <a16:creationId xmlns:a16="http://schemas.microsoft.com/office/drawing/2014/main" id="{FF26CDF6-33F2-4ABB-82EF-C6FBDD7195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79" name="AutoShape 1" descr="Vista previa de toda la pantalla">
          <a:extLst>
            <a:ext uri="{FF2B5EF4-FFF2-40B4-BE49-F238E27FC236}">
              <a16:creationId xmlns:a16="http://schemas.microsoft.com/office/drawing/2014/main" id="{1D432D78-54DC-4740-B0F2-D9B7C6BA7A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0" name="AutoShape 1" descr="Vista previa de toda la pantalla">
          <a:extLst>
            <a:ext uri="{FF2B5EF4-FFF2-40B4-BE49-F238E27FC236}">
              <a16:creationId xmlns:a16="http://schemas.microsoft.com/office/drawing/2014/main" id="{B6A6FFF2-F13F-4813-B6F7-7D73123068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1" name="AutoShape 1" descr="Vista previa de toda la pantalla">
          <a:extLst>
            <a:ext uri="{FF2B5EF4-FFF2-40B4-BE49-F238E27FC236}">
              <a16:creationId xmlns:a16="http://schemas.microsoft.com/office/drawing/2014/main" id="{23DAE8FE-192F-4EB8-961C-04F774CD22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2" name="AutoShape 1" descr="Vista previa de toda la pantalla">
          <a:extLst>
            <a:ext uri="{FF2B5EF4-FFF2-40B4-BE49-F238E27FC236}">
              <a16:creationId xmlns:a16="http://schemas.microsoft.com/office/drawing/2014/main" id="{745F6FD6-01A3-4D1B-AB5E-8E154511E0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3" name="AutoShape 1" descr="Vista previa de toda la pantalla">
          <a:extLst>
            <a:ext uri="{FF2B5EF4-FFF2-40B4-BE49-F238E27FC236}">
              <a16:creationId xmlns:a16="http://schemas.microsoft.com/office/drawing/2014/main" id="{77918A9B-C279-4F9D-8D8B-8156B6857E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4" name="AutoShape 1" descr="Vista previa de toda la pantalla">
          <a:extLst>
            <a:ext uri="{FF2B5EF4-FFF2-40B4-BE49-F238E27FC236}">
              <a16:creationId xmlns:a16="http://schemas.microsoft.com/office/drawing/2014/main" id="{279E9155-F203-4669-B07A-FD1DFEC7B4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5" name="AutoShape 1" descr="Vista previa de toda la pantalla">
          <a:extLst>
            <a:ext uri="{FF2B5EF4-FFF2-40B4-BE49-F238E27FC236}">
              <a16:creationId xmlns:a16="http://schemas.microsoft.com/office/drawing/2014/main" id="{0D5C018B-8CD4-4E66-BECC-6043E5FD9F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6" name="AutoShape 1" descr="Vista previa de toda la pantalla">
          <a:extLst>
            <a:ext uri="{FF2B5EF4-FFF2-40B4-BE49-F238E27FC236}">
              <a16:creationId xmlns:a16="http://schemas.microsoft.com/office/drawing/2014/main" id="{708B4F61-EBAA-47C4-AF71-D42160F32A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7" name="AutoShape 1" descr="Vista previa de toda la pantalla">
          <a:extLst>
            <a:ext uri="{FF2B5EF4-FFF2-40B4-BE49-F238E27FC236}">
              <a16:creationId xmlns:a16="http://schemas.microsoft.com/office/drawing/2014/main" id="{5689FF40-8565-4D44-BE91-CE0C76F832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8" name="AutoShape 1" descr="Vista previa de toda la pantalla">
          <a:extLst>
            <a:ext uri="{FF2B5EF4-FFF2-40B4-BE49-F238E27FC236}">
              <a16:creationId xmlns:a16="http://schemas.microsoft.com/office/drawing/2014/main" id="{0C37BC7B-1012-408A-8EEC-B14A8092AD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89" name="AutoShape 1" descr="Vista previa de toda la pantalla">
          <a:extLst>
            <a:ext uri="{FF2B5EF4-FFF2-40B4-BE49-F238E27FC236}">
              <a16:creationId xmlns:a16="http://schemas.microsoft.com/office/drawing/2014/main" id="{E65B1E5E-B4BA-4D81-8851-546CBE2A76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0" name="AutoShape 1" descr="Vista previa de toda la pantalla">
          <a:extLst>
            <a:ext uri="{FF2B5EF4-FFF2-40B4-BE49-F238E27FC236}">
              <a16:creationId xmlns:a16="http://schemas.microsoft.com/office/drawing/2014/main" id="{0CFF0B76-121F-4065-B7A4-900C4C50C2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1" name="AutoShape 1" descr="Vista previa de toda la pantalla">
          <a:extLst>
            <a:ext uri="{FF2B5EF4-FFF2-40B4-BE49-F238E27FC236}">
              <a16:creationId xmlns:a16="http://schemas.microsoft.com/office/drawing/2014/main" id="{E79C8914-A182-4BD1-B3AF-5ABF13898B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2" name="AutoShape 1" descr="Vista previa de toda la pantalla">
          <a:extLst>
            <a:ext uri="{FF2B5EF4-FFF2-40B4-BE49-F238E27FC236}">
              <a16:creationId xmlns:a16="http://schemas.microsoft.com/office/drawing/2014/main" id="{3C1E5540-4446-44DD-B4F1-F3847205F5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3" name="AutoShape 1" descr="Vista previa de toda la pantalla">
          <a:extLst>
            <a:ext uri="{FF2B5EF4-FFF2-40B4-BE49-F238E27FC236}">
              <a16:creationId xmlns:a16="http://schemas.microsoft.com/office/drawing/2014/main" id="{B8288F22-FD98-4299-9CF2-B4005C2013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4" name="AutoShape 1" descr="Vista previa de toda la pantalla">
          <a:extLst>
            <a:ext uri="{FF2B5EF4-FFF2-40B4-BE49-F238E27FC236}">
              <a16:creationId xmlns:a16="http://schemas.microsoft.com/office/drawing/2014/main" id="{A7C1F58E-BC4E-4712-A5B7-A9C2A6FB14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5" name="AutoShape 1" descr="Vista previa de toda la pantalla">
          <a:extLst>
            <a:ext uri="{FF2B5EF4-FFF2-40B4-BE49-F238E27FC236}">
              <a16:creationId xmlns:a16="http://schemas.microsoft.com/office/drawing/2014/main" id="{6A902B89-DC7F-4C90-8379-8845A67BB7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6" name="AutoShape 1" descr="Vista previa de toda la pantalla">
          <a:extLst>
            <a:ext uri="{FF2B5EF4-FFF2-40B4-BE49-F238E27FC236}">
              <a16:creationId xmlns:a16="http://schemas.microsoft.com/office/drawing/2014/main" id="{AA49028E-544A-4362-868B-545B188F89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7" name="AutoShape 1" descr="Vista previa de toda la pantalla">
          <a:extLst>
            <a:ext uri="{FF2B5EF4-FFF2-40B4-BE49-F238E27FC236}">
              <a16:creationId xmlns:a16="http://schemas.microsoft.com/office/drawing/2014/main" id="{F38BDB0D-DEE3-41CB-9793-80CD711C6F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8" name="AutoShape 1" descr="Vista previa de toda la pantalla">
          <a:extLst>
            <a:ext uri="{FF2B5EF4-FFF2-40B4-BE49-F238E27FC236}">
              <a16:creationId xmlns:a16="http://schemas.microsoft.com/office/drawing/2014/main" id="{4ADAE5BD-FCF3-4D9F-A96B-53DE74FEF6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999" name="AutoShape 1" descr="Vista previa de toda la pantalla">
          <a:extLst>
            <a:ext uri="{FF2B5EF4-FFF2-40B4-BE49-F238E27FC236}">
              <a16:creationId xmlns:a16="http://schemas.microsoft.com/office/drawing/2014/main" id="{473AFABF-875F-4706-97B2-D8FFB6C5D9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00" name="AutoShape 1" descr="Vista previa de toda la pantalla">
          <a:extLst>
            <a:ext uri="{FF2B5EF4-FFF2-40B4-BE49-F238E27FC236}">
              <a16:creationId xmlns:a16="http://schemas.microsoft.com/office/drawing/2014/main" id="{7765313D-A637-458D-9117-E844507DE4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01" name="AutoShape 1" descr="Vista previa de toda la pantalla">
          <a:extLst>
            <a:ext uri="{FF2B5EF4-FFF2-40B4-BE49-F238E27FC236}">
              <a16:creationId xmlns:a16="http://schemas.microsoft.com/office/drawing/2014/main" id="{D017CF1F-E1B4-4F33-AB54-7F382BACA7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2002" name="AutoShape 1" descr="Vista previa de toda la pantalla">
          <a:extLst>
            <a:ext uri="{FF2B5EF4-FFF2-40B4-BE49-F238E27FC236}">
              <a16:creationId xmlns:a16="http://schemas.microsoft.com/office/drawing/2014/main" id="{26EE3E2D-593D-4BF0-9307-40AA58E7B12B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03" name="AutoShape 1" descr="Vista previa de toda la pantalla">
          <a:extLst>
            <a:ext uri="{FF2B5EF4-FFF2-40B4-BE49-F238E27FC236}">
              <a16:creationId xmlns:a16="http://schemas.microsoft.com/office/drawing/2014/main" id="{ED7C8959-C909-473B-93C4-D75A1B91B3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04" name="AutoShape 1" descr="Vista previa de toda la pantalla">
          <a:extLst>
            <a:ext uri="{FF2B5EF4-FFF2-40B4-BE49-F238E27FC236}">
              <a16:creationId xmlns:a16="http://schemas.microsoft.com/office/drawing/2014/main" id="{79760228-323D-4096-87FD-23649E8C4A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05" name="AutoShape 1" descr="Vista previa de toda la pantalla">
          <a:extLst>
            <a:ext uri="{FF2B5EF4-FFF2-40B4-BE49-F238E27FC236}">
              <a16:creationId xmlns:a16="http://schemas.microsoft.com/office/drawing/2014/main" id="{891859DA-1DB2-496C-B43A-7D5ACD021A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06" name="AutoShape 1" descr="Vista previa de toda la pantalla">
          <a:extLst>
            <a:ext uri="{FF2B5EF4-FFF2-40B4-BE49-F238E27FC236}">
              <a16:creationId xmlns:a16="http://schemas.microsoft.com/office/drawing/2014/main" id="{FD3B7341-F925-41BD-A5B6-915183B9C9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07" name="AutoShape 1" descr="Vista previa de toda la pantalla">
          <a:extLst>
            <a:ext uri="{FF2B5EF4-FFF2-40B4-BE49-F238E27FC236}">
              <a16:creationId xmlns:a16="http://schemas.microsoft.com/office/drawing/2014/main" id="{2B04D1B3-FB28-4A2F-A204-EEFBFD7D4C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08" name="AutoShape 1" descr="Vista previa de toda la pantalla">
          <a:extLst>
            <a:ext uri="{FF2B5EF4-FFF2-40B4-BE49-F238E27FC236}">
              <a16:creationId xmlns:a16="http://schemas.microsoft.com/office/drawing/2014/main" id="{7B8BF70F-939B-4C41-9607-D4E158CD66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09" name="AutoShape 1" descr="Vista previa de toda la pantalla">
          <a:extLst>
            <a:ext uri="{FF2B5EF4-FFF2-40B4-BE49-F238E27FC236}">
              <a16:creationId xmlns:a16="http://schemas.microsoft.com/office/drawing/2014/main" id="{02A7EAE2-9CF8-4085-BBDD-1F0E2EC30B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0" name="AutoShape 1" descr="Vista previa de toda la pantalla">
          <a:extLst>
            <a:ext uri="{FF2B5EF4-FFF2-40B4-BE49-F238E27FC236}">
              <a16:creationId xmlns:a16="http://schemas.microsoft.com/office/drawing/2014/main" id="{1C862814-4B04-4289-86BB-D24A34F92E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1" name="AutoShape 1" descr="Vista previa de toda la pantalla">
          <a:extLst>
            <a:ext uri="{FF2B5EF4-FFF2-40B4-BE49-F238E27FC236}">
              <a16:creationId xmlns:a16="http://schemas.microsoft.com/office/drawing/2014/main" id="{1F61191D-77F1-46B1-8335-7C0EBCCB71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2" name="AutoShape 1" descr="Vista previa de toda la pantalla">
          <a:extLst>
            <a:ext uri="{FF2B5EF4-FFF2-40B4-BE49-F238E27FC236}">
              <a16:creationId xmlns:a16="http://schemas.microsoft.com/office/drawing/2014/main" id="{41E0BCC3-F688-4DDB-A9B3-2C83554ADA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3" name="AutoShape 1" descr="Vista previa de toda la pantalla">
          <a:extLst>
            <a:ext uri="{FF2B5EF4-FFF2-40B4-BE49-F238E27FC236}">
              <a16:creationId xmlns:a16="http://schemas.microsoft.com/office/drawing/2014/main" id="{A08C4990-3E17-4129-8811-ACE4B21AD9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4" name="AutoShape 1" descr="Vista previa de toda la pantalla">
          <a:extLst>
            <a:ext uri="{FF2B5EF4-FFF2-40B4-BE49-F238E27FC236}">
              <a16:creationId xmlns:a16="http://schemas.microsoft.com/office/drawing/2014/main" id="{AE5DCD34-C680-4772-BB35-A6DBCE05BA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5" name="AutoShape 1" descr="Vista previa de toda la pantalla">
          <a:extLst>
            <a:ext uri="{FF2B5EF4-FFF2-40B4-BE49-F238E27FC236}">
              <a16:creationId xmlns:a16="http://schemas.microsoft.com/office/drawing/2014/main" id="{F1F5EE07-FCD4-465F-B1F5-752F2E3880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6" name="AutoShape 1" descr="Vista previa de toda la pantalla">
          <a:extLst>
            <a:ext uri="{FF2B5EF4-FFF2-40B4-BE49-F238E27FC236}">
              <a16:creationId xmlns:a16="http://schemas.microsoft.com/office/drawing/2014/main" id="{A562BE8B-4DAC-4973-AB27-DBC275BC61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7" name="AutoShape 1" descr="Vista previa de toda la pantalla">
          <a:extLst>
            <a:ext uri="{FF2B5EF4-FFF2-40B4-BE49-F238E27FC236}">
              <a16:creationId xmlns:a16="http://schemas.microsoft.com/office/drawing/2014/main" id="{2BE7F087-AD44-4916-80F5-80F48D5E13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8" name="AutoShape 1" descr="Vista previa de toda la pantalla">
          <a:extLst>
            <a:ext uri="{FF2B5EF4-FFF2-40B4-BE49-F238E27FC236}">
              <a16:creationId xmlns:a16="http://schemas.microsoft.com/office/drawing/2014/main" id="{3AEFD25E-D117-4754-A2BC-857001919E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19" name="AutoShape 1" descr="Vista previa de toda la pantalla">
          <a:extLst>
            <a:ext uri="{FF2B5EF4-FFF2-40B4-BE49-F238E27FC236}">
              <a16:creationId xmlns:a16="http://schemas.microsoft.com/office/drawing/2014/main" id="{5F020290-2049-4443-A6C9-13CDBA1BA1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0" name="AutoShape 1" descr="Vista previa de toda la pantalla">
          <a:extLst>
            <a:ext uri="{FF2B5EF4-FFF2-40B4-BE49-F238E27FC236}">
              <a16:creationId xmlns:a16="http://schemas.microsoft.com/office/drawing/2014/main" id="{E9E8636A-0673-4F3C-B1C0-7E7297F8CA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1" name="AutoShape 1" descr="Vista previa de toda la pantalla">
          <a:extLst>
            <a:ext uri="{FF2B5EF4-FFF2-40B4-BE49-F238E27FC236}">
              <a16:creationId xmlns:a16="http://schemas.microsoft.com/office/drawing/2014/main" id="{C262C7D1-A2C9-46CC-BBAD-7DB51D4B31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2" name="AutoShape 1" descr="Vista previa de toda la pantalla">
          <a:extLst>
            <a:ext uri="{FF2B5EF4-FFF2-40B4-BE49-F238E27FC236}">
              <a16:creationId xmlns:a16="http://schemas.microsoft.com/office/drawing/2014/main" id="{EC11157E-AB7F-4381-BF57-26756B8DAD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3" name="AutoShape 1" descr="Vista previa de toda la pantalla">
          <a:extLst>
            <a:ext uri="{FF2B5EF4-FFF2-40B4-BE49-F238E27FC236}">
              <a16:creationId xmlns:a16="http://schemas.microsoft.com/office/drawing/2014/main" id="{FE60B66C-E908-45A4-89A4-1F00B76013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4" name="AutoShape 1" descr="Vista previa de toda la pantalla">
          <a:extLst>
            <a:ext uri="{FF2B5EF4-FFF2-40B4-BE49-F238E27FC236}">
              <a16:creationId xmlns:a16="http://schemas.microsoft.com/office/drawing/2014/main" id="{7ACC0B5B-AEBD-4642-AC2E-82CA362F9C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5" name="AutoShape 1" descr="Vista previa de toda la pantalla">
          <a:extLst>
            <a:ext uri="{FF2B5EF4-FFF2-40B4-BE49-F238E27FC236}">
              <a16:creationId xmlns:a16="http://schemas.microsoft.com/office/drawing/2014/main" id="{1794430A-C12E-4E94-9681-F273B4F1CE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6" name="AutoShape 1" descr="Vista previa de toda la pantalla">
          <a:extLst>
            <a:ext uri="{FF2B5EF4-FFF2-40B4-BE49-F238E27FC236}">
              <a16:creationId xmlns:a16="http://schemas.microsoft.com/office/drawing/2014/main" id="{5C091348-85DE-44E0-AF38-8930C3EAD9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7" name="AutoShape 1" descr="Vista previa de toda la pantalla">
          <a:extLst>
            <a:ext uri="{FF2B5EF4-FFF2-40B4-BE49-F238E27FC236}">
              <a16:creationId xmlns:a16="http://schemas.microsoft.com/office/drawing/2014/main" id="{FAD68050-8CE5-476F-B259-73A4ECDF94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8" name="AutoShape 1" descr="Vista previa de toda la pantalla">
          <a:extLst>
            <a:ext uri="{FF2B5EF4-FFF2-40B4-BE49-F238E27FC236}">
              <a16:creationId xmlns:a16="http://schemas.microsoft.com/office/drawing/2014/main" id="{65733009-EAC0-4F6F-9B55-CBC67CE487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29" name="AutoShape 1" descr="Vista previa de toda la pantalla">
          <a:extLst>
            <a:ext uri="{FF2B5EF4-FFF2-40B4-BE49-F238E27FC236}">
              <a16:creationId xmlns:a16="http://schemas.microsoft.com/office/drawing/2014/main" id="{B23B3740-2FD9-44F0-AAD5-7B4C4AAABB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0" name="AutoShape 1" descr="Vista previa de toda la pantalla">
          <a:extLst>
            <a:ext uri="{FF2B5EF4-FFF2-40B4-BE49-F238E27FC236}">
              <a16:creationId xmlns:a16="http://schemas.microsoft.com/office/drawing/2014/main" id="{4A55F1F0-304D-40B8-91BD-9D31E5EE76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1" name="AutoShape 1" descr="Vista previa de toda la pantalla">
          <a:extLst>
            <a:ext uri="{FF2B5EF4-FFF2-40B4-BE49-F238E27FC236}">
              <a16:creationId xmlns:a16="http://schemas.microsoft.com/office/drawing/2014/main" id="{F22ABB0F-E4E9-41D7-AFE9-C43EA17C04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2" name="AutoShape 1" descr="Vista previa de toda la pantalla">
          <a:extLst>
            <a:ext uri="{FF2B5EF4-FFF2-40B4-BE49-F238E27FC236}">
              <a16:creationId xmlns:a16="http://schemas.microsoft.com/office/drawing/2014/main" id="{9253CF96-5BFF-40A2-ADBA-30B63E2CCC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3" name="AutoShape 1" descr="Vista previa de toda la pantalla">
          <a:extLst>
            <a:ext uri="{FF2B5EF4-FFF2-40B4-BE49-F238E27FC236}">
              <a16:creationId xmlns:a16="http://schemas.microsoft.com/office/drawing/2014/main" id="{B778459A-7060-43E0-860E-83C5F6DDBD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4" name="AutoShape 1" descr="Vista previa de toda la pantalla">
          <a:extLst>
            <a:ext uri="{FF2B5EF4-FFF2-40B4-BE49-F238E27FC236}">
              <a16:creationId xmlns:a16="http://schemas.microsoft.com/office/drawing/2014/main" id="{22E67708-9662-446C-A4B8-E06002009F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5" name="AutoShape 1" descr="Vista previa de toda la pantalla">
          <a:extLst>
            <a:ext uri="{FF2B5EF4-FFF2-40B4-BE49-F238E27FC236}">
              <a16:creationId xmlns:a16="http://schemas.microsoft.com/office/drawing/2014/main" id="{76FFF7D1-B1FC-4D57-990A-FDFCA8766C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6" name="AutoShape 1" descr="Vista previa de toda la pantalla">
          <a:extLst>
            <a:ext uri="{FF2B5EF4-FFF2-40B4-BE49-F238E27FC236}">
              <a16:creationId xmlns:a16="http://schemas.microsoft.com/office/drawing/2014/main" id="{1F65FB34-F9AC-4178-9337-44A8B0B00A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7" name="AutoShape 1" descr="Vista previa de toda la pantalla">
          <a:extLst>
            <a:ext uri="{FF2B5EF4-FFF2-40B4-BE49-F238E27FC236}">
              <a16:creationId xmlns:a16="http://schemas.microsoft.com/office/drawing/2014/main" id="{BF21DAF9-F689-4F86-B8C1-D865D695E2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8" name="AutoShape 1" descr="Vista previa de toda la pantalla">
          <a:extLst>
            <a:ext uri="{FF2B5EF4-FFF2-40B4-BE49-F238E27FC236}">
              <a16:creationId xmlns:a16="http://schemas.microsoft.com/office/drawing/2014/main" id="{1C5BCA90-CF4B-4104-884E-811F1E9ACC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39" name="AutoShape 1" descr="Vista previa de toda la pantalla">
          <a:extLst>
            <a:ext uri="{FF2B5EF4-FFF2-40B4-BE49-F238E27FC236}">
              <a16:creationId xmlns:a16="http://schemas.microsoft.com/office/drawing/2014/main" id="{361B089C-049D-4243-8D4F-613B69C6AC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0" name="AutoShape 1" descr="Vista previa de toda la pantalla">
          <a:extLst>
            <a:ext uri="{FF2B5EF4-FFF2-40B4-BE49-F238E27FC236}">
              <a16:creationId xmlns:a16="http://schemas.microsoft.com/office/drawing/2014/main" id="{B0252506-47F8-4802-BCD9-978706F553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1" name="AutoShape 1" descr="Vista previa de toda la pantalla">
          <a:extLst>
            <a:ext uri="{FF2B5EF4-FFF2-40B4-BE49-F238E27FC236}">
              <a16:creationId xmlns:a16="http://schemas.microsoft.com/office/drawing/2014/main" id="{2B899D56-CB0B-4CED-BB34-F290213D19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2" name="AutoShape 1" descr="Vista previa de toda la pantalla">
          <a:extLst>
            <a:ext uri="{FF2B5EF4-FFF2-40B4-BE49-F238E27FC236}">
              <a16:creationId xmlns:a16="http://schemas.microsoft.com/office/drawing/2014/main" id="{4AF11E3D-56BF-4EEE-99E4-F561BF403B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3" name="AutoShape 1" descr="Vista previa de toda la pantalla">
          <a:extLst>
            <a:ext uri="{FF2B5EF4-FFF2-40B4-BE49-F238E27FC236}">
              <a16:creationId xmlns:a16="http://schemas.microsoft.com/office/drawing/2014/main" id="{C9B0CE00-041F-4EC6-A6BF-00B4CD30F7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4" name="AutoShape 1" descr="Vista previa de toda la pantalla">
          <a:extLst>
            <a:ext uri="{FF2B5EF4-FFF2-40B4-BE49-F238E27FC236}">
              <a16:creationId xmlns:a16="http://schemas.microsoft.com/office/drawing/2014/main" id="{789DF69D-6098-4907-B19A-84C7477248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5" name="AutoShape 1" descr="Vista previa de toda la pantalla">
          <a:extLst>
            <a:ext uri="{FF2B5EF4-FFF2-40B4-BE49-F238E27FC236}">
              <a16:creationId xmlns:a16="http://schemas.microsoft.com/office/drawing/2014/main" id="{02D6B997-E598-4A80-8065-785D5106C6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6" name="AutoShape 1" descr="Vista previa de toda la pantalla">
          <a:extLst>
            <a:ext uri="{FF2B5EF4-FFF2-40B4-BE49-F238E27FC236}">
              <a16:creationId xmlns:a16="http://schemas.microsoft.com/office/drawing/2014/main" id="{4E3560AC-E3A7-413A-85D2-688B61E0D9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7" name="AutoShape 1" descr="Vista previa de toda la pantalla">
          <a:extLst>
            <a:ext uri="{FF2B5EF4-FFF2-40B4-BE49-F238E27FC236}">
              <a16:creationId xmlns:a16="http://schemas.microsoft.com/office/drawing/2014/main" id="{8062CAE4-82A2-4382-BC13-DB8449F71D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8" name="AutoShape 1" descr="Vista previa de toda la pantalla">
          <a:extLst>
            <a:ext uri="{FF2B5EF4-FFF2-40B4-BE49-F238E27FC236}">
              <a16:creationId xmlns:a16="http://schemas.microsoft.com/office/drawing/2014/main" id="{65832793-14D2-49A6-BEEA-250E086DCE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49" name="AutoShape 1" descr="Vista previa de toda la pantalla">
          <a:extLst>
            <a:ext uri="{FF2B5EF4-FFF2-40B4-BE49-F238E27FC236}">
              <a16:creationId xmlns:a16="http://schemas.microsoft.com/office/drawing/2014/main" id="{6B0989DD-5A4D-4639-80D1-F7D4732DCA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50" name="AutoShape 1" descr="Vista previa de toda la pantalla">
          <a:extLst>
            <a:ext uri="{FF2B5EF4-FFF2-40B4-BE49-F238E27FC236}">
              <a16:creationId xmlns:a16="http://schemas.microsoft.com/office/drawing/2014/main" id="{7456E346-AB26-47E9-A94D-C7CFA555BA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51" name="AutoShape 1" descr="Vista previa de toda la pantalla">
          <a:extLst>
            <a:ext uri="{FF2B5EF4-FFF2-40B4-BE49-F238E27FC236}">
              <a16:creationId xmlns:a16="http://schemas.microsoft.com/office/drawing/2014/main" id="{0E0714AB-E287-4F23-8EDA-4FAC12F59E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52" name="AutoShape 1" descr="Vista previa de toda la pantalla">
          <a:extLst>
            <a:ext uri="{FF2B5EF4-FFF2-40B4-BE49-F238E27FC236}">
              <a16:creationId xmlns:a16="http://schemas.microsoft.com/office/drawing/2014/main" id="{A0077BDF-4066-454C-B365-4D996D13C4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53" name="AutoShape 1" descr="Vista previa de toda la pantalla">
          <a:extLst>
            <a:ext uri="{FF2B5EF4-FFF2-40B4-BE49-F238E27FC236}">
              <a16:creationId xmlns:a16="http://schemas.microsoft.com/office/drawing/2014/main" id="{B31B5A3E-D37F-4BBB-B95B-60E3BC2506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54" name="AutoShape 1" descr="Vista previa de toda la pantalla">
          <a:extLst>
            <a:ext uri="{FF2B5EF4-FFF2-40B4-BE49-F238E27FC236}">
              <a16:creationId xmlns:a16="http://schemas.microsoft.com/office/drawing/2014/main" id="{50E3CE4D-E620-4E2A-9ED3-66BAB2915E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55" name="AutoShape 1" descr="Vista previa de toda la pantalla">
          <a:extLst>
            <a:ext uri="{FF2B5EF4-FFF2-40B4-BE49-F238E27FC236}">
              <a16:creationId xmlns:a16="http://schemas.microsoft.com/office/drawing/2014/main" id="{4801D5E2-925D-4F8F-9FE0-7C98D2ADAF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56" name="AutoShape 1" descr="Vista previa de toda la pantalla">
          <a:extLst>
            <a:ext uri="{FF2B5EF4-FFF2-40B4-BE49-F238E27FC236}">
              <a16:creationId xmlns:a16="http://schemas.microsoft.com/office/drawing/2014/main" id="{456E4895-CDC4-4E1A-AD9E-0B6C2AF61D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57" name="AutoShape 1" descr="Vista previa de toda la pantalla">
          <a:extLst>
            <a:ext uri="{FF2B5EF4-FFF2-40B4-BE49-F238E27FC236}">
              <a16:creationId xmlns:a16="http://schemas.microsoft.com/office/drawing/2014/main" id="{90D30F1C-750D-42F3-AFFB-2FC0F6EA70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58" name="AutoShape 1" descr="Vista previa de toda la pantalla">
          <a:extLst>
            <a:ext uri="{FF2B5EF4-FFF2-40B4-BE49-F238E27FC236}">
              <a16:creationId xmlns:a16="http://schemas.microsoft.com/office/drawing/2014/main" id="{225B3ED7-5436-4028-B349-184B69DE61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59" name="AutoShape 1" descr="Vista previa de toda la pantalla">
          <a:extLst>
            <a:ext uri="{FF2B5EF4-FFF2-40B4-BE49-F238E27FC236}">
              <a16:creationId xmlns:a16="http://schemas.microsoft.com/office/drawing/2014/main" id="{C22EFB4D-37DF-43CE-AF53-71607643BA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0" name="AutoShape 1" descr="Vista previa de toda la pantalla">
          <a:extLst>
            <a:ext uri="{FF2B5EF4-FFF2-40B4-BE49-F238E27FC236}">
              <a16:creationId xmlns:a16="http://schemas.microsoft.com/office/drawing/2014/main" id="{51E451DD-B1B0-4EF1-9610-2E871289D9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1" name="AutoShape 1" descr="Vista previa de toda la pantalla">
          <a:extLst>
            <a:ext uri="{FF2B5EF4-FFF2-40B4-BE49-F238E27FC236}">
              <a16:creationId xmlns:a16="http://schemas.microsoft.com/office/drawing/2014/main" id="{938DC7C6-79A5-4EE2-95CD-9EA4CDBF6B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2" name="AutoShape 1" descr="Vista previa de toda la pantalla">
          <a:extLst>
            <a:ext uri="{FF2B5EF4-FFF2-40B4-BE49-F238E27FC236}">
              <a16:creationId xmlns:a16="http://schemas.microsoft.com/office/drawing/2014/main" id="{E6CCEA3C-55EC-413F-989D-FCD53EE594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3" name="AutoShape 1" descr="Vista previa de toda la pantalla">
          <a:extLst>
            <a:ext uri="{FF2B5EF4-FFF2-40B4-BE49-F238E27FC236}">
              <a16:creationId xmlns:a16="http://schemas.microsoft.com/office/drawing/2014/main" id="{8F778730-8692-4734-BB0B-B18ED1EA98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4" name="AutoShape 1" descr="Vista previa de toda la pantalla">
          <a:extLst>
            <a:ext uri="{FF2B5EF4-FFF2-40B4-BE49-F238E27FC236}">
              <a16:creationId xmlns:a16="http://schemas.microsoft.com/office/drawing/2014/main" id="{FF2CEEF3-0D93-41A8-8C27-E8678ABCA5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5" name="AutoShape 1" descr="Vista previa de toda la pantalla">
          <a:extLst>
            <a:ext uri="{FF2B5EF4-FFF2-40B4-BE49-F238E27FC236}">
              <a16:creationId xmlns:a16="http://schemas.microsoft.com/office/drawing/2014/main" id="{6A1C2E7E-0908-47E9-A36E-141B1909E8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6" name="AutoShape 1" descr="Vista previa de toda la pantalla">
          <a:extLst>
            <a:ext uri="{FF2B5EF4-FFF2-40B4-BE49-F238E27FC236}">
              <a16:creationId xmlns:a16="http://schemas.microsoft.com/office/drawing/2014/main" id="{34ED2678-9AFD-4E69-93C1-203992177E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7" name="AutoShape 1" descr="Vista previa de toda la pantalla">
          <a:extLst>
            <a:ext uri="{FF2B5EF4-FFF2-40B4-BE49-F238E27FC236}">
              <a16:creationId xmlns:a16="http://schemas.microsoft.com/office/drawing/2014/main" id="{F18E8976-2081-4235-8395-E3CCD92788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8" name="AutoShape 1" descr="Vista previa de toda la pantalla">
          <a:extLst>
            <a:ext uri="{FF2B5EF4-FFF2-40B4-BE49-F238E27FC236}">
              <a16:creationId xmlns:a16="http://schemas.microsoft.com/office/drawing/2014/main" id="{A1397439-A023-42E8-9268-B51E02708E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69" name="AutoShape 1" descr="Vista previa de toda la pantalla">
          <a:extLst>
            <a:ext uri="{FF2B5EF4-FFF2-40B4-BE49-F238E27FC236}">
              <a16:creationId xmlns:a16="http://schemas.microsoft.com/office/drawing/2014/main" id="{67CB59AD-1335-4B94-B480-36B5596954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0" name="AutoShape 1" descr="Vista previa de toda la pantalla">
          <a:extLst>
            <a:ext uri="{FF2B5EF4-FFF2-40B4-BE49-F238E27FC236}">
              <a16:creationId xmlns:a16="http://schemas.microsoft.com/office/drawing/2014/main" id="{5FACEC4A-44E3-4295-9A20-DAD62E6239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1" name="AutoShape 1" descr="Vista previa de toda la pantalla">
          <a:extLst>
            <a:ext uri="{FF2B5EF4-FFF2-40B4-BE49-F238E27FC236}">
              <a16:creationId xmlns:a16="http://schemas.microsoft.com/office/drawing/2014/main" id="{1A90C83E-9BB3-4A80-A464-36F10B83DF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2" name="AutoShape 1" descr="Vista previa de toda la pantalla">
          <a:extLst>
            <a:ext uri="{FF2B5EF4-FFF2-40B4-BE49-F238E27FC236}">
              <a16:creationId xmlns:a16="http://schemas.microsoft.com/office/drawing/2014/main" id="{6B2FE5EB-B304-4722-867C-C6CB10118A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3" name="AutoShape 1" descr="Vista previa de toda la pantalla">
          <a:extLst>
            <a:ext uri="{FF2B5EF4-FFF2-40B4-BE49-F238E27FC236}">
              <a16:creationId xmlns:a16="http://schemas.microsoft.com/office/drawing/2014/main" id="{25D3242D-B996-48EE-AF18-1046494B17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4" name="AutoShape 1" descr="Vista previa de toda la pantalla">
          <a:extLst>
            <a:ext uri="{FF2B5EF4-FFF2-40B4-BE49-F238E27FC236}">
              <a16:creationId xmlns:a16="http://schemas.microsoft.com/office/drawing/2014/main" id="{A153FD07-611C-4BFE-B65C-E271DFBD39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5" name="AutoShape 1" descr="Vista previa de toda la pantalla">
          <a:extLst>
            <a:ext uri="{FF2B5EF4-FFF2-40B4-BE49-F238E27FC236}">
              <a16:creationId xmlns:a16="http://schemas.microsoft.com/office/drawing/2014/main" id="{8A15664C-6372-4195-BC3B-B2CC1C9703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6" name="AutoShape 1" descr="Vista previa de toda la pantalla">
          <a:extLst>
            <a:ext uri="{FF2B5EF4-FFF2-40B4-BE49-F238E27FC236}">
              <a16:creationId xmlns:a16="http://schemas.microsoft.com/office/drawing/2014/main" id="{D839DC97-20A1-4A4F-AE36-E255BB4CCC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7" name="AutoShape 1" descr="Vista previa de toda la pantalla">
          <a:extLst>
            <a:ext uri="{FF2B5EF4-FFF2-40B4-BE49-F238E27FC236}">
              <a16:creationId xmlns:a16="http://schemas.microsoft.com/office/drawing/2014/main" id="{FD2FEE67-26EA-4095-B0CA-5A923584D1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8" name="AutoShape 1" descr="Vista previa de toda la pantalla">
          <a:extLst>
            <a:ext uri="{FF2B5EF4-FFF2-40B4-BE49-F238E27FC236}">
              <a16:creationId xmlns:a16="http://schemas.microsoft.com/office/drawing/2014/main" id="{FB09EA57-49AF-495E-88DA-B64B37CA54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79" name="AutoShape 1" descr="Vista previa de toda la pantalla">
          <a:extLst>
            <a:ext uri="{FF2B5EF4-FFF2-40B4-BE49-F238E27FC236}">
              <a16:creationId xmlns:a16="http://schemas.microsoft.com/office/drawing/2014/main" id="{CA9B9EE1-8E6B-4B61-B9E6-A5AB47BC0A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0" name="AutoShape 1" descr="Vista previa de toda la pantalla">
          <a:extLst>
            <a:ext uri="{FF2B5EF4-FFF2-40B4-BE49-F238E27FC236}">
              <a16:creationId xmlns:a16="http://schemas.microsoft.com/office/drawing/2014/main" id="{CF122D75-6580-4D57-BE26-4158D16676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1" name="AutoShape 1" descr="Vista previa de toda la pantalla">
          <a:extLst>
            <a:ext uri="{FF2B5EF4-FFF2-40B4-BE49-F238E27FC236}">
              <a16:creationId xmlns:a16="http://schemas.microsoft.com/office/drawing/2014/main" id="{91B43B9C-EFFB-4783-884B-B269089DD6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2" name="AutoShape 1" descr="Vista previa de toda la pantalla">
          <a:extLst>
            <a:ext uri="{FF2B5EF4-FFF2-40B4-BE49-F238E27FC236}">
              <a16:creationId xmlns:a16="http://schemas.microsoft.com/office/drawing/2014/main" id="{98F9AD4E-E530-4784-AE30-B2409925DF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3" name="AutoShape 1" descr="Vista previa de toda la pantalla">
          <a:extLst>
            <a:ext uri="{FF2B5EF4-FFF2-40B4-BE49-F238E27FC236}">
              <a16:creationId xmlns:a16="http://schemas.microsoft.com/office/drawing/2014/main" id="{DBA6A98C-C2A9-40D5-A184-9B932969AB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4" name="AutoShape 1" descr="Vista previa de toda la pantalla">
          <a:extLst>
            <a:ext uri="{FF2B5EF4-FFF2-40B4-BE49-F238E27FC236}">
              <a16:creationId xmlns:a16="http://schemas.microsoft.com/office/drawing/2014/main" id="{3E434C94-5095-45FA-8B00-4F22BB6F70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5" name="AutoShape 1" descr="Vista previa de toda la pantalla">
          <a:extLst>
            <a:ext uri="{FF2B5EF4-FFF2-40B4-BE49-F238E27FC236}">
              <a16:creationId xmlns:a16="http://schemas.microsoft.com/office/drawing/2014/main" id="{0926B51D-E8A3-4F72-AE94-C60B27164B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6" name="AutoShape 1" descr="Vista previa de toda la pantalla">
          <a:extLst>
            <a:ext uri="{FF2B5EF4-FFF2-40B4-BE49-F238E27FC236}">
              <a16:creationId xmlns:a16="http://schemas.microsoft.com/office/drawing/2014/main" id="{350184F6-F08D-45DF-9FB8-55033374F0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7" name="AutoShape 1" descr="Vista previa de toda la pantalla">
          <a:extLst>
            <a:ext uri="{FF2B5EF4-FFF2-40B4-BE49-F238E27FC236}">
              <a16:creationId xmlns:a16="http://schemas.microsoft.com/office/drawing/2014/main" id="{9CABA9DE-E78A-4C6B-8827-334CFA74F9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8" name="AutoShape 1" descr="Vista previa de toda la pantalla">
          <a:extLst>
            <a:ext uri="{FF2B5EF4-FFF2-40B4-BE49-F238E27FC236}">
              <a16:creationId xmlns:a16="http://schemas.microsoft.com/office/drawing/2014/main" id="{8DE85E57-84B0-49EE-9E1F-5E3EF85989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89" name="AutoShape 1" descr="Vista previa de toda la pantalla">
          <a:extLst>
            <a:ext uri="{FF2B5EF4-FFF2-40B4-BE49-F238E27FC236}">
              <a16:creationId xmlns:a16="http://schemas.microsoft.com/office/drawing/2014/main" id="{2875BF83-E44D-44F7-ADCA-1CC9D02E2E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0" name="AutoShape 1" descr="Vista previa de toda la pantalla">
          <a:extLst>
            <a:ext uri="{FF2B5EF4-FFF2-40B4-BE49-F238E27FC236}">
              <a16:creationId xmlns:a16="http://schemas.microsoft.com/office/drawing/2014/main" id="{7026C0F2-025C-4775-99CF-87E81A3437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1" name="AutoShape 1" descr="Vista previa de toda la pantalla">
          <a:extLst>
            <a:ext uri="{FF2B5EF4-FFF2-40B4-BE49-F238E27FC236}">
              <a16:creationId xmlns:a16="http://schemas.microsoft.com/office/drawing/2014/main" id="{2785D733-637A-41C2-BD4A-6A408C209A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2" name="AutoShape 1" descr="Vista previa de toda la pantalla">
          <a:extLst>
            <a:ext uri="{FF2B5EF4-FFF2-40B4-BE49-F238E27FC236}">
              <a16:creationId xmlns:a16="http://schemas.microsoft.com/office/drawing/2014/main" id="{EA29C450-9FBC-40E7-B59F-59718E7514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3" name="AutoShape 1" descr="Vista previa de toda la pantalla">
          <a:extLst>
            <a:ext uri="{FF2B5EF4-FFF2-40B4-BE49-F238E27FC236}">
              <a16:creationId xmlns:a16="http://schemas.microsoft.com/office/drawing/2014/main" id="{D782E6A3-F9BF-4061-8256-8E5F4EED89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4" name="AutoShape 1" descr="Vista previa de toda la pantalla">
          <a:extLst>
            <a:ext uri="{FF2B5EF4-FFF2-40B4-BE49-F238E27FC236}">
              <a16:creationId xmlns:a16="http://schemas.microsoft.com/office/drawing/2014/main" id="{1293CD6B-B46D-4372-92F7-C11A5BE0D1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5" name="AutoShape 1" descr="Vista previa de toda la pantalla">
          <a:extLst>
            <a:ext uri="{FF2B5EF4-FFF2-40B4-BE49-F238E27FC236}">
              <a16:creationId xmlns:a16="http://schemas.microsoft.com/office/drawing/2014/main" id="{F6D8BE86-6708-4ACD-9AFE-7D0DB89765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6" name="AutoShape 1" descr="Vista previa de toda la pantalla">
          <a:extLst>
            <a:ext uri="{FF2B5EF4-FFF2-40B4-BE49-F238E27FC236}">
              <a16:creationId xmlns:a16="http://schemas.microsoft.com/office/drawing/2014/main" id="{8FBD0211-90F8-4297-82B8-587CA199CA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7" name="AutoShape 1" descr="Vista previa de toda la pantalla">
          <a:extLst>
            <a:ext uri="{FF2B5EF4-FFF2-40B4-BE49-F238E27FC236}">
              <a16:creationId xmlns:a16="http://schemas.microsoft.com/office/drawing/2014/main" id="{1A39B79E-154B-4259-875C-5422803098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8" name="AutoShape 1" descr="Vista previa de toda la pantalla">
          <a:extLst>
            <a:ext uri="{FF2B5EF4-FFF2-40B4-BE49-F238E27FC236}">
              <a16:creationId xmlns:a16="http://schemas.microsoft.com/office/drawing/2014/main" id="{911743AB-B1EF-4B8F-947B-9034AA5BAD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099" name="AutoShape 1" descr="Vista previa de toda la pantalla">
          <a:extLst>
            <a:ext uri="{FF2B5EF4-FFF2-40B4-BE49-F238E27FC236}">
              <a16:creationId xmlns:a16="http://schemas.microsoft.com/office/drawing/2014/main" id="{6C0CDCAE-4D4B-4AA4-AA0C-5DBD049B4A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00" name="AutoShape 1" descr="Vista previa de toda la pantalla">
          <a:extLst>
            <a:ext uri="{FF2B5EF4-FFF2-40B4-BE49-F238E27FC236}">
              <a16:creationId xmlns:a16="http://schemas.microsoft.com/office/drawing/2014/main" id="{D3676C6A-40D2-4DCA-8148-F4EE0FFA64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01" name="AutoShape 1" descr="Vista previa de toda la pantalla">
          <a:extLst>
            <a:ext uri="{FF2B5EF4-FFF2-40B4-BE49-F238E27FC236}">
              <a16:creationId xmlns:a16="http://schemas.microsoft.com/office/drawing/2014/main" id="{0D87D19F-69AD-409B-9C01-A582F615DF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02" name="AutoShape 1" descr="Vista previa de toda la pantalla">
          <a:extLst>
            <a:ext uri="{FF2B5EF4-FFF2-40B4-BE49-F238E27FC236}">
              <a16:creationId xmlns:a16="http://schemas.microsoft.com/office/drawing/2014/main" id="{A84E194D-8735-45EB-922C-96EA10A123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03" name="AutoShape 1" descr="Vista previa de toda la pantalla">
          <a:extLst>
            <a:ext uri="{FF2B5EF4-FFF2-40B4-BE49-F238E27FC236}">
              <a16:creationId xmlns:a16="http://schemas.microsoft.com/office/drawing/2014/main" id="{01FFCCC1-AB5D-4236-A304-EE74929E09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04" name="AutoShape 1" descr="Vista previa de toda la pantalla">
          <a:extLst>
            <a:ext uri="{FF2B5EF4-FFF2-40B4-BE49-F238E27FC236}">
              <a16:creationId xmlns:a16="http://schemas.microsoft.com/office/drawing/2014/main" id="{BF7E46C2-C6D5-4452-8022-777C8BBD7D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05" name="AutoShape 1" descr="Vista previa de toda la pantalla">
          <a:extLst>
            <a:ext uri="{FF2B5EF4-FFF2-40B4-BE49-F238E27FC236}">
              <a16:creationId xmlns:a16="http://schemas.microsoft.com/office/drawing/2014/main" id="{B534A839-D753-4F04-848A-03E6C367DB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06" name="AutoShape 1" descr="Vista previa de toda la pantalla">
          <a:extLst>
            <a:ext uri="{FF2B5EF4-FFF2-40B4-BE49-F238E27FC236}">
              <a16:creationId xmlns:a16="http://schemas.microsoft.com/office/drawing/2014/main" id="{012CE7E3-17B2-4A34-99AE-7DFA8130FE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07" name="AutoShape 1" descr="Vista previa de toda la pantalla">
          <a:extLst>
            <a:ext uri="{FF2B5EF4-FFF2-40B4-BE49-F238E27FC236}">
              <a16:creationId xmlns:a16="http://schemas.microsoft.com/office/drawing/2014/main" id="{3E96C134-1DF6-4F88-9F68-AC574891D1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08" name="AutoShape 1" descr="Vista previa de toda la pantalla">
          <a:extLst>
            <a:ext uri="{FF2B5EF4-FFF2-40B4-BE49-F238E27FC236}">
              <a16:creationId xmlns:a16="http://schemas.microsoft.com/office/drawing/2014/main" id="{6A4C2E75-6D53-4E18-85A8-225C3BBE7F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09" name="AutoShape 1" descr="Vista previa de toda la pantalla">
          <a:extLst>
            <a:ext uri="{FF2B5EF4-FFF2-40B4-BE49-F238E27FC236}">
              <a16:creationId xmlns:a16="http://schemas.microsoft.com/office/drawing/2014/main" id="{28842318-22C2-40AC-A3A2-DC5F1133AE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0" name="AutoShape 1" descr="Vista previa de toda la pantalla">
          <a:extLst>
            <a:ext uri="{FF2B5EF4-FFF2-40B4-BE49-F238E27FC236}">
              <a16:creationId xmlns:a16="http://schemas.microsoft.com/office/drawing/2014/main" id="{2D005A30-DB79-4B2B-A390-8C3F462E5E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1" name="AutoShape 1" descr="Vista previa de toda la pantalla">
          <a:extLst>
            <a:ext uri="{FF2B5EF4-FFF2-40B4-BE49-F238E27FC236}">
              <a16:creationId xmlns:a16="http://schemas.microsoft.com/office/drawing/2014/main" id="{9DF18315-8052-432E-BF9B-50C6D7DD43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2" name="AutoShape 1" descr="Vista previa de toda la pantalla">
          <a:extLst>
            <a:ext uri="{FF2B5EF4-FFF2-40B4-BE49-F238E27FC236}">
              <a16:creationId xmlns:a16="http://schemas.microsoft.com/office/drawing/2014/main" id="{7EF8976B-C7B8-4595-A9F9-10C645D2AE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3" name="AutoShape 1" descr="Vista previa de toda la pantalla">
          <a:extLst>
            <a:ext uri="{FF2B5EF4-FFF2-40B4-BE49-F238E27FC236}">
              <a16:creationId xmlns:a16="http://schemas.microsoft.com/office/drawing/2014/main" id="{E24F3853-98D9-47C6-9DFB-1F61695CBD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4" name="AutoShape 1" descr="Vista previa de toda la pantalla">
          <a:extLst>
            <a:ext uri="{FF2B5EF4-FFF2-40B4-BE49-F238E27FC236}">
              <a16:creationId xmlns:a16="http://schemas.microsoft.com/office/drawing/2014/main" id="{D63C7C01-7834-406F-8545-A77A5A961A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5" name="AutoShape 1" descr="Vista previa de toda la pantalla">
          <a:extLst>
            <a:ext uri="{FF2B5EF4-FFF2-40B4-BE49-F238E27FC236}">
              <a16:creationId xmlns:a16="http://schemas.microsoft.com/office/drawing/2014/main" id="{2CC57740-5A48-4CAB-B3B5-B2ED29E0AF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6" name="AutoShape 1" descr="Vista previa de toda la pantalla">
          <a:extLst>
            <a:ext uri="{FF2B5EF4-FFF2-40B4-BE49-F238E27FC236}">
              <a16:creationId xmlns:a16="http://schemas.microsoft.com/office/drawing/2014/main" id="{7EA0550C-9EF1-4ECB-86AF-4CC434755B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7" name="AutoShape 1" descr="Vista previa de toda la pantalla">
          <a:extLst>
            <a:ext uri="{FF2B5EF4-FFF2-40B4-BE49-F238E27FC236}">
              <a16:creationId xmlns:a16="http://schemas.microsoft.com/office/drawing/2014/main" id="{2EC49309-8464-4CA5-AB7A-677C058F76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8" name="AutoShape 1" descr="Vista previa de toda la pantalla">
          <a:extLst>
            <a:ext uri="{FF2B5EF4-FFF2-40B4-BE49-F238E27FC236}">
              <a16:creationId xmlns:a16="http://schemas.microsoft.com/office/drawing/2014/main" id="{0B7581D9-286E-4FF3-B660-60D7922210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19" name="AutoShape 1" descr="Vista previa de toda la pantalla">
          <a:extLst>
            <a:ext uri="{FF2B5EF4-FFF2-40B4-BE49-F238E27FC236}">
              <a16:creationId xmlns:a16="http://schemas.microsoft.com/office/drawing/2014/main" id="{5F6CFACB-13BA-404F-91B9-2784580C25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0" name="AutoShape 1" descr="Vista previa de toda la pantalla">
          <a:extLst>
            <a:ext uri="{FF2B5EF4-FFF2-40B4-BE49-F238E27FC236}">
              <a16:creationId xmlns:a16="http://schemas.microsoft.com/office/drawing/2014/main" id="{CF28E1E9-21BE-4E44-8365-F0F38A2FA7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1" name="AutoShape 1" descr="Vista previa de toda la pantalla">
          <a:extLst>
            <a:ext uri="{FF2B5EF4-FFF2-40B4-BE49-F238E27FC236}">
              <a16:creationId xmlns:a16="http://schemas.microsoft.com/office/drawing/2014/main" id="{258EE8B7-A0D0-47C6-A02E-65296696CE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2" name="AutoShape 1" descr="Vista previa de toda la pantalla">
          <a:extLst>
            <a:ext uri="{FF2B5EF4-FFF2-40B4-BE49-F238E27FC236}">
              <a16:creationId xmlns:a16="http://schemas.microsoft.com/office/drawing/2014/main" id="{5EAD56D1-FD15-451F-8D53-4E9FFCB3E4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3" name="AutoShape 1" descr="Vista previa de toda la pantalla">
          <a:extLst>
            <a:ext uri="{FF2B5EF4-FFF2-40B4-BE49-F238E27FC236}">
              <a16:creationId xmlns:a16="http://schemas.microsoft.com/office/drawing/2014/main" id="{98AEA927-BDB2-4E60-B7F4-16C941F403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4" name="AutoShape 1" descr="Vista previa de toda la pantalla">
          <a:extLst>
            <a:ext uri="{FF2B5EF4-FFF2-40B4-BE49-F238E27FC236}">
              <a16:creationId xmlns:a16="http://schemas.microsoft.com/office/drawing/2014/main" id="{2AB431DF-7FDF-4384-85EE-719F2A5B79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5" name="AutoShape 1" descr="Vista previa de toda la pantalla">
          <a:extLst>
            <a:ext uri="{FF2B5EF4-FFF2-40B4-BE49-F238E27FC236}">
              <a16:creationId xmlns:a16="http://schemas.microsoft.com/office/drawing/2014/main" id="{DCFB5374-A295-42F0-8949-4FD3523234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6" name="AutoShape 1" descr="Vista previa de toda la pantalla">
          <a:extLst>
            <a:ext uri="{FF2B5EF4-FFF2-40B4-BE49-F238E27FC236}">
              <a16:creationId xmlns:a16="http://schemas.microsoft.com/office/drawing/2014/main" id="{62744135-482A-4441-A749-A1EBFB5122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7" name="AutoShape 1" descr="Vista previa de toda la pantalla">
          <a:extLst>
            <a:ext uri="{FF2B5EF4-FFF2-40B4-BE49-F238E27FC236}">
              <a16:creationId xmlns:a16="http://schemas.microsoft.com/office/drawing/2014/main" id="{160EDA99-A25B-4573-B549-D6DBE03B17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8" name="AutoShape 1" descr="Vista previa de toda la pantalla">
          <a:extLst>
            <a:ext uri="{FF2B5EF4-FFF2-40B4-BE49-F238E27FC236}">
              <a16:creationId xmlns:a16="http://schemas.microsoft.com/office/drawing/2014/main" id="{48DE6451-4EF8-4720-80BF-8B466DA3DD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29" name="AutoShape 1" descr="Vista previa de toda la pantalla">
          <a:extLst>
            <a:ext uri="{FF2B5EF4-FFF2-40B4-BE49-F238E27FC236}">
              <a16:creationId xmlns:a16="http://schemas.microsoft.com/office/drawing/2014/main" id="{537F5D8A-3DEE-4DE6-9D1A-B23DFF1E4E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0" name="AutoShape 1" descr="Vista previa de toda la pantalla">
          <a:extLst>
            <a:ext uri="{FF2B5EF4-FFF2-40B4-BE49-F238E27FC236}">
              <a16:creationId xmlns:a16="http://schemas.microsoft.com/office/drawing/2014/main" id="{58666E3B-53CB-41F8-A968-6302496A56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1" name="AutoShape 1" descr="Vista previa de toda la pantalla">
          <a:extLst>
            <a:ext uri="{FF2B5EF4-FFF2-40B4-BE49-F238E27FC236}">
              <a16:creationId xmlns:a16="http://schemas.microsoft.com/office/drawing/2014/main" id="{F6DFDC6C-0422-42A7-9F35-905DEC9234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2" name="AutoShape 1" descr="Vista previa de toda la pantalla">
          <a:extLst>
            <a:ext uri="{FF2B5EF4-FFF2-40B4-BE49-F238E27FC236}">
              <a16:creationId xmlns:a16="http://schemas.microsoft.com/office/drawing/2014/main" id="{50AD4E80-5B68-4C5A-B839-F39505449B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3" name="AutoShape 1" descr="Vista previa de toda la pantalla">
          <a:extLst>
            <a:ext uri="{FF2B5EF4-FFF2-40B4-BE49-F238E27FC236}">
              <a16:creationId xmlns:a16="http://schemas.microsoft.com/office/drawing/2014/main" id="{0BE66E7F-0224-4655-BCE4-72383DB820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4" name="AutoShape 1" descr="Vista previa de toda la pantalla">
          <a:extLst>
            <a:ext uri="{FF2B5EF4-FFF2-40B4-BE49-F238E27FC236}">
              <a16:creationId xmlns:a16="http://schemas.microsoft.com/office/drawing/2014/main" id="{72709E89-506E-4AAD-9C92-A45AF35D71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5" name="AutoShape 1" descr="Vista previa de toda la pantalla">
          <a:extLst>
            <a:ext uri="{FF2B5EF4-FFF2-40B4-BE49-F238E27FC236}">
              <a16:creationId xmlns:a16="http://schemas.microsoft.com/office/drawing/2014/main" id="{DFBECA0D-64E2-48BB-94DA-D11DECE537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6" name="AutoShape 1" descr="Vista previa de toda la pantalla">
          <a:extLst>
            <a:ext uri="{FF2B5EF4-FFF2-40B4-BE49-F238E27FC236}">
              <a16:creationId xmlns:a16="http://schemas.microsoft.com/office/drawing/2014/main" id="{7894969F-D8F6-4756-9B9C-8550DF6F87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7" name="AutoShape 1" descr="Vista previa de toda la pantalla">
          <a:extLst>
            <a:ext uri="{FF2B5EF4-FFF2-40B4-BE49-F238E27FC236}">
              <a16:creationId xmlns:a16="http://schemas.microsoft.com/office/drawing/2014/main" id="{F467C2C1-34A8-419B-988F-AEFE8EFC9E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8" name="AutoShape 1" descr="Vista previa de toda la pantalla">
          <a:extLst>
            <a:ext uri="{FF2B5EF4-FFF2-40B4-BE49-F238E27FC236}">
              <a16:creationId xmlns:a16="http://schemas.microsoft.com/office/drawing/2014/main" id="{F68F9F87-216C-4FA4-BA98-E6E53799C7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39" name="AutoShape 1" descr="Vista previa de toda la pantalla">
          <a:extLst>
            <a:ext uri="{FF2B5EF4-FFF2-40B4-BE49-F238E27FC236}">
              <a16:creationId xmlns:a16="http://schemas.microsoft.com/office/drawing/2014/main" id="{CF613959-80A8-4D34-BCB6-605493BEB9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0" name="AutoShape 1" descr="Vista previa de toda la pantalla">
          <a:extLst>
            <a:ext uri="{FF2B5EF4-FFF2-40B4-BE49-F238E27FC236}">
              <a16:creationId xmlns:a16="http://schemas.microsoft.com/office/drawing/2014/main" id="{F9EA0E97-54BC-4E77-8DB8-27C5D10C79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1" name="AutoShape 1" descr="Vista previa de toda la pantalla">
          <a:extLst>
            <a:ext uri="{FF2B5EF4-FFF2-40B4-BE49-F238E27FC236}">
              <a16:creationId xmlns:a16="http://schemas.microsoft.com/office/drawing/2014/main" id="{F3120810-41C9-4E98-BCA8-FAE834AC52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2" name="AutoShape 1" descr="Vista previa de toda la pantalla">
          <a:extLst>
            <a:ext uri="{FF2B5EF4-FFF2-40B4-BE49-F238E27FC236}">
              <a16:creationId xmlns:a16="http://schemas.microsoft.com/office/drawing/2014/main" id="{B523C212-C317-4412-9996-C4FF9AF98C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3" name="AutoShape 1" descr="Vista previa de toda la pantalla">
          <a:extLst>
            <a:ext uri="{FF2B5EF4-FFF2-40B4-BE49-F238E27FC236}">
              <a16:creationId xmlns:a16="http://schemas.microsoft.com/office/drawing/2014/main" id="{0891ACB0-0F84-465E-9670-A0B52A5D4D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4" name="AutoShape 1" descr="Vista previa de toda la pantalla">
          <a:extLst>
            <a:ext uri="{FF2B5EF4-FFF2-40B4-BE49-F238E27FC236}">
              <a16:creationId xmlns:a16="http://schemas.microsoft.com/office/drawing/2014/main" id="{9E4B26C4-0D36-4440-8A8D-FFFBAE6ED4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5" name="AutoShape 1" descr="Vista previa de toda la pantalla">
          <a:extLst>
            <a:ext uri="{FF2B5EF4-FFF2-40B4-BE49-F238E27FC236}">
              <a16:creationId xmlns:a16="http://schemas.microsoft.com/office/drawing/2014/main" id="{4DF522FE-77AD-4756-8029-408315910F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6" name="AutoShape 1" descr="Vista previa de toda la pantalla">
          <a:extLst>
            <a:ext uri="{FF2B5EF4-FFF2-40B4-BE49-F238E27FC236}">
              <a16:creationId xmlns:a16="http://schemas.microsoft.com/office/drawing/2014/main" id="{3E5D4AD0-82B9-49E4-B8A6-82927DDE13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7" name="AutoShape 1" descr="Vista previa de toda la pantalla">
          <a:extLst>
            <a:ext uri="{FF2B5EF4-FFF2-40B4-BE49-F238E27FC236}">
              <a16:creationId xmlns:a16="http://schemas.microsoft.com/office/drawing/2014/main" id="{FBBD0D10-FE1F-4BDD-A4E0-DF7C4ACC9C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8" name="AutoShape 1" descr="Vista previa de toda la pantalla">
          <a:extLst>
            <a:ext uri="{FF2B5EF4-FFF2-40B4-BE49-F238E27FC236}">
              <a16:creationId xmlns:a16="http://schemas.microsoft.com/office/drawing/2014/main" id="{48F18BF8-F6C9-49A0-B5EB-3C043DF4B8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49" name="AutoShape 1" descr="Vista previa de toda la pantalla">
          <a:extLst>
            <a:ext uri="{FF2B5EF4-FFF2-40B4-BE49-F238E27FC236}">
              <a16:creationId xmlns:a16="http://schemas.microsoft.com/office/drawing/2014/main" id="{5B0FC41D-208F-4CBB-8091-C33C46140B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50" name="AutoShape 1" descr="Vista previa de toda la pantalla">
          <a:extLst>
            <a:ext uri="{FF2B5EF4-FFF2-40B4-BE49-F238E27FC236}">
              <a16:creationId xmlns:a16="http://schemas.microsoft.com/office/drawing/2014/main" id="{11DBCA5E-B7C2-4866-B0A5-87013A77A9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51" name="AutoShape 1" descr="Vista previa de toda la pantalla">
          <a:extLst>
            <a:ext uri="{FF2B5EF4-FFF2-40B4-BE49-F238E27FC236}">
              <a16:creationId xmlns:a16="http://schemas.microsoft.com/office/drawing/2014/main" id="{54641AF9-C684-469A-8ABA-817D83E859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52" name="AutoShape 1" descr="Vista previa de toda la pantalla">
          <a:extLst>
            <a:ext uri="{FF2B5EF4-FFF2-40B4-BE49-F238E27FC236}">
              <a16:creationId xmlns:a16="http://schemas.microsoft.com/office/drawing/2014/main" id="{1BCCC976-5902-445E-89DE-9814481C60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53" name="AutoShape 1" descr="Vista previa de toda la pantalla">
          <a:extLst>
            <a:ext uri="{FF2B5EF4-FFF2-40B4-BE49-F238E27FC236}">
              <a16:creationId xmlns:a16="http://schemas.microsoft.com/office/drawing/2014/main" id="{00FAF474-46C3-4E7F-88F7-C1C519AE63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54" name="AutoShape 1" descr="Vista previa de toda la pantalla">
          <a:extLst>
            <a:ext uri="{FF2B5EF4-FFF2-40B4-BE49-F238E27FC236}">
              <a16:creationId xmlns:a16="http://schemas.microsoft.com/office/drawing/2014/main" id="{1D9B6E2E-AF17-4B6C-ABF9-BBE94F6F32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55" name="AutoShape 1" descr="Vista previa de toda la pantalla">
          <a:extLst>
            <a:ext uri="{FF2B5EF4-FFF2-40B4-BE49-F238E27FC236}">
              <a16:creationId xmlns:a16="http://schemas.microsoft.com/office/drawing/2014/main" id="{2283443D-C687-48C1-9F8F-925EDD9B93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56" name="AutoShape 1" descr="Vista previa de toda la pantalla">
          <a:extLst>
            <a:ext uri="{FF2B5EF4-FFF2-40B4-BE49-F238E27FC236}">
              <a16:creationId xmlns:a16="http://schemas.microsoft.com/office/drawing/2014/main" id="{8689E344-373E-4243-9116-346D36E29C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57" name="AutoShape 1" descr="Vista previa de toda la pantalla">
          <a:extLst>
            <a:ext uri="{FF2B5EF4-FFF2-40B4-BE49-F238E27FC236}">
              <a16:creationId xmlns:a16="http://schemas.microsoft.com/office/drawing/2014/main" id="{82933896-AA02-4550-99E5-0FBD214731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58" name="AutoShape 1" descr="Vista previa de toda la pantalla">
          <a:extLst>
            <a:ext uri="{FF2B5EF4-FFF2-40B4-BE49-F238E27FC236}">
              <a16:creationId xmlns:a16="http://schemas.microsoft.com/office/drawing/2014/main" id="{7EBE8680-12A3-4495-B141-6E81E6D8BE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59" name="AutoShape 1" descr="Vista previa de toda la pantalla">
          <a:extLst>
            <a:ext uri="{FF2B5EF4-FFF2-40B4-BE49-F238E27FC236}">
              <a16:creationId xmlns:a16="http://schemas.microsoft.com/office/drawing/2014/main" id="{11EA5969-A47A-450D-8C86-BB36C5755A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0" name="AutoShape 1" descr="Vista previa de toda la pantalla">
          <a:extLst>
            <a:ext uri="{FF2B5EF4-FFF2-40B4-BE49-F238E27FC236}">
              <a16:creationId xmlns:a16="http://schemas.microsoft.com/office/drawing/2014/main" id="{9687C74E-9822-461B-A073-DD82D531E4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1" name="AutoShape 1" descr="Vista previa de toda la pantalla">
          <a:extLst>
            <a:ext uri="{FF2B5EF4-FFF2-40B4-BE49-F238E27FC236}">
              <a16:creationId xmlns:a16="http://schemas.microsoft.com/office/drawing/2014/main" id="{C34DEC4C-5384-4049-8A66-B3D984A75C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2" name="AutoShape 1" descr="Vista previa de toda la pantalla">
          <a:extLst>
            <a:ext uri="{FF2B5EF4-FFF2-40B4-BE49-F238E27FC236}">
              <a16:creationId xmlns:a16="http://schemas.microsoft.com/office/drawing/2014/main" id="{7D30B15D-FB5F-4155-84CE-32FE4E2D5D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3" name="AutoShape 1" descr="Vista previa de toda la pantalla">
          <a:extLst>
            <a:ext uri="{FF2B5EF4-FFF2-40B4-BE49-F238E27FC236}">
              <a16:creationId xmlns:a16="http://schemas.microsoft.com/office/drawing/2014/main" id="{2133E232-7A04-4005-8BC9-4814F3554E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4" name="AutoShape 1" descr="Vista previa de toda la pantalla">
          <a:extLst>
            <a:ext uri="{FF2B5EF4-FFF2-40B4-BE49-F238E27FC236}">
              <a16:creationId xmlns:a16="http://schemas.microsoft.com/office/drawing/2014/main" id="{388A64B8-3FE0-4142-9868-F139D4AFC0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5" name="AutoShape 1" descr="Vista previa de toda la pantalla">
          <a:extLst>
            <a:ext uri="{FF2B5EF4-FFF2-40B4-BE49-F238E27FC236}">
              <a16:creationId xmlns:a16="http://schemas.microsoft.com/office/drawing/2014/main" id="{691A2893-7BC6-4D82-8E77-433F3AB629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6" name="AutoShape 1" descr="Vista previa de toda la pantalla">
          <a:extLst>
            <a:ext uri="{FF2B5EF4-FFF2-40B4-BE49-F238E27FC236}">
              <a16:creationId xmlns:a16="http://schemas.microsoft.com/office/drawing/2014/main" id="{23000F7F-28FC-4B38-9B39-5101A88341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7" name="AutoShape 1" descr="Vista previa de toda la pantalla">
          <a:extLst>
            <a:ext uri="{FF2B5EF4-FFF2-40B4-BE49-F238E27FC236}">
              <a16:creationId xmlns:a16="http://schemas.microsoft.com/office/drawing/2014/main" id="{1E1D0F88-FC91-44F2-955E-808B8CED7F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8" name="AutoShape 1" descr="Vista previa de toda la pantalla">
          <a:extLst>
            <a:ext uri="{FF2B5EF4-FFF2-40B4-BE49-F238E27FC236}">
              <a16:creationId xmlns:a16="http://schemas.microsoft.com/office/drawing/2014/main" id="{A33BE341-4A52-4788-BBC6-1F57B83182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69" name="AutoShape 1" descr="Vista previa de toda la pantalla">
          <a:extLst>
            <a:ext uri="{FF2B5EF4-FFF2-40B4-BE49-F238E27FC236}">
              <a16:creationId xmlns:a16="http://schemas.microsoft.com/office/drawing/2014/main" id="{C676B2CF-5B3F-42E8-AE23-741F8557BE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70" name="AutoShape 1" descr="Vista previa de toda la pantalla">
          <a:extLst>
            <a:ext uri="{FF2B5EF4-FFF2-40B4-BE49-F238E27FC236}">
              <a16:creationId xmlns:a16="http://schemas.microsoft.com/office/drawing/2014/main" id="{95D2250A-44DD-4348-AD46-C647ABF7D2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2171" name="AutoShape 1" descr="Vista previa de toda la pantalla">
          <a:extLst>
            <a:ext uri="{FF2B5EF4-FFF2-40B4-BE49-F238E27FC236}">
              <a16:creationId xmlns:a16="http://schemas.microsoft.com/office/drawing/2014/main" id="{374A4C5E-565B-438A-990F-D5859FA26532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72" name="AutoShape 1" descr="Vista previa de toda la pantalla">
          <a:extLst>
            <a:ext uri="{FF2B5EF4-FFF2-40B4-BE49-F238E27FC236}">
              <a16:creationId xmlns:a16="http://schemas.microsoft.com/office/drawing/2014/main" id="{E5C7476A-D8B1-45AA-8AD1-16E2044C33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73" name="AutoShape 1" descr="Vista previa de toda la pantalla">
          <a:extLst>
            <a:ext uri="{FF2B5EF4-FFF2-40B4-BE49-F238E27FC236}">
              <a16:creationId xmlns:a16="http://schemas.microsoft.com/office/drawing/2014/main" id="{EB4B5A7E-ACA5-47FE-8538-F91260444D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74" name="AutoShape 1" descr="Vista previa de toda la pantalla">
          <a:extLst>
            <a:ext uri="{FF2B5EF4-FFF2-40B4-BE49-F238E27FC236}">
              <a16:creationId xmlns:a16="http://schemas.microsoft.com/office/drawing/2014/main" id="{5B7A0162-D0AB-4215-B563-0AB4DCDD28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75" name="AutoShape 1" descr="Vista previa de toda la pantalla">
          <a:extLst>
            <a:ext uri="{FF2B5EF4-FFF2-40B4-BE49-F238E27FC236}">
              <a16:creationId xmlns:a16="http://schemas.microsoft.com/office/drawing/2014/main" id="{B4941F52-3AEA-4DF6-9204-DEB87DF3B9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76" name="AutoShape 1" descr="Vista previa de toda la pantalla">
          <a:extLst>
            <a:ext uri="{FF2B5EF4-FFF2-40B4-BE49-F238E27FC236}">
              <a16:creationId xmlns:a16="http://schemas.microsoft.com/office/drawing/2014/main" id="{7FE761F3-2E36-4ECF-8183-48EF367CAB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77" name="AutoShape 1" descr="Vista previa de toda la pantalla">
          <a:extLst>
            <a:ext uri="{FF2B5EF4-FFF2-40B4-BE49-F238E27FC236}">
              <a16:creationId xmlns:a16="http://schemas.microsoft.com/office/drawing/2014/main" id="{F31C3328-E627-46E8-85D7-DDF954B6A8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78" name="AutoShape 1" descr="Vista previa de toda la pantalla">
          <a:extLst>
            <a:ext uri="{FF2B5EF4-FFF2-40B4-BE49-F238E27FC236}">
              <a16:creationId xmlns:a16="http://schemas.microsoft.com/office/drawing/2014/main" id="{9612CE5C-76AA-4E2C-BCF8-CF976F9997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79" name="AutoShape 1" descr="Vista previa de toda la pantalla">
          <a:extLst>
            <a:ext uri="{FF2B5EF4-FFF2-40B4-BE49-F238E27FC236}">
              <a16:creationId xmlns:a16="http://schemas.microsoft.com/office/drawing/2014/main" id="{B71B7A16-20AF-4466-B106-3347E245E6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0" name="AutoShape 1" descr="Vista previa de toda la pantalla">
          <a:extLst>
            <a:ext uri="{FF2B5EF4-FFF2-40B4-BE49-F238E27FC236}">
              <a16:creationId xmlns:a16="http://schemas.microsoft.com/office/drawing/2014/main" id="{BA0B3596-F846-4C2E-9F8C-9B6712D429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1" name="AutoShape 1" descr="Vista previa de toda la pantalla">
          <a:extLst>
            <a:ext uri="{FF2B5EF4-FFF2-40B4-BE49-F238E27FC236}">
              <a16:creationId xmlns:a16="http://schemas.microsoft.com/office/drawing/2014/main" id="{7680D339-56DC-4BE8-A1CA-DD99A04264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2" name="AutoShape 1" descr="Vista previa de toda la pantalla">
          <a:extLst>
            <a:ext uri="{FF2B5EF4-FFF2-40B4-BE49-F238E27FC236}">
              <a16:creationId xmlns:a16="http://schemas.microsoft.com/office/drawing/2014/main" id="{226CDF37-EC4E-4748-A4A5-637822D74C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3" name="AutoShape 1" descr="Vista previa de toda la pantalla">
          <a:extLst>
            <a:ext uri="{FF2B5EF4-FFF2-40B4-BE49-F238E27FC236}">
              <a16:creationId xmlns:a16="http://schemas.microsoft.com/office/drawing/2014/main" id="{64A4D383-63AD-4865-B122-FD8D9ABBE1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4" name="AutoShape 1" descr="Vista previa de toda la pantalla">
          <a:extLst>
            <a:ext uri="{FF2B5EF4-FFF2-40B4-BE49-F238E27FC236}">
              <a16:creationId xmlns:a16="http://schemas.microsoft.com/office/drawing/2014/main" id="{A0515B07-2415-4E54-AEEB-A190E301B5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5" name="AutoShape 1" descr="Vista previa de toda la pantalla">
          <a:extLst>
            <a:ext uri="{FF2B5EF4-FFF2-40B4-BE49-F238E27FC236}">
              <a16:creationId xmlns:a16="http://schemas.microsoft.com/office/drawing/2014/main" id="{F04C3046-3C8A-4EF0-8771-B3E66E9EF2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6" name="AutoShape 1" descr="Vista previa de toda la pantalla">
          <a:extLst>
            <a:ext uri="{FF2B5EF4-FFF2-40B4-BE49-F238E27FC236}">
              <a16:creationId xmlns:a16="http://schemas.microsoft.com/office/drawing/2014/main" id="{C2F1EF36-8D9B-4F24-A49C-32A4B27B88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7" name="AutoShape 1" descr="Vista previa de toda la pantalla">
          <a:extLst>
            <a:ext uri="{FF2B5EF4-FFF2-40B4-BE49-F238E27FC236}">
              <a16:creationId xmlns:a16="http://schemas.microsoft.com/office/drawing/2014/main" id="{192C64E2-7F07-4960-9E47-41698A69F4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8" name="AutoShape 1" descr="Vista previa de toda la pantalla">
          <a:extLst>
            <a:ext uri="{FF2B5EF4-FFF2-40B4-BE49-F238E27FC236}">
              <a16:creationId xmlns:a16="http://schemas.microsoft.com/office/drawing/2014/main" id="{93BEE0BC-1692-45E0-AD3F-F374C3C4F4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89" name="AutoShape 1" descr="Vista previa de toda la pantalla">
          <a:extLst>
            <a:ext uri="{FF2B5EF4-FFF2-40B4-BE49-F238E27FC236}">
              <a16:creationId xmlns:a16="http://schemas.microsoft.com/office/drawing/2014/main" id="{3F106204-3972-492A-8472-82CCF8E27A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0" name="AutoShape 1" descr="Vista previa de toda la pantalla">
          <a:extLst>
            <a:ext uri="{FF2B5EF4-FFF2-40B4-BE49-F238E27FC236}">
              <a16:creationId xmlns:a16="http://schemas.microsoft.com/office/drawing/2014/main" id="{DBEE63D8-F13C-43D5-BB1F-07512265A9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1" name="AutoShape 1" descr="Vista previa de toda la pantalla">
          <a:extLst>
            <a:ext uri="{FF2B5EF4-FFF2-40B4-BE49-F238E27FC236}">
              <a16:creationId xmlns:a16="http://schemas.microsoft.com/office/drawing/2014/main" id="{4859BC3C-A8E8-4245-B27C-BB215B6682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2" name="AutoShape 1" descr="Vista previa de toda la pantalla">
          <a:extLst>
            <a:ext uri="{FF2B5EF4-FFF2-40B4-BE49-F238E27FC236}">
              <a16:creationId xmlns:a16="http://schemas.microsoft.com/office/drawing/2014/main" id="{7CA8F7AE-CCE2-4C27-8BCE-BC6A8B736F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3" name="AutoShape 1" descr="Vista previa de toda la pantalla">
          <a:extLst>
            <a:ext uri="{FF2B5EF4-FFF2-40B4-BE49-F238E27FC236}">
              <a16:creationId xmlns:a16="http://schemas.microsoft.com/office/drawing/2014/main" id="{B0F44BA2-CF82-4BDB-A677-DF2834A684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4" name="AutoShape 1" descr="Vista previa de toda la pantalla">
          <a:extLst>
            <a:ext uri="{FF2B5EF4-FFF2-40B4-BE49-F238E27FC236}">
              <a16:creationId xmlns:a16="http://schemas.microsoft.com/office/drawing/2014/main" id="{7F91204A-862D-4944-9552-1BC071B89E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5" name="AutoShape 1" descr="Vista previa de toda la pantalla">
          <a:extLst>
            <a:ext uri="{FF2B5EF4-FFF2-40B4-BE49-F238E27FC236}">
              <a16:creationId xmlns:a16="http://schemas.microsoft.com/office/drawing/2014/main" id="{8DC7D319-7819-4A57-BE21-19D9C73C44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6" name="AutoShape 1" descr="Vista previa de toda la pantalla">
          <a:extLst>
            <a:ext uri="{FF2B5EF4-FFF2-40B4-BE49-F238E27FC236}">
              <a16:creationId xmlns:a16="http://schemas.microsoft.com/office/drawing/2014/main" id="{8F5065E3-F072-4B54-96D9-AA5228D99C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7" name="AutoShape 1" descr="Vista previa de toda la pantalla">
          <a:extLst>
            <a:ext uri="{FF2B5EF4-FFF2-40B4-BE49-F238E27FC236}">
              <a16:creationId xmlns:a16="http://schemas.microsoft.com/office/drawing/2014/main" id="{0794C68B-6531-46A2-86DB-B2D6326FAB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8" name="AutoShape 1" descr="Vista previa de toda la pantalla">
          <a:extLst>
            <a:ext uri="{FF2B5EF4-FFF2-40B4-BE49-F238E27FC236}">
              <a16:creationId xmlns:a16="http://schemas.microsoft.com/office/drawing/2014/main" id="{F855244B-B7D5-4A14-8AC8-917720C752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199" name="AutoShape 1" descr="Vista previa de toda la pantalla">
          <a:extLst>
            <a:ext uri="{FF2B5EF4-FFF2-40B4-BE49-F238E27FC236}">
              <a16:creationId xmlns:a16="http://schemas.microsoft.com/office/drawing/2014/main" id="{42FA2D73-5444-44CE-9DD7-55C23BAEC0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00" name="AutoShape 1" descr="Vista previa de toda la pantalla">
          <a:extLst>
            <a:ext uri="{FF2B5EF4-FFF2-40B4-BE49-F238E27FC236}">
              <a16:creationId xmlns:a16="http://schemas.microsoft.com/office/drawing/2014/main" id="{9A9CB891-F3E6-47C1-878E-7D203BAE03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01" name="AutoShape 1" descr="Vista previa de toda la pantalla">
          <a:extLst>
            <a:ext uri="{FF2B5EF4-FFF2-40B4-BE49-F238E27FC236}">
              <a16:creationId xmlns:a16="http://schemas.microsoft.com/office/drawing/2014/main" id="{B6076A31-9B67-43E6-BE22-4C978B6583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02" name="AutoShape 1" descr="Vista previa de toda la pantalla">
          <a:extLst>
            <a:ext uri="{FF2B5EF4-FFF2-40B4-BE49-F238E27FC236}">
              <a16:creationId xmlns:a16="http://schemas.microsoft.com/office/drawing/2014/main" id="{696F0441-4C38-4E47-86E4-39A5385E9C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03" name="AutoShape 1" descr="Vista previa de toda la pantalla">
          <a:extLst>
            <a:ext uri="{FF2B5EF4-FFF2-40B4-BE49-F238E27FC236}">
              <a16:creationId xmlns:a16="http://schemas.microsoft.com/office/drawing/2014/main" id="{381C97A7-4069-499D-B769-BA5E8259CD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04" name="AutoShape 1" descr="Vista previa de toda la pantalla">
          <a:extLst>
            <a:ext uri="{FF2B5EF4-FFF2-40B4-BE49-F238E27FC236}">
              <a16:creationId xmlns:a16="http://schemas.microsoft.com/office/drawing/2014/main" id="{C4E777AF-CAA8-4C56-9BE0-07A1E5B04C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05" name="AutoShape 1" descr="Vista previa de toda la pantalla">
          <a:extLst>
            <a:ext uri="{FF2B5EF4-FFF2-40B4-BE49-F238E27FC236}">
              <a16:creationId xmlns:a16="http://schemas.microsoft.com/office/drawing/2014/main" id="{D9BA08E5-8053-43C0-93D2-EA50736C50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06" name="AutoShape 1" descr="Vista previa de toda la pantalla">
          <a:extLst>
            <a:ext uri="{FF2B5EF4-FFF2-40B4-BE49-F238E27FC236}">
              <a16:creationId xmlns:a16="http://schemas.microsoft.com/office/drawing/2014/main" id="{7C27B5EA-A22D-4713-9BFC-4B1F5D0780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07" name="AutoShape 1" descr="Vista previa de toda la pantalla">
          <a:extLst>
            <a:ext uri="{FF2B5EF4-FFF2-40B4-BE49-F238E27FC236}">
              <a16:creationId xmlns:a16="http://schemas.microsoft.com/office/drawing/2014/main" id="{74D21175-0F5E-4B75-961F-C0CCC9DF3C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08" name="AutoShape 1" descr="Vista previa de toda la pantalla">
          <a:extLst>
            <a:ext uri="{FF2B5EF4-FFF2-40B4-BE49-F238E27FC236}">
              <a16:creationId xmlns:a16="http://schemas.microsoft.com/office/drawing/2014/main" id="{6C7B9968-05FF-4C76-97CB-F1A6DBCC8E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09" name="AutoShape 1" descr="Vista previa de toda la pantalla">
          <a:extLst>
            <a:ext uri="{FF2B5EF4-FFF2-40B4-BE49-F238E27FC236}">
              <a16:creationId xmlns:a16="http://schemas.microsoft.com/office/drawing/2014/main" id="{FDE7EDF9-003E-4AB7-812A-9BEDA5D1D3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0" name="AutoShape 1" descr="Vista previa de toda la pantalla">
          <a:extLst>
            <a:ext uri="{FF2B5EF4-FFF2-40B4-BE49-F238E27FC236}">
              <a16:creationId xmlns:a16="http://schemas.microsoft.com/office/drawing/2014/main" id="{90B8DF05-7573-4CC3-9744-2924070A1C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1" name="AutoShape 1" descr="Vista previa de toda la pantalla">
          <a:extLst>
            <a:ext uri="{FF2B5EF4-FFF2-40B4-BE49-F238E27FC236}">
              <a16:creationId xmlns:a16="http://schemas.microsoft.com/office/drawing/2014/main" id="{72421E1D-1B0E-4B74-9920-010415C857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2" name="AutoShape 1" descr="Vista previa de toda la pantalla">
          <a:extLst>
            <a:ext uri="{FF2B5EF4-FFF2-40B4-BE49-F238E27FC236}">
              <a16:creationId xmlns:a16="http://schemas.microsoft.com/office/drawing/2014/main" id="{E9B4A0A9-0BD2-4165-B7E7-7C9DD99BB7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3" name="AutoShape 1" descr="Vista previa de toda la pantalla">
          <a:extLst>
            <a:ext uri="{FF2B5EF4-FFF2-40B4-BE49-F238E27FC236}">
              <a16:creationId xmlns:a16="http://schemas.microsoft.com/office/drawing/2014/main" id="{F4ACA1B7-B0C8-4EAC-8A66-6EDAEA63A0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4" name="AutoShape 1" descr="Vista previa de toda la pantalla">
          <a:extLst>
            <a:ext uri="{FF2B5EF4-FFF2-40B4-BE49-F238E27FC236}">
              <a16:creationId xmlns:a16="http://schemas.microsoft.com/office/drawing/2014/main" id="{552BD2D2-EFDD-4245-A07C-EAAABDBD61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5" name="AutoShape 1" descr="Vista previa de toda la pantalla">
          <a:extLst>
            <a:ext uri="{FF2B5EF4-FFF2-40B4-BE49-F238E27FC236}">
              <a16:creationId xmlns:a16="http://schemas.microsoft.com/office/drawing/2014/main" id="{208C57F9-C55C-4CF6-B43C-4389541B36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6" name="AutoShape 1" descr="Vista previa de toda la pantalla">
          <a:extLst>
            <a:ext uri="{FF2B5EF4-FFF2-40B4-BE49-F238E27FC236}">
              <a16:creationId xmlns:a16="http://schemas.microsoft.com/office/drawing/2014/main" id="{B27FD0DF-CC83-43FD-9CD4-250A731BCE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7" name="AutoShape 1" descr="Vista previa de toda la pantalla">
          <a:extLst>
            <a:ext uri="{FF2B5EF4-FFF2-40B4-BE49-F238E27FC236}">
              <a16:creationId xmlns:a16="http://schemas.microsoft.com/office/drawing/2014/main" id="{8561AF49-86DC-4555-9D53-4FD0DEE2CC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8" name="AutoShape 1" descr="Vista previa de toda la pantalla">
          <a:extLst>
            <a:ext uri="{FF2B5EF4-FFF2-40B4-BE49-F238E27FC236}">
              <a16:creationId xmlns:a16="http://schemas.microsoft.com/office/drawing/2014/main" id="{EDDBD28D-7ABE-4F2E-8858-B4A36A031F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19" name="AutoShape 1" descr="Vista previa de toda la pantalla">
          <a:extLst>
            <a:ext uri="{FF2B5EF4-FFF2-40B4-BE49-F238E27FC236}">
              <a16:creationId xmlns:a16="http://schemas.microsoft.com/office/drawing/2014/main" id="{B2F916E3-BBF5-4E7E-93CB-6FD2DCFAFC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0" name="AutoShape 1" descr="Vista previa de toda la pantalla">
          <a:extLst>
            <a:ext uri="{FF2B5EF4-FFF2-40B4-BE49-F238E27FC236}">
              <a16:creationId xmlns:a16="http://schemas.microsoft.com/office/drawing/2014/main" id="{7D09A436-F678-4A8E-AB13-47BE19255A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1" name="AutoShape 1" descr="Vista previa de toda la pantalla">
          <a:extLst>
            <a:ext uri="{FF2B5EF4-FFF2-40B4-BE49-F238E27FC236}">
              <a16:creationId xmlns:a16="http://schemas.microsoft.com/office/drawing/2014/main" id="{AE413AA8-A3DB-482F-978E-1D45B9DAD1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2" name="AutoShape 1" descr="Vista previa de toda la pantalla">
          <a:extLst>
            <a:ext uri="{FF2B5EF4-FFF2-40B4-BE49-F238E27FC236}">
              <a16:creationId xmlns:a16="http://schemas.microsoft.com/office/drawing/2014/main" id="{5BBBF89F-4E63-4C1A-9079-FF750EF547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3" name="AutoShape 1" descr="Vista previa de toda la pantalla">
          <a:extLst>
            <a:ext uri="{FF2B5EF4-FFF2-40B4-BE49-F238E27FC236}">
              <a16:creationId xmlns:a16="http://schemas.microsoft.com/office/drawing/2014/main" id="{DA985AAA-378C-402C-B78B-55BF7D3333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4" name="AutoShape 1" descr="Vista previa de toda la pantalla">
          <a:extLst>
            <a:ext uri="{FF2B5EF4-FFF2-40B4-BE49-F238E27FC236}">
              <a16:creationId xmlns:a16="http://schemas.microsoft.com/office/drawing/2014/main" id="{C4F0E3ED-B8C9-439B-A0D5-4501134B1D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5" name="AutoShape 1" descr="Vista previa de toda la pantalla">
          <a:extLst>
            <a:ext uri="{FF2B5EF4-FFF2-40B4-BE49-F238E27FC236}">
              <a16:creationId xmlns:a16="http://schemas.microsoft.com/office/drawing/2014/main" id="{C1D9B914-D7C2-43B3-8ECB-3B9B3F08C2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6" name="AutoShape 1" descr="Vista previa de toda la pantalla">
          <a:extLst>
            <a:ext uri="{FF2B5EF4-FFF2-40B4-BE49-F238E27FC236}">
              <a16:creationId xmlns:a16="http://schemas.microsoft.com/office/drawing/2014/main" id="{0471769E-C183-4081-9A34-B3A773DAE5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7" name="AutoShape 1" descr="Vista previa de toda la pantalla">
          <a:extLst>
            <a:ext uri="{FF2B5EF4-FFF2-40B4-BE49-F238E27FC236}">
              <a16:creationId xmlns:a16="http://schemas.microsoft.com/office/drawing/2014/main" id="{7B8E7C28-7690-4572-B68F-31AAB9EA0C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8" name="AutoShape 1" descr="Vista previa de toda la pantalla">
          <a:extLst>
            <a:ext uri="{FF2B5EF4-FFF2-40B4-BE49-F238E27FC236}">
              <a16:creationId xmlns:a16="http://schemas.microsoft.com/office/drawing/2014/main" id="{E3660FC8-D5DB-437D-9A9A-049706D621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29" name="AutoShape 1" descr="Vista previa de toda la pantalla">
          <a:extLst>
            <a:ext uri="{FF2B5EF4-FFF2-40B4-BE49-F238E27FC236}">
              <a16:creationId xmlns:a16="http://schemas.microsoft.com/office/drawing/2014/main" id="{CE880785-928C-4624-9EB2-8308FE1C5A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0" name="AutoShape 1" descr="Vista previa de toda la pantalla">
          <a:extLst>
            <a:ext uri="{FF2B5EF4-FFF2-40B4-BE49-F238E27FC236}">
              <a16:creationId xmlns:a16="http://schemas.microsoft.com/office/drawing/2014/main" id="{106B7695-A6B6-4D50-91DA-EB8EF33E00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1" name="AutoShape 1" descr="Vista previa de toda la pantalla">
          <a:extLst>
            <a:ext uri="{FF2B5EF4-FFF2-40B4-BE49-F238E27FC236}">
              <a16:creationId xmlns:a16="http://schemas.microsoft.com/office/drawing/2014/main" id="{B99EE0BE-7E6A-423C-8253-BE4B333D0B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2" name="AutoShape 1" descr="Vista previa de toda la pantalla">
          <a:extLst>
            <a:ext uri="{FF2B5EF4-FFF2-40B4-BE49-F238E27FC236}">
              <a16:creationId xmlns:a16="http://schemas.microsoft.com/office/drawing/2014/main" id="{2D495210-9E7C-40D9-A3F3-E7DC833FE1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3" name="AutoShape 1" descr="Vista previa de toda la pantalla">
          <a:extLst>
            <a:ext uri="{FF2B5EF4-FFF2-40B4-BE49-F238E27FC236}">
              <a16:creationId xmlns:a16="http://schemas.microsoft.com/office/drawing/2014/main" id="{FED82D7A-3BD9-462C-874B-EA40EE6DE8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4" name="AutoShape 1" descr="Vista previa de toda la pantalla">
          <a:extLst>
            <a:ext uri="{FF2B5EF4-FFF2-40B4-BE49-F238E27FC236}">
              <a16:creationId xmlns:a16="http://schemas.microsoft.com/office/drawing/2014/main" id="{2C267654-9700-419C-9977-4EF2E5736F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5" name="AutoShape 1" descr="Vista previa de toda la pantalla">
          <a:extLst>
            <a:ext uri="{FF2B5EF4-FFF2-40B4-BE49-F238E27FC236}">
              <a16:creationId xmlns:a16="http://schemas.microsoft.com/office/drawing/2014/main" id="{3A52A076-9DF0-40DF-BF23-CE2B7D9AE5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6" name="AutoShape 1" descr="Vista previa de toda la pantalla">
          <a:extLst>
            <a:ext uri="{FF2B5EF4-FFF2-40B4-BE49-F238E27FC236}">
              <a16:creationId xmlns:a16="http://schemas.microsoft.com/office/drawing/2014/main" id="{DF823080-BFCE-412F-BB59-3E5EDAE7A1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7" name="AutoShape 1" descr="Vista previa de toda la pantalla">
          <a:extLst>
            <a:ext uri="{FF2B5EF4-FFF2-40B4-BE49-F238E27FC236}">
              <a16:creationId xmlns:a16="http://schemas.microsoft.com/office/drawing/2014/main" id="{9DEAF212-4665-4BD8-964E-6F913A3A2E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8" name="AutoShape 1" descr="Vista previa de toda la pantalla">
          <a:extLst>
            <a:ext uri="{FF2B5EF4-FFF2-40B4-BE49-F238E27FC236}">
              <a16:creationId xmlns:a16="http://schemas.microsoft.com/office/drawing/2014/main" id="{9AE3365F-7C0B-48B0-8655-0AE5F5BA0B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39" name="AutoShape 1" descr="Vista previa de toda la pantalla">
          <a:extLst>
            <a:ext uri="{FF2B5EF4-FFF2-40B4-BE49-F238E27FC236}">
              <a16:creationId xmlns:a16="http://schemas.microsoft.com/office/drawing/2014/main" id="{6DAD5B50-6B3F-43DB-AE0D-424FBC6E0F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0" name="AutoShape 1" descr="Vista previa de toda la pantalla">
          <a:extLst>
            <a:ext uri="{FF2B5EF4-FFF2-40B4-BE49-F238E27FC236}">
              <a16:creationId xmlns:a16="http://schemas.microsoft.com/office/drawing/2014/main" id="{DA666CB4-6151-4FEF-A4F5-5F371A25CF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1" name="AutoShape 1" descr="Vista previa de toda la pantalla">
          <a:extLst>
            <a:ext uri="{FF2B5EF4-FFF2-40B4-BE49-F238E27FC236}">
              <a16:creationId xmlns:a16="http://schemas.microsoft.com/office/drawing/2014/main" id="{1D229A08-F242-4B52-B755-FAF712E534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2" name="AutoShape 1" descr="Vista previa de toda la pantalla">
          <a:extLst>
            <a:ext uri="{FF2B5EF4-FFF2-40B4-BE49-F238E27FC236}">
              <a16:creationId xmlns:a16="http://schemas.microsoft.com/office/drawing/2014/main" id="{86E9EBA3-AADB-439F-94B5-2F90929FB6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3" name="AutoShape 1" descr="Vista previa de toda la pantalla">
          <a:extLst>
            <a:ext uri="{FF2B5EF4-FFF2-40B4-BE49-F238E27FC236}">
              <a16:creationId xmlns:a16="http://schemas.microsoft.com/office/drawing/2014/main" id="{5C2381A5-7856-460A-9432-043FDF4340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4" name="AutoShape 1" descr="Vista previa de toda la pantalla">
          <a:extLst>
            <a:ext uri="{FF2B5EF4-FFF2-40B4-BE49-F238E27FC236}">
              <a16:creationId xmlns:a16="http://schemas.microsoft.com/office/drawing/2014/main" id="{6AEF7F3B-A349-466B-A2BE-D622538AB7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5" name="AutoShape 1" descr="Vista previa de toda la pantalla">
          <a:extLst>
            <a:ext uri="{FF2B5EF4-FFF2-40B4-BE49-F238E27FC236}">
              <a16:creationId xmlns:a16="http://schemas.microsoft.com/office/drawing/2014/main" id="{D27E35CB-D0A0-4615-9799-41AAB3583D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6" name="AutoShape 1" descr="Vista previa de toda la pantalla">
          <a:extLst>
            <a:ext uri="{FF2B5EF4-FFF2-40B4-BE49-F238E27FC236}">
              <a16:creationId xmlns:a16="http://schemas.microsoft.com/office/drawing/2014/main" id="{8ABB792D-83B1-40E9-BB6A-EF5E3ECAC9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7" name="AutoShape 1" descr="Vista previa de toda la pantalla">
          <a:extLst>
            <a:ext uri="{FF2B5EF4-FFF2-40B4-BE49-F238E27FC236}">
              <a16:creationId xmlns:a16="http://schemas.microsoft.com/office/drawing/2014/main" id="{751A045F-EABD-4CE8-9396-A743D2A86E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8" name="AutoShape 1" descr="Vista previa de toda la pantalla">
          <a:extLst>
            <a:ext uri="{FF2B5EF4-FFF2-40B4-BE49-F238E27FC236}">
              <a16:creationId xmlns:a16="http://schemas.microsoft.com/office/drawing/2014/main" id="{5B8F1FEC-CDB9-460B-82E8-645E876AF6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49" name="AutoShape 1" descr="Vista previa de toda la pantalla">
          <a:extLst>
            <a:ext uri="{FF2B5EF4-FFF2-40B4-BE49-F238E27FC236}">
              <a16:creationId xmlns:a16="http://schemas.microsoft.com/office/drawing/2014/main" id="{1F310390-42C3-4D8D-AA91-478F80778C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50" name="AutoShape 1" descr="Vista previa de toda la pantalla">
          <a:extLst>
            <a:ext uri="{FF2B5EF4-FFF2-40B4-BE49-F238E27FC236}">
              <a16:creationId xmlns:a16="http://schemas.microsoft.com/office/drawing/2014/main" id="{FC8CB39B-EC7B-421A-9DF2-9C30C737E8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51" name="AutoShape 1" descr="Vista previa de toda la pantalla">
          <a:extLst>
            <a:ext uri="{FF2B5EF4-FFF2-40B4-BE49-F238E27FC236}">
              <a16:creationId xmlns:a16="http://schemas.microsoft.com/office/drawing/2014/main" id="{2FA1F5DC-DA74-4300-8528-CA79ABF356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52" name="AutoShape 1" descr="Vista previa de toda la pantalla">
          <a:extLst>
            <a:ext uri="{FF2B5EF4-FFF2-40B4-BE49-F238E27FC236}">
              <a16:creationId xmlns:a16="http://schemas.microsoft.com/office/drawing/2014/main" id="{6FE72DC5-1273-4B22-BFDE-7C522D7F12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53" name="AutoShape 1" descr="Vista previa de toda la pantalla">
          <a:extLst>
            <a:ext uri="{FF2B5EF4-FFF2-40B4-BE49-F238E27FC236}">
              <a16:creationId xmlns:a16="http://schemas.microsoft.com/office/drawing/2014/main" id="{FDC87E2D-BADE-4B3B-BE5F-603AD3250E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54" name="AutoShape 1" descr="Vista previa de toda la pantalla">
          <a:extLst>
            <a:ext uri="{FF2B5EF4-FFF2-40B4-BE49-F238E27FC236}">
              <a16:creationId xmlns:a16="http://schemas.microsoft.com/office/drawing/2014/main" id="{68469D5E-479E-40F4-A154-D151C79824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55" name="AutoShape 1" descr="Vista previa de toda la pantalla">
          <a:extLst>
            <a:ext uri="{FF2B5EF4-FFF2-40B4-BE49-F238E27FC236}">
              <a16:creationId xmlns:a16="http://schemas.microsoft.com/office/drawing/2014/main" id="{59192D7C-B946-4659-8D7E-CF840B1750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56" name="AutoShape 1" descr="Vista previa de toda la pantalla">
          <a:extLst>
            <a:ext uri="{FF2B5EF4-FFF2-40B4-BE49-F238E27FC236}">
              <a16:creationId xmlns:a16="http://schemas.microsoft.com/office/drawing/2014/main" id="{21626174-BFDA-4CD5-8936-F340DE1F6C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57" name="AutoShape 1" descr="Vista previa de toda la pantalla">
          <a:extLst>
            <a:ext uri="{FF2B5EF4-FFF2-40B4-BE49-F238E27FC236}">
              <a16:creationId xmlns:a16="http://schemas.microsoft.com/office/drawing/2014/main" id="{2BF682BA-497A-4974-B67E-89D2B5CE90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58" name="AutoShape 1" descr="Vista previa de toda la pantalla">
          <a:extLst>
            <a:ext uri="{FF2B5EF4-FFF2-40B4-BE49-F238E27FC236}">
              <a16:creationId xmlns:a16="http://schemas.microsoft.com/office/drawing/2014/main" id="{E95C3CFC-CABA-43C4-B683-56C01D9DDC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59" name="AutoShape 1" descr="Vista previa de toda la pantalla">
          <a:extLst>
            <a:ext uri="{FF2B5EF4-FFF2-40B4-BE49-F238E27FC236}">
              <a16:creationId xmlns:a16="http://schemas.microsoft.com/office/drawing/2014/main" id="{579990EC-3795-466F-982A-6FC9CEF91E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0" name="AutoShape 1" descr="Vista previa de toda la pantalla">
          <a:extLst>
            <a:ext uri="{FF2B5EF4-FFF2-40B4-BE49-F238E27FC236}">
              <a16:creationId xmlns:a16="http://schemas.microsoft.com/office/drawing/2014/main" id="{F68EC35A-454E-485D-976E-50DD64D218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1" name="AutoShape 1" descr="Vista previa de toda la pantalla">
          <a:extLst>
            <a:ext uri="{FF2B5EF4-FFF2-40B4-BE49-F238E27FC236}">
              <a16:creationId xmlns:a16="http://schemas.microsoft.com/office/drawing/2014/main" id="{90BB122D-EA4F-4902-9341-5B74265BE7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2" name="AutoShape 1" descr="Vista previa de toda la pantalla">
          <a:extLst>
            <a:ext uri="{FF2B5EF4-FFF2-40B4-BE49-F238E27FC236}">
              <a16:creationId xmlns:a16="http://schemas.microsoft.com/office/drawing/2014/main" id="{D86A1062-0F1F-40D4-A266-38649DB13C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3" name="AutoShape 1" descr="Vista previa de toda la pantalla">
          <a:extLst>
            <a:ext uri="{FF2B5EF4-FFF2-40B4-BE49-F238E27FC236}">
              <a16:creationId xmlns:a16="http://schemas.microsoft.com/office/drawing/2014/main" id="{98D124FA-2256-47FC-ABA5-E56D2704BC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4" name="AutoShape 1" descr="Vista previa de toda la pantalla">
          <a:extLst>
            <a:ext uri="{FF2B5EF4-FFF2-40B4-BE49-F238E27FC236}">
              <a16:creationId xmlns:a16="http://schemas.microsoft.com/office/drawing/2014/main" id="{C9DDB818-A781-4777-A5FE-F86717705E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5" name="AutoShape 1" descr="Vista previa de toda la pantalla">
          <a:extLst>
            <a:ext uri="{FF2B5EF4-FFF2-40B4-BE49-F238E27FC236}">
              <a16:creationId xmlns:a16="http://schemas.microsoft.com/office/drawing/2014/main" id="{CB02460C-154F-4E18-8482-495AE036BD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6" name="AutoShape 1" descr="Vista previa de toda la pantalla">
          <a:extLst>
            <a:ext uri="{FF2B5EF4-FFF2-40B4-BE49-F238E27FC236}">
              <a16:creationId xmlns:a16="http://schemas.microsoft.com/office/drawing/2014/main" id="{E79AFE01-79D2-406B-A087-671C1E085F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7" name="AutoShape 1" descr="Vista previa de toda la pantalla">
          <a:extLst>
            <a:ext uri="{FF2B5EF4-FFF2-40B4-BE49-F238E27FC236}">
              <a16:creationId xmlns:a16="http://schemas.microsoft.com/office/drawing/2014/main" id="{FAA6A0D4-F94A-4F5C-A47B-CF952DF3EA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8" name="AutoShape 1" descr="Vista previa de toda la pantalla">
          <a:extLst>
            <a:ext uri="{FF2B5EF4-FFF2-40B4-BE49-F238E27FC236}">
              <a16:creationId xmlns:a16="http://schemas.microsoft.com/office/drawing/2014/main" id="{6D091993-5BD5-4614-85FF-3CC970965F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69" name="AutoShape 1" descr="Vista previa de toda la pantalla">
          <a:extLst>
            <a:ext uri="{FF2B5EF4-FFF2-40B4-BE49-F238E27FC236}">
              <a16:creationId xmlns:a16="http://schemas.microsoft.com/office/drawing/2014/main" id="{28677B4A-AE65-4DC0-88DF-D4836B12E8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0" name="AutoShape 1" descr="Vista previa de toda la pantalla">
          <a:extLst>
            <a:ext uri="{FF2B5EF4-FFF2-40B4-BE49-F238E27FC236}">
              <a16:creationId xmlns:a16="http://schemas.microsoft.com/office/drawing/2014/main" id="{362DC39F-1106-4F4C-9B7E-ABA551A250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1" name="AutoShape 1" descr="Vista previa de toda la pantalla">
          <a:extLst>
            <a:ext uri="{FF2B5EF4-FFF2-40B4-BE49-F238E27FC236}">
              <a16:creationId xmlns:a16="http://schemas.microsoft.com/office/drawing/2014/main" id="{D965F8A1-2156-4DA9-B79E-D9A8554BBA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2" name="AutoShape 1" descr="Vista previa de toda la pantalla">
          <a:extLst>
            <a:ext uri="{FF2B5EF4-FFF2-40B4-BE49-F238E27FC236}">
              <a16:creationId xmlns:a16="http://schemas.microsoft.com/office/drawing/2014/main" id="{5AB40E44-48F8-446D-A093-76590C477E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3" name="AutoShape 1" descr="Vista previa de toda la pantalla">
          <a:extLst>
            <a:ext uri="{FF2B5EF4-FFF2-40B4-BE49-F238E27FC236}">
              <a16:creationId xmlns:a16="http://schemas.microsoft.com/office/drawing/2014/main" id="{2371BF5C-B9ED-4A9F-91E2-470CEF86BE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4" name="AutoShape 1" descr="Vista previa de toda la pantalla">
          <a:extLst>
            <a:ext uri="{FF2B5EF4-FFF2-40B4-BE49-F238E27FC236}">
              <a16:creationId xmlns:a16="http://schemas.microsoft.com/office/drawing/2014/main" id="{A8A7D192-B156-4A68-BDB5-C7168D6C40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5" name="AutoShape 1" descr="Vista previa de toda la pantalla">
          <a:extLst>
            <a:ext uri="{FF2B5EF4-FFF2-40B4-BE49-F238E27FC236}">
              <a16:creationId xmlns:a16="http://schemas.microsoft.com/office/drawing/2014/main" id="{3803F81B-C0B1-4246-906C-0C6EBD7A10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6" name="AutoShape 1" descr="Vista previa de toda la pantalla">
          <a:extLst>
            <a:ext uri="{FF2B5EF4-FFF2-40B4-BE49-F238E27FC236}">
              <a16:creationId xmlns:a16="http://schemas.microsoft.com/office/drawing/2014/main" id="{80FD1182-E410-4842-BB61-4B2F68C18C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7" name="AutoShape 1" descr="Vista previa de toda la pantalla">
          <a:extLst>
            <a:ext uri="{FF2B5EF4-FFF2-40B4-BE49-F238E27FC236}">
              <a16:creationId xmlns:a16="http://schemas.microsoft.com/office/drawing/2014/main" id="{6D30B88F-E9B6-4BB9-88EB-F2F43F00DC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8" name="AutoShape 1" descr="Vista previa de toda la pantalla">
          <a:extLst>
            <a:ext uri="{FF2B5EF4-FFF2-40B4-BE49-F238E27FC236}">
              <a16:creationId xmlns:a16="http://schemas.microsoft.com/office/drawing/2014/main" id="{87B229C8-0D48-45A8-99D5-5256C27F6D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79" name="AutoShape 1" descr="Vista previa de toda la pantalla">
          <a:extLst>
            <a:ext uri="{FF2B5EF4-FFF2-40B4-BE49-F238E27FC236}">
              <a16:creationId xmlns:a16="http://schemas.microsoft.com/office/drawing/2014/main" id="{E22BEBE3-0A80-4BA6-BB7A-D701B15967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0" name="AutoShape 1" descr="Vista previa de toda la pantalla">
          <a:extLst>
            <a:ext uri="{FF2B5EF4-FFF2-40B4-BE49-F238E27FC236}">
              <a16:creationId xmlns:a16="http://schemas.microsoft.com/office/drawing/2014/main" id="{67ABAD8C-FEB7-487F-9104-985D47ED09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1" name="AutoShape 1" descr="Vista previa de toda la pantalla">
          <a:extLst>
            <a:ext uri="{FF2B5EF4-FFF2-40B4-BE49-F238E27FC236}">
              <a16:creationId xmlns:a16="http://schemas.microsoft.com/office/drawing/2014/main" id="{8B743FFC-8D64-4130-B819-99FD945917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2" name="AutoShape 1" descr="Vista previa de toda la pantalla">
          <a:extLst>
            <a:ext uri="{FF2B5EF4-FFF2-40B4-BE49-F238E27FC236}">
              <a16:creationId xmlns:a16="http://schemas.microsoft.com/office/drawing/2014/main" id="{55C7AD04-3050-45B0-8B2D-DB71E3C40E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3" name="AutoShape 1" descr="Vista previa de toda la pantalla">
          <a:extLst>
            <a:ext uri="{FF2B5EF4-FFF2-40B4-BE49-F238E27FC236}">
              <a16:creationId xmlns:a16="http://schemas.microsoft.com/office/drawing/2014/main" id="{5B3C3018-ADDD-4F0C-AC53-EE45C52F0B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4" name="AutoShape 1" descr="Vista previa de toda la pantalla">
          <a:extLst>
            <a:ext uri="{FF2B5EF4-FFF2-40B4-BE49-F238E27FC236}">
              <a16:creationId xmlns:a16="http://schemas.microsoft.com/office/drawing/2014/main" id="{7E05225C-EEFB-46EF-9C2E-D5DA97C407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5" name="AutoShape 1" descr="Vista previa de toda la pantalla">
          <a:extLst>
            <a:ext uri="{FF2B5EF4-FFF2-40B4-BE49-F238E27FC236}">
              <a16:creationId xmlns:a16="http://schemas.microsoft.com/office/drawing/2014/main" id="{570C6B2B-E6DD-4927-A80B-6530CC364D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6" name="AutoShape 1" descr="Vista previa de toda la pantalla">
          <a:extLst>
            <a:ext uri="{FF2B5EF4-FFF2-40B4-BE49-F238E27FC236}">
              <a16:creationId xmlns:a16="http://schemas.microsoft.com/office/drawing/2014/main" id="{9410B2E1-ED73-44F2-B764-9A799AF6F4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7" name="AutoShape 1" descr="Vista previa de toda la pantalla">
          <a:extLst>
            <a:ext uri="{FF2B5EF4-FFF2-40B4-BE49-F238E27FC236}">
              <a16:creationId xmlns:a16="http://schemas.microsoft.com/office/drawing/2014/main" id="{D2BC9508-6223-47F9-8126-F26E50973A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8" name="AutoShape 1" descr="Vista previa de toda la pantalla">
          <a:extLst>
            <a:ext uri="{FF2B5EF4-FFF2-40B4-BE49-F238E27FC236}">
              <a16:creationId xmlns:a16="http://schemas.microsoft.com/office/drawing/2014/main" id="{882B80D9-0669-4796-B3BE-8EE498561A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89" name="AutoShape 1" descr="Vista previa de toda la pantalla">
          <a:extLst>
            <a:ext uri="{FF2B5EF4-FFF2-40B4-BE49-F238E27FC236}">
              <a16:creationId xmlns:a16="http://schemas.microsoft.com/office/drawing/2014/main" id="{E13CE08C-FC94-416A-9616-8C42A245DD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0" name="AutoShape 1" descr="Vista previa de toda la pantalla">
          <a:extLst>
            <a:ext uri="{FF2B5EF4-FFF2-40B4-BE49-F238E27FC236}">
              <a16:creationId xmlns:a16="http://schemas.microsoft.com/office/drawing/2014/main" id="{CD7627E0-3ACB-4E11-BB70-9F1FCF96E3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1" name="AutoShape 1" descr="Vista previa de toda la pantalla">
          <a:extLst>
            <a:ext uri="{FF2B5EF4-FFF2-40B4-BE49-F238E27FC236}">
              <a16:creationId xmlns:a16="http://schemas.microsoft.com/office/drawing/2014/main" id="{ED17D6BB-9F3E-499B-9C65-6C6C159F4C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2" name="AutoShape 1" descr="Vista previa de toda la pantalla">
          <a:extLst>
            <a:ext uri="{FF2B5EF4-FFF2-40B4-BE49-F238E27FC236}">
              <a16:creationId xmlns:a16="http://schemas.microsoft.com/office/drawing/2014/main" id="{A06C66EB-5EA6-4CAE-8956-3291DA9CCB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3" name="AutoShape 1" descr="Vista previa de toda la pantalla">
          <a:extLst>
            <a:ext uri="{FF2B5EF4-FFF2-40B4-BE49-F238E27FC236}">
              <a16:creationId xmlns:a16="http://schemas.microsoft.com/office/drawing/2014/main" id="{2F21AB69-5D43-4F5B-B390-D82FD24599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4" name="AutoShape 1" descr="Vista previa de toda la pantalla">
          <a:extLst>
            <a:ext uri="{FF2B5EF4-FFF2-40B4-BE49-F238E27FC236}">
              <a16:creationId xmlns:a16="http://schemas.microsoft.com/office/drawing/2014/main" id="{937E62BC-A640-4A87-8C54-BB1B6D0A77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5" name="AutoShape 1" descr="Vista previa de toda la pantalla">
          <a:extLst>
            <a:ext uri="{FF2B5EF4-FFF2-40B4-BE49-F238E27FC236}">
              <a16:creationId xmlns:a16="http://schemas.microsoft.com/office/drawing/2014/main" id="{58C96F69-962D-4059-AADD-1EABD70CBF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6" name="AutoShape 1" descr="Vista previa de toda la pantalla">
          <a:extLst>
            <a:ext uri="{FF2B5EF4-FFF2-40B4-BE49-F238E27FC236}">
              <a16:creationId xmlns:a16="http://schemas.microsoft.com/office/drawing/2014/main" id="{BB9169D0-5E0E-4738-B641-7BE2C7AB14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7" name="AutoShape 1" descr="Vista previa de toda la pantalla">
          <a:extLst>
            <a:ext uri="{FF2B5EF4-FFF2-40B4-BE49-F238E27FC236}">
              <a16:creationId xmlns:a16="http://schemas.microsoft.com/office/drawing/2014/main" id="{D9A23088-6F13-411A-A8A5-370227FEE4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8" name="AutoShape 1" descr="Vista previa de toda la pantalla">
          <a:extLst>
            <a:ext uri="{FF2B5EF4-FFF2-40B4-BE49-F238E27FC236}">
              <a16:creationId xmlns:a16="http://schemas.microsoft.com/office/drawing/2014/main" id="{D805C952-D0F4-4E95-B415-E694A9A9AA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299" name="AutoShape 1" descr="Vista previa de toda la pantalla">
          <a:extLst>
            <a:ext uri="{FF2B5EF4-FFF2-40B4-BE49-F238E27FC236}">
              <a16:creationId xmlns:a16="http://schemas.microsoft.com/office/drawing/2014/main" id="{8CE4BA7F-3EBF-403E-91B4-E8D5B9D5CE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00" name="AutoShape 1" descr="Vista previa de toda la pantalla">
          <a:extLst>
            <a:ext uri="{FF2B5EF4-FFF2-40B4-BE49-F238E27FC236}">
              <a16:creationId xmlns:a16="http://schemas.microsoft.com/office/drawing/2014/main" id="{4D3CF8E0-E6F9-4C64-8B9D-3359DEBF2E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01" name="AutoShape 1" descr="Vista previa de toda la pantalla">
          <a:extLst>
            <a:ext uri="{FF2B5EF4-FFF2-40B4-BE49-F238E27FC236}">
              <a16:creationId xmlns:a16="http://schemas.microsoft.com/office/drawing/2014/main" id="{D7DAFDC7-3317-4D88-9D97-1D6DC4F6E8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02" name="AutoShape 1" descr="Vista previa de toda la pantalla">
          <a:extLst>
            <a:ext uri="{FF2B5EF4-FFF2-40B4-BE49-F238E27FC236}">
              <a16:creationId xmlns:a16="http://schemas.microsoft.com/office/drawing/2014/main" id="{1A3D5523-A1E0-4C0E-9603-FBAF0E99EF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03" name="AutoShape 1" descr="Vista previa de toda la pantalla">
          <a:extLst>
            <a:ext uri="{FF2B5EF4-FFF2-40B4-BE49-F238E27FC236}">
              <a16:creationId xmlns:a16="http://schemas.microsoft.com/office/drawing/2014/main" id="{43C06026-61C5-4AB9-8967-751D0AF52C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04" name="AutoShape 1" descr="Vista previa de toda la pantalla">
          <a:extLst>
            <a:ext uri="{FF2B5EF4-FFF2-40B4-BE49-F238E27FC236}">
              <a16:creationId xmlns:a16="http://schemas.microsoft.com/office/drawing/2014/main" id="{51D48D91-4494-4211-8090-EBC667C386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05" name="AutoShape 1" descr="Vista previa de toda la pantalla">
          <a:extLst>
            <a:ext uri="{FF2B5EF4-FFF2-40B4-BE49-F238E27FC236}">
              <a16:creationId xmlns:a16="http://schemas.microsoft.com/office/drawing/2014/main" id="{FD829E41-3365-4037-8903-71892EFAEB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06" name="AutoShape 1" descr="Vista previa de toda la pantalla">
          <a:extLst>
            <a:ext uri="{FF2B5EF4-FFF2-40B4-BE49-F238E27FC236}">
              <a16:creationId xmlns:a16="http://schemas.microsoft.com/office/drawing/2014/main" id="{63607ED3-97FF-4BAA-BE5F-DB481C2A26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07" name="AutoShape 1" descr="Vista previa de toda la pantalla">
          <a:extLst>
            <a:ext uri="{FF2B5EF4-FFF2-40B4-BE49-F238E27FC236}">
              <a16:creationId xmlns:a16="http://schemas.microsoft.com/office/drawing/2014/main" id="{5E75714C-9FDC-4D3B-9A3F-E16B0EC75E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08" name="AutoShape 1" descr="Vista previa de toda la pantalla">
          <a:extLst>
            <a:ext uri="{FF2B5EF4-FFF2-40B4-BE49-F238E27FC236}">
              <a16:creationId xmlns:a16="http://schemas.microsoft.com/office/drawing/2014/main" id="{AF55409C-C73A-4C30-901A-B993442691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09" name="AutoShape 1" descr="Vista previa de toda la pantalla">
          <a:extLst>
            <a:ext uri="{FF2B5EF4-FFF2-40B4-BE49-F238E27FC236}">
              <a16:creationId xmlns:a16="http://schemas.microsoft.com/office/drawing/2014/main" id="{AF1B74AB-5848-4870-85D3-6BC39EB5B8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0" name="AutoShape 1" descr="Vista previa de toda la pantalla">
          <a:extLst>
            <a:ext uri="{FF2B5EF4-FFF2-40B4-BE49-F238E27FC236}">
              <a16:creationId xmlns:a16="http://schemas.microsoft.com/office/drawing/2014/main" id="{7AA7C906-7C13-4F76-9553-80362CC20F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1" name="AutoShape 1" descr="Vista previa de toda la pantalla">
          <a:extLst>
            <a:ext uri="{FF2B5EF4-FFF2-40B4-BE49-F238E27FC236}">
              <a16:creationId xmlns:a16="http://schemas.microsoft.com/office/drawing/2014/main" id="{4FE8776B-418C-4292-9450-CF678101F2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2" name="AutoShape 1" descr="Vista previa de toda la pantalla">
          <a:extLst>
            <a:ext uri="{FF2B5EF4-FFF2-40B4-BE49-F238E27FC236}">
              <a16:creationId xmlns:a16="http://schemas.microsoft.com/office/drawing/2014/main" id="{100D380B-DAD7-4C9B-9DC9-456B316B71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3" name="AutoShape 1" descr="Vista previa de toda la pantalla">
          <a:extLst>
            <a:ext uri="{FF2B5EF4-FFF2-40B4-BE49-F238E27FC236}">
              <a16:creationId xmlns:a16="http://schemas.microsoft.com/office/drawing/2014/main" id="{C56924F0-50E1-474B-B8C9-89449EFE06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4" name="AutoShape 1" descr="Vista previa de toda la pantalla">
          <a:extLst>
            <a:ext uri="{FF2B5EF4-FFF2-40B4-BE49-F238E27FC236}">
              <a16:creationId xmlns:a16="http://schemas.microsoft.com/office/drawing/2014/main" id="{EAEB21F3-830D-4734-A279-29F47762CB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5" name="AutoShape 1" descr="Vista previa de toda la pantalla">
          <a:extLst>
            <a:ext uri="{FF2B5EF4-FFF2-40B4-BE49-F238E27FC236}">
              <a16:creationId xmlns:a16="http://schemas.microsoft.com/office/drawing/2014/main" id="{A3A8F75C-6160-42A0-8656-47E451E100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6" name="AutoShape 1" descr="Vista previa de toda la pantalla">
          <a:extLst>
            <a:ext uri="{FF2B5EF4-FFF2-40B4-BE49-F238E27FC236}">
              <a16:creationId xmlns:a16="http://schemas.microsoft.com/office/drawing/2014/main" id="{5A6E398E-555A-4E38-846E-A22265AE37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7" name="AutoShape 1" descr="Vista previa de toda la pantalla">
          <a:extLst>
            <a:ext uri="{FF2B5EF4-FFF2-40B4-BE49-F238E27FC236}">
              <a16:creationId xmlns:a16="http://schemas.microsoft.com/office/drawing/2014/main" id="{3739C46D-2E59-417D-AB03-A005C3EEAB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8" name="AutoShape 1" descr="Vista previa de toda la pantalla">
          <a:extLst>
            <a:ext uri="{FF2B5EF4-FFF2-40B4-BE49-F238E27FC236}">
              <a16:creationId xmlns:a16="http://schemas.microsoft.com/office/drawing/2014/main" id="{6BEBD38B-299E-4988-A895-44AC144029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19" name="AutoShape 1" descr="Vista previa de toda la pantalla">
          <a:extLst>
            <a:ext uri="{FF2B5EF4-FFF2-40B4-BE49-F238E27FC236}">
              <a16:creationId xmlns:a16="http://schemas.microsoft.com/office/drawing/2014/main" id="{15829A58-85FE-4875-8DC4-22C4198119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0" name="AutoShape 1" descr="Vista previa de toda la pantalla">
          <a:extLst>
            <a:ext uri="{FF2B5EF4-FFF2-40B4-BE49-F238E27FC236}">
              <a16:creationId xmlns:a16="http://schemas.microsoft.com/office/drawing/2014/main" id="{D6BCAFCC-46B1-4300-B607-914DDFCC8D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1" name="AutoShape 1" descr="Vista previa de toda la pantalla">
          <a:extLst>
            <a:ext uri="{FF2B5EF4-FFF2-40B4-BE49-F238E27FC236}">
              <a16:creationId xmlns:a16="http://schemas.microsoft.com/office/drawing/2014/main" id="{4D674592-3BC5-4FEA-9C92-3B69DFE6E8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2" name="AutoShape 1" descr="Vista previa de toda la pantalla">
          <a:extLst>
            <a:ext uri="{FF2B5EF4-FFF2-40B4-BE49-F238E27FC236}">
              <a16:creationId xmlns:a16="http://schemas.microsoft.com/office/drawing/2014/main" id="{0DCB39F2-28B4-4169-AFE8-A7706536FB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3" name="AutoShape 1" descr="Vista previa de toda la pantalla">
          <a:extLst>
            <a:ext uri="{FF2B5EF4-FFF2-40B4-BE49-F238E27FC236}">
              <a16:creationId xmlns:a16="http://schemas.microsoft.com/office/drawing/2014/main" id="{E81E2134-6BCC-4A0A-B7C8-5A2A5B894F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4" name="AutoShape 1" descr="Vista previa de toda la pantalla">
          <a:extLst>
            <a:ext uri="{FF2B5EF4-FFF2-40B4-BE49-F238E27FC236}">
              <a16:creationId xmlns:a16="http://schemas.microsoft.com/office/drawing/2014/main" id="{F2037A51-4298-4CB5-B2F2-68F0A8F25C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5" name="AutoShape 1" descr="Vista previa de toda la pantalla">
          <a:extLst>
            <a:ext uri="{FF2B5EF4-FFF2-40B4-BE49-F238E27FC236}">
              <a16:creationId xmlns:a16="http://schemas.microsoft.com/office/drawing/2014/main" id="{E188F59D-1E93-4DBE-92C9-BE4621B064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6" name="AutoShape 1" descr="Vista previa de toda la pantalla">
          <a:extLst>
            <a:ext uri="{FF2B5EF4-FFF2-40B4-BE49-F238E27FC236}">
              <a16:creationId xmlns:a16="http://schemas.microsoft.com/office/drawing/2014/main" id="{02C37585-CC39-4FA2-AA57-D03D4DEBF9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7" name="AutoShape 1" descr="Vista previa de toda la pantalla">
          <a:extLst>
            <a:ext uri="{FF2B5EF4-FFF2-40B4-BE49-F238E27FC236}">
              <a16:creationId xmlns:a16="http://schemas.microsoft.com/office/drawing/2014/main" id="{A5F7DD68-45A3-43C5-A549-60688EE5CD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8" name="AutoShape 1" descr="Vista previa de toda la pantalla">
          <a:extLst>
            <a:ext uri="{FF2B5EF4-FFF2-40B4-BE49-F238E27FC236}">
              <a16:creationId xmlns:a16="http://schemas.microsoft.com/office/drawing/2014/main" id="{533A175E-D443-4CF4-9F39-4786DE9F85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29" name="AutoShape 1" descr="Vista previa de toda la pantalla">
          <a:extLst>
            <a:ext uri="{FF2B5EF4-FFF2-40B4-BE49-F238E27FC236}">
              <a16:creationId xmlns:a16="http://schemas.microsoft.com/office/drawing/2014/main" id="{CD7D4B16-B197-4AD1-8D92-4EF257BAF6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0" name="AutoShape 1" descr="Vista previa de toda la pantalla">
          <a:extLst>
            <a:ext uri="{FF2B5EF4-FFF2-40B4-BE49-F238E27FC236}">
              <a16:creationId xmlns:a16="http://schemas.microsoft.com/office/drawing/2014/main" id="{28507A45-4EC8-4816-B28D-B136FB2347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1" name="AutoShape 1" descr="Vista previa de toda la pantalla">
          <a:extLst>
            <a:ext uri="{FF2B5EF4-FFF2-40B4-BE49-F238E27FC236}">
              <a16:creationId xmlns:a16="http://schemas.microsoft.com/office/drawing/2014/main" id="{D3BC0767-8D4A-4D4E-A796-414301640F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2" name="AutoShape 1" descr="Vista previa de toda la pantalla">
          <a:extLst>
            <a:ext uri="{FF2B5EF4-FFF2-40B4-BE49-F238E27FC236}">
              <a16:creationId xmlns:a16="http://schemas.microsoft.com/office/drawing/2014/main" id="{C31A4B20-95C9-4291-BADA-C385423F32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3" name="AutoShape 1" descr="Vista previa de toda la pantalla">
          <a:extLst>
            <a:ext uri="{FF2B5EF4-FFF2-40B4-BE49-F238E27FC236}">
              <a16:creationId xmlns:a16="http://schemas.microsoft.com/office/drawing/2014/main" id="{4F32DE74-543F-417D-A7B7-2B7BBB1B36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4" name="AutoShape 1" descr="Vista previa de toda la pantalla">
          <a:extLst>
            <a:ext uri="{FF2B5EF4-FFF2-40B4-BE49-F238E27FC236}">
              <a16:creationId xmlns:a16="http://schemas.microsoft.com/office/drawing/2014/main" id="{ED29A244-4FF7-4D90-BB82-D44B804FED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5" name="AutoShape 1" descr="Vista previa de toda la pantalla">
          <a:extLst>
            <a:ext uri="{FF2B5EF4-FFF2-40B4-BE49-F238E27FC236}">
              <a16:creationId xmlns:a16="http://schemas.microsoft.com/office/drawing/2014/main" id="{CCA1BBF4-EA4A-4DAE-BBA5-225798A7A7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6" name="AutoShape 1" descr="Vista previa de toda la pantalla">
          <a:extLst>
            <a:ext uri="{FF2B5EF4-FFF2-40B4-BE49-F238E27FC236}">
              <a16:creationId xmlns:a16="http://schemas.microsoft.com/office/drawing/2014/main" id="{A83B1F81-B4D9-449C-8D8B-C8F559793E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7" name="AutoShape 1" descr="Vista previa de toda la pantalla">
          <a:extLst>
            <a:ext uri="{FF2B5EF4-FFF2-40B4-BE49-F238E27FC236}">
              <a16:creationId xmlns:a16="http://schemas.microsoft.com/office/drawing/2014/main" id="{222374D8-A23B-4B54-80CC-9B8D7018AD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8" name="AutoShape 1" descr="Vista previa de toda la pantalla">
          <a:extLst>
            <a:ext uri="{FF2B5EF4-FFF2-40B4-BE49-F238E27FC236}">
              <a16:creationId xmlns:a16="http://schemas.microsoft.com/office/drawing/2014/main" id="{B56FE61B-E912-481A-B326-C17D97B1A0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39" name="AutoShape 1" descr="Vista previa de toda la pantalla">
          <a:extLst>
            <a:ext uri="{FF2B5EF4-FFF2-40B4-BE49-F238E27FC236}">
              <a16:creationId xmlns:a16="http://schemas.microsoft.com/office/drawing/2014/main" id="{57F03708-A2BA-404F-B2A9-EA159EC7E1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0" name="AutoShape 1" descr="Vista previa de toda la pantalla">
          <a:extLst>
            <a:ext uri="{FF2B5EF4-FFF2-40B4-BE49-F238E27FC236}">
              <a16:creationId xmlns:a16="http://schemas.microsoft.com/office/drawing/2014/main" id="{ACC6ED07-B16B-42D6-8241-435303FDBE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1" name="AutoShape 1" descr="Vista previa de toda la pantalla">
          <a:extLst>
            <a:ext uri="{FF2B5EF4-FFF2-40B4-BE49-F238E27FC236}">
              <a16:creationId xmlns:a16="http://schemas.microsoft.com/office/drawing/2014/main" id="{6565DD25-BE1B-4B0E-8469-BF7AB375CF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2" name="AutoShape 1" descr="Vista previa de toda la pantalla">
          <a:extLst>
            <a:ext uri="{FF2B5EF4-FFF2-40B4-BE49-F238E27FC236}">
              <a16:creationId xmlns:a16="http://schemas.microsoft.com/office/drawing/2014/main" id="{78156C25-D7D6-4301-8106-5C6D4FBA74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3" name="AutoShape 1" descr="Vista previa de toda la pantalla">
          <a:extLst>
            <a:ext uri="{FF2B5EF4-FFF2-40B4-BE49-F238E27FC236}">
              <a16:creationId xmlns:a16="http://schemas.microsoft.com/office/drawing/2014/main" id="{D2BD5B48-2E28-4FCE-9A20-AB2B0F73E7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4" name="AutoShape 1" descr="Vista previa de toda la pantalla">
          <a:extLst>
            <a:ext uri="{FF2B5EF4-FFF2-40B4-BE49-F238E27FC236}">
              <a16:creationId xmlns:a16="http://schemas.microsoft.com/office/drawing/2014/main" id="{622038DF-680D-4D99-B9A1-641975CD3D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5" name="AutoShape 1" descr="Vista previa de toda la pantalla">
          <a:extLst>
            <a:ext uri="{FF2B5EF4-FFF2-40B4-BE49-F238E27FC236}">
              <a16:creationId xmlns:a16="http://schemas.microsoft.com/office/drawing/2014/main" id="{E70C5E0B-B558-4811-A349-8410D23B83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6" name="AutoShape 1" descr="Vista previa de toda la pantalla">
          <a:extLst>
            <a:ext uri="{FF2B5EF4-FFF2-40B4-BE49-F238E27FC236}">
              <a16:creationId xmlns:a16="http://schemas.microsoft.com/office/drawing/2014/main" id="{89973576-14F0-4026-A45D-2EA6F00C42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7" name="AutoShape 1" descr="Vista previa de toda la pantalla">
          <a:extLst>
            <a:ext uri="{FF2B5EF4-FFF2-40B4-BE49-F238E27FC236}">
              <a16:creationId xmlns:a16="http://schemas.microsoft.com/office/drawing/2014/main" id="{21950E2B-7146-4CD0-AC20-A5346F5AF8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8" name="AutoShape 1" descr="Vista previa de toda la pantalla">
          <a:extLst>
            <a:ext uri="{FF2B5EF4-FFF2-40B4-BE49-F238E27FC236}">
              <a16:creationId xmlns:a16="http://schemas.microsoft.com/office/drawing/2014/main" id="{C0481F94-7539-4BE5-B153-316F8BDEC4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49" name="AutoShape 1" descr="Vista previa de toda la pantalla">
          <a:extLst>
            <a:ext uri="{FF2B5EF4-FFF2-40B4-BE49-F238E27FC236}">
              <a16:creationId xmlns:a16="http://schemas.microsoft.com/office/drawing/2014/main" id="{FC37099D-A8B7-4764-9DC8-CA48752482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50" name="AutoShape 1" descr="Vista previa de toda la pantalla">
          <a:extLst>
            <a:ext uri="{FF2B5EF4-FFF2-40B4-BE49-F238E27FC236}">
              <a16:creationId xmlns:a16="http://schemas.microsoft.com/office/drawing/2014/main" id="{C6795190-CBAA-496E-A2E7-AD8A4D4442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51" name="AutoShape 1" descr="Vista previa de toda la pantalla">
          <a:extLst>
            <a:ext uri="{FF2B5EF4-FFF2-40B4-BE49-F238E27FC236}">
              <a16:creationId xmlns:a16="http://schemas.microsoft.com/office/drawing/2014/main" id="{3406B0A7-881D-4B6E-9561-32EA414907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52" name="AutoShape 1" descr="Vista previa de toda la pantalla">
          <a:extLst>
            <a:ext uri="{FF2B5EF4-FFF2-40B4-BE49-F238E27FC236}">
              <a16:creationId xmlns:a16="http://schemas.microsoft.com/office/drawing/2014/main" id="{91AA628C-1D4A-460D-8D13-9608CCE50A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53" name="AutoShape 1" descr="Vista previa de toda la pantalla">
          <a:extLst>
            <a:ext uri="{FF2B5EF4-FFF2-40B4-BE49-F238E27FC236}">
              <a16:creationId xmlns:a16="http://schemas.microsoft.com/office/drawing/2014/main" id="{C6D9856F-5B9C-4E09-A194-E617B3F108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54" name="AutoShape 1" descr="Vista previa de toda la pantalla">
          <a:extLst>
            <a:ext uri="{FF2B5EF4-FFF2-40B4-BE49-F238E27FC236}">
              <a16:creationId xmlns:a16="http://schemas.microsoft.com/office/drawing/2014/main" id="{AB5E26CB-C368-42EA-ABDA-D8EAEE293D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55" name="AutoShape 1" descr="Vista previa de toda la pantalla">
          <a:extLst>
            <a:ext uri="{FF2B5EF4-FFF2-40B4-BE49-F238E27FC236}">
              <a16:creationId xmlns:a16="http://schemas.microsoft.com/office/drawing/2014/main" id="{AF92FCD0-D3E5-493A-ADF5-BE82E9A25C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56" name="AutoShape 1" descr="Vista previa de toda la pantalla">
          <a:extLst>
            <a:ext uri="{FF2B5EF4-FFF2-40B4-BE49-F238E27FC236}">
              <a16:creationId xmlns:a16="http://schemas.microsoft.com/office/drawing/2014/main" id="{1DABBEAF-CB2C-4A43-A21B-AED3916EB9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57" name="AutoShape 1" descr="Vista previa de toda la pantalla">
          <a:extLst>
            <a:ext uri="{FF2B5EF4-FFF2-40B4-BE49-F238E27FC236}">
              <a16:creationId xmlns:a16="http://schemas.microsoft.com/office/drawing/2014/main" id="{503CA673-788E-47BE-B7FF-5885F500B9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58" name="AutoShape 1" descr="Vista previa de toda la pantalla">
          <a:extLst>
            <a:ext uri="{FF2B5EF4-FFF2-40B4-BE49-F238E27FC236}">
              <a16:creationId xmlns:a16="http://schemas.microsoft.com/office/drawing/2014/main" id="{11B32E41-CB9A-49BA-85D2-126151CF0C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59" name="AutoShape 1" descr="Vista previa de toda la pantalla">
          <a:extLst>
            <a:ext uri="{FF2B5EF4-FFF2-40B4-BE49-F238E27FC236}">
              <a16:creationId xmlns:a16="http://schemas.microsoft.com/office/drawing/2014/main" id="{826B4F4C-BE12-46DC-842A-E112581AEB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0" name="AutoShape 1" descr="Vista previa de toda la pantalla">
          <a:extLst>
            <a:ext uri="{FF2B5EF4-FFF2-40B4-BE49-F238E27FC236}">
              <a16:creationId xmlns:a16="http://schemas.microsoft.com/office/drawing/2014/main" id="{7B40824A-C6CA-4DDD-AABD-04CC5573A1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1" name="AutoShape 1" descr="Vista previa de toda la pantalla">
          <a:extLst>
            <a:ext uri="{FF2B5EF4-FFF2-40B4-BE49-F238E27FC236}">
              <a16:creationId xmlns:a16="http://schemas.microsoft.com/office/drawing/2014/main" id="{B962B3F0-0871-4D4D-8CB0-950D3B93C8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2" name="AutoShape 1" descr="Vista previa de toda la pantalla">
          <a:extLst>
            <a:ext uri="{FF2B5EF4-FFF2-40B4-BE49-F238E27FC236}">
              <a16:creationId xmlns:a16="http://schemas.microsoft.com/office/drawing/2014/main" id="{2815AE6D-934F-465C-8326-BFCA5D1BC1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3" name="AutoShape 1" descr="Vista previa de toda la pantalla">
          <a:extLst>
            <a:ext uri="{FF2B5EF4-FFF2-40B4-BE49-F238E27FC236}">
              <a16:creationId xmlns:a16="http://schemas.microsoft.com/office/drawing/2014/main" id="{8CEBAF17-4ACF-4DBB-9313-721F358E1C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4" name="AutoShape 1" descr="Vista previa de toda la pantalla">
          <a:extLst>
            <a:ext uri="{FF2B5EF4-FFF2-40B4-BE49-F238E27FC236}">
              <a16:creationId xmlns:a16="http://schemas.microsoft.com/office/drawing/2014/main" id="{796F78CC-D514-4F5E-A78E-B3C0426C25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5" name="AutoShape 1" descr="Vista previa de toda la pantalla">
          <a:extLst>
            <a:ext uri="{FF2B5EF4-FFF2-40B4-BE49-F238E27FC236}">
              <a16:creationId xmlns:a16="http://schemas.microsoft.com/office/drawing/2014/main" id="{C63EC6CF-2AA3-41E5-B75B-25205CC830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6" name="AutoShape 1" descr="Vista previa de toda la pantalla">
          <a:extLst>
            <a:ext uri="{FF2B5EF4-FFF2-40B4-BE49-F238E27FC236}">
              <a16:creationId xmlns:a16="http://schemas.microsoft.com/office/drawing/2014/main" id="{82D9CA0E-41B3-415E-BE09-0A9A2CDD71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7" name="AutoShape 1" descr="Vista previa de toda la pantalla">
          <a:extLst>
            <a:ext uri="{FF2B5EF4-FFF2-40B4-BE49-F238E27FC236}">
              <a16:creationId xmlns:a16="http://schemas.microsoft.com/office/drawing/2014/main" id="{D9B8E833-1614-42CA-9DBA-E7C97EEEBD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8" name="AutoShape 1" descr="Vista previa de toda la pantalla">
          <a:extLst>
            <a:ext uri="{FF2B5EF4-FFF2-40B4-BE49-F238E27FC236}">
              <a16:creationId xmlns:a16="http://schemas.microsoft.com/office/drawing/2014/main" id="{E4027E11-413C-4448-B7F0-3F5CA34359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69" name="AutoShape 1" descr="Vista previa de toda la pantalla">
          <a:extLst>
            <a:ext uri="{FF2B5EF4-FFF2-40B4-BE49-F238E27FC236}">
              <a16:creationId xmlns:a16="http://schemas.microsoft.com/office/drawing/2014/main" id="{DDFACB3E-6C47-4ABB-BD3B-94FBFAAAF7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0" name="AutoShape 1" descr="Vista previa de toda la pantalla">
          <a:extLst>
            <a:ext uri="{FF2B5EF4-FFF2-40B4-BE49-F238E27FC236}">
              <a16:creationId xmlns:a16="http://schemas.microsoft.com/office/drawing/2014/main" id="{53EAE14E-F4B6-445A-86A5-4FE3B9DD10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1" name="AutoShape 1" descr="Vista previa de toda la pantalla">
          <a:extLst>
            <a:ext uri="{FF2B5EF4-FFF2-40B4-BE49-F238E27FC236}">
              <a16:creationId xmlns:a16="http://schemas.microsoft.com/office/drawing/2014/main" id="{1B51E803-C954-4CC0-98E6-0DDD24CE4E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2" name="AutoShape 1" descr="Vista previa de toda la pantalla">
          <a:extLst>
            <a:ext uri="{FF2B5EF4-FFF2-40B4-BE49-F238E27FC236}">
              <a16:creationId xmlns:a16="http://schemas.microsoft.com/office/drawing/2014/main" id="{11E43CC9-9F53-4430-A6B0-B8814DE424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3" name="AutoShape 1" descr="Vista previa de toda la pantalla">
          <a:extLst>
            <a:ext uri="{FF2B5EF4-FFF2-40B4-BE49-F238E27FC236}">
              <a16:creationId xmlns:a16="http://schemas.microsoft.com/office/drawing/2014/main" id="{DF35629F-9CA8-4B4E-BEC9-55C6C07138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4" name="AutoShape 1" descr="Vista previa de toda la pantalla">
          <a:extLst>
            <a:ext uri="{FF2B5EF4-FFF2-40B4-BE49-F238E27FC236}">
              <a16:creationId xmlns:a16="http://schemas.microsoft.com/office/drawing/2014/main" id="{6A7B75C6-6E5D-4E21-8D40-DEF9BBA2CC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5" name="AutoShape 1" descr="Vista previa de toda la pantalla">
          <a:extLst>
            <a:ext uri="{FF2B5EF4-FFF2-40B4-BE49-F238E27FC236}">
              <a16:creationId xmlns:a16="http://schemas.microsoft.com/office/drawing/2014/main" id="{91048516-D130-4B32-99F3-32E6FAF195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6" name="AutoShape 1" descr="Vista previa de toda la pantalla">
          <a:extLst>
            <a:ext uri="{FF2B5EF4-FFF2-40B4-BE49-F238E27FC236}">
              <a16:creationId xmlns:a16="http://schemas.microsoft.com/office/drawing/2014/main" id="{D057BF7B-3C25-426E-AD89-68D3A111FE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7" name="AutoShape 1" descr="Vista previa de toda la pantalla">
          <a:extLst>
            <a:ext uri="{FF2B5EF4-FFF2-40B4-BE49-F238E27FC236}">
              <a16:creationId xmlns:a16="http://schemas.microsoft.com/office/drawing/2014/main" id="{B8DE482D-DDA3-4F78-AAEB-28899A8E9E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8" name="AutoShape 1" descr="Vista previa de toda la pantalla">
          <a:extLst>
            <a:ext uri="{FF2B5EF4-FFF2-40B4-BE49-F238E27FC236}">
              <a16:creationId xmlns:a16="http://schemas.microsoft.com/office/drawing/2014/main" id="{11CEB1F9-CA0F-49AA-8AA8-B7599AB08D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79" name="AutoShape 1" descr="Vista previa de toda la pantalla">
          <a:extLst>
            <a:ext uri="{FF2B5EF4-FFF2-40B4-BE49-F238E27FC236}">
              <a16:creationId xmlns:a16="http://schemas.microsoft.com/office/drawing/2014/main" id="{66F81F26-AA42-419C-BE28-A6D9B172C1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0" name="AutoShape 1" descr="Vista previa de toda la pantalla">
          <a:extLst>
            <a:ext uri="{FF2B5EF4-FFF2-40B4-BE49-F238E27FC236}">
              <a16:creationId xmlns:a16="http://schemas.microsoft.com/office/drawing/2014/main" id="{09E568C3-63D6-4B72-B392-A674A258F3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1" name="AutoShape 1" descr="Vista previa de toda la pantalla">
          <a:extLst>
            <a:ext uri="{FF2B5EF4-FFF2-40B4-BE49-F238E27FC236}">
              <a16:creationId xmlns:a16="http://schemas.microsoft.com/office/drawing/2014/main" id="{1583B3D5-AEE5-4D00-9A48-F668B2F5CB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2" name="AutoShape 1" descr="Vista previa de toda la pantalla">
          <a:extLst>
            <a:ext uri="{FF2B5EF4-FFF2-40B4-BE49-F238E27FC236}">
              <a16:creationId xmlns:a16="http://schemas.microsoft.com/office/drawing/2014/main" id="{BDA0D207-5D33-40D0-8C83-D82B5807E3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3" name="AutoShape 1" descr="Vista previa de toda la pantalla">
          <a:extLst>
            <a:ext uri="{FF2B5EF4-FFF2-40B4-BE49-F238E27FC236}">
              <a16:creationId xmlns:a16="http://schemas.microsoft.com/office/drawing/2014/main" id="{31C67775-0FB6-420C-A898-D97E5CC98E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4" name="AutoShape 1" descr="Vista previa de toda la pantalla">
          <a:extLst>
            <a:ext uri="{FF2B5EF4-FFF2-40B4-BE49-F238E27FC236}">
              <a16:creationId xmlns:a16="http://schemas.microsoft.com/office/drawing/2014/main" id="{AE32914F-F187-4A29-8157-BF65BC3F2B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5" name="AutoShape 1" descr="Vista previa de toda la pantalla">
          <a:extLst>
            <a:ext uri="{FF2B5EF4-FFF2-40B4-BE49-F238E27FC236}">
              <a16:creationId xmlns:a16="http://schemas.microsoft.com/office/drawing/2014/main" id="{044F145F-21AA-4A63-8D58-BE437E9096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6" name="AutoShape 1" descr="Vista previa de toda la pantalla">
          <a:extLst>
            <a:ext uri="{FF2B5EF4-FFF2-40B4-BE49-F238E27FC236}">
              <a16:creationId xmlns:a16="http://schemas.microsoft.com/office/drawing/2014/main" id="{A2E1E49D-D408-4586-ADF2-C81E7EF0E4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7" name="AutoShape 1" descr="Vista previa de toda la pantalla">
          <a:extLst>
            <a:ext uri="{FF2B5EF4-FFF2-40B4-BE49-F238E27FC236}">
              <a16:creationId xmlns:a16="http://schemas.microsoft.com/office/drawing/2014/main" id="{937B5141-CE38-47B1-A970-713D6333F6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8" name="AutoShape 1" descr="Vista previa de toda la pantalla">
          <a:extLst>
            <a:ext uri="{FF2B5EF4-FFF2-40B4-BE49-F238E27FC236}">
              <a16:creationId xmlns:a16="http://schemas.microsoft.com/office/drawing/2014/main" id="{205BAEE2-8224-47B8-B829-98764A6974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89" name="AutoShape 1" descr="Vista previa de toda la pantalla">
          <a:extLst>
            <a:ext uri="{FF2B5EF4-FFF2-40B4-BE49-F238E27FC236}">
              <a16:creationId xmlns:a16="http://schemas.microsoft.com/office/drawing/2014/main" id="{467BBD53-9A18-4526-8B93-0FEDFB0134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0" name="AutoShape 1" descr="Vista previa de toda la pantalla">
          <a:extLst>
            <a:ext uri="{FF2B5EF4-FFF2-40B4-BE49-F238E27FC236}">
              <a16:creationId xmlns:a16="http://schemas.microsoft.com/office/drawing/2014/main" id="{E1AB469D-A048-4846-A0DE-54D7EBF259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1" name="AutoShape 1" descr="Vista previa de toda la pantalla">
          <a:extLst>
            <a:ext uri="{FF2B5EF4-FFF2-40B4-BE49-F238E27FC236}">
              <a16:creationId xmlns:a16="http://schemas.microsoft.com/office/drawing/2014/main" id="{88E83CE9-D6C6-4533-9E7F-DD8BEE5B3B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2" name="AutoShape 1" descr="Vista previa de toda la pantalla">
          <a:extLst>
            <a:ext uri="{FF2B5EF4-FFF2-40B4-BE49-F238E27FC236}">
              <a16:creationId xmlns:a16="http://schemas.microsoft.com/office/drawing/2014/main" id="{5DF7DF34-0C5B-4E19-94E3-F1E6643165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3" name="AutoShape 1" descr="Vista previa de toda la pantalla">
          <a:extLst>
            <a:ext uri="{FF2B5EF4-FFF2-40B4-BE49-F238E27FC236}">
              <a16:creationId xmlns:a16="http://schemas.microsoft.com/office/drawing/2014/main" id="{9582F716-CABB-4244-BE04-1215DC9B01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4" name="AutoShape 1" descr="Vista previa de toda la pantalla">
          <a:extLst>
            <a:ext uri="{FF2B5EF4-FFF2-40B4-BE49-F238E27FC236}">
              <a16:creationId xmlns:a16="http://schemas.microsoft.com/office/drawing/2014/main" id="{50EFBD71-FEA5-43D1-B8C5-BDACFFFFD4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5" name="AutoShape 1" descr="Vista previa de toda la pantalla">
          <a:extLst>
            <a:ext uri="{FF2B5EF4-FFF2-40B4-BE49-F238E27FC236}">
              <a16:creationId xmlns:a16="http://schemas.microsoft.com/office/drawing/2014/main" id="{10B2E310-0BE2-42EF-8EDF-AE25568C88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6" name="AutoShape 1" descr="Vista previa de toda la pantalla">
          <a:extLst>
            <a:ext uri="{FF2B5EF4-FFF2-40B4-BE49-F238E27FC236}">
              <a16:creationId xmlns:a16="http://schemas.microsoft.com/office/drawing/2014/main" id="{EDF7D50D-85B7-443D-AF59-377344614F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7" name="AutoShape 1" descr="Vista previa de toda la pantalla">
          <a:extLst>
            <a:ext uri="{FF2B5EF4-FFF2-40B4-BE49-F238E27FC236}">
              <a16:creationId xmlns:a16="http://schemas.microsoft.com/office/drawing/2014/main" id="{2718B676-2633-4FC8-94C5-969B8FF60E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8" name="AutoShape 1" descr="Vista previa de toda la pantalla">
          <a:extLst>
            <a:ext uri="{FF2B5EF4-FFF2-40B4-BE49-F238E27FC236}">
              <a16:creationId xmlns:a16="http://schemas.microsoft.com/office/drawing/2014/main" id="{FE801332-F5E0-4BA8-ACE7-FAB858306F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399" name="AutoShape 1" descr="Vista previa de toda la pantalla">
          <a:extLst>
            <a:ext uri="{FF2B5EF4-FFF2-40B4-BE49-F238E27FC236}">
              <a16:creationId xmlns:a16="http://schemas.microsoft.com/office/drawing/2014/main" id="{1850234F-F3F7-4644-B164-AABCE7FB11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00" name="AutoShape 1" descr="Vista previa de toda la pantalla">
          <a:extLst>
            <a:ext uri="{FF2B5EF4-FFF2-40B4-BE49-F238E27FC236}">
              <a16:creationId xmlns:a16="http://schemas.microsoft.com/office/drawing/2014/main" id="{566EA95E-E998-4904-9498-6031F7CAC0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01" name="AutoShape 1" descr="Vista previa de toda la pantalla">
          <a:extLst>
            <a:ext uri="{FF2B5EF4-FFF2-40B4-BE49-F238E27FC236}">
              <a16:creationId xmlns:a16="http://schemas.microsoft.com/office/drawing/2014/main" id="{078C419A-1204-4322-8B82-2A34081C19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02" name="AutoShape 1" descr="Vista previa de toda la pantalla">
          <a:extLst>
            <a:ext uri="{FF2B5EF4-FFF2-40B4-BE49-F238E27FC236}">
              <a16:creationId xmlns:a16="http://schemas.microsoft.com/office/drawing/2014/main" id="{DA16A28D-7C30-43BD-BA68-722606AD38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03" name="AutoShape 1" descr="Vista previa de toda la pantalla">
          <a:extLst>
            <a:ext uri="{FF2B5EF4-FFF2-40B4-BE49-F238E27FC236}">
              <a16:creationId xmlns:a16="http://schemas.microsoft.com/office/drawing/2014/main" id="{AA163CF0-E07F-49D2-815E-EF61F48F68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04" name="AutoShape 1" descr="Vista previa de toda la pantalla">
          <a:extLst>
            <a:ext uri="{FF2B5EF4-FFF2-40B4-BE49-F238E27FC236}">
              <a16:creationId xmlns:a16="http://schemas.microsoft.com/office/drawing/2014/main" id="{C88584E8-C812-41E8-B709-95026C67E0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05" name="AutoShape 1" descr="Vista previa de toda la pantalla">
          <a:extLst>
            <a:ext uri="{FF2B5EF4-FFF2-40B4-BE49-F238E27FC236}">
              <a16:creationId xmlns:a16="http://schemas.microsoft.com/office/drawing/2014/main" id="{F355D3FA-D258-4F8F-BB3E-CBC2E3B66C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06" name="AutoShape 1" descr="Vista previa de toda la pantalla">
          <a:extLst>
            <a:ext uri="{FF2B5EF4-FFF2-40B4-BE49-F238E27FC236}">
              <a16:creationId xmlns:a16="http://schemas.microsoft.com/office/drawing/2014/main" id="{CA93D7EB-1468-4EB2-946B-0C8D2A995E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07" name="AutoShape 1" descr="Vista previa de toda la pantalla">
          <a:extLst>
            <a:ext uri="{FF2B5EF4-FFF2-40B4-BE49-F238E27FC236}">
              <a16:creationId xmlns:a16="http://schemas.microsoft.com/office/drawing/2014/main" id="{F9E7885B-5509-4F87-A6BA-2D0E86065F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08" name="AutoShape 1" descr="Vista previa de toda la pantalla">
          <a:extLst>
            <a:ext uri="{FF2B5EF4-FFF2-40B4-BE49-F238E27FC236}">
              <a16:creationId xmlns:a16="http://schemas.microsoft.com/office/drawing/2014/main" id="{4BCCCC59-882F-4CE6-81D5-9F3446B7AE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09" name="AutoShape 1" descr="Vista previa de toda la pantalla">
          <a:extLst>
            <a:ext uri="{FF2B5EF4-FFF2-40B4-BE49-F238E27FC236}">
              <a16:creationId xmlns:a16="http://schemas.microsoft.com/office/drawing/2014/main" id="{F46D8819-2790-4799-AFF5-A3CDB72E7F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0" name="AutoShape 1" descr="Vista previa de toda la pantalla">
          <a:extLst>
            <a:ext uri="{FF2B5EF4-FFF2-40B4-BE49-F238E27FC236}">
              <a16:creationId xmlns:a16="http://schemas.microsoft.com/office/drawing/2014/main" id="{F60E7D12-10F9-47ED-A100-12A01F93C2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1" name="AutoShape 1" descr="Vista previa de toda la pantalla">
          <a:extLst>
            <a:ext uri="{FF2B5EF4-FFF2-40B4-BE49-F238E27FC236}">
              <a16:creationId xmlns:a16="http://schemas.microsoft.com/office/drawing/2014/main" id="{557C86C9-8EC7-4E21-9E3C-761A4702EE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2" name="AutoShape 1" descr="Vista previa de toda la pantalla">
          <a:extLst>
            <a:ext uri="{FF2B5EF4-FFF2-40B4-BE49-F238E27FC236}">
              <a16:creationId xmlns:a16="http://schemas.microsoft.com/office/drawing/2014/main" id="{1D4D5A39-20C3-4DD5-87B9-3C13204DD6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3" name="AutoShape 1" descr="Vista previa de toda la pantalla">
          <a:extLst>
            <a:ext uri="{FF2B5EF4-FFF2-40B4-BE49-F238E27FC236}">
              <a16:creationId xmlns:a16="http://schemas.microsoft.com/office/drawing/2014/main" id="{311E85EB-FC24-44B3-BBE3-90362ED2EA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4" name="AutoShape 1" descr="Vista previa de toda la pantalla">
          <a:extLst>
            <a:ext uri="{FF2B5EF4-FFF2-40B4-BE49-F238E27FC236}">
              <a16:creationId xmlns:a16="http://schemas.microsoft.com/office/drawing/2014/main" id="{22A03B2D-FB63-4CB8-8321-CB1C811A91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5" name="AutoShape 1" descr="Vista previa de toda la pantalla">
          <a:extLst>
            <a:ext uri="{FF2B5EF4-FFF2-40B4-BE49-F238E27FC236}">
              <a16:creationId xmlns:a16="http://schemas.microsoft.com/office/drawing/2014/main" id="{0A11C0A1-DA75-491D-8EC4-4A046A3110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6" name="AutoShape 1" descr="Vista previa de toda la pantalla">
          <a:extLst>
            <a:ext uri="{FF2B5EF4-FFF2-40B4-BE49-F238E27FC236}">
              <a16:creationId xmlns:a16="http://schemas.microsoft.com/office/drawing/2014/main" id="{AF737FB8-3ADB-480D-945B-F1ED7B1950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7" name="AutoShape 1" descr="Vista previa de toda la pantalla">
          <a:extLst>
            <a:ext uri="{FF2B5EF4-FFF2-40B4-BE49-F238E27FC236}">
              <a16:creationId xmlns:a16="http://schemas.microsoft.com/office/drawing/2014/main" id="{A201C085-E57B-4AE3-8EEB-6D975AC743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8" name="AutoShape 1" descr="Vista previa de toda la pantalla">
          <a:extLst>
            <a:ext uri="{FF2B5EF4-FFF2-40B4-BE49-F238E27FC236}">
              <a16:creationId xmlns:a16="http://schemas.microsoft.com/office/drawing/2014/main" id="{4A9D835F-BA38-4BEE-A151-82552B3D60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19" name="AutoShape 1" descr="Vista previa de toda la pantalla">
          <a:extLst>
            <a:ext uri="{FF2B5EF4-FFF2-40B4-BE49-F238E27FC236}">
              <a16:creationId xmlns:a16="http://schemas.microsoft.com/office/drawing/2014/main" id="{991718FC-259B-43FA-B139-D3A5E29AD4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0" name="AutoShape 1" descr="Vista previa de toda la pantalla">
          <a:extLst>
            <a:ext uri="{FF2B5EF4-FFF2-40B4-BE49-F238E27FC236}">
              <a16:creationId xmlns:a16="http://schemas.microsoft.com/office/drawing/2014/main" id="{D0FEFD17-0FB0-46C1-ABDA-8FD6E39895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1" name="AutoShape 1" descr="Vista previa de toda la pantalla">
          <a:extLst>
            <a:ext uri="{FF2B5EF4-FFF2-40B4-BE49-F238E27FC236}">
              <a16:creationId xmlns:a16="http://schemas.microsoft.com/office/drawing/2014/main" id="{B65A00E1-2413-4DDF-9FC6-2C9142E920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2" name="AutoShape 1" descr="Vista previa de toda la pantalla">
          <a:extLst>
            <a:ext uri="{FF2B5EF4-FFF2-40B4-BE49-F238E27FC236}">
              <a16:creationId xmlns:a16="http://schemas.microsoft.com/office/drawing/2014/main" id="{BD7A0413-1334-413F-80A1-CFEA03D32D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3" name="AutoShape 1" descr="Vista previa de toda la pantalla">
          <a:extLst>
            <a:ext uri="{FF2B5EF4-FFF2-40B4-BE49-F238E27FC236}">
              <a16:creationId xmlns:a16="http://schemas.microsoft.com/office/drawing/2014/main" id="{5C0F8867-2B22-49A0-944A-47613F9077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4" name="AutoShape 1" descr="Vista previa de toda la pantalla">
          <a:extLst>
            <a:ext uri="{FF2B5EF4-FFF2-40B4-BE49-F238E27FC236}">
              <a16:creationId xmlns:a16="http://schemas.microsoft.com/office/drawing/2014/main" id="{64428CFC-15C8-442A-AAD3-B6BFADFBA3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5" name="AutoShape 1" descr="Vista previa de toda la pantalla">
          <a:extLst>
            <a:ext uri="{FF2B5EF4-FFF2-40B4-BE49-F238E27FC236}">
              <a16:creationId xmlns:a16="http://schemas.microsoft.com/office/drawing/2014/main" id="{C7E7282A-AED5-40B9-AC5B-FB87573165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6" name="AutoShape 1" descr="Vista previa de toda la pantalla">
          <a:extLst>
            <a:ext uri="{FF2B5EF4-FFF2-40B4-BE49-F238E27FC236}">
              <a16:creationId xmlns:a16="http://schemas.microsoft.com/office/drawing/2014/main" id="{BB383E3D-173E-4B51-8059-163615AE30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7" name="AutoShape 1" descr="Vista previa de toda la pantalla">
          <a:extLst>
            <a:ext uri="{FF2B5EF4-FFF2-40B4-BE49-F238E27FC236}">
              <a16:creationId xmlns:a16="http://schemas.microsoft.com/office/drawing/2014/main" id="{FBA51B1F-6334-460D-8309-7A9606D4FC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8" name="AutoShape 1" descr="Vista previa de toda la pantalla">
          <a:extLst>
            <a:ext uri="{FF2B5EF4-FFF2-40B4-BE49-F238E27FC236}">
              <a16:creationId xmlns:a16="http://schemas.microsoft.com/office/drawing/2014/main" id="{164336B5-771B-453E-B77D-F60A4B28F8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29" name="AutoShape 1" descr="Vista previa de toda la pantalla">
          <a:extLst>
            <a:ext uri="{FF2B5EF4-FFF2-40B4-BE49-F238E27FC236}">
              <a16:creationId xmlns:a16="http://schemas.microsoft.com/office/drawing/2014/main" id="{F3BC29AD-7709-4A7C-BAD8-8DEE275856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0" name="AutoShape 1" descr="Vista previa de toda la pantalla">
          <a:extLst>
            <a:ext uri="{FF2B5EF4-FFF2-40B4-BE49-F238E27FC236}">
              <a16:creationId xmlns:a16="http://schemas.microsoft.com/office/drawing/2014/main" id="{EBB2FEBB-C769-485C-BDCB-49A84DA112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1" name="AutoShape 1" descr="Vista previa de toda la pantalla">
          <a:extLst>
            <a:ext uri="{FF2B5EF4-FFF2-40B4-BE49-F238E27FC236}">
              <a16:creationId xmlns:a16="http://schemas.microsoft.com/office/drawing/2014/main" id="{F555D9F1-2CE5-435B-A751-FC1BBB78B2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2" name="AutoShape 1" descr="Vista previa de toda la pantalla">
          <a:extLst>
            <a:ext uri="{FF2B5EF4-FFF2-40B4-BE49-F238E27FC236}">
              <a16:creationId xmlns:a16="http://schemas.microsoft.com/office/drawing/2014/main" id="{8A80968D-96B9-4F82-9D52-426A724A37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3" name="AutoShape 1" descr="Vista previa de toda la pantalla">
          <a:extLst>
            <a:ext uri="{FF2B5EF4-FFF2-40B4-BE49-F238E27FC236}">
              <a16:creationId xmlns:a16="http://schemas.microsoft.com/office/drawing/2014/main" id="{039BDA68-DC17-4B41-9F2E-DED340EE4D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4" name="AutoShape 1" descr="Vista previa de toda la pantalla">
          <a:extLst>
            <a:ext uri="{FF2B5EF4-FFF2-40B4-BE49-F238E27FC236}">
              <a16:creationId xmlns:a16="http://schemas.microsoft.com/office/drawing/2014/main" id="{08D6B82D-BB3C-401D-96FE-8561B70821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5" name="AutoShape 1" descr="Vista previa de toda la pantalla">
          <a:extLst>
            <a:ext uri="{FF2B5EF4-FFF2-40B4-BE49-F238E27FC236}">
              <a16:creationId xmlns:a16="http://schemas.microsoft.com/office/drawing/2014/main" id="{614FE76D-18B7-4153-BB4C-DB04AC204A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6" name="AutoShape 1" descr="Vista previa de toda la pantalla">
          <a:extLst>
            <a:ext uri="{FF2B5EF4-FFF2-40B4-BE49-F238E27FC236}">
              <a16:creationId xmlns:a16="http://schemas.microsoft.com/office/drawing/2014/main" id="{459CE7E7-D467-4C0E-AD86-C48AC29BDC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7" name="AutoShape 1" descr="Vista previa de toda la pantalla">
          <a:extLst>
            <a:ext uri="{FF2B5EF4-FFF2-40B4-BE49-F238E27FC236}">
              <a16:creationId xmlns:a16="http://schemas.microsoft.com/office/drawing/2014/main" id="{20068A4B-1392-4C2A-A01A-7A2C71A8F9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8" name="AutoShape 1" descr="Vista previa de toda la pantalla">
          <a:extLst>
            <a:ext uri="{FF2B5EF4-FFF2-40B4-BE49-F238E27FC236}">
              <a16:creationId xmlns:a16="http://schemas.microsoft.com/office/drawing/2014/main" id="{13E8FFAD-12C0-463F-BC03-8A3EE6BEAC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39" name="AutoShape 1" descr="Vista previa de toda la pantalla">
          <a:extLst>
            <a:ext uri="{FF2B5EF4-FFF2-40B4-BE49-F238E27FC236}">
              <a16:creationId xmlns:a16="http://schemas.microsoft.com/office/drawing/2014/main" id="{1F21115D-7E41-4DAB-9C16-ACC274241A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0" name="AutoShape 1" descr="Vista previa de toda la pantalla">
          <a:extLst>
            <a:ext uri="{FF2B5EF4-FFF2-40B4-BE49-F238E27FC236}">
              <a16:creationId xmlns:a16="http://schemas.microsoft.com/office/drawing/2014/main" id="{5391BD6D-9B09-4F56-AEDD-0FC0C790C0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1" name="AutoShape 1" descr="Vista previa de toda la pantalla">
          <a:extLst>
            <a:ext uri="{FF2B5EF4-FFF2-40B4-BE49-F238E27FC236}">
              <a16:creationId xmlns:a16="http://schemas.microsoft.com/office/drawing/2014/main" id="{527CB8F8-2DE5-4857-9CA2-39E8B9BCD8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2" name="AutoShape 1" descr="Vista previa de toda la pantalla">
          <a:extLst>
            <a:ext uri="{FF2B5EF4-FFF2-40B4-BE49-F238E27FC236}">
              <a16:creationId xmlns:a16="http://schemas.microsoft.com/office/drawing/2014/main" id="{4EE5CAD1-1095-4F8B-9B12-394895EB4C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3" name="AutoShape 1" descr="Vista previa de toda la pantalla">
          <a:extLst>
            <a:ext uri="{FF2B5EF4-FFF2-40B4-BE49-F238E27FC236}">
              <a16:creationId xmlns:a16="http://schemas.microsoft.com/office/drawing/2014/main" id="{CD3CAB9B-A321-4032-8031-489E50616F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4" name="AutoShape 1" descr="Vista previa de toda la pantalla">
          <a:extLst>
            <a:ext uri="{FF2B5EF4-FFF2-40B4-BE49-F238E27FC236}">
              <a16:creationId xmlns:a16="http://schemas.microsoft.com/office/drawing/2014/main" id="{46A2B950-CECA-4302-8A7A-7FB9E8F9CB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5" name="AutoShape 1" descr="Vista previa de toda la pantalla">
          <a:extLst>
            <a:ext uri="{FF2B5EF4-FFF2-40B4-BE49-F238E27FC236}">
              <a16:creationId xmlns:a16="http://schemas.microsoft.com/office/drawing/2014/main" id="{97841DEF-0245-4685-ABC6-B88EEFDA2E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6" name="AutoShape 1" descr="Vista previa de toda la pantalla">
          <a:extLst>
            <a:ext uri="{FF2B5EF4-FFF2-40B4-BE49-F238E27FC236}">
              <a16:creationId xmlns:a16="http://schemas.microsoft.com/office/drawing/2014/main" id="{CAC3B976-71A9-4E45-A77A-2CAAA8DC62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7" name="AutoShape 1" descr="Vista previa de toda la pantalla">
          <a:extLst>
            <a:ext uri="{FF2B5EF4-FFF2-40B4-BE49-F238E27FC236}">
              <a16:creationId xmlns:a16="http://schemas.microsoft.com/office/drawing/2014/main" id="{0E6F7EAB-2048-4B25-AE4D-7D4A361451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8" name="AutoShape 1" descr="Vista previa de toda la pantalla">
          <a:extLst>
            <a:ext uri="{FF2B5EF4-FFF2-40B4-BE49-F238E27FC236}">
              <a16:creationId xmlns:a16="http://schemas.microsoft.com/office/drawing/2014/main" id="{D525C9D3-E8B7-41FA-B140-F3F88D8A85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49" name="AutoShape 1" descr="Vista previa de toda la pantalla">
          <a:extLst>
            <a:ext uri="{FF2B5EF4-FFF2-40B4-BE49-F238E27FC236}">
              <a16:creationId xmlns:a16="http://schemas.microsoft.com/office/drawing/2014/main" id="{FADF1611-F1ED-4463-8DFF-7DECF45B97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50" name="AutoShape 1" descr="Vista previa de toda la pantalla">
          <a:extLst>
            <a:ext uri="{FF2B5EF4-FFF2-40B4-BE49-F238E27FC236}">
              <a16:creationId xmlns:a16="http://schemas.microsoft.com/office/drawing/2014/main" id="{EB39DA18-8171-4262-AE36-947520279F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51" name="AutoShape 1" descr="Vista previa de toda la pantalla">
          <a:extLst>
            <a:ext uri="{FF2B5EF4-FFF2-40B4-BE49-F238E27FC236}">
              <a16:creationId xmlns:a16="http://schemas.microsoft.com/office/drawing/2014/main" id="{FBA8C0CA-1E57-42B9-84E0-5892838D6B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52" name="AutoShape 1" descr="Vista previa de toda la pantalla">
          <a:extLst>
            <a:ext uri="{FF2B5EF4-FFF2-40B4-BE49-F238E27FC236}">
              <a16:creationId xmlns:a16="http://schemas.microsoft.com/office/drawing/2014/main" id="{6D39C685-4B69-49D0-8D90-EBB2DC54BD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53" name="AutoShape 1" descr="Vista previa de toda la pantalla">
          <a:extLst>
            <a:ext uri="{FF2B5EF4-FFF2-40B4-BE49-F238E27FC236}">
              <a16:creationId xmlns:a16="http://schemas.microsoft.com/office/drawing/2014/main" id="{B88DB15E-46C7-402C-8D9E-56B70884CC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54" name="AutoShape 1" descr="Vista previa de toda la pantalla">
          <a:extLst>
            <a:ext uri="{FF2B5EF4-FFF2-40B4-BE49-F238E27FC236}">
              <a16:creationId xmlns:a16="http://schemas.microsoft.com/office/drawing/2014/main" id="{EE904420-6A2A-4A92-BCF7-7BF402E6B3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55" name="AutoShape 1" descr="Vista previa de toda la pantalla">
          <a:extLst>
            <a:ext uri="{FF2B5EF4-FFF2-40B4-BE49-F238E27FC236}">
              <a16:creationId xmlns:a16="http://schemas.microsoft.com/office/drawing/2014/main" id="{D06E9D67-26C0-4094-B5BB-F8D6F767E4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56" name="AutoShape 1" descr="Vista previa de toda la pantalla">
          <a:extLst>
            <a:ext uri="{FF2B5EF4-FFF2-40B4-BE49-F238E27FC236}">
              <a16:creationId xmlns:a16="http://schemas.microsoft.com/office/drawing/2014/main" id="{35BA1F38-115D-49F9-96A1-C038C805AF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57" name="AutoShape 1" descr="Vista previa de toda la pantalla">
          <a:extLst>
            <a:ext uri="{FF2B5EF4-FFF2-40B4-BE49-F238E27FC236}">
              <a16:creationId xmlns:a16="http://schemas.microsoft.com/office/drawing/2014/main" id="{4759017A-AD20-45E6-A392-A832954FF6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58" name="AutoShape 1" descr="Vista previa de toda la pantalla">
          <a:extLst>
            <a:ext uri="{FF2B5EF4-FFF2-40B4-BE49-F238E27FC236}">
              <a16:creationId xmlns:a16="http://schemas.microsoft.com/office/drawing/2014/main" id="{C0093437-AD1B-4657-AA9F-36A4304335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59" name="AutoShape 1" descr="Vista previa de toda la pantalla">
          <a:extLst>
            <a:ext uri="{FF2B5EF4-FFF2-40B4-BE49-F238E27FC236}">
              <a16:creationId xmlns:a16="http://schemas.microsoft.com/office/drawing/2014/main" id="{D677EDDC-9CB8-4553-A123-E6B0703524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60" name="AutoShape 1" descr="Vista previa de toda la pantalla">
          <a:extLst>
            <a:ext uri="{FF2B5EF4-FFF2-40B4-BE49-F238E27FC236}">
              <a16:creationId xmlns:a16="http://schemas.microsoft.com/office/drawing/2014/main" id="{17AA2A00-3751-46F8-92EA-EE43F9743D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61" name="AutoShape 1" descr="Vista previa de toda la pantalla">
          <a:extLst>
            <a:ext uri="{FF2B5EF4-FFF2-40B4-BE49-F238E27FC236}">
              <a16:creationId xmlns:a16="http://schemas.microsoft.com/office/drawing/2014/main" id="{A5C3D2E1-7914-4EF3-A8E4-E8510D0DD0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62" name="AutoShape 1" descr="Vista previa de toda la pantalla">
          <a:extLst>
            <a:ext uri="{FF2B5EF4-FFF2-40B4-BE49-F238E27FC236}">
              <a16:creationId xmlns:a16="http://schemas.microsoft.com/office/drawing/2014/main" id="{DF6DE352-6F35-45F1-A4BC-78F6961DC7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63" name="AutoShape 1" descr="Vista previa de toda la pantalla">
          <a:extLst>
            <a:ext uri="{FF2B5EF4-FFF2-40B4-BE49-F238E27FC236}">
              <a16:creationId xmlns:a16="http://schemas.microsoft.com/office/drawing/2014/main" id="{35D63A97-093F-44A7-B08E-54CA42B6B7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64" name="AutoShape 1" descr="Vista previa de toda la pantalla">
          <a:extLst>
            <a:ext uri="{FF2B5EF4-FFF2-40B4-BE49-F238E27FC236}">
              <a16:creationId xmlns:a16="http://schemas.microsoft.com/office/drawing/2014/main" id="{46E36B8E-E84A-42E2-AFEA-83E2E5F383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65" name="AutoShape 1" descr="Vista previa de toda la pantalla">
          <a:extLst>
            <a:ext uri="{FF2B5EF4-FFF2-40B4-BE49-F238E27FC236}">
              <a16:creationId xmlns:a16="http://schemas.microsoft.com/office/drawing/2014/main" id="{B1506CB1-325D-497B-822B-0FDDD358CC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66" name="AutoShape 1" descr="Vista previa de toda la pantalla">
          <a:extLst>
            <a:ext uri="{FF2B5EF4-FFF2-40B4-BE49-F238E27FC236}">
              <a16:creationId xmlns:a16="http://schemas.microsoft.com/office/drawing/2014/main" id="{3E364B6D-9AB5-480E-9B9F-F66F4AD40B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67" name="AutoShape 1" descr="Vista previa de toda la pantalla">
          <a:extLst>
            <a:ext uri="{FF2B5EF4-FFF2-40B4-BE49-F238E27FC236}">
              <a16:creationId xmlns:a16="http://schemas.microsoft.com/office/drawing/2014/main" id="{AF4466A7-1997-48C6-A2BA-B137E51398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68" name="AutoShape 1" descr="Vista previa de toda la pantalla">
          <a:extLst>
            <a:ext uri="{FF2B5EF4-FFF2-40B4-BE49-F238E27FC236}">
              <a16:creationId xmlns:a16="http://schemas.microsoft.com/office/drawing/2014/main" id="{E0683CC5-0968-4101-84A8-2C0EC30857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69" name="AutoShape 1" descr="Vista previa de toda la pantalla">
          <a:extLst>
            <a:ext uri="{FF2B5EF4-FFF2-40B4-BE49-F238E27FC236}">
              <a16:creationId xmlns:a16="http://schemas.microsoft.com/office/drawing/2014/main" id="{A75E1BFF-18FD-43E2-8FAA-CADD761B3A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70" name="AutoShape 1" descr="Vista previa de toda la pantalla">
          <a:extLst>
            <a:ext uri="{FF2B5EF4-FFF2-40B4-BE49-F238E27FC236}">
              <a16:creationId xmlns:a16="http://schemas.microsoft.com/office/drawing/2014/main" id="{09291356-F73D-499F-9789-E50BE9D402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71" name="AutoShape 1" descr="Vista previa de toda la pantalla">
          <a:extLst>
            <a:ext uri="{FF2B5EF4-FFF2-40B4-BE49-F238E27FC236}">
              <a16:creationId xmlns:a16="http://schemas.microsoft.com/office/drawing/2014/main" id="{CA4A4623-B72B-45CF-8297-05F9F5288C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72" name="AutoShape 1" descr="Vista previa de toda la pantalla">
          <a:extLst>
            <a:ext uri="{FF2B5EF4-FFF2-40B4-BE49-F238E27FC236}">
              <a16:creationId xmlns:a16="http://schemas.microsoft.com/office/drawing/2014/main" id="{C3199625-7AB8-4088-9C4B-0FB612B4B8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73" name="AutoShape 1" descr="Vista previa de toda la pantalla">
          <a:extLst>
            <a:ext uri="{FF2B5EF4-FFF2-40B4-BE49-F238E27FC236}">
              <a16:creationId xmlns:a16="http://schemas.microsoft.com/office/drawing/2014/main" id="{7B0371CF-1A97-4FD9-98B0-678D6EC9C0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74" name="AutoShape 1" descr="Vista previa de toda la pantalla">
          <a:extLst>
            <a:ext uri="{FF2B5EF4-FFF2-40B4-BE49-F238E27FC236}">
              <a16:creationId xmlns:a16="http://schemas.microsoft.com/office/drawing/2014/main" id="{9B5B7CEE-42BA-46D4-B4D9-457FF71057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75" name="AutoShape 1" descr="Vista previa de toda la pantalla">
          <a:extLst>
            <a:ext uri="{FF2B5EF4-FFF2-40B4-BE49-F238E27FC236}">
              <a16:creationId xmlns:a16="http://schemas.microsoft.com/office/drawing/2014/main" id="{394342CF-F9B5-40C1-A4EB-71B9C214CD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76" name="AutoShape 1" descr="Vista previa de toda la pantalla">
          <a:extLst>
            <a:ext uri="{FF2B5EF4-FFF2-40B4-BE49-F238E27FC236}">
              <a16:creationId xmlns:a16="http://schemas.microsoft.com/office/drawing/2014/main" id="{BEDBC4D4-A2EF-4564-A5C3-2C1087C262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77" name="AutoShape 1" descr="Vista previa de toda la pantalla">
          <a:extLst>
            <a:ext uri="{FF2B5EF4-FFF2-40B4-BE49-F238E27FC236}">
              <a16:creationId xmlns:a16="http://schemas.microsoft.com/office/drawing/2014/main" id="{3D0029ED-39AB-4BBE-8C76-810A594DCF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78" name="AutoShape 1" descr="Vista previa de toda la pantalla">
          <a:extLst>
            <a:ext uri="{FF2B5EF4-FFF2-40B4-BE49-F238E27FC236}">
              <a16:creationId xmlns:a16="http://schemas.microsoft.com/office/drawing/2014/main" id="{78C5A016-EA9E-43CD-8709-2A3902074B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79" name="AutoShape 1" descr="Vista previa de toda la pantalla">
          <a:extLst>
            <a:ext uri="{FF2B5EF4-FFF2-40B4-BE49-F238E27FC236}">
              <a16:creationId xmlns:a16="http://schemas.microsoft.com/office/drawing/2014/main" id="{7FE1F7ED-9005-4D48-83C9-0411E08A4F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80" name="AutoShape 1" descr="Vista previa de toda la pantalla">
          <a:extLst>
            <a:ext uri="{FF2B5EF4-FFF2-40B4-BE49-F238E27FC236}">
              <a16:creationId xmlns:a16="http://schemas.microsoft.com/office/drawing/2014/main" id="{A24B3926-1EDE-496D-B2B8-018B7CC725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81" name="AutoShape 1" descr="Vista previa de toda la pantalla">
          <a:extLst>
            <a:ext uri="{FF2B5EF4-FFF2-40B4-BE49-F238E27FC236}">
              <a16:creationId xmlns:a16="http://schemas.microsoft.com/office/drawing/2014/main" id="{7598310F-488B-4FDE-A95F-250CA5924C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82" name="AutoShape 1" descr="Vista previa de toda la pantalla">
          <a:extLst>
            <a:ext uri="{FF2B5EF4-FFF2-40B4-BE49-F238E27FC236}">
              <a16:creationId xmlns:a16="http://schemas.microsoft.com/office/drawing/2014/main" id="{EAE95712-0FDF-4067-B765-73B6290FD1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83" name="AutoShape 1" descr="Vista previa de toda la pantalla">
          <a:extLst>
            <a:ext uri="{FF2B5EF4-FFF2-40B4-BE49-F238E27FC236}">
              <a16:creationId xmlns:a16="http://schemas.microsoft.com/office/drawing/2014/main" id="{239D4E91-C705-4C40-A2C6-F758F0D091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84" name="AutoShape 1" descr="Vista previa de toda la pantalla">
          <a:extLst>
            <a:ext uri="{FF2B5EF4-FFF2-40B4-BE49-F238E27FC236}">
              <a16:creationId xmlns:a16="http://schemas.microsoft.com/office/drawing/2014/main" id="{754C9ACE-4423-4C97-BC33-165D0F1BD8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85" name="AutoShape 1" descr="Vista previa de toda la pantalla">
          <a:extLst>
            <a:ext uri="{FF2B5EF4-FFF2-40B4-BE49-F238E27FC236}">
              <a16:creationId xmlns:a16="http://schemas.microsoft.com/office/drawing/2014/main" id="{8E16B1F1-21C0-4FA3-9E13-E3A8B41FDA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86" name="AutoShape 1" descr="Vista previa de toda la pantalla">
          <a:extLst>
            <a:ext uri="{FF2B5EF4-FFF2-40B4-BE49-F238E27FC236}">
              <a16:creationId xmlns:a16="http://schemas.microsoft.com/office/drawing/2014/main" id="{51A4A72F-C5FF-416D-B527-419C59F7D2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87" name="AutoShape 1" descr="Vista previa de toda la pantalla">
          <a:extLst>
            <a:ext uri="{FF2B5EF4-FFF2-40B4-BE49-F238E27FC236}">
              <a16:creationId xmlns:a16="http://schemas.microsoft.com/office/drawing/2014/main" id="{875DF174-03DD-4AA7-B177-E4D53A47DC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88" name="AutoShape 1" descr="Vista previa de toda la pantalla">
          <a:extLst>
            <a:ext uri="{FF2B5EF4-FFF2-40B4-BE49-F238E27FC236}">
              <a16:creationId xmlns:a16="http://schemas.microsoft.com/office/drawing/2014/main" id="{F50F6C3E-D8A6-4CFE-A3E7-2B9B338FA8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89" name="AutoShape 1" descr="Vista previa de toda la pantalla">
          <a:extLst>
            <a:ext uri="{FF2B5EF4-FFF2-40B4-BE49-F238E27FC236}">
              <a16:creationId xmlns:a16="http://schemas.microsoft.com/office/drawing/2014/main" id="{19C6D399-1F61-479A-9A9A-4106D8A652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90" name="AutoShape 1" descr="Vista previa de toda la pantalla">
          <a:extLst>
            <a:ext uri="{FF2B5EF4-FFF2-40B4-BE49-F238E27FC236}">
              <a16:creationId xmlns:a16="http://schemas.microsoft.com/office/drawing/2014/main" id="{060ECFDF-5E41-4B90-87CE-EED9481DA0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91" name="AutoShape 1" descr="Vista previa de toda la pantalla">
          <a:extLst>
            <a:ext uri="{FF2B5EF4-FFF2-40B4-BE49-F238E27FC236}">
              <a16:creationId xmlns:a16="http://schemas.microsoft.com/office/drawing/2014/main" id="{CA27CCEA-C0B3-418A-B9A3-52D20F30D9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92" name="AutoShape 1" descr="Vista previa de toda la pantalla">
          <a:extLst>
            <a:ext uri="{FF2B5EF4-FFF2-40B4-BE49-F238E27FC236}">
              <a16:creationId xmlns:a16="http://schemas.microsoft.com/office/drawing/2014/main" id="{90C58FE7-32D7-41D5-AC00-9C74928888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93" name="AutoShape 1" descr="Vista previa de toda la pantalla">
          <a:extLst>
            <a:ext uri="{FF2B5EF4-FFF2-40B4-BE49-F238E27FC236}">
              <a16:creationId xmlns:a16="http://schemas.microsoft.com/office/drawing/2014/main" id="{9FC79B44-DABE-4E00-BEFF-5232F6B570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94" name="AutoShape 1" descr="Vista previa de toda la pantalla">
          <a:extLst>
            <a:ext uri="{FF2B5EF4-FFF2-40B4-BE49-F238E27FC236}">
              <a16:creationId xmlns:a16="http://schemas.microsoft.com/office/drawing/2014/main" id="{58864A25-8C26-44C1-8D5A-C2B9118982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95" name="AutoShape 1" descr="Vista previa de toda la pantalla">
          <a:extLst>
            <a:ext uri="{FF2B5EF4-FFF2-40B4-BE49-F238E27FC236}">
              <a16:creationId xmlns:a16="http://schemas.microsoft.com/office/drawing/2014/main" id="{7E779ABF-80E5-4CD1-9A64-C5421B5CC9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96" name="AutoShape 1" descr="Vista previa de toda la pantalla">
          <a:extLst>
            <a:ext uri="{FF2B5EF4-FFF2-40B4-BE49-F238E27FC236}">
              <a16:creationId xmlns:a16="http://schemas.microsoft.com/office/drawing/2014/main" id="{FFBC34A4-E315-4056-A77A-2703E0E17C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97" name="AutoShape 1" descr="Vista previa de toda la pantalla">
          <a:extLst>
            <a:ext uri="{FF2B5EF4-FFF2-40B4-BE49-F238E27FC236}">
              <a16:creationId xmlns:a16="http://schemas.microsoft.com/office/drawing/2014/main" id="{6A171C8C-AE97-4D70-A1AE-A5A19E48F5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98" name="AutoShape 1" descr="Vista previa de toda la pantalla">
          <a:extLst>
            <a:ext uri="{FF2B5EF4-FFF2-40B4-BE49-F238E27FC236}">
              <a16:creationId xmlns:a16="http://schemas.microsoft.com/office/drawing/2014/main" id="{961318CE-93DB-4B72-9BC3-6D51E8E9AA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499" name="AutoShape 1" descr="Vista previa de toda la pantalla">
          <a:extLst>
            <a:ext uri="{FF2B5EF4-FFF2-40B4-BE49-F238E27FC236}">
              <a16:creationId xmlns:a16="http://schemas.microsoft.com/office/drawing/2014/main" id="{939A028F-5EFE-41BD-B4DB-6A84C22EFF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00" name="AutoShape 1" descr="Vista previa de toda la pantalla">
          <a:extLst>
            <a:ext uri="{FF2B5EF4-FFF2-40B4-BE49-F238E27FC236}">
              <a16:creationId xmlns:a16="http://schemas.microsoft.com/office/drawing/2014/main" id="{32FC03C5-9A19-48A9-B432-140C883FE1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01" name="AutoShape 1" descr="Vista previa de toda la pantalla">
          <a:extLst>
            <a:ext uri="{FF2B5EF4-FFF2-40B4-BE49-F238E27FC236}">
              <a16:creationId xmlns:a16="http://schemas.microsoft.com/office/drawing/2014/main" id="{533DA5AB-82C7-4003-867D-0A0FC14A69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02" name="AutoShape 1" descr="Vista previa de toda la pantalla">
          <a:extLst>
            <a:ext uri="{FF2B5EF4-FFF2-40B4-BE49-F238E27FC236}">
              <a16:creationId xmlns:a16="http://schemas.microsoft.com/office/drawing/2014/main" id="{9F193549-AF89-408C-BCFB-BE80CEEE1B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03" name="AutoShape 1" descr="Vista previa de toda la pantalla">
          <a:extLst>
            <a:ext uri="{FF2B5EF4-FFF2-40B4-BE49-F238E27FC236}">
              <a16:creationId xmlns:a16="http://schemas.microsoft.com/office/drawing/2014/main" id="{9AFE3C32-3627-4A8E-B4CB-BC7912F3BF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04" name="AutoShape 1" descr="Vista previa de toda la pantalla">
          <a:extLst>
            <a:ext uri="{FF2B5EF4-FFF2-40B4-BE49-F238E27FC236}">
              <a16:creationId xmlns:a16="http://schemas.microsoft.com/office/drawing/2014/main" id="{CD3DB7E0-EE8D-4EEE-907A-365DFF8FA3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05" name="AutoShape 1" descr="Vista previa de toda la pantalla">
          <a:extLst>
            <a:ext uri="{FF2B5EF4-FFF2-40B4-BE49-F238E27FC236}">
              <a16:creationId xmlns:a16="http://schemas.microsoft.com/office/drawing/2014/main" id="{D5CDBA14-47D1-4E8C-82B8-1D01B0F1FB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06" name="AutoShape 1" descr="Vista previa de toda la pantalla">
          <a:extLst>
            <a:ext uri="{FF2B5EF4-FFF2-40B4-BE49-F238E27FC236}">
              <a16:creationId xmlns:a16="http://schemas.microsoft.com/office/drawing/2014/main" id="{6271E5B9-E32C-4050-BE90-2ED46E914D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07" name="AutoShape 1" descr="Vista previa de toda la pantalla">
          <a:extLst>
            <a:ext uri="{FF2B5EF4-FFF2-40B4-BE49-F238E27FC236}">
              <a16:creationId xmlns:a16="http://schemas.microsoft.com/office/drawing/2014/main" id="{5362E3BD-9489-4C6C-A309-B44D34129E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2508" name="AutoShape 1" descr="Vista previa de toda la pantalla">
          <a:extLst>
            <a:ext uri="{FF2B5EF4-FFF2-40B4-BE49-F238E27FC236}">
              <a16:creationId xmlns:a16="http://schemas.microsoft.com/office/drawing/2014/main" id="{92B8AC06-47B2-4DF2-A0FE-BA8281FF10D1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09" name="AutoShape 1" descr="Vista previa de toda la pantalla">
          <a:extLst>
            <a:ext uri="{FF2B5EF4-FFF2-40B4-BE49-F238E27FC236}">
              <a16:creationId xmlns:a16="http://schemas.microsoft.com/office/drawing/2014/main" id="{19AF0AE0-528A-4860-8B87-7F9F78F5A1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10" name="AutoShape 1" descr="Vista previa de toda la pantalla">
          <a:extLst>
            <a:ext uri="{FF2B5EF4-FFF2-40B4-BE49-F238E27FC236}">
              <a16:creationId xmlns:a16="http://schemas.microsoft.com/office/drawing/2014/main" id="{1F7CB7B9-4D45-4346-8257-25E0CA3D31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11" name="AutoShape 1" descr="Vista previa de toda la pantalla">
          <a:extLst>
            <a:ext uri="{FF2B5EF4-FFF2-40B4-BE49-F238E27FC236}">
              <a16:creationId xmlns:a16="http://schemas.microsoft.com/office/drawing/2014/main" id="{D775F145-30C3-408D-A1C6-41947EE53F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12" name="AutoShape 1" descr="Vista previa de toda la pantalla">
          <a:extLst>
            <a:ext uri="{FF2B5EF4-FFF2-40B4-BE49-F238E27FC236}">
              <a16:creationId xmlns:a16="http://schemas.microsoft.com/office/drawing/2014/main" id="{C9FC57A5-8297-43D6-8E1A-2860A11CF6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13" name="AutoShape 1" descr="Vista previa de toda la pantalla">
          <a:extLst>
            <a:ext uri="{FF2B5EF4-FFF2-40B4-BE49-F238E27FC236}">
              <a16:creationId xmlns:a16="http://schemas.microsoft.com/office/drawing/2014/main" id="{382544BD-C1AC-4C67-8637-88FF7A252A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14" name="AutoShape 1" descr="Vista previa de toda la pantalla">
          <a:extLst>
            <a:ext uri="{FF2B5EF4-FFF2-40B4-BE49-F238E27FC236}">
              <a16:creationId xmlns:a16="http://schemas.microsoft.com/office/drawing/2014/main" id="{CBB943A7-CDB7-454B-8480-010276BBC7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15" name="AutoShape 1" descr="Vista previa de toda la pantalla">
          <a:extLst>
            <a:ext uri="{FF2B5EF4-FFF2-40B4-BE49-F238E27FC236}">
              <a16:creationId xmlns:a16="http://schemas.microsoft.com/office/drawing/2014/main" id="{3A1AE0FD-8F97-43BD-9362-955363F0F1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16" name="AutoShape 1" descr="Vista previa de toda la pantalla">
          <a:extLst>
            <a:ext uri="{FF2B5EF4-FFF2-40B4-BE49-F238E27FC236}">
              <a16:creationId xmlns:a16="http://schemas.microsoft.com/office/drawing/2014/main" id="{091AAB4F-6BF6-471B-8293-095594C31B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17" name="AutoShape 1" descr="Vista previa de toda la pantalla">
          <a:extLst>
            <a:ext uri="{FF2B5EF4-FFF2-40B4-BE49-F238E27FC236}">
              <a16:creationId xmlns:a16="http://schemas.microsoft.com/office/drawing/2014/main" id="{7E8E9051-7586-41AD-A58E-FB5598EEBF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18" name="AutoShape 1" descr="Vista previa de toda la pantalla">
          <a:extLst>
            <a:ext uri="{FF2B5EF4-FFF2-40B4-BE49-F238E27FC236}">
              <a16:creationId xmlns:a16="http://schemas.microsoft.com/office/drawing/2014/main" id="{48EE4079-7E59-4EB7-972C-088D32B91D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19" name="AutoShape 1" descr="Vista previa de toda la pantalla">
          <a:extLst>
            <a:ext uri="{FF2B5EF4-FFF2-40B4-BE49-F238E27FC236}">
              <a16:creationId xmlns:a16="http://schemas.microsoft.com/office/drawing/2014/main" id="{D3B41FAB-6187-46F9-9A9A-E5CC8640A3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20" name="AutoShape 1" descr="Vista previa de toda la pantalla">
          <a:extLst>
            <a:ext uri="{FF2B5EF4-FFF2-40B4-BE49-F238E27FC236}">
              <a16:creationId xmlns:a16="http://schemas.microsoft.com/office/drawing/2014/main" id="{3CCF2688-0D40-4A3C-9FFA-9665120FC8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21" name="AutoShape 1" descr="Vista previa de toda la pantalla">
          <a:extLst>
            <a:ext uri="{FF2B5EF4-FFF2-40B4-BE49-F238E27FC236}">
              <a16:creationId xmlns:a16="http://schemas.microsoft.com/office/drawing/2014/main" id="{D71642CE-8310-4617-A31D-634AEE3F1C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22" name="AutoShape 1" descr="Vista previa de toda la pantalla">
          <a:extLst>
            <a:ext uri="{FF2B5EF4-FFF2-40B4-BE49-F238E27FC236}">
              <a16:creationId xmlns:a16="http://schemas.microsoft.com/office/drawing/2014/main" id="{D703335F-B947-41CE-9E0A-884A751261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23" name="AutoShape 1" descr="Vista previa de toda la pantalla">
          <a:extLst>
            <a:ext uri="{FF2B5EF4-FFF2-40B4-BE49-F238E27FC236}">
              <a16:creationId xmlns:a16="http://schemas.microsoft.com/office/drawing/2014/main" id="{0EFC3E72-EA58-4B03-B54B-B470516C43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24" name="AutoShape 1" descr="Vista previa de toda la pantalla">
          <a:extLst>
            <a:ext uri="{FF2B5EF4-FFF2-40B4-BE49-F238E27FC236}">
              <a16:creationId xmlns:a16="http://schemas.microsoft.com/office/drawing/2014/main" id="{71A5EA6E-8FEE-4963-9C45-022DA3EBF7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25" name="AutoShape 1" descr="Vista previa de toda la pantalla">
          <a:extLst>
            <a:ext uri="{FF2B5EF4-FFF2-40B4-BE49-F238E27FC236}">
              <a16:creationId xmlns:a16="http://schemas.microsoft.com/office/drawing/2014/main" id="{BA185C13-21F9-4C80-A55E-6E6EE3BC63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26" name="AutoShape 1" descr="Vista previa de toda la pantalla">
          <a:extLst>
            <a:ext uri="{FF2B5EF4-FFF2-40B4-BE49-F238E27FC236}">
              <a16:creationId xmlns:a16="http://schemas.microsoft.com/office/drawing/2014/main" id="{CDAAD641-7D23-4A90-A6F6-109195DA82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27" name="AutoShape 1" descr="Vista previa de toda la pantalla">
          <a:extLst>
            <a:ext uri="{FF2B5EF4-FFF2-40B4-BE49-F238E27FC236}">
              <a16:creationId xmlns:a16="http://schemas.microsoft.com/office/drawing/2014/main" id="{DD8A7031-AACE-413E-97F1-9C237FEDF0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28" name="AutoShape 1" descr="Vista previa de toda la pantalla">
          <a:extLst>
            <a:ext uri="{FF2B5EF4-FFF2-40B4-BE49-F238E27FC236}">
              <a16:creationId xmlns:a16="http://schemas.microsoft.com/office/drawing/2014/main" id="{3BDB27B1-1CE6-468F-9D81-53AD1F60AF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29" name="AutoShape 1" descr="Vista previa de toda la pantalla">
          <a:extLst>
            <a:ext uri="{FF2B5EF4-FFF2-40B4-BE49-F238E27FC236}">
              <a16:creationId xmlns:a16="http://schemas.microsoft.com/office/drawing/2014/main" id="{871A243B-B252-452A-90E7-788F4ECE3F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30" name="AutoShape 1" descr="Vista previa de toda la pantalla">
          <a:extLst>
            <a:ext uri="{FF2B5EF4-FFF2-40B4-BE49-F238E27FC236}">
              <a16:creationId xmlns:a16="http://schemas.microsoft.com/office/drawing/2014/main" id="{0BA1635E-574C-4F66-BE76-1C4D7B5B47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31" name="AutoShape 1" descr="Vista previa de toda la pantalla">
          <a:extLst>
            <a:ext uri="{FF2B5EF4-FFF2-40B4-BE49-F238E27FC236}">
              <a16:creationId xmlns:a16="http://schemas.microsoft.com/office/drawing/2014/main" id="{2E7CF10F-556C-46DD-AD47-E8641843B6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32" name="AutoShape 1" descr="Vista previa de toda la pantalla">
          <a:extLst>
            <a:ext uri="{FF2B5EF4-FFF2-40B4-BE49-F238E27FC236}">
              <a16:creationId xmlns:a16="http://schemas.microsoft.com/office/drawing/2014/main" id="{516BF60B-4396-4882-8502-6D6DA2EED0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33" name="AutoShape 1" descr="Vista previa de toda la pantalla">
          <a:extLst>
            <a:ext uri="{FF2B5EF4-FFF2-40B4-BE49-F238E27FC236}">
              <a16:creationId xmlns:a16="http://schemas.microsoft.com/office/drawing/2014/main" id="{8E704F0E-F106-44AE-BE88-8D0A7B1A14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34" name="AutoShape 1" descr="Vista previa de toda la pantalla">
          <a:extLst>
            <a:ext uri="{FF2B5EF4-FFF2-40B4-BE49-F238E27FC236}">
              <a16:creationId xmlns:a16="http://schemas.microsoft.com/office/drawing/2014/main" id="{BC0B627F-306D-4F26-A56D-7B4776EB30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35" name="AutoShape 1" descr="Vista previa de toda la pantalla">
          <a:extLst>
            <a:ext uri="{FF2B5EF4-FFF2-40B4-BE49-F238E27FC236}">
              <a16:creationId xmlns:a16="http://schemas.microsoft.com/office/drawing/2014/main" id="{5C70E2DB-2E51-4845-BF49-3E0F5ECDAB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36" name="AutoShape 1" descr="Vista previa de toda la pantalla">
          <a:extLst>
            <a:ext uri="{FF2B5EF4-FFF2-40B4-BE49-F238E27FC236}">
              <a16:creationId xmlns:a16="http://schemas.microsoft.com/office/drawing/2014/main" id="{3E0BCE02-3AF8-4D6D-8456-BC9DC89F76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37" name="AutoShape 1" descr="Vista previa de toda la pantalla">
          <a:extLst>
            <a:ext uri="{FF2B5EF4-FFF2-40B4-BE49-F238E27FC236}">
              <a16:creationId xmlns:a16="http://schemas.microsoft.com/office/drawing/2014/main" id="{BE9CA01C-2211-4AEE-A2E5-451C06B514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38" name="AutoShape 1" descr="Vista previa de toda la pantalla">
          <a:extLst>
            <a:ext uri="{FF2B5EF4-FFF2-40B4-BE49-F238E27FC236}">
              <a16:creationId xmlns:a16="http://schemas.microsoft.com/office/drawing/2014/main" id="{6086A1FA-1575-478F-AD3F-3B58D64591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39" name="AutoShape 1" descr="Vista previa de toda la pantalla">
          <a:extLst>
            <a:ext uri="{FF2B5EF4-FFF2-40B4-BE49-F238E27FC236}">
              <a16:creationId xmlns:a16="http://schemas.microsoft.com/office/drawing/2014/main" id="{1D837185-ECC5-4DBF-8307-528AB25FDB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40" name="AutoShape 1" descr="Vista previa de toda la pantalla">
          <a:extLst>
            <a:ext uri="{FF2B5EF4-FFF2-40B4-BE49-F238E27FC236}">
              <a16:creationId xmlns:a16="http://schemas.microsoft.com/office/drawing/2014/main" id="{B3FBD765-E03B-480A-884F-1E4B93AAC8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41" name="AutoShape 1" descr="Vista previa de toda la pantalla">
          <a:extLst>
            <a:ext uri="{FF2B5EF4-FFF2-40B4-BE49-F238E27FC236}">
              <a16:creationId xmlns:a16="http://schemas.microsoft.com/office/drawing/2014/main" id="{BE99AE7C-A3E9-4381-98DC-6D9BF918F5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42" name="AutoShape 1" descr="Vista previa de toda la pantalla">
          <a:extLst>
            <a:ext uri="{FF2B5EF4-FFF2-40B4-BE49-F238E27FC236}">
              <a16:creationId xmlns:a16="http://schemas.microsoft.com/office/drawing/2014/main" id="{F87BDEE4-BA9C-49C9-8C50-6F629F76B4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43" name="AutoShape 1" descr="Vista previa de toda la pantalla">
          <a:extLst>
            <a:ext uri="{FF2B5EF4-FFF2-40B4-BE49-F238E27FC236}">
              <a16:creationId xmlns:a16="http://schemas.microsoft.com/office/drawing/2014/main" id="{356D07E2-C551-4D03-9501-CFE69EF8FE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44" name="AutoShape 1" descr="Vista previa de toda la pantalla">
          <a:extLst>
            <a:ext uri="{FF2B5EF4-FFF2-40B4-BE49-F238E27FC236}">
              <a16:creationId xmlns:a16="http://schemas.microsoft.com/office/drawing/2014/main" id="{E8F22271-DA25-4524-A7BC-D00E0307DF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45" name="AutoShape 1" descr="Vista previa de toda la pantalla">
          <a:extLst>
            <a:ext uri="{FF2B5EF4-FFF2-40B4-BE49-F238E27FC236}">
              <a16:creationId xmlns:a16="http://schemas.microsoft.com/office/drawing/2014/main" id="{B402FFC1-9898-454A-9ADF-5BC24CFBE1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46" name="AutoShape 1" descr="Vista previa de toda la pantalla">
          <a:extLst>
            <a:ext uri="{FF2B5EF4-FFF2-40B4-BE49-F238E27FC236}">
              <a16:creationId xmlns:a16="http://schemas.microsoft.com/office/drawing/2014/main" id="{D49BDBD4-9752-4B0D-B372-360778D6D9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47" name="AutoShape 1" descr="Vista previa de toda la pantalla">
          <a:extLst>
            <a:ext uri="{FF2B5EF4-FFF2-40B4-BE49-F238E27FC236}">
              <a16:creationId xmlns:a16="http://schemas.microsoft.com/office/drawing/2014/main" id="{4EBAF463-4D24-4659-9174-1936686662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48" name="AutoShape 1" descr="Vista previa de toda la pantalla">
          <a:extLst>
            <a:ext uri="{FF2B5EF4-FFF2-40B4-BE49-F238E27FC236}">
              <a16:creationId xmlns:a16="http://schemas.microsoft.com/office/drawing/2014/main" id="{51F2FA1C-C4B6-423A-BAB5-0A0AF9F9E3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49" name="AutoShape 1" descr="Vista previa de toda la pantalla">
          <a:extLst>
            <a:ext uri="{FF2B5EF4-FFF2-40B4-BE49-F238E27FC236}">
              <a16:creationId xmlns:a16="http://schemas.microsoft.com/office/drawing/2014/main" id="{1F388805-CEA8-4499-9777-D11CF7E20A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50" name="AutoShape 1" descr="Vista previa de toda la pantalla">
          <a:extLst>
            <a:ext uri="{FF2B5EF4-FFF2-40B4-BE49-F238E27FC236}">
              <a16:creationId xmlns:a16="http://schemas.microsoft.com/office/drawing/2014/main" id="{50E6D86F-B419-43D8-8408-5F52E99897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51" name="AutoShape 1" descr="Vista previa de toda la pantalla">
          <a:extLst>
            <a:ext uri="{FF2B5EF4-FFF2-40B4-BE49-F238E27FC236}">
              <a16:creationId xmlns:a16="http://schemas.microsoft.com/office/drawing/2014/main" id="{FD1517FE-4AA8-4AF1-90D5-F762ADBD20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52" name="AutoShape 1" descr="Vista previa de toda la pantalla">
          <a:extLst>
            <a:ext uri="{FF2B5EF4-FFF2-40B4-BE49-F238E27FC236}">
              <a16:creationId xmlns:a16="http://schemas.microsoft.com/office/drawing/2014/main" id="{6B57B376-8ABE-434A-B637-B64DD0CA34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53" name="AutoShape 1" descr="Vista previa de toda la pantalla">
          <a:extLst>
            <a:ext uri="{FF2B5EF4-FFF2-40B4-BE49-F238E27FC236}">
              <a16:creationId xmlns:a16="http://schemas.microsoft.com/office/drawing/2014/main" id="{18697BE6-B2F1-4D07-970E-15FECF9FF8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54" name="AutoShape 1" descr="Vista previa de toda la pantalla">
          <a:extLst>
            <a:ext uri="{FF2B5EF4-FFF2-40B4-BE49-F238E27FC236}">
              <a16:creationId xmlns:a16="http://schemas.microsoft.com/office/drawing/2014/main" id="{4390F133-6282-48F1-85C3-B790829C3E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55" name="AutoShape 1" descr="Vista previa de toda la pantalla">
          <a:extLst>
            <a:ext uri="{FF2B5EF4-FFF2-40B4-BE49-F238E27FC236}">
              <a16:creationId xmlns:a16="http://schemas.microsoft.com/office/drawing/2014/main" id="{837E6F5C-B303-42B3-9848-03D3801456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56" name="AutoShape 1" descr="Vista previa de toda la pantalla">
          <a:extLst>
            <a:ext uri="{FF2B5EF4-FFF2-40B4-BE49-F238E27FC236}">
              <a16:creationId xmlns:a16="http://schemas.microsoft.com/office/drawing/2014/main" id="{309D5DAC-BE6F-4A76-BF8F-AF2002D598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57" name="AutoShape 1" descr="Vista previa de toda la pantalla">
          <a:extLst>
            <a:ext uri="{FF2B5EF4-FFF2-40B4-BE49-F238E27FC236}">
              <a16:creationId xmlns:a16="http://schemas.microsoft.com/office/drawing/2014/main" id="{E7D0AA42-D5E0-45E5-B00E-68CA0B3150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58" name="AutoShape 1" descr="Vista previa de toda la pantalla">
          <a:extLst>
            <a:ext uri="{FF2B5EF4-FFF2-40B4-BE49-F238E27FC236}">
              <a16:creationId xmlns:a16="http://schemas.microsoft.com/office/drawing/2014/main" id="{91A722EE-319B-40D1-ADDD-2C31BBB7D0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59" name="AutoShape 1" descr="Vista previa de toda la pantalla">
          <a:extLst>
            <a:ext uri="{FF2B5EF4-FFF2-40B4-BE49-F238E27FC236}">
              <a16:creationId xmlns:a16="http://schemas.microsoft.com/office/drawing/2014/main" id="{36371C1D-7CB0-4115-87DA-5418717FD2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60" name="AutoShape 1" descr="Vista previa de toda la pantalla">
          <a:extLst>
            <a:ext uri="{FF2B5EF4-FFF2-40B4-BE49-F238E27FC236}">
              <a16:creationId xmlns:a16="http://schemas.microsoft.com/office/drawing/2014/main" id="{A98BA410-0C13-429A-8311-81CD1B1EB8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61" name="AutoShape 1" descr="Vista previa de toda la pantalla">
          <a:extLst>
            <a:ext uri="{FF2B5EF4-FFF2-40B4-BE49-F238E27FC236}">
              <a16:creationId xmlns:a16="http://schemas.microsoft.com/office/drawing/2014/main" id="{29D62ABA-BEA2-4A21-B907-E91BE11AEB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62" name="AutoShape 1" descr="Vista previa de toda la pantalla">
          <a:extLst>
            <a:ext uri="{FF2B5EF4-FFF2-40B4-BE49-F238E27FC236}">
              <a16:creationId xmlns:a16="http://schemas.microsoft.com/office/drawing/2014/main" id="{29A47301-1B74-439E-B157-3EA3564FB7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63" name="AutoShape 1" descr="Vista previa de toda la pantalla">
          <a:extLst>
            <a:ext uri="{FF2B5EF4-FFF2-40B4-BE49-F238E27FC236}">
              <a16:creationId xmlns:a16="http://schemas.microsoft.com/office/drawing/2014/main" id="{9A8C899B-F16F-4A6E-B5CA-A91E715FF6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64" name="AutoShape 1" descr="Vista previa de toda la pantalla">
          <a:extLst>
            <a:ext uri="{FF2B5EF4-FFF2-40B4-BE49-F238E27FC236}">
              <a16:creationId xmlns:a16="http://schemas.microsoft.com/office/drawing/2014/main" id="{40499AE6-92D4-4A5A-9C9C-04990024AF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65" name="AutoShape 1" descr="Vista previa de toda la pantalla">
          <a:extLst>
            <a:ext uri="{FF2B5EF4-FFF2-40B4-BE49-F238E27FC236}">
              <a16:creationId xmlns:a16="http://schemas.microsoft.com/office/drawing/2014/main" id="{2D1E5488-D34B-4B39-8A9C-E6AD5DBD97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66" name="AutoShape 1" descr="Vista previa de toda la pantalla">
          <a:extLst>
            <a:ext uri="{FF2B5EF4-FFF2-40B4-BE49-F238E27FC236}">
              <a16:creationId xmlns:a16="http://schemas.microsoft.com/office/drawing/2014/main" id="{BF0FE77F-F2F7-4394-AB11-07E7187E99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67" name="AutoShape 1" descr="Vista previa de toda la pantalla">
          <a:extLst>
            <a:ext uri="{FF2B5EF4-FFF2-40B4-BE49-F238E27FC236}">
              <a16:creationId xmlns:a16="http://schemas.microsoft.com/office/drawing/2014/main" id="{40BBFB3E-6809-4366-8F89-E98A63F145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68" name="AutoShape 1" descr="Vista previa de toda la pantalla">
          <a:extLst>
            <a:ext uri="{FF2B5EF4-FFF2-40B4-BE49-F238E27FC236}">
              <a16:creationId xmlns:a16="http://schemas.microsoft.com/office/drawing/2014/main" id="{98D0C112-2E5B-4CAE-93E7-26BBD8C525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69" name="AutoShape 1" descr="Vista previa de toda la pantalla">
          <a:extLst>
            <a:ext uri="{FF2B5EF4-FFF2-40B4-BE49-F238E27FC236}">
              <a16:creationId xmlns:a16="http://schemas.microsoft.com/office/drawing/2014/main" id="{7C065CF8-F8B0-43EF-8797-82715A7D2E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70" name="AutoShape 1" descr="Vista previa de toda la pantalla">
          <a:extLst>
            <a:ext uri="{FF2B5EF4-FFF2-40B4-BE49-F238E27FC236}">
              <a16:creationId xmlns:a16="http://schemas.microsoft.com/office/drawing/2014/main" id="{FA597B8B-33C9-43DC-8D2F-7A4E454D41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71" name="AutoShape 1" descr="Vista previa de toda la pantalla">
          <a:extLst>
            <a:ext uri="{FF2B5EF4-FFF2-40B4-BE49-F238E27FC236}">
              <a16:creationId xmlns:a16="http://schemas.microsoft.com/office/drawing/2014/main" id="{718A5F83-25ED-4391-8ABD-262A7FB5CF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72" name="AutoShape 1" descr="Vista previa de toda la pantalla">
          <a:extLst>
            <a:ext uri="{FF2B5EF4-FFF2-40B4-BE49-F238E27FC236}">
              <a16:creationId xmlns:a16="http://schemas.microsoft.com/office/drawing/2014/main" id="{AE70447A-2115-4A63-9E1C-715418AC06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73" name="AutoShape 1" descr="Vista previa de toda la pantalla">
          <a:extLst>
            <a:ext uri="{FF2B5EF4-FFF2-40B4-BE49-F238E27FC236}">
              <a16:creationId xmlns:a16="http://schemas.microsoft.com/office/drawing/2014/main" id="{C64DC5CA-ED00-4BE7-8624-01A5B549AB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74" name="AutoShape 1" descr="Vista previa de toda la pantalla">
          <a:extLst>
            <a:ext uri="{FF2B5EF4-FFF2-40B4-BE49-F238E27FC236}">
              <a16:creationId xmlns:a16="http://schemas.microsoft.com/office/drawing/2014/main" id="{282B9F71-EEF2-4D6F-AAC2-EB18063A3D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75" name="AutoShape 1" descr="Vista previa de toda la pantalla">
          <a:extLst>
            <a:ext uri="{FF2B5EF4-FFF2-40B4-BE49-F238E27FC236}">
              <a16:creationId xmlns:a16="http://schemas.microsoft.com/office/drawing/2014/main" id="{952EF708-08A5-48C5-A56A-C2B15233BA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76" name="AutoShape 1" descr="Vista previa de toda la pantalla">
          <a:extLst>
            <a:ext uri="{FF2B5EF4-FFF2-40B4-BE49-F238E27FC236}">
              <a16:creationId xmlns:a16="http://schemas.microsoft.com/office/drawing/2014/main" id="{547BF54D-29B8-4E00-B59A-620096733D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77" name="AutoShape 1" descr="Vista previa de toda la pantalla">
          <a:extLst>
            <a:ext uri="{FF2B5EF4-FFF2-40B4-BE49-F238E27FC236}">
              <a16:creationId xmlns:a16="http://schemas.microsoft.com/office/drawing/2014/main" id="{73C4A22D-6E5B-43C8-AA6C-D6027B1443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78" name="AutoShape 1" descr="Vista previa de toda la pantalla">
          <a:extLst>
            <a:ext uri="{FF2B5EF4-FFF2-40B4-BE49-F238E27FC236}">
              <a16:creationId xmlns:a16="http://schemas.microsoft.com/office/drawing/2014/main" id="{342C5D07-2DDA-4557-A4AD-F8379ABC4C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79" name="AutoShape 1" descr="Vista previa de toda la pantalla">
          <a:extLst>
            <a:ext uri="{FF2B5EF4-FFF2-40B4-BE49-F238E27FC236}">
              <a16:creationId xmlns:a16="http://schemas.microsoft.com/office/drawing/2014/main" id="{4BADFAAE-ADC4-42A1-88A1-0BF5E61EFF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80" name="AutoShape 1" descr="Vista previa de toda la pantalla">
          <a:extLst>
            <a:ext uri="{FF2B5EF4-FFF2-40B4-BE49-F238E27FC236}">
              <a16:creationId xmlns:a16="http://schemas.microsoft.com/office/drawing/2014/main" id="{03B57EEC-214B-44D9-9EAC-D4A1748DAC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81" name="AutoShape 1" descr="Vista previa de toda la pantalla">
          <a:extLst>
            <a:ext uri="{FF2B5EF4-FFF2-40B4-BE49-F238E27FC236}">
              <a16:creationId xmlns:a16="http://schemas.microsoft.com/office/drawing/2014/main" id="{EDD4BD83-48A6-445A-9E7F-3BB2392823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82" name="AutoShape 1" descr="Vista previa de toda la pantalla">
          <a:extLst>
            <a:ext uri="{FF2B5EF4-FFF2-40B4-BE49-F238E27FC236}">
              <a16:creationId xmlns:a16="http://schemas.microsoft.com/office/drawing/2014/main" id="{44C7C557-109A-4247-9636-03C01354C6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83" name="AutoShape 1" descr="Vista previa de toda la pantalla">
          <a:extLst>
            <a:ext uri="{FF2B5EF4-FFF2-40B4-BE49-F238E27FC236}">
              <a16:creationId xmlns:a16="http://schemas.microsoft.com/office/drawing/2014/main" id="{53B396D2-855E-49DE-9CD8-39E466DE54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84" name="AutoShape 1" descr="Vista previa de toda la pantalla">
          <a:extLst>
            <a:ext uri="{FF2B5EF4-FFF2-40B4-BE49-F238E27FC236}">
              <a16:creationId xmlns:a16="http://schemas.microsoft.com/office/drawing/2014/main" id="{E9D14056-4CF0-4170-8064-344B3F90A3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85" name="AutoShape 1" descr="Vista previa de toda la pantalla">
          <a:extLst>
            <a:ext uri="{FF2B5EF4-FFF2-40B4-BE49-F238E27FC236}">
              <a16:creationId xmlns:a16="http://schemas.microsoft.com/office/drawing/2014/main" id="{8E10D6EF-D2BA-43B7-856F-C1796434FC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86" name="AutoShape 1" descr="Vista previa de toda la pantalla">
          <a:extLst>
            <a:ext uri="{FF2B5EF4-FFF2-40B4-BE49-F238E27FC236}">
              <a16:creationId xmlns:a16="http://schemas.microsoft.com/office/drawing/2014/main" id="{E2DB4D00-D6A4-49E6-92FD-F7EF0F45A3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87" name="AutoShape 1" descr="Vista previa de toda la pantalla">
          <a:extLst>
            <a:ext uri="{FF2B5EF4-FFF2-40B4-BE49-F238E27FC236}">
              <a16:creationId xmlns:a16="http://schemas.microsoft.com/office/drawing/2014/main" id="{E02D1F22-F15C-47DF-915D-27AC9016F4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88" name="AutoShape 1" descr="Vista previa de toda la pantalla">
          <a:extLst>
            <a:ext uri="{FF2B5EF4-FFF2-40B4-BE49-F238E27FC236}">
              <a16:creationId xmlns:a16="http://schemas.microsoft.com/office/drawing/2014/main" id="{426EF74C-0BEC-49DE-9A54-77107F9D7A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89" name="AutoShape 1" descr="Vista previa de toda la pantalla">
          <a:extLst>
            <a:ext uri="{FF2B5EF4-FFF2-40B4-BE49-F238E27FC236}">
              <a16:creationId xmlns:a16="http://schemas.microsoft.com/office/drawing/2014/main" id="{9D545D28-7A3C-44AA-ABD2-82A250DBF3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90" name="AutoShape 1" descr="Vista previa de toda la pantalla">
          <a:extLst>
            <a:ext uri="{FF2B5EF4-FFF2-40B4-BE49-F238E27FC236}">
              <a16:creationId xmlns:a16="http://schemas.microsoft.com/office/drawing/2014/main" id="{1B4EED36-E45B-4249-8CDA-AEE32F9849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91" name="AutoShape 1" descr="Vista previa de toda la pantalla">
          <a:extLst>
            <a:ext uri="{FF2B5EF4-FFF2-40B4-BE49-F238E27FC236}">
              <a16:creationId xmlns:a16="http://schemas.microsoft.com/office/drawing/2014/main" id="{0D5C5878-A042-465F-8902-C94AB2A3D7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92" name="AutoShape 1" descr="Vista previa de toda la pantalla">
          <a:extLst>
            <a:ext uri="{FF2B5EF4-FFF2-40B4-BE49-F238E27FC236}">
              <a16:creationId xmlns:a16="http://schemas.microsoft.com/office/drawing/2014/main" id="{99B59FD0-8144-4ECC-A61B-98CFA379BA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93" name="AutoShape 1" descr="Vista previa de toda la pantalla">
          <a:extLst>
            <a:ext uri="{FF2B5EF4-FFF2-40B4-BE49-F238E27FC236}">
              <a16:creationId xmlns:a16="http://schemas.microsoft.com/office/drawing/2014/main" id="{AFE0A737-2EBF-46B5-87C1-BE92A45FFA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94" name="AutoShape 1" descr="Vista previa de toda la pantalla">
          <a:extLst>
            <a:ext uri="{FF2B5EF4-FFF2-40B4-BE49-F238E27FC236}">
              <a16:creationId xmlns:a16="http://schemas.microsoft.com/office/drawing/2014/main" id="{1D156B77-B0A3-4F77-9323-6468E67351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95" name="AutoShape 1" descr="Vista previa de toda la pantalla">
          <a:extLst>
            <a:ext uri="{FF2B5EF4-FFF2-40B4-BE49-F238E27FC236}">
              <a16:creationId xmlns:a16="http://schemas.microsoft.com/office/drawing/2014/main" id="{382A1439-91CC-48AA-84AD-EA70FA36B7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96" name="AutoShape 1" descr="Vista previa de toda la pantalla">
          <a:extLst>
            <a:ext uri="{FF2B5EF4-FFF2-40B4-BE49-F238E27FC236}">
              <a16:creationId xmlns:a16="http://schemas.microsoft.com/office/drawing/2014/main" id="{3A8686F1-758B-4535-9114-C550D18149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97" name="AutoShape 1" descr="Vista previa de toda la pantalla">
          <a:extLst>
            <a:ext uri="{FF2B5EF4-FFF2-40B4-BE49-F238E27FC236}">
              <a16:creationId xmlns:a16="http://schemas.microsoft.com/office/drawing/2014/main" id="{D84D0EB0-AD4D-4A0E-8E5F-1B091D71B2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98" name="AutoShape 1" descr="Vista previa de toda la pantalla">
          <a:extLst>
            <a:ext uri="{FF2B5EF4-FFF2-40B4-BE49-F238E27FC236}">
              <a16:creationId xmlns:a16="http://schemas.microsoft.com/office/drawing/2014/main" id="{93D86DCD-E189-4563-8031-06B2924BE7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599" name="AutoShape 1" descr="Vista previa de toda la pantalla">
          <a:extLst>
            <a:ext uri="{FF2B5EF4-FFF2-40B4-BE49-F238E27FC236}">
              <a16:creationId xmlns:a16="http://schemas.microsoft.com/office/drawing/2014/main" id="{51F4093D-9FB0-4B21-997B-7EDACF33E8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00" name="AutoShape 1" descr="Vista previa de toda la pantalla">
          <a:extLst>
            <a:ext uri="{FF2B5EF4-FFF2-40B4-BE49-F238E27FC236}">
              <a16:creationId xmlns:a16="http://schemas.microsoft.com/office/drawing/2014/main" id="{45DC595D-F549-4292-9133-2024EA01EF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01" name="AutoShape 1" descr="Vista previa de toda la pantalla">
          <a:extLst>
            <a:ext uri="{FF2B5EF4-FFF2-40B4-BE49-F238E27FC236}">
              <a16:creationId xmlns:a16="http://schemas.microsoft.com/office/drawing/2014/main" id="{FE65F1B0-CCB7-4710-BA5D-E4A0550781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02" name="AutoShape 1" descr="Vista previa de toda la pantalla">
          <a:extLst>
            <a:ext uri="{FF2B5EF4-FFF2-40B4-BE49-F238E27FC236}">
              <a16:creationId xmlns:a16="http://schemas.microsoft.com/office/drawing/2014/main" id="{3B01C525-CB67-44F9-8F70-66B4BCD71C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03" name="AutoShape 1" descr="Vista previa de toda la pantalla">
          <a:extLst>
            <a:ext uri="{FF2B5EF4-FFF2-40B4-BE49-F238E27FC236}">
              <a16:creationId xmlns:a16="http://schemas.microsoft.com/office/drawing/2014/main" id="{8E6A67EA-D304-4EC2-AB3E-1CA6CFCEF8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04" name="AutoShape 1" descr="Vista previa de toda la pantalla">
          <a:extLst>
            <a:ext uri="{FF2B5EF4-FFF2-40B4-BE49-F238E27FC236}">
              <a16:creationId xmlns:a16="http://schemas.microsoft.com/office/drawing/2014/main" id="{32292A74-8334-432E-A632-38ADB584AB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05" name="AutoShape 1" descr="Vista previa de toda la pantalla">
          <a:extLst>
            <a:ext uri="{FF2B5EF4-FFF2-40B4-BE49-F238E27FC236}">
              <a16:creationId xmlns:a16="http://schemas.microsoft.com/office/drawing/2014/main" id="{B9A502F0-5F45-4065-96A7-FBE0177986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06" name="AutoShape 1" descr="Vista previa de toda la pantalla">
          <a:extLst>
            <a:ext uri="{FF2B5EF4-FFF2-40B4-BE49-F238E27FC236}">
              <a16:creationId xmlns:a16="http://schemas.microsoft.com/office/drawing/2014/main" id="{D9A9F615-00E9-47D1-BFF5-2234E25927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07" name="AutoShape 1" descr="Vista previa de toda la pantalla">
          <a:extLst>
            <a:ext uri="{FF2B5EF4-FFF2-40B4-BE49-F238E27FC236}">
              <a16:creationId xmlns:a16="http://schemas.microsoft.com/office/drawing/2014/main" id="{ACD093A0-FCB9-44C7-A5FE-D2658A050C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08" name="AutoShape 1" descr="Vista previa de toda la pantalla">
          <a:extLst>
            <a:ext uri="{FF2B5EF4-FFF2-40B4-BE49-F238E27FC236}">
              <a16:creationId xmlns:a16="http://schemas.microsoft.com/office/drawing/2014/main" id="{989E6784-EB90-4DA0-B1D3-A91E25059A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09" name="AutoShape 1" descr="Vista previa de toda la pantalla">
          <a:extLst>
            <a:ext uri="{FF2B5EF4-FFF2-40B4-BE49-F238E27FC236}">
              <a16:creationId xmlns:a16="http://schemas.microsoft.com/office/drawing/2014/main" id="{987F9396-FE75-4611-BE74-816E1F994B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10" name="AutoShape 1" descr="Vista previa de toda la pantalla">
          <a:extLst>
            <a:ext uri="{FF2B5EF4-FFF2-40B4-BE49-F238E27FC236}">
              <a16:creationId xmlns:a16="http://schemas.microsoft.com/office/drawing/2014/main" id="{80BAA42E-31B2-4057-ACFA-13810A6B13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11" name="AutoShape 1" descr="Vista previa de toda la pantalla">
          <a:extLst>
            <a:ext uri="{FF2B5EF4-FFF2-40B4-BE49-F238E27FC236}">
              <a16:creationId xmlns:a16="http://schemas.microsoft.com/office/drawing/2014/main" id="{5683CFEF-51BB-428B-94F0-476224EEBF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12" name="AutoShape 1" descr="Vista previa de toda la pantalla">
          <a:extLst>
            <a:ext uri="{FF2B5EF4-FFF2-40B4-BE49-F238E27FC236}">
              <a16:creationId xmlns:a16="http://schemas.microsoft.com/office/drawing/2014/main" id="{05890547-E9B0-4BC5-8239-9CE56B3773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13" name="AutoShape 1" descr="Vista previa de toda la pantalla">
          <a:extLst>
            <a:ext uri="{FF2B5EF4-FFF2-40B4-BE49-F238E27FC236}">
              <a16:creationId xmlns:a16="http://schemas.microsoft.com/office/drawing/2014/main" id="{527813C6-A37A-4D19-B8D8-68C73252B8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14" name="AutoShape 1" descr="Vista previa de toda la pantalla">
          <a:extLst>
            <a:ext uri="{FF2B5EF4-FFF2-40B4-BE49-F238E27FC236}">
              <a16:creationId xmlns:a16="http://schemas.microsoft.com/office/drawing/2014/main" id="{33CA2469-BE09-4522-962F-EB2D8FCDF5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15" name="AutoShape 1" descr="Vista previa de toda la pantalla">
          <a:extLst>
            <a:ext uri="{FF2B5EF4-FFF2-40B4-BE49-F238E27FC236}">
              <a16:creationId xmlns:a16="http://schemas.microsoft.com/office/drawing/2014/main" id="{5B618470-D171-4DC3-B8E5-272523A4D6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16" name="AutoShape 1" descr="Vista previa de toda la pantalla">
          <a:extLst>
            <a:ext uri="{FF2B5EF4-FFF2-40B4-BE49-F238E27FC236}">
              <a16:creationId xmlns:a16="http://schemas.microsoft.com/office/drawing/2014/main" id="{A882C5DC-EA9D-4612-9FEA-70E86D16F9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17" name="AutoShape 1" descr="Vista previa de toda la pantalla">
          <a:extLst>
            <a:ext uri="{FF2B5EF4-FFF2-40B4-BE49-F238E27FC236}">
              <a16:creationId xmlns:a16="http://schemas.microsoft.com/office/drawing/2014/main" id="{27B5B0BD-B385-4599-AED3-F70E0E6EAB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18" name="AutoShape 1" descr="Vista previa de toda la pantalla">
          <a:extLst>
            <a:ext uri="{FF2B5EF4-FFF2-40B4-BE49-F238E27FC236}">
              <a16:creationId xmlns:a16="http://schemas.microsoft.com/office/drawing/2014/main" id="{321BF01D-B1AA-4487-9BB8-82B4BC7B73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19" name="AutoShape 1" descr="Vista previa de toda la pantalla">
          <a:extLst>
            <a:ext uri="{FF2B5EF4-FFF2-40B4-BE49-F238E27FC236}">
              <a16:creationId xmlns:a16="http://schemas.microsoft.com/office/drawing/2014/main" id="{C3D4E922-13F2-41D5-9488-FAD945D861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20" name="AutoShape 1" descr="Vista previa de toda la pantalla">
          <a:extLst>
            <a:ext uri="{FF2B5EF4-FFF2-40B4-BE49-F238E27FC236}">
              <a16:creationId xmlns:a16="http://schemas.microsoft.com/office/drawing/2014/main" id="{72B80472-A63C-435E-881E-0BEBBE2C36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21" name="AutoShape 1" descr="Vista previa de toda la pantalla">
          <a:extLst>
            <a:ext uri="{FF2B5EF4-FFF2-40B4-BE49-F238E27FC236}">
              <a16:creationId xmlns:a16="http://schemas.microsoft.com/office/drawing/2014/main" id="{0548C1FA-7F8F-4BD8-A176-C68AD03B46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22" name="AutoShape 1" descr="Vista previa de toda la pantalla">
          <a:extLst>
            <a:ext uri="{FF2B5EF4-FFF2-40B4-BE49-F238E27FC236}">
              <a16:creationId xmlns:a16="http://schemas.microsoft.com/office/drawing/2014/main" id="{21C54130-8776-4F70-A2B1-C6CF453775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23" name="AutoShape 1" descr="Vista previa de toda la pantalla">
          <a:extLst>
            <a:ext uri="{FF2B5EF4-FFF2-40B4-BE49-F238E27FC236}">
              <a16:creationId xmlns:a16="http://schemas.microsoft.com/office/drawing/2014/main" id="{BB537AA2-1066-481B-B0B4-9BDDED6C21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24" name="AutoShape 1" descr="Vista previa de toda la pantalla">
          <a:extLst>
            <a:ext uri="{FF2B5EF4-FFF2-40B4-BE49-F238E27FC236}">
              <a16:creationId xmlns:a16="http://schemas.microsoft.com/office/drawing/2014/main" id="{16019681-84A1-4693-A412-D87E9833D2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25" name="AutoShape 1" descr="Vista previa de toda la pantalla">
          <a:extLst>
            <a:ext uri="{FF2B5EF4-FFF2-40B4-BE49-F238E27FC236}">
              <a16:creationId xmlns:a16="http://schemas.microsoft.com/office/drawing/2014/main" id="{1F3B1276-B490-4AE1-8FF9-2860D73886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26" name="AutoShape 1" descr="Vista previa de toda la pantalla">
          <a:extLst>
            <a:ext uri="{FF2B5EF4-FFF2-40B4-BE49-F238E27FC236}">
              <a16:creationId xmlns:a16="http://schemas.microsoft.com/office/drawing/2014/main" id="{85D96DF6-9C43-45A6-A555-955592E680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27" name="AutoShape 1" descr="Vista previa de toda la pantalla">
          <a:extLst>
            <a:ext uri="{FF2B5EF4-FFF2-40B4-BE49-F238E27FC236}">
              <a16:creationId xmlns:a16="http://schemas.microsoft.com/office/drawing/2014/main" id="{F079DF51-A844-46FB-A4B0-4504E4AEB3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28" name="AutoShape 1" descr="Vista previa de toda la pantalla">
          <a:extLst>
            <a:ext uri="{FF2B5EF4-FFF2-40B4-BE49-F238E27FC236}">
              <a16:creationId xmlns:a16="http://schemas.microsoft.com/office/drawing/2014/main" id="{3E4C19B5-734A-4703-BFB2-23A4175DE8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29" name="AutoShape 1" descr="Vista previa de toda la pantalla">
          <a:extLst>
            <a:ext uri="{FF2B5EF4-FFF2-40B4-BE49-F238E27FC236}">
              <a16:creationId xmlns:a16="http://schemas.microsoft.com/office/drawing/2014/main" id="{F447E88F-06C6-468C-8758-23C2EE25FD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30" name="AutoShape 1" descr="Vista previa de toda la pantalla">
          <a:extLst>
            <a:ext uri="{FF2B5EF4-FFF2-40B4-BE49-F238E27FC236}">
              <a16:creationId xmlns:a16="http://schemas.microsoft.com/office/drawing/2014/main" id="{7F2AA03C-54EA-49B3-BBD6-084AD7460F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31" name="AutoShape 1" descr="Vista previa de toda la pantalla">
          <a:extLst>
            <a:ext uri="{FF2B5EF4-FFF2-40B4-BE49-F238E27FC236}">
              <a16:creationId xmlns:a16="http://schemas.microsoft.com/office/drawing/2014/main" id="{A3A652A8-97AE-4548-98BC-7C00C619F8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32" name="AutoShape 1" descr="Vista previa de toda la pantalla">
          <a:extLst>
            <a:ext uri="{FF2B5EF4-FFF2-40B4-BE49-F238E27FC236}">
              <a16:creationId xmlns:a16="http://schemas.microsoft.com/office/drawing/2014/main" id="{3384EA95-7DC6-4970-8AF1-F247421044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33" name="AutoShape 1" descr="Vista previa de toda la pantalla">
          <a:extLst>
            <a:ext uri="{FF2B5EF4-FFF2-40B4-BE49-F238E27FC236}">
              <a16:creationId xmlns:a16="http://schemas.microsoft.com/office/drawing/2014/main" id="{F639DE30-12AA-45AD-A211-C8ACF1C358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34" name="AutoShape 1" descr="Vista previa de toda la pantalla">
          <a:extLst>
            <a:ext uri="{FF2B5EF4-FFF2-40B4-BE49-F238E27FC236}">
              <a16:creationId xmlns:a16="http://schemas.microsoft.com/office/drawing/2014/main" id="{357F3725-1093-4036-8481-068410FCE7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35" name="AutoShape 1" descr="Vista previa de toda la pantalla">
          <a:extLst>
            <a:ext uri="{FF2B5EF4-FFF2-40B4-BE49-F238E27FC236}">
              <a16:creationId xmlns:a16="http://schemas.microsoft.com/office/drawing/2014/main" id="{00579F4A-2DC9-4471-9A02-C16E80F3EC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36" name="AutoShape 1" descr="Vista previa de toda la pantalla">
          <a:extLst>
            <a:ext uri="{FF2B5EF4-FFF2-40B4-BE49-F238E27FC236}">
              <a16:creationId xmlns:a16="http://schemas.microsoft.com/office/drawing/2014/main" id="{C0A58877-88B9-4473-90DE-F168AECB6C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37" name="AutoShape 1" descr="Vista previa de toda la pantalla">
          <a:extLst>
            <a:ext uri="{FF2B5EF4-FFF2-40B4-BE49-F238E27FC236}">
              <a16:creationId xmlns:a16="http://schemas.microsoft.com/office/drawing/2014/main" id="{FF42E0AE-6AD9-4658-9E16-4C9CD9FFCE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38" name="AutoShape 1" descr="Vista previa de toda la pantalla">
          <a:extLst>
            <a:ext uri="{FF2B5EF4-FFF2-40B4-BE49-F238E27FC236}">
              <a16:creationId xmlns:a16="http://schemas.microsoft.com/office/drawing/2014/main" id="{2A785898-3A6D-46E3-8CA1-D197BFC1F7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39" name="AutoShape 1" descr="Vista previa de toda la pantalla">
          <a:extLst>
            <a:ext uri="{FF2B5EF4-FFF2-40B4-BE49-F238E27FC236}">
              <a16:creationId xmlns:a16="http://schemas.microsoft.com/office/drawing/2014/main" id="{5F555F05-4ECE-4B26-9F59-5A09CEE9DE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40" name="AutoShape 1" descr="Vista previa de toda la pantalla">
          <a:extLst>
            <a:ext uri="{FF2B5EF4-FFF2-40B4-BE49-F238E27FC236}">
              <a16:creationId xmlns:a16="http://schemas.microsoft.com/office/drawing/2014/main" id="{345DA0C6-B7E7-4F67-B816-CB8058430A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41" name="AutoShape 1" descr="Vista previa de toda la pantalla">
          <a:extLst>
            <a:ext uri="{FF2B5EF4-FFF2-40B4-BE49-F238E27FC236}">
              <a16:creationId xmlns:a16="http://schemas.microsoft.com/office/drawing/2014/main" id="{F14247D7-00F5-462F-81B2-DD24E5FF58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42" name="AutoShape 1" descr="Vista previa de toda la pantalla">
          <a:extLst>
            <a:ext uri="{FF2B5EF4-FFF2-40B4-BE49-F238E27FC236}">
              <a16:creationId xmlns:a16="http://schemas.microsoft.com/office/drawing/2014/main" id="{6692EEA7-AED1-4F34-80E5-5C7C3ED058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43" name="AutoShape 1" descr="Vista previa de toda la pantalla">
          <a:extLst>
            <a:ext uri="{FF2B5EF4-FFF2-40B4-BE49-F238E27FC236}">
              <a16:creationId xmlns:a16="http://schemas.microsoft.com/office/drawing/2014/main" id="{4C4BC94F-CD0C-40E9-9E50-F98B5B34A7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44" name="AutoShape 1" descr="Vista previa de toda la pantalla">
          <a:extLst>
            <a:ext uri="{FF2B5EF4-FFF2-40B4-BE49-F238E27FC236}">
              <a16:creationId xmlns:a16="http://schemas.microsoft.com/office/drawing/2014/main" id="{7CDBFE1C-7938-454A-B128-87BB1096D6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45" name="AutoShape 1" descr="Vista previa de toda la pantalla">
          <a:extLst>
            <a:ext uri="{FF2B5EF4-FFF2-40B4-BE49-F238E27FC236}">
              <a16:creationId xmlns:a16="http://schemas.microsoft.com/office/drawing/2014/main" id="{3F076BDC-131D-41A2-B81E-5FE45AFC33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46" name="AutoShape 1" descr="Vista previa de toda la pantalla">
          <a:extLst>
            <a:ext uri="{FF2B5EF4-FFF2-40B4-BE49-F238E27FC236}">
              <a16:creationId xmlns:a16="http://schemas.microsoft.com/office/drawing/2014/main" id="{5D4D5120-1C8C-4F05-8CD8-8E77A5AA34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47" name="AutoShape 1" descr="Vista previa de toda la pantalla">
          <a:extLst>
            <a:ext uri="{FF2B5EF4-FFF2-40B4-BE49-F238E27FC236}">
              <a16:creationId xmlns:a16="http://schemas.microsoft.com/office/drawing/2014/main" id="{D513255A-ED24-4111-BDA3-7080AE7B7C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48" name="AutoShape 1" descr="Vista previa de toda la pantalla">
          <a:extLst>
            <a:ext uri="{FF2B5EF4-FFF2-40B4-BE49-F238E27FC236}">
              <a16:creationId xmlns:a16="http://schemas.microsoft.com/office/drawing/2014/main" id="{8517C63A-2D09-4004-9458-1EC7922460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49" name="AutoShape 1" descr="Vista previa de toda la pantalla">
          <a:extLst>
            <a:ext uri="{FF2B5EF4-FFF2-40B4-BE49-F238E27FC236}">
              <a16:creationId xmlns:a16="http://schemas.microsoft.com/office/drawing/2014/main" id="{24802CD7-DA77-43E3-A49C-4CEC2C851D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50" name="AutoShape 1" descr="Vista previa de toda la pantalla">
          <a:extLst>
            <a:ext uri="{FF2B5EF4-FFF2-40B4-BE49-F238E27FC236}">
              <a16:creationId xmlns:a16="http://schemas.microsoft.com/office/drawing/2014/main" id="{9863C9C9-5CF7-477A-A8F1-34ABC8214A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51" name="AutoShape 1" descr="Vista previa de toda la pantalla">
          <a:extLst>
            <a:ext uri="{FF2B5EF4-FFF2-40B4-BE49-F238E27FC236}">
              <a16:creationId xmlns:a16="http://schemas.microsoft.com/office/drawing/2014/main" id="{E6AA6A00-FC70-437D-AE07-370C012EC8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52" name="AutoShape 1" descr="Vista previa de toda la pantalla">
          <a:extLst>
            <a:ext uri="{FF2B5EF4-FFF2-40B4-BE49-F238E27FC236}">
              <a16:creationId xmlns:a16="http://schemas.microsoft.com/office/drawing/2014/main" id="{9540CE4F-49EF-4B59-AC51-7CAB008F9C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53" name="AutoShape 1" descr="Vista previa de toda la pantalla">
          <a:extLst>
            <a:ext uri="{FF2B5EF4-FFF2-40B4-BE49-F238E27FC236}">
              <a16:creationId xmlns:a16="http://schemas.microsoft.com/office/drawing/2014/main" id="{D3A13DEE-FFAF-435A-9AA5-1471B8002D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54" name="AutoShape 1" descr="Vista previa de toda la pantalla">
          <a:extLst>
            <a:ext uri="{FF2B5EF4-FFF2-40B4-BE49-F238E27FC236}">
              <a16:creationId xmlns:a16="http://schemas.microsoft.com/office/drawing/2014/main" id="{313B1B38-A2D7-468F-87D0-F82CF3C11C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55" name="AutoShape 1" descr="Vista previa de toda la pantalla">
          <a:extLst>
            <a:ext uri="{FF2B5EF4-FFF2-40B4-BE49-F238E27FC236}">
              <a16:creationId xmlns:a16="http://schemas.microsoft.com/office/drawing/2014/main" id="{43D234C4-E844-4503-ACCE-8F3DBA469B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56" name="AutoShape 1" descr="Vista previa de toda la pantalla">
          <a:extLst>
            <a:ext uri="{FF2B5EF4-FFF2-40B4-BE49-F238E27FC236}">
              <a16:creationId xmlns:a16="http://schemas.microsoft.com/office/drawing/2014/main" id="{DCA822DA-5A21-4CD7-AC58-20999D9257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57" name="AutoShape 1" descr="Vista previa de toda la pantalla">
          <a:extLst>
            <a:ext uri="{FF2B5EF4-FFF2-40B4-BE49-F238E27FC236}">
              <a16:creationId xmlns:a16="http://schemas.microsoft.com/office/drawing/2014/main" id="{956B36B5-566F-45F2-B24E-04C8EA7C83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58" name="AutoShape 1" descr="Vista previa de toda la pantalla">
          <a:extLst>
            <a:ext uri="{FF2B5EF4-FFF2-40B4-BE49-F238E27FC236}">
              <a16:creationId xmlns:a16="http://schemas.microsoft.com/office/drawing/2014/main" id="{1038AFFE-CD10-4771-A92E-E32EE5B1EC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59" name="AutoShape 1" descr="Vista previa de toda la pantalla">
          <a:extLst>
            <a:ext uri="{FF2B5EF4-FFF2-40B4-BE49-F238E27FC236}">
              <a16:creationId xmlns:a16="http://schemas.microsoft.com/office/drawing/2014/main" id="{2341E238-CDAC-453A-926F-89D76C102D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60" name="AutoShape 1" descr="Vista previa de toda la pantalla">
          <a:extLst>
            <a:ext uri="{FF2B5EF4-FFF2-40B4-BE49-F238E27FC236}">
              <a16:creationId xmlns:a16="http://schemas.microsoft.com/office/drawing/2014/main" id="{40F7C259-7078-4A2B-9877-6F6138A0B2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61" name="AutoShape 1" descr="Vista previa de toda la pantalla">
          <a:extLst>
            <a:ext uri="{FF2B5EF4-FFF2-40B4-BE49-F238E27FC236}">
              <a16:creationId xmlns:a16="http://schemas.microsoft.com/office/drawing/2014/main" id="{8C28261F-A2D8-4A5C-B9D4-F4E2518EBD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62" name="AutoShape 1" descr="Vista previa de toda la pantalla">
          <a:extLst>
            <a:ext uri="{FF2B5EF4-FFF2-40B4-BE49-F238E27FC236}">
              <a16:creationId xmlns:a16="http://schemas.microsoft.com/office/drawing/2014/main" id="{AD28CD1F-72CA-41E8-AB11-B8EFBED66F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63" name="AutoShape 1" descr="Vista previa de toda la pantalla">
          <a:extLst>
            <a:ext uri="{FF2B5EF4-FFF2-40B4-BE49-F238E27FC236}">
              <a16:creationId xmlns:a16="http://schemas.microsoft.com/office/drawing/2014/main" id="{4C408916-3E82-471D-AA42-4F16751DD8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64" name="AutoShape 1" descr="Vista previa de toda la pantalla">
          <a:extLst>
            <a:ext uri="{FF2B5EF4-FFF2-40B4-BE49-F238E27FC236}">
              <a16:creationId xmlns:a16="http://schemas.microsoft.com/office/drawing/2014/main" id="{2FB81361-EBF7-4246-B310-AA6300C493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65" name="AutoShape 1" descr="Vista previa de toda la pantalla">
          <a:extLst>
            <a:ext uri="{FF2B5EF4-FFF2-40B4-BE49-F238E27FC236}">
              <a16:creationId xmlns:a16="http://schemas.microsoft.com/office/drawing/2014/main" id="{BDBA4F5D-7E6C-4773-A831-526CA51BB9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66" name="AutoShape 1" descr="Vista previa de toda la pantalla">
          <a:extLst>
            <a:ext uri="{FF2B5EF4-FFF2-40B4-BE49-F238E27FC236}">
              <a16:creationId xmlns:a16="http://schemas.microsoft.com/office/drawing/2014/main" id="{40D57448-536F-4134-A2E1-5914F7A107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67" name="AutoShape 1" descr="Vista previa de toda la pantalla">
          <a:extLst>
            <a:ext uri="{FF2B5EF4-FFF2-40B4-BE49-F238E27FC236}">
              <a16:creationId xmlns:a16="http://schemas.microsoft.com/office/drawing/2014/main" id="{08596239-48A3-4376-83D2-2AD3B72C35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68" name="AutoShape 1" descr="Vista previa de toda la pantalla">
          <a:extLst>
            <a:ext uri="{FF2B5EF4-FFF2-40B4-BE49-F238E27FC236}">
              <a16:creationId xmlns:a16="http://schemas.microsoft.com/office/drawing/2014/main" id="{0E06F332-7A22-4E65-9D6B-E50BD2FDC3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69" name="AutoShape 1" descr="Vista previa de toda la pantalla">
          <a:extLst>
            <a:ext uri="{FF2B5EF4-FFF2-40B4-BE49-F238E27FC236}">
              <a16:creationId xmlns:a16="http://schemas.microsoft.com/office/drawing/2014/main" id="{6A03D07F-2E5C-4A25-B57F-7C5D73B022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70" name="AutoShape 1" descr="Vista previa de toda la pantalla">
          <a:extLst>
            <a:ext uri="{FF2B5EF4-FFF2-40B4-BE49-F238E27FC236}">
              <a16:creationId xmlns:a16="http://schemas.microsoft.com/office/drawing/2014/main" id="{4D9EA449-46E8-47B9-B0A9-AA376EB921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71" name="AutoShape 1" descr="Vista previa de toda la pantalla">
          <a:extLst>
            <a:ext uri="{FF2B5EF4-FFF2-40B4-BE49-F238E27FC236}">
              <a16:creationId xmlns:a16="http://schemas.microsoft.com/office/drawing/2014/main" id="{34954D98-1746-4DC2-AE96-A51D1B34AC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72" name="AutoShape 1" descr="Vista previa de toda la pantalla">
          <a:extLst>
            <a:ext uri="{FF2B5EF4-FFF2-40B4-BE49-F238E27FC236}">
              <a16:creationId xmlns:a16="http://schemas.microsoft.com/office/drawing/2014/main" id="{365DF6C6-E86C-415C-9A3C-60E2F5FBFC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73" name="AutoShape 1" descr="Vista previa de toda la pantalla">
          <a:extLst>
            <a:ext uri="{FF2B5EF4-FFF2-40B4-BE49-F238E27FC236}">
              <a16:creationId xmlns:a16="http://schemas.microsoft.com/office/drawing/2014/main" id="{9860AD84-F0CB-4FB1-B12D-F1413A5D16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74" name="AutoShape 1" descr="Vista previa de toda la pantalla">
          <a:extLst>
            <a:ext uri="{FF2B5EF4-FFF2-40B4-BE49-F238E27FC236}">
              <a16:creationId xmlns:a16="http://schemas.microsoft.com/office/drawing/2014/main" id="{D3BF0B51-0D30-4CB7-B388-744A2E361E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75" name="AutoShape 1" descr="Vista previa de toda la pantalla">
          <a:extLst>
            <a:ext uri="{FF2B5EF4-FFF2-40B4-BE49-F238E27FC236}">
              <a16:creationId xmlns:a16="http://schemas.microsoft.com/office/drawing/2014/main" id="{C2AAE434-A396-4220-886F-EA22F97607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76" name="AutoShape 1" descr="Vista previa de toda la pantalla">
          <a:extLst>
            <a:ext uri="{FF2B5EF4-FFF2-40B4-BE49-F238E27FC236}">
              <a16:creationId xmlns:a16="http://schemas.microsoft.com/office/drawing/2014/main" id="{282B4E73-73DA-42CD-BD98-DEEFACC682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2677" name="AutoShape 1" descr="Vista previa de toda la pantalla">
          <a:extLst>
            <a:ext uri="{FF2B5EF4-FFF2-40B4-BE49-F238E27FC236}">
              <a16:creationId xmlns:a16="http://schemas.microsoft.com/office/drawing/2014/main" id="{87495FE3-344E-4A06-BB0A-7542BAC2D167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78" name="AutoShape 1" descr="Vista previa de toda la pantalla">
          <a:extLst>
            <a:ext uri="{FF2B5EF4-FFF2-40B4-BE49-F238E27FC236}">
              <a16:creationId xmlns:a16="http://schemas.microsoft.com/office/drawing/2014/main" id="{0877B799-3DEB-43A4-9E2B-644D8ACCD6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79" name="AutoShape 1" descr="Vista previa de toda la pantalla">
          <a:extLst>
            <a:ext uri="{FF2B5EF4-FFF2-40B4-BE49-F238E27FC236}">
              <a16:creationId xmlns:a16="http://schemas.microsoft.com/office/drawing/2014/main" id="{77C886FB-5449-4780-A975-66F0EE135E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80" name="AutoShape 1" descr="Vista previa de toda la pantalla">
          <a:extLst>
            <a:ext uri="{FF2B5EF4-FFF2-40B4-BE49-F238E27FC236}">
              <a16:creationId xmlns:a16="http://schemas.microsoft.com/office/drawing/2014/main" id="{BE7A17F7-740E-450B-ABB1-DBC614D922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81" name="AutoShape 1" descr="Vista previa de toda la pantalla">
          <a:extLst>
            <a:ext uri="{FF2B5EF4-FFF2-40B4-BE49-F238E27FC236}">
              <a16:creationId xmlns:a16="http://schemas.microsoft.com/office/drawing/2014/main" id="{61925EBB-4818-430D-A67F-A793B3B818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82" name="AutoShape 1" descr="Vista previa de toda la pantalla">
          <a:extLst>
            <a:ext uri="{FF2B5EF4-FFF2-40B4-BE49-F238E27FC236}">
              <a16:creationId xmlns:a16="http://schemas.microsoft.com/office/drawing/2014/main" id="{55A3123C-B108-4998-940B-59F6F07613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83" name="AutoShape 1" descr="Vista previa de toda la pantalla">
          <a:extLst>
            <a:ext uri="{FF2B5EF4-FFF2-40B4-BE49-F238E27FC236}">
              <a16:creationId xmlns:a16="http://schemas.microsoft.com/office/drawing/2014/main" id="{DFC94CFF-AC9D-4944-9927-726FC9FB5B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84" name="AutoShape 1" descr="Vista previa de toda la pantalla">
          <a:extLst>
            <a:ext uri="{FF2B5EF4-FFF2-40B4-BE49-F238E27FC236}">
              <a16:creationId xmlns:a16="http://schemas.microsoft.com/office/drawing/2014/main" id="{8E9D73AF-5116-4EAF-9BD0-B54F377E6E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85" name="AutoShape 1" descr="Vista previa de toda la pantalla">
          <a:extLst>
            <a:ext uri="{FF2B5EF4-FFF2-40B4-BE49-F238E27FC236}">
              <a16:creationId xmlns:a16="http://schemas.microsoft.com/office/drawing/2014/main" id="{70B0ACEB-0B8B-4945-8C78-C6901FD656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86" name="AutoShape 1" descr="Vista previa de toda la pantalla">
          <a:extLst>
            <a:ext uri="{FF2B5EF4-FFF2-40B4-BE49-F238E27FC236}">
              <a16:creationId xmlns:a16="http://schemas.microsoft.com/office/drawing/2014/main" id="{E1655120-0E3F-452C-A667-728CF32176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87" name="AutoShape 1" descr="Vista previa de toda la pantalla">
          <a:extLst>
            <a:ext uri="{FF2B5EF4-FFF2-40B4-BE49-F238E27FC236}">
              <a16:creationId xmlns:a16="http://schemas.microsoft.com/office/drawing/2014/main" id="{C9663C8E-4064-4065-80F4-D732BB8678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88" name="AutoShape 1" descr="Vista previa de toda la pantalla">
          <a:extLst>
            <a:ext uri="{FF2B5EF4-FFF2-40B4-BE49-F238E27FC236}">
              <a16:creationId xmlns:a16="http://schemas.microsoft.com/office/drawing/2014/main" id="{EF3E5534-F26F-4BB0-AF9F-BFE124A1BB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89" name="AutoShape 1" descr="Vista previa de toda la pantalla">
          <a:extLst>
            <a:ext uri="{FF2B5EF4-FFF2-40B4-BE49-F238E27FC236}">
              <a16:creationId xmlns:a16="http://schemas.microsoft.com/office/drawing/2014/main" id="{2F443B18-DDE3-4033-93C6-2B6643A8CA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90" name="AutoShape 1" descr="Vista previa de toda la pantalla">
          <a:extLst>
            <a:ext uri="{FF2B5EF4-FFF2-40B4-BE49-F238E27FC236}">
              <a16:creationId xmlns:a16="http://schemas.microsoft.com/office/drawing/2014/main" id="{7A4E0CBD-120B-4D0D-9D57-292DE84446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91" name="AutoShape 1" descr="Vista previa de toda la pantalla">
          <a:extLst>
            <a:ext uri="{FF2B5EF4-FFF2-40B4-BE49-F238E27FC236}">
              <a16:creationId xmlns:a16="http://schemas.microsoft.com/office/drawing/2014/main" id="{8ED7BD3C-D23A-4E54-A78E-9F927BC893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92" name="AutoShape 1" descr="Vista previa de toda la pantalla">
          <a:extLst>
            <a:ext uri="{FF2B5EF4-FFF2-40B4-BE49-F238E27FC236}">
              <a16:creationId xmlns:a16="http://schemas.microsoft.com/office/drawing/2014/main" id="{BA44AAEF-D24B-4C89-99D3-10FF5242CC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93" name="AutoShape 1" descr="Vista previa de toda la pantalla">
          <a:extLst>
            <a:ext uri="{FF2B5EF4-FFF2-40B4-BE49-F238E27FC236}">
              <a16:creationId xmlns:a16="http://schemas.microsoft.com/office/drawing/2014/main" id="{FD062508-6CAF-432C-BDE9-A018C6612C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94" name="AutoShape 1" descr="Vista previa de toda la pantalla">
          <a:extLst>
            <a:ext uri="{FF2B5EF4-FFF2-40B4-BE49-F238E27FC236}">
              <a16:creationId xmlns:a16="http://schemas.microsoft.com/office/drawing/2014/main" id="{2450C68E-780E-44E0-BAA3-AD7B3C0477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95" name="AutoShape 1" descr="Vista previa de toda la pantalla">
          <a:extLst>
            <a:ext uri="{FF2B5EF4-FFF2-40B4-BE49-F238E27FC236}">
              <a16:creationId xmlns:a16="http://schemas.microsoft.com/office/drawing/2014/main" id="{36838BB8-97F1-48E3-A489-6C2D8087BA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96" name="AutoShape 1" descr="Vista previa de toda la pantalla">
          <a:extLst>
            <a:ext uri="{FF2B5EF4-FFF2-40B4-BE49-F238E27FC236}">
              <a16:creationId xmlns:a16="http://schemas.microsoft.com/office/drawing/2014/main" id="{C0AD17E1-F020-48F6-92A3-49D579AF27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97" name="AutoShape 1" descr="Vista previa de toda la pantalla">
          <a:extLst>
            <a:ext uri="{FF2B5EF4-FFF2-40B4-BE49-F238E27FC236}">
              <a16:creationId xmlns:a16="http://schemas.microsoft.com/office/drawing/2014/main" id="{25BB4573-F554-434E-B758-31C591EF9F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98" name="AutoShape 1" descr="Vista previa de toda la pantalla">
          <a:extLst>
            <a:ext uri="{FF2B5EF4-FFF2-40B4-BE49-F238E27FC236}">
              <a16:creationId xmlns:a16="http://schemas.microsoft.com/office/drawing/2014/main" id="{050C5FEA-3231-408B-93EA-3A41D81C19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699" name="AutoShape 1" descr="Vista previa de toda la pantalla">
          <a:extLst>
            <a:ext uri="{FF2B5EF4-FFF2-40B4-BE49-F238E27FC236}">
              <a16:creationId xmlns:a16="http://schemas.microsoft.com/office/drawing/2014/main" id="{1587EF86-2314-4475-9283-F3ED06E201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00" name="AutoShape 1" descr="Vista previa de toda la pantalla">
          <a:extLst>
            <a:ext uri="{FF2B5EF4-FFF2-40B4-BE49-F238E27FC236}">
              <a16:creationId xmlns:a16="http://schemas.microsoft.com/office/drawing/2014/main" id="{88168BEC-5220-4116-BD7E-52102627DA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01" name="AutoShape 1" descr="Vista previa de toda la pantalla">
          <a:extLst>
            <a:ext uri="{FF2B5EF4-FFF2-40B4-BE49-F238E27FC236}">
              <a16:creationId xmlns:a16="http://schemas.microsoft.com/office/drawing/2014/main" id="{245D9707-6D31-43AD-BC2B-DD3561A283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02" name="AutoShape 1" descr="Vista previa de toda la pantalla">
          <a:extLst>
            <a:ext uri="{FF2B5EF4-FFF2-40B4-BE49-F238E27FC236}">
              <a16:creationId xmlns:a16="http://schemas.microsoft.com/office/drawing/2014/main" id="{BCB353BC-5E2A-43E2-843C-A44FF9E436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03" name="AutoShape 1" descr="Vista previa de toda la pantalla">
          <a:extLst>
            <a:ext uri="{FF2B5EF4-FFF2-40B4-BE49-F238E27FC236}">
              <a16:creationId xmlns:a16="http://schemas.microsoft.com/office/drawing/2014/main" id="{0C59D4CB-619F-4E2C-B3B2-62F5D9CE0A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04" name="AutoShape 1" descr="Vista previa de toda la pantalla">
          <a:extLst>
            <a:ext uri="{FF2B5EF4-FFF2-40B4-BE49-F238E27FC236}">
              <a16:creationId xmlns:a16="http://schemas.microsoft.com/office/drawing/2014/main" id="{21AE0629-2275-492C-AB85-3B4AA890F6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05" name="AutoShape 1" descr="Vista previa de toda la pantalla">
          <a:extLst>
            <a:ext uri="{FF2B5EF4-FFF2-40B4-BE49-F238E27FC236}">
              <a16:creationId xmlns:a16="http://schemas.microsoft.com/office/drawing/2014/main" id="{012AFB25-2793-40C9-85EF-8BE0A3AFE2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06" name="AutoShape 1" descr="Vista previa de toda la pantalla">
          <a:extLst>
            <a:ext uri="{FF2B5EF4-FFF2-40B4-BE49-F238E27FC236}">
              <a16:creationId xmlns:a16="http://schemas.microsoft.com/office/drawing/2014/main" id="{53C1CD56-9B54-4AE2-BD67-07A780CD16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07" name="AutoShape 1" descr="Vista previa de toda la pantalla">
          <a:extLst>
            <a:ext uri="{FF2B5EF4-FFF2-40B4-BE49-F238E27FC236}">
              <a16:creationId xmlns:a16="http://schemas.microsoft.com/office/drawing/2014/main" id="{3070F1E7-429F-4C9B-83C0-67AEA3662D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08" name="AutoShape 1" descr="Vista previa de toda la pantalla">
          <a:extLst>
            <a:ext uri="{FF2B5EF4-FFF2-40B4-BE49-F238E27FC236}">
              <a16:creationId xmlns:a16="http://schemas.microsoft.com/office/drawing/2014/main" id="{44679DA2-561B-4725-9B0B-569EE49C07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09" name="AutoShape 1" descr="Vista previa de toda la pantalla">
          <a:extLst>
            <a:ext uri="{FF2B5EF4-FFF2-40B4-BE49-F238E27FC236}">
              <a16:creationId xmlns:a16="http://schemas.microsoft.com/office/drawing/2014/main" id="{C5DB2CA1-0ED7-4620-A11F-4D95C71759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10" name="AutoShape 1" descr="Vista previa de toda la pantalla">
          <a:extLst>
            <a:ext uri="{FF2B5EF4-FFF2-40B4-BE49-F238E27FC236}">
              <a16:creationId xmlns:a16="http://schemas.microsoft.com/office/drawing/2014/main" id="{3DC65A2B-7D08-46C4-AEA3-3ECF2DDFD6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11" name="AutoShape 1" descr="Vista previa de toda la pantalla">
          <a:extLst>
            <a:ext uri="{FF2B5EF4-FFF2-40B4-BE49-F238E27FC236}">
              <a16:creationId xmlns:a16="http://schemas.microsoft.com/office/drawing/2014/main" id="{825AD197-9BDF-41ED-ADF0-5ACFE0BF46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12" name="AutoShape 1" descr="Vista previa de toda la pantalla">
          <a:extLst>
            <a:ext uri="{FF2B5EF4-FFF2-40B4-BE49-F238E27FC236}">
              <a16:creationId xmlns:a16="http://schemas.microsoft.com/office/drawing/2014/main" id="{0D75E7B2-EDCA-4E0B-80E1-02937A2071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13" name="AutoShape 1" descr="Vista previa de toda la pantalla">
          <a:extLst>
            <a:ext uri="{FF2B5EF4-FFF2-40B4-BE49-F238E27FC236}">
              <a16:creationId xmlns:a16="http://schemas.microsoft.com/office/drawing/2014/main" id="{738703EC-7499-44A2-BDAD-D99837379E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14" name="AutoShape 1" descr="Vista previa de toda la pantalla">
          <a:extLst>
            <a:ext uri="{FF2B5EF4-FFF2-40B4-BE49-F238E27FC236}">
              <a16:creationId xmlns:a16="http://schemas.microsoft.com/office/drawing/2014/main" id="{64AA975E-6441-4F04-B5E3-163B15517C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15" name="AutoShape 1" descr="Vista previa de toda la pantalla">
          <a:extLst>
            <a:ext uri="{FF2B5EF4-FFF2-40B4-BE49-F238E27FC236}">
              <a16:creationId xmlns:a16="http://schemas.microsoft.com/office/drawing/2014/main" id="{35BF6B9A-8174-46FC-B704-38802114C2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16" name="AutoShape 1" descr="Vista previa de toda la pantalla">
          <a:extLst>
            <a:ext uri="{FF2B5EF4-FFF2-40B4-BE49-F238E27FC236}">
              <a16:creationId xmlns:a16="http://schemas.microsoft.com/office/drawing/2014/main" id="{1DD644E9-905A-47B9-BE32-0018AEEC38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17" name="AutoShape 1" descr="Vista previa de toda la pantalla">
          <a:extLst>
            <a:ext uri="{FF2B5EF4-FFF2-40B4-BE49-F238E27FC236}">
              <a16:creationId xmlns:a16="http://schemas.microsoft.com/office/drawing/2014/main" id="{3E6894EF-8955-40AE-9B4F-A208B80081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18" name="AutoShape 1" descr="Vista previa de toda la pantalla">
          <a:extLst>
            <a:ext uri="{FF2B5EF4-FFF2-40B4-BE49-F238E27FC236}">
              <a16:creationId xmlns:a16="http://schemas.microsoft.com/office/drawing/2014/main" id="{D79AD052-199B-4395-9D1E-234AEA41FB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19" name="AutoShape 1" descr="Vista previa de toda la pantalla">
          <a:extLst>
            <a:ext uri="{FF2B5EF4-FFF2-40B4-BE49-F238E27FC236}">
              <a16:creationId xmlns:a16="http://schemas.microsoft.com/office/drawing/2014/main" id="{549C939C-4542-48EE-B80D-53539703C5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20" name="AutoShape 1" descr="Vista previa de toda la pantalla">
          <a:extLst>
            <a:ext uri="{FF2B5EF4-FFF2-40B4-BE49-F238E27FC236}">
              <a16:creationId xmlns:a16="http://schemas.microsoft.com/office/drawing/2014/main" id="{A2EC29F7-40B5-4510-AB00-25843009FD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21" name="AutoShape 1" descr="Vista previa de toda la pantalla">
          <a:extLst>
            <a:ext uri="{FF2B5EF4-FFF2-40B4-BE49-F238E27FC236}">
              <a16:creationId xmlns:a16="http://schemas.microsoft.com/office/drawing/2014/main" id="{77F8F4D6-DC9B-48C6-805D-0FA509B8BF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22" name="AutoShape 1" descr="Vista previa de toda la pantalla">
          <a:extLst>
            <a:ext uri="{FF2B5EF4-FFF2-40B4-BE49-F238E27FC236}">
              <a16:creationId xmlns:a16="http://schemas.microsoft.com/office/drawing/2014/main" id="{24488373-C74D-4E7B-BD8E-2FE306C241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23" name="AutoShape 1" descr="Vista previa de toda la pantalla">
          <a:extLst>
            <a:ext uri="{FF2B5EF4-FFF2-40B4-BE49-F238E27FC236}">
              <a16:creationId xmlns:a16="http://schemas.microsoft.com/office/drawing/2014/main" id="{77E8F629-063B-4664-9247-AA1E4CB26D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24" name="AutoShape 1" descr="Vista previa de toda la pantalla">
          <a:extLst>
            <a:ext uri="{FF2B5EF4-FFF2-40B4-BE49-F238E27FC236}">
              <a16:creationId xmlns:a16="http://schemas.microsoft.com/office/drawing/2014/main" id="{F4C8CC9C-CBF6-4CC1-BAAC-664A1F170F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25" name="AutoShape 1" descr="Vista previa de toda la pantalla">
          <a:extLst>
            <a:ext uri="{FF2B5EF4-FFF2-40B4-BE49-F238E27FC236}">
              <a16:creationId xmlns:a16="http://schemas.microsoft.com/office/drawing/2014/main" id="{4DE758AB-6ABC-40F4-AAEB-213C0A06E4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26" name="AutoShape 1" descr="Vista previa de toda la pantalla">
          <a:extLst>
            <a:ext uri="{FF2B5EF4-FFF2-40B4-BE49-F238E27FC236}">
              <a16:creationId xmlns:a16="http://schemas.microsoft.com/office/drawing/2014/main" id="{43F5ACC6-A944-4F5B-9CE5-38B7CC299B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27" name="AutoShape 1" descr="Vista previa de toda la pantalla">
          <a:extLst>
            <a:ext uri="{FF2B5EF4-FFF2-40B4-BE49-F238E27FC236}">
              <a16:creationId xmlns:a16="http://schemas.microsoft.com/office/drawing/2014/main" id="{3CF602EC-F3CE-4B46-BBAB-E998F65123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28" name="AutoShape 1" descr="Vista previa de toda la pantalla">
          <a:extLst>
            <a:ext uri="{FF2B5EF4-FFF2-40B4-BE49-F238E27FC236}">
              <a16:creationId xmlns:a16="http://schemas.microsoft.com/office/drawing/2014/main" id="{DA07FD37-256E-4BB8-B0BB-ACD58A3D54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29" name="AutoShape 1" descr="Vista previa de toda la pantalla">
          <a:extLst>
            <a:ext uri="{FF2B5EF4-FFF2-40B4-BE49-F238E27FC236}">
              <a16:creationId xmlns:a16="http://schemas.microsoft.com/office/drawing/2014/main" id="{02E7A3E0-6C02-46DA-B95B-AD4FE31591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30" name="AutoShape 1" descr="Vista previa de toda la pantalla">
          <a:extLst>
            <a:ext uri="{FF2B5EF4-FFF2-40B4-BE49-F238E27FC236}">
              <a16:creationId xmlns:a16="http://schemas.microsoft.com/office/drawing/2014/main" id="{EE1FF312-F172-4830-A625-E211A66C2D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31" name="AutoShape 1" descr="Vista previa de toda la pantalla">
          <a:extLst>
            <a:ext uri="{FF2B5EF4-FFF2-40B4-BE49-F238E27FC236}">
              <a16:creationId xmlns:a16="http://schemas.microsoft.com/office/drawing/2014/main" id="{7CFC4DDF-F7B7-45B0-A5C1-5A1B932775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32" name="AutoShape 1" descr="Vista previa de toda la pantalla">
          <a:extLst>
            <a:ext uri="{FF2B5EF4-FFF2-40B4-BE49-F238E27FC236}">
              <a16:creationId xmlns:a16="http://schemas.microsoft.com/office/drawing/2014/main" id="{03F1C8A4-A688-4D68-B853-ED460DFB5C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33" name="AutoShape 1" descr="Vista previa de toda la pantalla">
          <a:extLst>
            <a:ext uri="{FF2B5EF4-FFF2-40B4-BE49-F238E27FC236}">
              <a16:creationId xmlns:a16="http://schemas.microsoft.com/office/drawing/2014/main" id="{A12C7206-8CCF-4FF3-87A9-23A478719D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34" name="AutoShape 1" descr="Vista previa de toda la pantalla">
          <a:extLst>
            <a:ext uri="{FF2B5EF4-FFF2-40B4-BE49-F238E27FC236}">
              <a16:creationId xmlns:a16="http://schemas.microsoft.com/office/drawing/2014/main" id="{5DAA52DA-CC70-40F5-997C-DBFE57994B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35" name="AutoShape 1" descr="Vista previa de toda la pantalla">
          <a:extLst>
            <a:ext uri="{FF2B5EF4-FFF2-40B4-BE49-F238E27FC236}">
              <a16:creationId xmlns:a16="http://schemas.microsoft.com/office/drawing/2014/main" id="{973D4154-2FB0-4F87-8FE4-515D4BC564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36" name="AutoShape 1" descr="Vista previa de toda la pantalla">
          <a:extLst>
            <a:ext uri="{FF2B5EF4-FFF2-40B4-BE49-F238E27FC236}">
              <a16:creationId xmlns:a16="http://schemas.microsoft.com/office/drawing/2014/main" id="{4170ED04-9742-417D-9BB8-E55DDFBFB3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37" name="AutoShape 1" descr="Vista previa de toda la pantalla">
          <a:extLst>
            <a:ext uri="{FF2B5EF4-FFF2-40B4-BE49-F238E27FC236}">
              <a16:creationId xmlns:a16="http://schemas.microsoft.com/office/drawing/2014/main" id="{56E609AF-1995-49F4-B6C8-8967EE1BCC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38" name="AutoShape 1" descr="Vista previa de toda la pantalla">
          <a:extLst>
            <a:ext uri="{FF2B5EF4-FFF2-40B4-BE49-F238E27FC236}">
              <a16:creationId xmlns:a16="http://schemas.microsoft.com/office/drawing/2014/main" id="{8FE15767-DC26-4189-A2B8-28738C8CE3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39" name="AutoShape 1" descr="Vista previa de toda la pantalla">
          <a:extLst>
            <a:ext uri="{FF2B5EF4-FFF2-40B4-BE49-F238E27FC236}">
              <a16:creationId xmlns:a16="http://schemas.microsoft.com/office/drawing/2014/main" id="{E1B9EB60-92AE-4292-885C-27D0BAA9BA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40" name="AutoShape 1" descr="Vista previa de toda la pantalla">
          <a:extLst>
            <a:ext uri="{FF2B5EF4-FFF2-40B4-BE49-F238E27FC236}">
              <a16:creationId xmlns:a16="http://schemas.microsoft.com/office/drawing/2014/main" id="{6915E8A8-2AF6-477E-8C1C-5512495D34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41" name="AutoShape 1" descr="Vista previa de toda la pantalla">
          <a:extLst>
            <a:ext uri="{FF2B5EF4-FFF2-40B4-BE49-F238E27FC236}">
              <a16:creationId xmlns:a16="http://schemas.microsoft.com/office/drawing/2014/main" id="{8164EED8-3EFF-4B66-8489-61172830DE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42" name="AutoShape 1" descr="Vista previa de toda la pantalla">
          <a:extLst>
            <a:ext uri="{FF2B5EF4-FFF2-40B4-BE49-F238E27FC236}">
              <a16:creationId xmlns:a16="http://schemas.microsoft.com/office/drawing/2014/main" id="{49D537E4-08CB-4780-9D24-F611CF4242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43" name="AutoShape 1" descr="Vista previa de toda la pantalla">
          <a:extLst>
            <a:ext uri="{FF2B5EF4-FFF2-40B4-BE49-F238E27FC236}">
              <a16:creationId xmlns:a16="http://schemas.microsoft.com/office/drawing/2014/main" id="{972F2066-9CD3-4F22-B9E0-59E89F276A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44" name="AutoShape 1" descr="Vista previa de toda la pantalla">
          <a:extLst>
            <a:ext uri="{FF2B5EF4-FFF2-40B4-BE49-F238E27FC236}">
              <a16:creationId xmlns:a16="http://schemas.microsoft.com/office/drawing/2014/main" id="{362E6239-9FFA-49C8-A125-35E5CE594F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45" name="AutoShape 1" descr="Vista previa de toda la pantalla">
          <a:extLst>
            <a:ext uri="{FF2B5EF4-FFF2-40B4-BE49-F238E27FC236}">
              <a16:creationId xmlns:a16="http://schemas.microsoft.com/office/drawing/2014/main" id="{8DA87B9F-5F5B-435F-906E-1D4F487A41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46" name="AutoShape 1" descr="Vista previa de toda la pantalla">
          <a:extLst>
            <a:ext uri="{FF2B5EF4-FFF2-40B4-BE49-F238E27FC236}">
              <a16:creationId xmlns:a16="http://schemas.microsoft.com/office/drawing/2014/main" id="{372301BA-52E7-4D65-ABD4-569AECD0AB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47" name="AutoShape 1" descr="Vista previa de toda la pantalla">
          <a:extLst>
            <a:ext uri="{FF2B5EF4-FFF2-40B4-BE49-F238E27FC236}">
              <a16:creationId xmlns:a16="http://schemas.microsoft.com/office/drawing/2014/main" id="{EF7D074D-DE18-4A72-A886-943F863EC0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48" name="AutoShape 1" descr="Vista previa de toda la pantalla">
          <a:extLst>
            <a:ext uri="{FF2B5EF4-FFF2-40B4-BE49-F238E27FC236}">
              <a16:creationId xmlns:a16="http://schemas.microsoft.com/office/drawing/2014/main" id="{D84A79DA-7248-4D28-949C-3DC145372B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49" name="AutoShape 1" descr="Vista previa de toda la pantalla">
          <a:extLst>
            <a:ext uri="{FF2B5EF4-FFF2-40B4-BE49-F238E27FC236}">
              <a16:creationId xmlns:a16="http://schemas.microsoft.com/office/drawing/2014/main" id="{720DE20A-5F3C-45DD-8F4A-209D552A77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50" name="AutoShape 1" descr="Vista previa de toda la pantalla">
          <a:extLst>
            <a:ext uri="{FF2B5EF4-FFF2-40B4-BE49-F238E27FC236}">
              <a16:creationId xmlns:a16="http://schemas.microsoft.com/office/drawing/2014/main" id="{A9FC2DB6-0CE1-480E-B67C-38D14BF7F4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51" name="AutoShape 1" descr="Vista previa de toda la pantalla">
          <a:extLst>
            <a:ext uri="{FF2B5EF4-FFF2-40B4-BE49-F238E27FC236}">
              <a16:creationId xmlns:a16="http://schemas.microsoft.com/office/drawing/2014/main" id="{DF35EBE9-872B-40BD-971F-7B8D643AF6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52" name="AutoShape 1" descr="Vista previa de toda la pantalla">
          <a:extLst>
            <a:ext uri="{FF2B5EF4-FFF2-40B4-BE49-F238E27FC236}">
              <a16:creationId xmlns:a16="http://schemas.microsoft.com/office/drawing/2014/main" id="{CB87E3E1-0BC5-4E5D-8CDD-B72D53C143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53" name="AutoShape 1" descr="Vista previa de toda la pantalla">
          <a:extLst>
            <a:ext uri="{FF2B5EF4-FFF2-40B4-BE49-F238E27FC236}">
              <a16:creationId xmlns:a16="http://schemas.microsoft.com/office/drawing/2014/main" id="{B8F500E7-D494-4916-A94E-720FF11948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54" name="AutoShape 1" descr="Vista previa de toda la pantalla">
          <a:extLst>
            <a:ext uri="{FF2B5EF4-FFF2-40B4-BE49-F238E27FC236}">
              <a16:creationId xmlns:a16="http://schemas.microsoft.com/office/drawing/2014/main" id="{D3042F2D-3D5D-41F8-982D-2E78A5B4E8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55" name="AutoShape 1" descr="Vista previa de toda la pantalla">
          <a:extLst>
            <a:ext uri="{FF2B5EF4-FFF2-40B4-BE49-F238E27FC236}">
              <a16:creationId xmlns:a16="http://schemas.microsoft.com/office/drawing/2014/main" id="{9FFFF70E-44D8-4165-A7DE-F07FCA23C8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56" name="AutoShape 1" descr="Vista previa de toda la pantalla">
          <a:extLst>
            <a:ext uri="{FF2B5EF4-FFF2-40B4-BE49-F238E27FC236}">
              <a16:creationId xmlns:a16="http://schemas.microsoft.com/office/drawing/2014/main" id="{D1A1AD2C-D7C2-49AE-84C1-A609C3EF90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57" name="AutoShape 1" descr="Vista previa de toda la pantalla">
          <a:extLst>
            <a:ext uri="{FF2B5EF4-FFF2-40B4-BE49-F238E27FC236}">
              <a16:creationId xmlns:a16="http://schemas.microsoft.com/office/drawing/2014/main" id="{7F4E0D10-126D-4CB3-9284-EF5424A5A2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58" name="AutoShape 1" descr="Vista previa de toda la pantalla">
          <a:extLst>
            <a:ext uri="{FF2B5EF4-FFF2-40B4-BE49-F238E27FC236}">
              <a16:creationId xmlns:a16="http://schemas.microsoft.com/office/drawing/2014/main" id="{4295AA28-530D-424C-9E10-660E9A88B8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59" name="AutoShape 1" descr="Vista previa de toda la pantalla">
          <a:extLst>
            <a:ext uri="{FF2B5EF4-FFF2-40B4-BE49-F238E27FC236}">
              <a16:creationId xmlns:a16="http://schemas.microsoft.com/office/drawing/2014/main" id="{D93B845D-002E-49F0-BF70-45A2358E5A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60" name="AutoShape 1" descr="Vista previa de toda la pantalla">
          <a:extLst>
            <a:ext uri="{FF2B5EF4-FFF2-40B4-BE49-F238E27FC236}">
              <a16:creationId xmlns:a16="http://schemas.microsoft.com/office/drawing/2014/main" id="{A4281985-2AC1-4A22-806B-83E5AA17FE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61" name="AutoShape 1" descr="Vista previa de toda la pantalla">
          <a:extLst>
            <a:ext uri="{FF2B5EF4-FFF2-40B4-BE49-F238E27FC236}">
              <a16:creationId xmlns:a16="http://schemas.microsoft.com/office/drawing/2014/main" id="{7F7DE88D-7877-4771-8577-3297355E2F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62" name="AutoShape 1" descr="Vista previa de toda la pantalla">
          <a:extLst>
            <a:ext uri="{FF2B5EF4-FFF2-40B4-BE49-F238E27FC236}">
              <a16:creationId xmlns:a16="http://schemas.microsoft.com/office/drawing/2014/main" id="{6651BCCD-E6AF-488C-8673-10C129B8B7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63" name="AutoShape 1" descr="Vista previa de toda la pantalla">
          <a:extLst>
            <a:ext uri="{FF2B5EF4-FFF2-40B4-BE49-F238E27FC236}">
              <a16:creationId xmlns:a16="http://schemas.microsoft.com/office/drawing/2014/main" id="{795CE918-C6CC-48E0-BF63-8994BA5FB1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64" name="AutoShape 1" descr="Vista previa de toda la pantalla">
          <a:extLst>
            <a:ext uri="{FF2B5EF4-FFF2-40B4-BE49-F238E27FC236}">
              <a16:creationId xmlns:a16="http://schemas.microsoft.com/office/drawing/2014/main" id="{BB633F31-095D-4C01-863F-A7F52EBA78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65" name="AutoShape 1" descr="Vista previa de toda la pantalla">
          <a:extLst>
            <a:ext uri="{FF2B5EF4-FFF2-40B4-BE49-F238E27FC236}">
              <a16:creationId xmlns:a16="http://schemas.microsoft.com/office/drawing/2014/main" id="{1954A10D-7CAC-4699-9605-86A924AB4B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66" name="AutoShape 1" descr="Vista previa de toda la pantalla">
          <a:extLst>
            <a:ext uri="{FF2B5EF4-FFF2-40B4-BE49-F238E27FC236}">
              <a16:creationId xmlns:a16="http://schemas.microsoft.com/office/drawing/2014/main" id="{0440BBC3-CBFE-4A16-8C11-E132A5C023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67" name="AutoShape 1" descr="Vista previa de toda la pantalla">
          <a:extLst>
            <a:ext uri="{FF2B5EF4-FFF2-40B4-BE49-F238E27FC236}">
              <a16:creationId xmlns:a16="http://schemas.microsoft.com/office/drawing/2014/main" id="{0FBDB78D-DA10-40CB-ADE6-F711D57545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68" name="AutoShape 1" descr="Vista previa de toda la pantalla">
          <a:extLst>
            <a:ext uri="{FF2B5EF4-FFF2-40B4-BE49-F238E27FC236}">
              <a16:creationId xmlns:a16="http://schemas.microsoft.com/office/drawing/2014/main" id="{5891866D-633E-4B6C-A457-B7D9953138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69" name="AutoShape 1" descr="Vista previa de toda la pantalla">
          <a:extLst>
            <a:ext uri="{FF2B5EF4-FFF2-40B4-BE49-F238E27FC236}">
              <a16:creationId xmlns:a16="http://schemas.microsoft.com/office/drawing/2014/main" id="{FAB1B458-E980-44DD-831F-3195A086C5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70" name="AutoShape 1" descr="Vista previa de toda la pantalla">
          <a:extLst>
            <a:ext uri="{FF2B5EF4-FFF2-40B4-BE49-F238E27FC236}">
              <a16:creationId xmlns:a16="http://schemas.microsoft.com/office/drawing/2014/main" id="{3385ADE6-8B58-491A-8959-CB56208FA3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71" name="AutoShape 1" descr="Vista previa de toda la pantalla">
          <a:extLst>
            <a:ext uri="{FF2B5EF4-FFF2-40B4-BE49-F238E27FC236}">
              <a16:creationId xmlns:a16="http://schemas.microsoft.com/office/drawing/2014/main" id="{1BD634AA-FDE6-4F7B-BD45-66014AF2EF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72" name="AutoShape 1" descr="Vista previa de toda la pantalla">
          <a:extLst>
            <a:ext uri="{FF2B5EF4-FFF2-40B4-BE49-F238E27FC236}">
              <a16:creationId xmlns:a16="http://schemas.microsoft.com/office/drawing/2014/main" id="{633F6A13-FE6B-419A-BA4D-FF068F632A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73" name="AutoShape 1" descr="Vista previa de toda la pantalla">
          <a:extLst>
            <a:ext uri="{FF2B5EF4-FFF2-40B4-BE49-F238E27FC236}">
              <a16:creationId xmlns:a16="http://schemas.microsoft.com/office/drawing/2014/main" id="{1EEF1702-E725-4C17-BBDC-04550D95EB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74" name="AutoShape 1" descr="Vista previa de toda la pantalla">
          <a:extLst>
            <a:ext uri="{FF2B5EF4-FFF2-40B4-BE49-F238E27FC236}">
              <a16:creationId xmlns:a16="http://schemas.microsoft.com/office/drawing/2014/main" id="{1D44E412-793C-4CEE-AAA0-5CEAFD70C1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75" name="AutoShape 1" descr="Vista previa de toda la pantalla">
          <a:extLst>
            <a:ext uri="{FF2B5EF4-FFF2-40B4-BE49-F238E27FC236}">
              <a16:creationId xmlns:a16="http://schemas.microsoft.com/office/drawing/2014/main" id="{AF84D13A-6D97-4374-89B8-6D128F7ED5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76" name="AutoShape 1" descr="Vista previa de toda la pantalla">
          <a:extLst>
            <a:ext uri="{FF2B5EF4-FFF2-40B4-BE49-F238E27FC236}">
              <a16:creationId xmlns:a16="http://schemas.microsoft.com/office/drawing/2014/main" id="{35A2B666-329F-4CC7-84D8-BA1D23F4B4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77" name="AutoShape 1" descr="Vista previa de toda la pantalla">
          <a:extLst>
            <a:ext uri="{FF2B5EF4-FFF2-40B4-BE49-F238E27FC236}">
              <a16:creationId xmlns:a16="http://schemas.microsoft.com/office/drawing/2014/main" id="{B01148A0-367C-4DDB-8C8A-FEB1A0ECA0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78" name="AutoShape 1" descr="Vista previa de toda la pantalla">
          <a:extLst>
            <a:ext uri="{FF2B5EF4-FFF2-40B4-BE49-F238E27FC236}">
              <a16:creationId xmlns:a16="http://schemas.microsoft.com/office/drawing/2014/main" id="{4D9F9DC8-8CDB-4EEA-BA56-7BB18345BC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79" name="AutoShape 1" descr="Vista previa de toda la pantalla">
          <a:extLst>
            <a:ext uri="{FF2B5EF4-FFF2-40B4-BE49-F238E27FC236}">
              <a16:creationId xmlns:a16="http://schemas.microsoft.com/office/drawing/2014/main" id="{472DF887-DC36-4C37-8EB6-CBD44EF5A9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80" name="AutoShape 1" descr="Vista previa de toda la pantalla">
          <a:extLst>
            <a:ext uri="{FF2B5EF4-FFF2-40B4-BE49-F238E27FC236}">
              <a16:creationId xmlns:a16="http://schemas.microsoft.com/office/drawing/2014/main" id="{EB47D400-4C3A-4ADC-AB90-D76A0631E3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81" name="AutoShape 1" descr="Vista previa de toda la pantalla">
          <a:extLst>
            <a:ext uri="{FF2B5EF4-FFF2-40B4-BE49-F238E27FC236}">
              <a16:creationId xmlns:a16="http://schemas.microsoft.com/office/drawing/2014/main" id="{B18F9723-A237-4203-BF3A-0854808988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82" name="AutoShape 1" descr="Vista previa de toda la pantalla">
          <a:extLst>
            <a:ext uri="{FF2B5EF4-FFF2-40B4-BE49-F238E27FC236}">
              <a16:creationId xmlns:a16="http://schemas.microsoft.com/office/drawing/2014/main" id="{3DEBAF5A-C095-4DC8-AAC5-179F8F5D1F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83" name="AutoShape 1" descr="Vista previa de toda la pantalla">
          <a:extLst>
            <a:ext uri="{FF2B5EF4-FFF2-40B4-BE49-F238E27FC236}">
              <a16:creationId xmlns:a16="http://schemas.microsoft.com/office/drawing/2014/main" id="{D381C159-5033-42D9-98C6-40738F3F91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84" name="AutoShape 1" descr="Vista previa de toda la pantalla">
          <a:extLst>
            <a:ext uri="{FF2B5EF4-FFF2-40B4-BE49-F238E27FC236}">
              <a16:creationId xmlns:a16="http://schemas.microsoft.com/office/drawing/2014/main" id="{7A4BD5CF-5030-46A0-A03D-6032CAEFCC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85" name="AutoShape 1" descr="Vista previa de toda la pantalla">
          <a:extLst>
            <a:ext uri="{FF2B5EF4-FFF2-40B4-BE49-F238E27FC236}">
              <a16:creationId xmlns:a16="http://schemas.microsoft.com/office/drawing/2014/main" id="{584B8063-FA18-4C96-8328-691039DE46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86" name="AutoShape 1" descr="Vista previa de toda la pantalla">
          <a:extLst>
            <a:ext uri="{FF2B5EF4-FFF2-40B4-BE49-F238E27FC236}">
              <a16:creationId xmlns:a16="http://schemas.microsoft.com/office/drawing/2014/main" id="{BAD9F04A-E706-470E-B451-5BAE15C9AC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87" name="AutoShape 1" descr="Vista previa de toda la pantalla">
          <a:extLst>
            <a:ext uri="{FF2B5EF4-FFF2-40B4-BE49-F238E27FC236}">
              <a16:creationId xmlns:a16="http://schemas.microsoft.com/office/drawing/2014/main" id="{A19D30C6-646E-4AC1-9366-CE9974F619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88" name="AutoShape 1" descr="Vista previa de toda la pantalla">
          <a:extLst>
            <a:ext uri="{FF2B5EF4-FFF2-40B4-BE49-F238E27FC236}">
              <a16:creationId xmlns:a16="http://schemas.microsoft.com/office/drawing/2014/main" id="{BF93283B-41A6-417F-A13E-372870CCE8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89" name="AutoShape 1" descr="Vista previa de toda la pantalla">
          <a:extLst>
            <a:ext uri="{FF2B5EF4-FFF2-40B4-BE49-F238E27FC236}">
              <a16:creationId xmlns:a16="http://schemas.microsoft.com/office/drawing/2014/main" id="{5ACAB65C-07D8-4BB3-8503-6A041F1BBB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90" name="AutoShape 1" descr="Vista previa de toda la pantalla">
          <a:extLst>
            <a:ext uri="{FF2B5EF4-FFF2-40B4-BE49-F238E27FC236}">
              <a16:creationId xmlns:a16="http://schemas.microsoft.com/office/drawing/2014/main" id="{A51E51B3-52E0-4388-860C-6BD8680E5C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91" name="AutoShape 1" descr="Vista previa de toda la pantalla">
          <a:extLst>
            <a:ext uri="{FF2B5EF4-FFF2-40B4-BE49-F238E27FC236}">
              <a16:creationId xmlns:a16="http://schemas.microsoft.com/office/drawing/2014/main" id="{9754A40A-F606-4439-9FC4-4C467E4354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92" name="AutoShape 1" descr="Vista previa de toda la pantalla">
          <a:extLst>
            <a:ext uri="{FF2B5EF4-FFF2-40B4-BE49-F238E27FC236}">
              <a16:creationId xmlns:a16="http://schemas.microsoft.com/office/drawing/2014/main" id="{598970BC-7AD0-4718-89C6-1C918E9144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93" name="AutoShape 1" descr="Vista previa de toda la pantalla">
          <a:extLst>
            <a:ext uri="{FF2B5EF4-FFF2-40B4-BE49-F238E27FC236}">
              <a16:creationId xmlns:a16="http://schemas.microsoft.com/office/drawing/2014/main" id="{EBDA7D15-D443-47BF-AB91-BCE7BD6F3B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94" name="AutoShape 1" descr="Vista previa de toda la pantalla">
          <a:extLst>
            <a:ext uri="{FF2B5EF4-FFF2-40B4-BE49-F238E27FC236}">
              <a16:creationId xmlns:a16="http://schemas.microsoft.com/office/drawing/2014/main" id="{82F63848-870D-4BCA-BC19-162679C566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95" name="AutoShape 1" descr="Vista previa de toda la pantalla">
          <a:extLst>
            <a:ext uri="{FF2B5EF4-FFF2-40B4-BE49-F238E27FC236}">
              <a16:creationId xmlns:a16="http://schemas.microsoft.com/office/drawing/2014/main" id="{CF31DAEF-0BC2-4594-8082-D17D8F547E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96" name="AutoShape 1" descr="Vista previa de toda la pantalla">
          <a:extLst>
            <a:ext uri="{FF2B5EF4-FFF2-40B4-BE49-F238E27FC236}">
              <a16:creationId xmlns:a16="http://schemas.microsoft.com/office/drawing/2014/main" id="{3C60C212-43D6-4A61-9FED-23D9B584E5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97" name="AutoShape 1" descr="Vista previa de toda la pantalla">
          <a:extLst>
            <a:ext uri="{FF2B5EF4-FFF2-40B4-BE49-F238E27FC236}">
              <a16:creationId xmlns:a16="http://schemas.microsoft.com/office/drawing/2014/main" id="{8FDB257F-4859-461B-82ED-3F5A0D6B34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98" name="AutoShape 1" descr="Vista previa de toda la pantalla">
          <a:extLst>
            <a:ext uri="{FF2B5EF4-FFF2-40B4-BE49-F238E27FC236}">
              <a16:creationId xmlns:a16="http://schemas.microsoft.com/office/drawing/2014/main" id="{F7174237-72D0-456B-B2AC-975FB47604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799" name="AutoShape 1" descr="Vista previa de toda la pantalla">
          <a:extLst>
            <a:ext uri="{FF2B5EF4-FFF2-40B4-BE49-F238E27FC236}">
              <a16:creationId xmlns:a16="http://schemas.microsoft.com/office/drawing/2014/main" id="{E2D7CD2D-75D1-4C85-B3FA-0E65B83C7E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00" name="AutoShape 1" descr="Vista previa de toda la pantalla">
          <a:extLst>
            <a:ext uri="{FF2B5EF4-FFF2-40B4-BE49-F238E27FC236}">
              <a16:creationId xmlns:a16="http://schemas.microsoft.com/office/drawing/2014/main" id="{B48491CF-3D92-4551-8236-1D592C0FCA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01" name="AutoShape 1" descr="Vista previa de toda la pantalla">
          <a:extLst>
            <a:ext uri="{FF2B5EF4-FFF2-40B4-BE49-F238E27FC236}">
              <a16:creationId xmlns:a16="http://schemas.microsoft.com/office/drawing/2014/main" id="{1DB9CE11-C1B9-491A-B2FF-D9F26D1F16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02" name="AutoShape 1" descr="Vista previa de toda la pantalla">
          <a:extLst>
            <a:ext uri="{FF2B5EF4-FFF2-40B4-BE49-F238E27FC236}">
              <a16:creationId xmlns:a16="http://schemas.microsoft.com/office/drawing/2014/main" id="{DCDD140C-4489-4493-8E8D-BA3BAC22D0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03" name="AutoShape 1" descr="Vista previa de toda la pantalla">
          <a:extLst>
            <a:ext uri="{FF2B5EF4-FFF2-40B4-BE49-F238E27FC236}">
              <a16:creationId xmlns:a16="http://schemas.microsoft.com/office/drawing/2014/main" id="{246B7FC6-8073-43E9-B968-272462B5C7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04" name="AutoShape 1" descr="Vista previa de toda la pantalla">
          <a:extLst>
            <a:ext uri="{FF2B5EF4-FFF2-40B4-BE49-F238E27FC236}">
              <a16:creationId xmlns:a16="http://schemas.microsoft.com/office/drawing/2014/main" id="{4533B05D-395B-49C3-8FC6-2BD9A1ECD7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05" name="AutoShape 1" descr="Vista previa de toda la pantalla">
          <a:extLst>
            <a:ext uri="{FF2B5EF4-FFF2-40B4-BE49-F238E27FC236}">
              <a16:creationId xmlns:a16="http://schemas.microsoft.com/office/drawing/2014/main" id="{B500D45F-1127-49DC-8773-D8C2859D54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06" name="AutoShape 1" descr="Vista previa de toda la pantalla">
          <a:extLst>
            <a:ext uri="{FF2B5EF4-FFF2-40B4-BE49-F238E27FC236}">
              <a16:creationId xmlns:a16="http://schemas.microsoft.com/office/drawing/2014/main" id="{A410ADA3-CF08-4D4A-81B5-26B6D51634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07" name="AutoShape 1" descr="Vista previa de toda la pantalla">
          <a:extLst>
            <a:ext uri="{FF2B5EF4-FFF2-40B4-BE49-F238E27FC236}">
              <a16:creationId xmlns:a16="http://schemas.microsoft.com/office/drawing/2014/main" id="{51F113B3-3AF2-4066-BED5-56303A22E9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08" name="AutoShape 1" descr="Vista previa de toda la pantalla">
          <a:extLst>
            <a:ext uri="{FF2B5EF4-FFF2-40B4-BE49-F238E27FC236}">
              <a16:creationId xmlns:a16="http://schemas.microsoft.com/office/drawing/2014/main" id="{165DEBDD-D772-4CFC-AC4F-212372E568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09" name="AutoShape 1" descr="Vista previa de toda la pantalla">
          <a:extLst>
            <a:ext uri="{FF2B5EF4-FFF2-40B4-BE49-F238E27FC236}">
              <a16:creationId xmlns:a16="http://schemas.microsoft.com/office/drawing/2014/main" id="{CC4554BB-1E93-410C-96A7-68FAA73E0D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10" name="AutoShape 1" descr="Vista previa de toda la pantalla">
          <a:extLst>
            <a:ext uri="{FF2B5EF4-FFF2-40B4-BE49-F238E27FC236}">
              <a16:creationId xmlns:a16="http://schemas.microsoft.com/office/drawing/2014/main" id="{D22CF8C3-4AAA-4151-94EF-1A265BAFFA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11" name="AutoShape 1" descr="Vista previa de toda la pantalla">
          <a:extLst>
            <a:ext uri="{FF2B5EF4-FFF2-40B4-BE49-F238E27FC236}">
              <a16:creationId xmlns:a16="http://schemas.microsoft.com/office/drawing/2014/main" id="{599AC495-1FFE-4A80-B918-7BB11D92B6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12" name="AutoShape 1" descr="Vista previa de toda la pantalla">
          <a:extLst>
            <a:ext uri="{FF2B5EF4-FFF2-40B4-BE49-F238E27FC236}">
              <a16:creationId xmlns:a16="http://schemas.microsoft.com/office/drawing/2014/main" id="{CD6E986C-DAC6-4993-864B-BC56F7F66E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13" name="AutoShape 1" descr="Vista previa de toda la pantalla">
          <a:extLst>
            <a:ext uri="{FF2B5EF4-FFF2-40B4-BE49-F238E27FC236}">
              <a16:creationId xmlns:a16="http://schemas.microsoft.com/office/drawing/2014/main" id="{8EFFEFEB-F462-4964-852F-382870EFB5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14" name="AutoShape 1" descr="Vista previa de toda la pantalla">
          <a:extLst>
            <a:ext uri="{FF2B5EF4-FFF2-40B4-BE49-F238E27FC236}">
              <a16:creationId xmlns:a16="http://schemas.microsoft.com/office/drawing/2014/main" id="{A5657913-739C-4C60-9DF3-9B7371D847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15" name="AutoShape 1" descr="Vista previa de toda la pantalla">
          <a:extLst>
            <a:ext uri="{FF2B5EF4-FFF2-40B4-BE49-F238E27FC236}">
              <a16:creationId xmlns:a16="http://schemas.microsoft.com/office/drawing/2014/main" id="{05EA1660-F844-4018-BAE2-7E554BD4D8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16" name="AutoShape 1" descr="Vista previa de toda la pantalla">
          <a:extLst>
            <a:ext uri="{FF2B5EF4-FFF2-40B4-BE49-F238E27FC236}">
              <a16:creationId xmlns:a16="http://schemas.microsoft.com/office/drawing/2014/main" id="{519BB442-35DC-4F58-AB4E-6A718D8436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17" name="AutoShape 1" descr="Vista previa de toda la pantalla">
          <a:extLst>
            <a:ext uri="{FF2B5EF4-FFF2-40B4-BE49-F238E27FC236}">
              <a16:creationId xmlns:a16="http://schemas.microsoft.com/office/drawing/2014/main" id="{AA14E624-07C9-479F-942C-62A94E978C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18" name="AutoShape 1" descr="Vista previa de toda la pantalla">
          <a:extLst>
            <a:ext uri="{FF2B5EF4-FFF2-40B4-BE49-F238E27FC236}">
              <a16:creationId xmlns:a16="http://schemas.microsoft.com/office/drawing/2014/main" id="{750172AA-D45A-402E-B3FD-6BED90D795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19" name="AutoShape 1" descr="Vista previa de toda la pantalla">
          <a:extLst>
            <a:ext uri="{FF2B5EF4-FFF2-40B4-BE49-F238E27FC236}">
              <a16:creationId xmlns:a16="http://schemas.microsoft.com/office/drawing/2014/main" id="{F48CB698-1F5F-439B-B720-B01582B900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20" name="AutoShape 1" descr="Vista previa de toda la pantalla">
          <a:extLst>
            <a:ext uri="{FF2B5EF4-FFF2-40B4-BE49-F238E27FC236}">
              <a16:creationId xmlns:a16="http://schemas.microsoft.com/office/drawing/2014/main" id="{45F828BB-A9D5-49A9-9FC0-27A9BD70E3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21" name="AutoShape 1" descr="Vista previa de toda la pantalla">
          <a:extLst>
            <a:ext uri="{FF2B5EF4-FFF2-40B4-BE49-F238E27FC236}">
              <a16:creationId xmlns:a16="http://schemas.microsoft.com/office/drawing/2014/main" id="{052954B4-1455-4743-9AE4-DA07859E94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22" name="AutoShape 1" descr="Vista previa de toda la pantalla">
          <a:extLst>
            <a:ext uri="{FF2B5EF4-FFF2-40B4-BE49-F238E27FC236}">
              <a16:creationId xmlns:a16="http://schemas.microsoft.com/office/drawing/2014/main" id="{FDE86E4D-15A2-4C9A-97D0-64EB5EA0AF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23" name="AutoShape 1" descr="Vista previa de toda la pantalla">
          <a:extLst>
            <a:ext uri="{FF2B5EF4-FFF2-40B4-BE49-F238E27FC236}">
              <a16:creationId xmlns:a16="http://schemas.microsoft.com/office/drawing/2014/main" id="{8BB55E25-A343-422F-A9DE-15467DED79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24" name="AutoShape 1" descr="Vista previa de toda la pantalla">
          <a:extLst>
            <a:ext uri="{FF2B5EF4-FFF2-40B4-BE49-F238E27FC236}">
              <a16:creationId xmlns:a16="http://schemas.microsoft.com/office/drawing/2014/main" id="{BD2B9BE7-BD52-4B99-9C4E-9C91E52AF3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25" name="AutoShape 1" descr="Vista previa de toda la pantalla">
          <a:extLst>
            <a:ext uri="{FF2B5EF4-FFF2-40B4-BE49-F238E27FC236}">
              <a16:creationId xmlns:a16="http://schemas.microsoft.com/office/drawing/2014/main" id="{9F8ACA16-35A9-476F-9703-774BB75C06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26" name="AutoShape 1" descr="Vista previa de toda la pantalla">
          <a:extLst>
            <a:ext uri="{FF2B5EF4-FFF2-40B4-BE49-F238E27FC236}">
              <a16:creationId xmlns:a16="http://schemas.microsoft.com/office/drawing/2014/main" id="{0C9D8DFF-CF6B-4B65-A984-BF13A1539D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27" name="AutoShape 1" descr="Vista previa de toda la pantalla">
          <a:extLst>
            <a:ext uri="{FF2B5EF4-FFF2-40B4-BE49-F238E27FC236}">
              <a16:creationId xmlns:a16="http://schemas.microsoft.com/office/drawing/2014/main" id="{3E8DBE3B-EE00-4E9E-AAD3-531E89B166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28" name="AutoShape 1" descr="Vista previa de toda la pantalla">
          <a:extLst>
            <a:ext uri="{FF2B5EF4-FFF2-40B4-BE49-F238E27FC236}">
              <a16:creationId xmlns:a16="http://schemas.microsoft.com/office/drawing/2014/main" id="{6E82ED00-79BE-467C-9684-3CC2391B09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29" name="AutoShape 1" descr="Vista previa de toda la pantalla">
          <a:extLst>
            <a:ext uri="{FF2B5EF4-FFF2-40B4-BE49-F238E27FC236}">
              <a16:creationId xmlns:a16="http://schemas.microsoft.com/office/drawing/2014/main" id="{BEFB08E2-749E-405C-8615-B126473846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30" name="AutoShape 1" descr="Vista previa de toda la pantalla">
          <a:extLst>
            <a:ext uri="{FF2B5EF4-FFF2-40B4-BE49-F238E27FC236}">
              <a16:creationId xmlns:a16="http://schemas.microsoft.com/office/drawing/2014/main" id="{3E275A71-9A50-462C-8A79-8CA276F44A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31" name="AutoShape 1" descr="Vista previa de toda la pantalla">
          <a:extLst>
            <a:ext uri="{FF2B5EF4-FFF2-40B4-BE49-F238E27FC236}">
              <a16:creationId xmlns:a16="http://schemas.microsoft.com/office/drawing/2014/main" id="{978FFBCE-1965-4948-85F8-C961355C37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32" name="AutoShape 1" descr="Vista previa de toda la pantalla">
          <a:extLst>
            <a:ext uri="{FF2B5EF4-FFF2-40B4-BE49-F238E27FC236}">
              <a16:creationId xmlns:a16="http://schemas.microsoft.com/office/drawing/2014/main" id="{B0E331C0-FCBE-4C8B-9AFE-D8FD8C5F78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33" name="AutoShape 1" descr="Vista previa de toda la pantalla">
          <a:extLst>
            <a:ext uri="{FF2B5EF4-FFF2-40B4-BE49-F238E27FC236}">
              <a16:creationId xmlns:a16="http://schemas.microsoft.com/office/drawing/2014/main" id="{7E8F86FC-BD2F-4F01-AC68-01FBE50A29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34" name="AutoShape 1" descr="Vista previa de toda la pantalla">
          <a:extLst>
            <a:ext uri="{FF2B5EF4-FFF2-40B4-BE49-F238E27FC236}">
              <a16:creationId xmlns:a16="http://schemas.microsoft.com/office/drawing/2014/main" id="{E75D731E-E459-4480-8D4D-AC68E6F595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35" name="AutoShape 1" descr="Vista previa de toda la pantalla">
          <a:extLst>
            <a:ext uri="{FF2B5EF4-FFF2-40B4-BE49-F238E27FC236}">
              <a16:creationId xmlns:a16="http://schemas.microsoft.com/office/drawing/2014/main" id="{B4332BF2-4E21-4C64-904B-2E3D1A5A29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36" name="AutoShape 1" descr="Vista previa de toda la pantalla">
          <a:extLst>
            <a:ext uri="{FF2B5EF4-FFF2-40B4-BE49-F238E27FC236}">
              <a16:creationId xmlns:a16="http://schemas.microsoft.com/office/drawing/2014/main" id="{6A3266E8-1924-4294-9137-9E6228B42B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37" name="AutoShape 1" descr="Vista previa de toda la pantalla">
          <a:extLst>
            <a:ext uri="{FF2B5EF4-FFF2-40B4-BE49-F238E27FC236}">
              <a16:creationId xmlns:a16="http://schemas.microsoft.com/office/drawing/2014/main" id="{DEDA671D-13AF-4762-BBCD-028DB826E4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38" name="AutoShape 1" descr="Vista previa de toda la pantalla">
          <a:extLst>
            <a:ext uri="{FF2B5EF4-FFF2-40B4-BE49-F238E27FC236}">
              <a16:creationId xmlns:a16="http://schemas.microsoft.com/office/drawing/2014/main" id="{3D631F22-7D88-44F9-8986-5A3324D309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39" name="AutoShape 1" descr="Vista previa de toda la pantalla">
          <a:extLst>
            <a:ext uri="{FF2B5EF4-FFF2-40B4-BE49-F238E27FC236}">
              <a16:creationId xmlns:a16="http://schemas.microsoft.com/office/drawing/2014/main" id="{B5B5D9F5-E065-4F1E-855C-18552AB550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40" name="AutoShape 1" descr="Vista previa de toda la pantalla">
          <a:extLst>
            <a:ext uri="{FF2B5EF4-FFF2-40B4-BE49-F238E27FC236}">
              <a16:creationId xmlns:a16="http://schemas.microsoft.com/office/drawing/2014/main" id="{532A54CB-2DAB-4851-91E0-7F902E1C8C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41" name="AutoShape 1" descr="Vista previa de toda la pantalla">
          <a:extLst>
            <a:ext uri="{FF2B5EF4-FFF2-40B4-BE49-F238E27FC236}">
              <a16:creationId xmlns:a16="http://schemas.microsoft.com/office/drawing/2014/main" id="{B11D9D77-8733-4818-8420-2C45614458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42" name="AutoShape 1" descr="Vista previa de toda la pantalla">
          <a:extLst>
            <a:ext uri="{FF2B5EF4-FFF2-40B4-BE49-F238E27FC236}">
              <a16:creationId xmlns:a16="http://schemas.microsoft.com/office/drawing/2014/main" id="{5448B8BB-425C-4BAE-87B0-6CFF6E18F8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43" name="AutoShape 1" descr="Vista previa de toda la pantalla">
          <a:extLst>
            <a:ext uri="{FF2B5EF4-FFF2-40B4-BE49-F238E27FC236}">
              <a16:creationId xmlns:a16="http://schemas.microsoft.com/office/drawing/2014/main" id="{96313ACB-0FEF-4684-B22F-1F96E0B2B4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44" name="AutoShape 1" descr="Vista previa de toda la pantalla">
          <a:extLst>
            <a:ext uri="{FF2B5EF4-FFF2-40B4-BE49-F238E27FC236}">
              <a16:creationId xmlns:a16="http://schemas.microsoft.com/office/drawing/2014/main" id="{62459A3B-4025-4BB3-BD89-4F0A6E23D8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45" name="AutoShape 1" descr="Vista previa de toda la pantalla">
          <a:extLst>
            <a:ext uri="{FF2B5EF4-FFF2-40B4-BE49-F238E27FC236}">
              <a16:creationId xmlns:a16="http://schemas.microsoft.com/office/drawing/2014/main" id="{E16C4BB7-FE91-4D1D-918E-E360A842F1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2846" name="AutoShape 1" descr="Vista previa de toda la pantalla">
          <a:extLst>
            <a:ext uri="{FF2B5EF4-FFF2-40B4-BE49-F238E27FC236}">
              <a16:creationId xmlns:a16="http://schemas.microsoft.com/office/drawing/2014/main" id="{A0F16EB1-C48C-468A-96CF-17C80A435D92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47" name="AutoShape 1" descr="Vista previa de toda la pantalla">
          <a:extLst>
            <a:ext uri="{FF2B5EF4-FFF2-40B4-BE49-F238E27FC236}">
              <a16:creationId xmlns:a16="http://schemas.microsoft.com/office/drawing/2014/main" id="{62338CF0-92CA-4594-B2DE-F70E6E8F09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48" name="AutoShape 1" descr="Vista previa de toda la pantalla">
          <a:extLst>
            <a:ext uri="{FF2B5EF4-FFF2-40B4-BE49-F238E27FC236}">
              <a16:creationId xmlns:a16="http://schemas.microsoft.com/office/drawing/2014/main" id="{D4ADDE98-475B-4498-BB8E-B33D3F2B60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49" name="AutoShape 1" descr="Vista previa de toda la pantalla">
          <a:extLst>
            <a:ext uri="{FF2B5EF4-FFF2-40B4-BE49-F238E27FC236}">
              <a16:creationId xmlns:a16="http://schemas.microsoft.com/office/drawing/2014/main" id="{A384FF8D-1544-4B74-94BB-F16044509D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50" name="AutoShape 1" descr="Vista previa de toda la pantalla">
          <a:extLst>
            <a:ext uri="{FF2B5EF4-FFF2-40B4-BE49-F238E27FC236}">
              <a16:creationId xmlns:a16="http://schemas.microsoft.com/office/drawing/2014/main" id="{5A05EBEA-610B-4AB2-8F65-F838B97231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51" name="AutoShape 1" descr="Vista previa de toda la pantalla">
          <a:extLst>
            <a:ext uri="{FF2B5EF4-FFF2-40B4-BE49-F238E27FC236}">
              <a16:creationId xmlns:a16="http://schemas.microsoft.com/office/drawing/2014/main" id="{05183CE3-6FCF-4429-96CA-44456D686A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52" name="AutoShape 1" descr="Vista previa de toda la pantalla">
          <a:extLst>
            <a:ext uri="{FF2B5EF4-FFF2-40B4-BE49-F238E27FC236}">
              <a16:creationId xmlns:a16="http://schemas.microsoft.com/office/drawing/2014/main" id="{E1CE4CAC-F37C-4261-B46F-74FE004DC4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53" name="AutoShape 1" descr="Vista previa de toda la pantalla">
          <a:extLst>
            <a:ext uri="{FF2B5EF4-FFF2-40B4-BE49-F238E27FC236}">
              <a16:creationId xmlns:a16="http://schemas.microsoft.com/office/drawing/2014/main" id="{C1B507AB-2AE4-4D6B-831C-F37B78FB8F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54" name="AutoShape 1" descr="Vista previa de toda la pantalla">
          <a:extLst>
            <a:ext uri="{FF2B5EF4-FFF2-40B4-BE49-F238E27FC236}">
              <a16:creationId xmlns:a16="http://schemas.microsoft.com/office/drawing/2014/main" id="{BBD34C88-2614-4530-8E74-8EFFBAD743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55" name="AutoShape 1" descr="Vista previa de toda la pantalla">
          <a:extLst>
            <a:ext uri="{FF2B5EF4-FFF2-40B4-BE49-F238E27FC236}">
              <a16:creationId xmlns:a16="http://schemas.microsoft.com/office/drawing/2014/main" id="{A839F81C-036B-40DA-B7BC-D409056974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56" name="AutoShape 1" descr="Vista previa de toda la pantalla">
          <a:extLst>
            <a:ext uri="{FF2B5EF4-FFF2-40B4-BE49-F238E27FC236}">
              <a16:creationId xmlns:a16="http://schemas.microsoft.com/office/drawing/2014/main" id="{C1DD0D8D-F190-4F24-A38E-29A0340AE2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57" name="AutoShape 1" descr="Vista previa de toda la pantalla">
          <a:extLst>
            <a:ext uri="{FF2B5EF4-FFF2-40B4-BE49-F238E27FC236}">
              <a16:creationId xmlns:a16="http://schemas.microsoft.com/office/drawing/2014/main" id="{04A65149-197C-4FF4-B51E-65C2E11520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58" name="AutoShape 1" descr="Vista previa de toda la pantalla">
          <a:extLst>
            <a:ext uri="{FF2B5EF4-FFF2-40B4-BE49-F238E27FC236}">
              <a16:creationId xmlns:a16="http://schemas.microsoft.com/office/drawing/2014/main" id="{647DA5F4-6283-4073-A79D-E955C5BBB3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59" name="AutoShape 1" descr="Vista previa de toda la pantalla">
          <a:extLst>
            <a:ext uri="{FF2B5EF4-FFF2-40B4-BE49-F238E27FC236}">
              <a16:creationId xmlns:a16="http://schemas.microsoft.com/office/drawing/2014/main" id="{7DE719D2-0D36-4BDF-83FE-F0783FBF37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60" name="AutoShape 1" descr="Vista previa de toda la pantalla">
          <a:extLst>
            <a:ext uri="{FF2B5EF4-FFF2-40B4-BE49-F238E27FC236}">
              <a16:creationId xmlns:a16="http://schemas.microsoft.com/office/drawing/2014/main" id="{EBBCDB60-5CBF-41D9-92A8-5502CEE4AD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61" name="AutoShape 1" descr="Vista previa de toda la pantalla">
          <a:extLst>
            <a:ext uri="{FF2B5EF4-FFF2-40B4-BE49-F238E27FC236}">
              <a16:creationId xmlns:a16="http://schemas.microsoft.com/office/drawing/2014/main" id="{AB3EFC4C-CC91-4213-860C-C0D61A2566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62" name="AutoShape 1" descr="Vista previa de toda la pantalla">
          <a:extLst>
            <a:ext uri="{FF2B5EF4-FFF2-40B4-BE49-F238E27FC236}">
              <a16:creationId xmlns:a16="http://schemas.microsoft.com/office/drawing/2014/main" id="{EE620033-2E45-4769-8F9D-5EAE25C167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63" name="AutoShape 1" descr="Vista previa de toda la pantalla">
          <a:extLst>
            <a:ext uri="{FF2B5EF4-FFF2-40B4-BE49-F238E27FC236}">
              <a16:creationId xmlns:a16="http://schemas.microsoft.com/office/drawing/2014/main" id="{B4927CE3-FB29-401F-A550-DAB084E2BC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64" name="AutoShape 1" descr="Vista previa de toda la pantalla">
          <a:extLst>
            <a:ext uri="{FF2B5EF4-FFF2-40B4-BE49-F238E27FC236}">
              <a16:creationId xmlns:a16="http://schemas.microsoft.com/office/drawing/2014/main" id="{9ABE2C76-C66F-47CC-BAB1-C247027AB5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65" name="AutoShape 1" descr="Vista previa de toda la pantalla">
          <a:extLst>
            <a:ext uri="{FF2B5EF4-FFF2-40B4-BE49-F238E27FC236}">
              <a16:creationId xmlns:a16="http://schemas.microsoft.com/office/drawing/2014/main" id="{22F35DC2-28E9-43EB-A071-E2F9BD5342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66" name="AutoShape 1" descr="Vista previa de toda la pantalla">
          <a:extLst>
            <a:ext uri="{FF2B5EF4-FFF2-40B4-BE49-F238E27FC236}">
              <a16:creationId xmlns:a16="http://schemas.microsoft.com/office/drawing/2014/main" id="{481B11F2-10C4-4C27-BA84-C2777CB9DE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67" name="AutoShape 1" descr="Vista previa de toda la pantalla">
          <a:extLst>
            <a:ext uri="{FF2B5EF4-FFF2-40B4-BE49-F238E27FC236}">
              <a16:creationId xmlns:a16="http://schemas.microsoft.com/office/drawing/2014/main" id="{59DA3694-D9EA-40D3-BAE7-FC93BBD80F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68" name="AutoShape 1" descr="Vista previa de toda la pantalla">
          <a:extLst>
            <a:ext uri="{FF2B5EF4-FFF2-40B4-BE49-F238E27FC236}">
              <a16:creationId xmlns:a16="http://schemas.microsoft.com/office/drawing/2014/main" id="{30FDFC66-E64B-44A7-9162-D60E492852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69" name="AutoShape 1" descr="Vista previa de toda la pantalla">
          <a:extLst>
            <a:ext uri="{FF2B5EF4-FFF2-40B4-BE49-F238E27FC236}">
              <a16:creationId xmlns:a16="http://schemas.microsoft.com/office/drawing/2014/main" id="{914B5534-6983-4C4E-ACE3-6335A5B006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70" name="AutoShape 1" descr="Vista previa de toda la pantalla">
          <a:extLst>
            <a:ext uri="{FF2B5EF4-FFF2-40B4-BE49-F238E27FC236}">
              <a16:creationId xmlns:a16="http://schemas.microsoft.com/office/drawing/2014/main" id="{515BE2B9-30EF-49AE-A35B-EFF26BECA8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71" name="AutoShape 1" descr="Vista previa de toda la pantalla">
          <a:extLst>
            <a:ext uri="{FF2B5EF4-FFF2-40B4-BE49-F238E27FC236}">
              <a16:creationId xmlns:a16="http://schemas.microsoft.com/office/drawing/2014/main" id="{0AB55CA3-615C-40EE-A00C-5763D4C235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72" name="AutoShape 1" descr="Vista previa de toda la pantalla">
          <a:extLst>
            <a:ext uri="{FF2B5EF4-FFF2-40B4-BE49-F238E27FC236}">
              <a16:creationId xmlns:a16="http://schemas.microsoft.com/office/drawing/2014/main" id="{8A57E159-5EB6-44A9-A28A-F5877DDDE2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73" name="AutoShape 1" descr="Vista previa de toda la pantalla">
          <a:extLst>
            <a:ext uri="{FF2B5EF4-FFF2-40B4-BE49-F238E27FC236}">
              <a16:creationId xmlns:a16="http://schemas.microsoft.com/office/drawing/2014/main" id="{B86E6292-A4BD-4B65-851E-C7288AADC8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74" name="AutoShape 1" descr="Vista previa de toda la pantalla">
          <a:extLst>
            <a:ext uri="{FF2B5EF4-FFF2-40B4-BE49-F238E27FC236}">
              <a16:creationId xmlns:a16="http://schemas.microsoft.com/office/drawing/2014/main" id="{AC308D83-ED1A-45F5-9A90-3A53488616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75" name="AutoShape 1" descr="Vista previa de toda la pantalla">
          <a:extLst>
            <a:ext uri="{FF2B5EF4-FFF2-40B4-BE49-F238E27FC236}">
              <a16:creationId xmlns:a16="http://schemas.microsoft.com/office/drawing/2014/main" id="{1F149037-931E-488C-A3B0-4F18778976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76" name="AutoShape 1" descr="Vista previa de toda la pantalla">
          <a:extLst>
            <a:ext uri="{FF2B5EF4-FFF2-40B4-BE49-F238E27FC236}">
              <a16:creationId xmlns:a16="http://schemas.microsoft.com/office/drawing/2014/main" id="{65D19373-3A2F-4CA4-86B7-015820B982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77" name="AutoShape 1" descr="Vista previa de toda la pantalla">
          <a:extLst>
            <a:ext uri="{FF2B5EF4-FFF2-40B4-BE49-F238E27FC236}">
              <a16:creationId xmlns:a16="http://schemas.microsoft.com/office/drawing/2014/main" id="{ECF2DCDF-441E-4405-B7CC-4348CDF082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78" name="AutoShape 1" descr="Vista previa de toda la pantalla">
          <a:extLst>
            <a:ext uri="{FF2B5EF4-FFF2-40B4-BE49-F238E27FC236}">
              <a16:creationId xmlns:a16="http://schemas.microsoft.com/office/drawing/2014/main" id="{6C52589B-FA77-4AE7-8EAB-F5658AA016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79" name="AutoShape 1" descr="Vista previa de toda la pantalla">
          <a:extLst>
            <a:ext uri="{FF2B5EF4-FFF2-40B4-BE49-F238E27FC236}">
              <a16:creationId xmlns:a16="http://schemas.microsoft.com/office/drawing/2014/main" id="{31BA3BB6-6B2D-4E66-89C9-94B0D31B7F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80" name="AutoShape 1" descr="Vista previa de toda la pantalla">
          <a:extLst>
            <a:ext uri="{FF2B5EF4-FFF2-40B4-BE49-F238E27FC236}">
              <a16:creationId xmlns:a16="http://schemas.microsoft.com/office/drawing/2014/main" id="{22F22BEF-A024-4C9D-90C8-1174863671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81" name="AutoShape 1" descr="Vista previa de toda la pantalla">
          <a:extLst>
            <a:ext uri="{FF2B5EF4-FFF2-40B4-BE49-F238E27FC236}">
              <a16:creationId xmlns:a16="http://schemas.microsoft.com/office/drawing/2014/main" id="{08817D24-982D-49FB-BD22-415FAB532B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82" name="AutoShape 1" descr="Vista previa de toda la pantalla">
          <a:extLst>
            <a:ext uri="{FF2B5EF4-FFF2-40B4-BE49-F238E27FC236}">
              <a16:creationId xmlns:a16="http://schemas.microsoft.com/office/drawing/2014/main" id="{5297223F-2E6D-46D7-8FE1-064310C540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83" name="AutoShape 1" descr="Vista previa de toda la pantalla">
          <a:extLst>
            <a:ext uri="{FF2B5EF4-FFF2-40B4-BE49-F238E27FC236}">
              <a16:creationId xmlns:a16="http://schemas.microsoft.com/office/drawing/2014/main" id="{BB583F96-8F2A-4ABA-A75B-8916FB898B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84" name="AutoShape 1" descr="Vista previa de toda la pantalla">
          <a:extLst>
            <a:ext uri="{FF2B5EF4-FFF2-40B4-BE49-F238E27FC236}">
              <a16:creationId xmlns:a16="http://schemas.microsoft.com/office/drawing/2014/main" id="{1DDDBD83-CACB-4C3E-9449-22965CC307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85" name="AutoShape 1" descr="Vista previa de toda la pantalla">
          <a:extLst>
            <a:ext uri="{FF2B5EF4-FFF2-40B4-BE49-F238E27FC236}">
              <a16:creationId xmlns:a16="http://schemas.microsoft.com/office/drawing/2014/main" id="{2AE2A472-54BA-444C-B5D0-4906FAE33C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86" name="AutoShape 1" descr="Vista previa de toda la pantalla">
          <a:extLst>
            <a:ext uri="{FF2B5EF4-FFF2-40B4-BE49-F238E27FC236}">
              <a16:creationId xmlns:a16="http://schemas.microsoft.com/office/drawing/2014/main" id="{226BB0FD-637B-4CEF-88C4-1E5E4D860A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87" name="AutoShape 1" descr="Vista previa de toda la pantalla">
          <a:extLst>
            <a:ext uri="{FF2B5EF4-FFF2-40B4-BE49-F238E27FC236}">
              <a16:creationId xmlns:a16="http://schemas.microsoft.com/office/drawing/2014/main" id="{F5452D7D-8E61-48AA-A97A-DBF99DA6E8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88" name="AutoShape 1" descr="Vista previa de toda la pantalla">
          <a:extLst>
            <a:ext uri="{FF2B5EF4-FFF2-40B4-BE49-F238E27FC236}">
              <a16:creationId xmlns:a16="http://schemas.microsoft.com/office/drawing/2014/main" id="{2497B94D-899A-4ABD-B83F-CCAC089C45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89" name="AutoShape 1" descr="Vista previa de toda la pantalla">
          <a:extLst>
            <a:ext uri="{FF2B5EF4-FFF2-40B4-BE49-F238E27FC236}">
              <a16:creationId xmlns:a16="http://schemas.microsoft.com/office/drawing/2014/main" id="{43499EE9-08E7-4EE1-B6C7-AF667EC1BF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90" name="AutoShape 1" descr="Vista previa de toda la pantalla">
          <a:extLst>
            <a:ext uri="{FF2B5EF4-FFF2-40B4-BE49-F238E27FC236}">
              <a16:creationId xmlns:a16="http://schemas.microsoft.com/office/drawing/2014/main" id="{297B7FD0-F0D8-41B1-A94E-73CC23221C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91" name="AutoShape 1" descr="Vista previa de toda la pantalla">
          <a:extLst>
            <a:ext uri="{FF2B5EF4-FFF2-40B4-BE49-F238E27FC236}">
              <a16:creationId xmlns:a16="http://schemas.microsoft.com/office/drawing/2014/main" id="{71460E88-EA6C-4147-A818-78D9C2096C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92" name="AutoShape 1" descr="Vista previa de toda la pantalla">
          <a:extLst>
            <a:ext uri="{FF2B5EF4-FFF2-40B4-BE49-F238E27FC236}">
              <a16:creationId xmlns:a16="http://schemas.microsoft.com/office/drawing/2014/main" id="{A7CBA5D4-2519-42A3-BAB5-352B768F95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93" name="AutoShape 1" descr="Vista previa de toda la pantalla">
          <a:extLst>
            <a:ext uri="{FF2B5EF4-FFF2-40B4-BE49-F238E27FC236}">
              <a16:creationId xmlns:a16="http://schemas.microsoft.com/office/drawing/2014/main" id="{C84DEDCE-DDE2-4424-850D-E971F15E5E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94" name="AutoShape 1" descr="Vista previa de toda la pantalla">
          <a:extLst>
            <a:ext uri="{FF2B5EF4-FFF2-40B4-BE49-F238E27FC236}">
              <a16:creationId xmlns:a16="http://schemas.microsoft.com/office/drawing/2014/main" id="{3A506AAE-815E-41FF-B75F-198475BBBB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95" name="AutoShape 1" descr="Vista previa de toda la pantalla">
          <a:extLst>
            <a:ext uri="{FF2B5EF4-FFF2-40B4-BE49-F238E27FC236}">
              <a16:creationId xmlns:a16="http://schemas.microsoft.com/office/drawing/2014/main" id="{1C583830-298B-42FA-A194-E727EB6359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96" name="AutoShape 1" descr="Vista previa de toda la pantalla">
          <a:extLst>
            <a:ext uri="{FF2B5EF4-FFF2-40B4-BE49-F238E27FC236}">
              <a16:creationId xmlns:a16="http://schemas.microsoft.com/office/drawing/2014/main" id="{61A997D7-C900-40D5-A7CF-AA7DB063DB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97" name="AutoShape 1" descr="Vista previa de toda la pantalla">
          <a:extLst>
            <a:ext uri="{FF2B5EF4-FFF2-40B4-BE49-F238E27FC236}">
              <a16:creationId xmlns:a16="http://schemas.microsoft.com/office/drawing/2014/main" id="{E39807CD-A2C9-4F87-9034-847EE11F1A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98" name="AutoShape 1" descr="Vista previa de toda la pantalla">
          <a:extLst>
            <a:ext uri="{FF2B5EF4-FFF2-40B4-BE49-F238E27FC236}">
              <a16:creationId xmlns:a16="http://schemas.microsoft.com/office/drawing/2014/main" id="{7738940E-2353-47E4-9A8F-C5853DEFBA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899" name="AutoShape 1" descr="Vista previa de toda la pantalla">
          <a:extLst>
            <a:ext uri="{FF2B5EF4-FFF2-40B4-BE49-F238E27FC236}">
              <a16:creationId xmlns:a16="http://schemas.microsoft.com/office/drawing/2014/main" id="{98CA8469-C1DC-44E4-B69A-139BB82727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00" name="AutoShape 1" descr="Vista previa de toda la pantalla">
          <a:extLst>
            <a:ext uri="{FF2B5EF4-FFF2-40B4-BE49-F238E27FC236}">
              <a16:creationId xmlns:a16="http://schemas.microsoft.com/office/drawing/2014/main" id="{B3375EA6-6B11-4DD3-8F28-11AD5033FD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01" name="AutoShape 1" descr="Vista previa de toda la pantalla">
          <a:extLst>
            <a:ext uri="{FF2B5EF4-FFF2-40B4-BE49-F238E27FC236}">
              <a16:creationId xmlns:a16="http://schemas.microsoft.com/office/drawing/2014/main" id="{EE96DFEF-9DFA-4ECD-A37B-D4F0361898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02" name="AutoShape 1" descr="Vista previa de toda la pantalla">
          <a:extLst>
            <a:ext uri="{FF2B5EF4-FFF2-40B4-BE49-F238E27FC236}">
              <a16:creationId xmlns:a16="http://schemas.microsoft.com/office/drawing/2014/main" id="{AF7C6A7C-AC84-4FE6-A7FD-BECE825E4C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03" name="AutoShape 1" descr="Vista previa de toda la pantalla">
          <a:extLst>
            <a:ext uri="{FF2B5EF4-FFF2-40B4-BE49-F238E27FC236}">
              <a16:creationId xmlns:a16="http://schemas.microsoft.com/office/drawing/2014/main" id="{F01A5424-7F60-4B3A-B208-B517634395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04" name="AutoShape 1" descr="Vista previa de toda la pantalla">
          <a:extLst>
            <a:ext uri="{FF2B5EF4-FFF2-40B4-BE49-F238E27FC236}">
              <a16:creationId xmlns:a16="http://schemas.microsoft.com/office/drawing/2014/main" id="{38468062-E690-4A3B-BC01-65607160EC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05" name="AutoShape 1" descr="Vista previa de toda la pantalla">
          <a:extLst>
            <a:ext uri="{FF2B5EF4-FFF2-40B4-BE49-F238E27FC236}">
              <a16:creationId xmlns:a16="http://schemas.microsoft.com/office/drawing/2014/main" id="{458165CB-2760-455E-A3A2-48A8961D7C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06" name="AutoShape 1" descr="Vista previa de toda la pantalla">
          <a:extLst>
            <a:ext uri="{FF2B5EF4-FFF2-40B4-BE49-F238E27FC236}">
              <a16:creationId xmlns:a16="http://schemas.microsoft.com/office/drawing/2014/main" id="{242CEC31-A170-4CFE-9D2D-DB54579DAE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07" name="AutoShape 1" descr="Vista previa de toda la pantalla">
          <a:extLst>
            <a:ext uri="{FF2B5EF4-FFF2-40B4-BE49-F238E27FC236}">
              <a16:creationId xmlns:a16="http://schemas.microsoft.com/office/drawing/2014/main" id="{ABACF343-4022-462C-B9FE-AF0E3BE696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08" name="AutoShape 1" descr="Vista previa de toda la pantalla">
          <a:extLst>
            <a:ext uri="{FF2B5EF4-FFF2-40B4-BE49-F238E27FC236}">
              <a16:creationId xmlns:a16="http://schemas.microsoft.com/office/drawing/2014/main" id="{4A58DDDC-2FFE-4B79-9E10-6946132820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09" name="AutoShape 1" descr="Vista previa de toda la pantalla">
          <a:extLst>
            <a:ext uri="{FF2B5EF4-FFF2-40B4-BE49-F238E27FC236}">
              <a16:creationId xmlns:a16="http://schemas.microsoft.com/office/drawing/2014/main" id="{3C6CBBB7-219F-473C-8BAD-AD78EECC4E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10" name="AutoShape 1" descr="Vista previa de toda la pantalla">
          <a:extLst>
            <a:ext uri="{FF2B5EF4-FFF2-40B4-BE49-F238E27FC236}">
              <a16:creationId xmlns:a16="http://schemas.microsoft.com/office/drawing/2014/main" id="{9B71F69F-51C9-4ADD-9A51-08F01AE54A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11" name="AutoShape 1" descr="Vista previa de toda la pantalla">
          <a:extLst>
            <a:ext uri="{FF2B5EF4-FFF2-40B4-BE49-F238E27FC236}">
              <a16:creationId xmlns:a16="http://schemas.microsoft.com/office/drawing/2014/main" id="{F93895F2-CD8F-4A7E-8471-8A0DC6D7CC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12" name="AutoShape 1" descr="Vista previa de toda la pantalla">
          <a:extLst>
            <a:ext uri="{FF2B5EF4-FFF2-40B4-BE49-F238E27FC236}">
              <a16:creationId xmlns:a16="http://schemas.microsoft.com/office/drawing/2014/main" id="{8AD3FEEE-3B79-4CC0-8F62-41CF770AD9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13" name="AutoShape 1" descr="Vista previa de toda la pantalla">
          <a:extLst>
            <a:ext uri="{FF2B5EF4-FFF2-40B4-BE49-F238E27FC236}">
              <a16:creationId xmlns:a16="http://schemas.microsoft.com/office/drawing/2014/main" id="{3481368C-851B-4AEC-8692-C785A16DB1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14" name="AutoShape 1" descr="Vista previa de toda la pantalla">
          <a:extLst>
            <a:ext uri="{FF2B5EF4-FFF2-40B4-BE49-F238E27FC236}">
              <a16:creationId xmlns:a16="http://schemas.microsoft.com/office/drawing/2014/main" id="{84149351-267A-45A6-8D9D-0CB994DB83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15" name="AutoShape 1" descr="Vista previa de toda la pantalla">
          <a:extLst>
            <a:ext uri="{FF2B5EF4-FFF2-40B4-BE49-F238E27FC236}">
              <a16:creationId xmlns:a16="http://schemas.microsoft.com/office/drawing/2014/main" id="{8C3BD9B8-0FF4-4EA1-96CA-A4C3564E31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16" name="AutoShape 1" descr="Vista previa de toda la pantalla">
          <a:extLst>
            <a:ext uri="{FF2B5EF4-FFF2-40B4-BE49-F238E27FC236}">
              <a16:creationId xmlns:a16="http://schemas.microsoft.com/office/drawing/2014/main" id="{8CC850BD-24F0-4298-868F-3C96621FCD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17" name="AutoShape 1" descr="Vista previa de toda la pantalla">
          <a:extLst>
            <a:ext uri="{FF2B5EF4-FFF2-40B4-BE49-F238E27FC236}">
              <a16:creationId xmlns:a16="http://schemas.microsoft.com/office/drawing/2014/main" id="{60F80FA6-C0FA-4DB0-867C-00A7927451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18" name="AutoShape 1" descr="Vista previa de toda la pantalla">
          <a:extLst>
            <a:ext uri="{FF2B5EF4-FFF2-40B4-BE49-F238E27FC236}">
              <a16:creationId xmlns:a16="http://schemas.microsoft.com/office/drawing/2014/main" id="{B106120E-5779-4ED4-A3F5-782DC45830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19" name="AutoShape 1" descr="Vista previa de toda la pantalla">
          <a:extLst>
            <a:ext uri="{FF2B5EF4-FFF2-40B4-BE49-F238E27FC236}">
              <a16:creationId xmlns:a16="http://schemas.microsoft.com/office/drawing/2014/main" id="{34A82CC4-FFC8-48D8-89A4-1EE38EEEAF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20" name="AutoShape 1" descr="Vista previa de toda la pantalla">
          <a:extLst>
            <a:ext uri="{FF2B5EF4-FFF2-40B4-BE49-F238E27FC236}">
              <a16:creationId xmlns:a16="http://schemas.microsoft.com/office/drawing/2014/main" id="{9F3225B3-1AF4-4A14-BCC6-B0DB0264FD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21" name="AutoShape 1" descr="Vista previa de toda la pantalla">
          <a:extLst>
            <a:ext uri="{FF2B5EF4-FFF2-40B4-BE49-F238E27FC236}">
              <a16:creationId xmlns:a16="http://schemas.microsoft.com/office/drawing/2014/main" id="{51C086B5-5F39-4234-A7C1-5B51ECC9D3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22" name="AutoShape 1" descr="Vista previa de toda la pantalla">
          <a:extLst>
            <a:ext uri="{FF2B5EF4-FFF2-40B4-BE49-F238E27FC236}">
              <a16:creationId xmlns:a16="http://schemas.microsoft.com/office/drawing/2014/main" id="{BD3C2F50-4836-4441-9887-572AF3507E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23" name="AutoShape 1" descr="Vista previa de toda la pantalla">
          <a:extLst>
            <a:ext uri="{FF2B5EF4-FFF2-40B4-BE49-F238E27FC236}">
              <a16:creationId xmlns:a16="http://schemas.microsoft.com/office/drawing/2014/main" id="{37F137FE-80E1-459F-8766-ECBE3721A6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24" name="AutoShape 1" descr="Vista previa de toda la pantalla">
          <a:extLst>
            <a:ext uri="{FF2B5EF4-FFF2-40B4-BE49-F238E27FC236}">
              <a16:creationId xmlns:a16="http://schemas.microsoft.com/office/drawing/2014/main" id="{384B2E7B-9A5B-4CD0-A1E7-0B5A89F17E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25" name="AutoShape 1" descr="Vista previa de toda la pantalla">
          <a:extLst>
            <a:ext uri="{FF2B5EF4-FFF2-40B4-BE49-F238E27FC236}">
              <a16:creationId xmlns:a16="http://schemas.microsoft.com/office/drawing/2014/main" id="{9AF2906B-A80C-4CF2-AE32-383BA4B872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26" name="AutoShape 1" descr="Vista previa de toda la pantalla">
          <a:extLst>
            <a:ext uri="{FF2B5EF4-FFF2-40B4-BE49-F238E27FC236}">
              <a16:creationId xmlns:a16="http://schemas.microsoft.com/office/drawing/2014/main" id="{1D899836-7E4C-4EFE-BFFB-EAFBF59C1D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27" name="AutoShape 1" descr="Vista previa de toda la pantalla">
          <a:extLst>
            <a:ext uri="{FF2B5EF4-FFF2-40B4-BE49-F238E27FC236}">
              <a16:creationId xmlns:a16="http://schemas.microsoft.com/office/drawing/2014/main" id="{4F522E21-40C9-4C93-BCCB-AFABAF9E46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28" name="AutoShape 1" descr="Vista previa de toda la pantalla">
          <a:extLst>
            <a:ext uri="{FF2B5EF4-FFF2-40B4-BE49-F238E27FC236}">
              <a16:creationId xmlns:a16="http://schemas.microsoft.com/office/drawing/2014/main" id="{BD28DE3A-8E49-4ACE-85DD-496C773F27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29" name="AutoShape 1" descr="Vista previa de toda la pantalla">
          <a:extLst>
            <a:ext uri="{FF2B5EF4-FFF2-40B4-BE49-F238E27FC236}">
              <a16:creationId xmlns:a16="http://schemas.microsoft.com/office/drawing/2014/main" id="{9FEEC55E-E86A-4B92-BFCD-7B4EB95888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30" name="AutoShape 1" descr="Vista previa de toda la pantalla">
          <a:extLst>
            <a:ext uri="{FF2B5EF4-FFF2-40B4-BE49-F238E27FC236}">
              <a16:creationId xmlns:a16="http://schemas.microsoft.com/office/drawing/2014/main" id="{267D3B43-5D13-4D23-B66C-EF04D61314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31" name="AutoShape 1" descr="Vista previa de toda la pantalla">
          <a:extLst>
            <a:ext uri="{FF2B5EF4-FFF2-40B4-BE49-F238E27FC236}">
              <a16:creationId xmlns:a16="http://schemas.microsoft.com/office/drawing/2014/main" id="{EC86A8F6-4A98-472D-8A51-ADA4CA20C9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32" name="AutoShape 1" descr="Vista previa de toda la pantalla">
          <a:extLst>
            <a:ext uri="{FF2B5EF4-FFF2-40B4-BE49-F238E27FC236}">
              <a16:creationId xmlns:a16="http://schemas.microsoft.com/office/drawing/2014/main" id="{7FEACB16-47BB-45B8-978A-760473AE95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33" name="AutoShape 1" descr="Vista previa de toda la pantalla">
          <a:extLst>
            <a:ext uri="{FF2B5EF4-FFF2-40B4-BE49-F238E27FC236}">
              <a16:creationId xmlns:a16="http://schemas.microsoft.com/office/drawing/2014/main" id="{57D3BEC6-3BDC-474A-8C08-C0C5A682F9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34" name="AutoShape 1" descr="Vista previa de toda la pantalla">
          <a:extLst>
            <a:ext uri="{FF2B5EF4-FFF2-40B4-BE49-F238E27FC236}">
              <a16:creationId xmlns:a16="http://schemas.microsoft.com/office/drawing/2014/main" id="{13B8CCFC-1EF8-4AA9-8E56-9129095ED8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35" name="AutoShape 1" descr="Vista previa de toda la pantalla">
          <a:extLst>
            <a:ext uri="{FF2B5EF4-FFF2-40B4-BE49-F238E27FC236}">
              <a16:creationId xmlns:a16="http://schemas.microsoft.com/office/drawing/2014/main" id="{51740158-E7B6-4F70-AC72-0EC1AA8330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36" name="AutoShape 1" descr="Vista previa de toda la pantalla">
          <a:extLst>
            <a:ext uri="{FF2B5EF4-FFF2-40B4-BE49-F238E27FC236}">
              <a16:creationId xmlns:a16="http://schemas.microsoft.com/office/drawing/2014/main" id="{D779B137-8D7A-4CD6-BCDF-9101A99739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37" name="AutoShape 1" descr="Vista previa de toda la pantalla">
          <a:extLst>
            <a:ext uri="{FF2B5EF4-FFF2-40B4-BE49-F238E27FC236}">
              <a16:creationId xmlns:a16="http://schemas.microsoft.com/office/drawing/2014/main" id="{01F5AE22-C3B7-4874-A856-5D106D6C0E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38" name="AutoShape 1" descr="Vista previa de toda la pantalla">
          <a:extLst>
            <a:ext uri="{FF2B5EF4-FFF2-40B4-BE49-F238E27FC236}">
              <a16:creationId xmlns:a16="http://schemas.microsoft.com/office/drawing/2014/main" id="{A142BE30-B9B4-47B2-B868-8C703F87B8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39" name="AutoShape 1" descr="Vista previa de toda la pantalla">
          <a:extLst>
            <a:ext uri="{FF2B5EF4-FFF2-40B4-BE49-F238E27FC236}">
              <a16:creationId xmlns:a16="http://schemas.microsoft.com/office/drawing/2014/main" id="{8642A61C-5F79-421E-A029-4C7247712F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40" name="AutoShape 1" descr="Vista previa de toda la pantalla">
          <a:extLst>
            <a:ext uri="{FF2B5EF4-FFF2-40B4-BE49-F238E27FC236}">
              <a16:creationId xmlns:a16="http://schemas.microsoft.com/office/drawing/2014/main" id="{F6E21308-54B5-42DC-984D-5D15974000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41" name="AutoShape 1" descr="Vista previa de toda la pantalla">
          <a:extLst>
            <a:ext uri="{FF2B5EF4-FFF2-40B4-BE49-F238E27FC236}">
              <a16:creationId xmlns:a16="http://schemas.microsoft.com/office/drawing/2014/main" id="{9A77FAA9-0DB8-4E60-AAAB-8370E1C587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42" name="AutoShape 1" descr="Vista previa de toda la pantalla">
          <a:extLst>
            <a:ext uri="{FF2B5EF4-FFF2-40B4-BE49-F238E27FC236}">
              <a16:creationId xmlns:a16="http://schemas.microsoft.com/office/drawing/2014/main" id="{156657F7-E2EA-4C91-B6B4-5E3852963D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43" name="AutoShape 1" descr="Vista previa de toda la pantalla">
          <a:extLst>
            <a:ext uri="{FF2B5EF4-FFF2-40B4-BE49-F238E27FC236}">
              <a16:creationId xmlns:a16="http://schemas.microsoft.com/office/drawing/2014/main" id="{A6859034-1C0D-4272-A5EA-6C6ABA1D08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44" name="AutoShape 1" descr="Vista previa de toda la pantalla">
          <a:extLst>
            <a:ext uri="{FF2B5EF4-FFF2-40B4-BE49-F238E27FC236}">
              <a16:creationId xmlns:a16="http://schemas.microsoft.com/office/drawing/2014/main" id="{36C0A703-6950-4F8B-A256-418C4302C7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45" name="AutoShape 1" descr="Vista previa de toda la pantalla">
          <a:extLst>
            <a:ext uri="{FF2B5EF4-FFF2-40B4-BE49-F238E27FC236}">
              <a16:creationId xmlns:a16="http://schemas.microsoft.com/office/drawing/2014/main" id="{B8CA0F0F-4A74-46B6-B99A-60DA9687EB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46" name="AutoShape 1" descr="Vista previa de toda la pantalla">
          <a:extLst>
            <a:ext uri="{FF2B5EF4-FFF2-40B4-BE49-F238E27FC236}">
              <a16:creationId xmlns:a16="http://schemas.microsoft.com/office/drawing/2014/main" id="{A9CCABB2-3D06-4488-A9EB-B9496701D2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47" name="AutoShape 1" descr="Vista previa de toda la pantalla">
          <a:extLst>
            <a:ext uri="{FF2B5EF4-FFF2-40B4-BE49-F238E27FC236}">
              <a16:creationId xmlns:a16="http://schemas.microsoft.com/office/drawing/2014/main" id="{1D3A44EF-AE4F-48BA-B9BA-A5CA396FC3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48" name="AutoShape 1" descr="Vista previa de toda la pantalla">
          <a:extLst>
            <a:ext uri="{FF2B5EF4-FFF2-40B4-BE49-F238E27FC236}">
              <a16:creationId xmlns:a16="http://schemas.microsoft.com/office/drawing/2014/main" id="{8045422B-3802-4A68-A86A-C576A314B4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49" name="AutoShape 1" descr="Vista previa de toda la pantalla">
          <a:extLst>
            <a:ext uri="{FF2B5EF4-FFF2-40B4-BE49-F238E27FC236}">
              <a16:creationId xmlns:a16="http://schemas.microsoft.com/office/drawing/2014/main" id="{2B829306-90B6-4D31-95C1-C7578CFD4D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50" name="AutoShape 1" descr="Vista previa de toda la pantalla">
          <a:extLst>
            <a:ext uri="{FF2B5EF4-FFF2-40B4-BE49-F238E27FC236}">
              <a16:creationId xmlns:a16="http://schemas.microsoft.com/office/drawing/2014/main" id="{4633DD89-2FCD-4CF7-84E4-2CAC1C3D6D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51" name="AutoShape 1" descr="Vista previa de toda la pantalla">
          <a:extLst>
            <a:ext uri="{FF2B5EF4-FFF2-40B4-BE49-F238E27FC236}">
              <a16:creationId xmlns:a16="http://schemas.microsoft.com/office/drawing/2014/main" id="{F3884F0D-6C1E-45A0-B943-1E29451D93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52" name="AutoShape 1" descr="Vista previa de toda la pantalla">
          <a:extLst>
            <a:ext uri="{FF2B5EF4-FFF2-40B4-BE49-F238E27FC236}">
              <a16:creationId xmlns:a16="http://schemas.microsoft.com/office/drawing/2014/main" id="{6787603F-68DF-410F-9440-35F0A77CDC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53" name="AutoShape 1" descr="Vista previa de toda la pantalla">
          <a:extLst>
            <a:ext uri="{FF2B5EF4-FFF2-40B4-BE49-F238E27FC236}">
              <a16:creationId xmlns:a16="http://schemas.microsoft.com/office/drawing/2014/main" id="{C31EA39E-186A-4AF5-8390-06A57E4E91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54" name="AutoShape 1" descr="Vista previa de toda la pantalla">
          <a:extLst>
            <a:ext uri="{FF2B5EF4-FFF2-40B4-BE49-F238E27FC236}">
              <a16:creationId xmlns:a16="http://schemas.microsoft.com/office/drawing/2014/main" id="{025C80F4-D583-4B44-BFCF-6198CB28DB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55" name="AutoShape 1" descr="Vista previa de toda la pantalla">
          <a:extLst>
            <a:ext uri="{FF2B5EF4-FFF2-40B4-BE49-F238E27FC236}">
              <a16:creationId xmlns:a16="http://schemas.microsoft.com/office/drawing/2014/main" id="{E400D5AD-9C08-4E4F-BE47-CB81DDB9BA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56" name="AutoShape 1" descr="Vista previa de toda la pantalla">
          <a:extLst>
            <a:ext uri="{FF2B5EF4-FFF2-40B4-BE49-F238E27FC236}">
              <a16:creationId xmlns:a16="http://schemas.microsoft.com/office/drawing/2014/main" id="{0EC9D84E-CFB3-468F-8233-DCD9B80E25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57" name="AutoShape 1" descr="Vista previa de toda la pantalla">
          <a:extLst>
            <a:ext uri="{FF2B5EF4-FFF2-40B4-BE49-F238E27FC236}">
              <a16:creationId xmlns:a16="http://schemas.microsoft.com/office/drawing/2014/main" id="{65BC53B5-2C10-4CFA-9B25-59E8959EBE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58" name="AutoShape 1" descr="Vista previa de toda la pantalla">
          <a:extLst>
            <a:ext uri="{FF2B5EF4-FFF2-40B4-BE49-F238E27FC236}">
              <a16:creationId xmlns:a16="http://schemas.microsoft.com/office/drawing/2014/main" id="{819FAF28-8F07-4664-A915-16E7F5C932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59" name="AutoShape 1" descr="Vista previa de toda la pantalla">
          <a:extLst>
            <a:ext uri="{FF2B5EF4-FFF2-40B4-BE49-F238E27FC236}">
              <a16:creationId xmlns:a16="http://schemas.microsoft.com/office/drawing/2014/main" id="{A4FB82C9-BCBF-4AF1-985C-285DDAC5BF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60" name="AutoShape 1" descr="Vista previa de toda la pantalla">
          <a:extLst>
            <a:ext uri="{FF2B5EF4-FFF2-40B4-BE49-F238E27FC236}">
              <a16:creationId xmlns:a16="http://schemas.microsoft.com/office/drawing/2014/main" id="{74F6C30E-6DE3-45B3-AF4E-7440AE5B4A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61" name="AutoShape 1" descr="Vista previa de toda la pantalla">
          <a:extLst>
            <a:ext uri="{FF2B5EF4-FFF2-40B4-BE49-F238E27FC236}">
              <a16:creationId xmlns:a16="http://schemas.microsoft.com/office/drawing/2014/main" id="{20EF7ABF-2BAF-473C-A555-E404545A4E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62" name="AutoShape 1" descr="Vista previa de toda la pantalla">
          <a:extLst>
            <a:ext uri="{FF2B5EF4-FFF2-40B4-BE49-F238E27FC236}">
              <a16:creationId xmlns:a16="http://schemas.microsoft.com/office/drawing/2014/main" id="{1F39C9C2-B011-4AAA-983E-075EB55228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63" name="AutoShape 1" descr="Vista previa de toda la pantalla">
          <a:extLst>
            <a:ext uri="{FF2B5EF4-FFF2-40B4-BE49-F238E27FC236}">
              <a16:creationId xmlns:a16="http://schemas.microsoft.com/office/drawing/2014/main" id="{B41DD89A-F5A8-4510-9FE5-93429E1D03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64" name="AutoShape 1" descr="Vista previa de toda la pantalla">
          <a:extLst>
            <a:ext uri="{FF2B5EF4-FFF2-40B4-BE49-F238E27FC236}">
              <a16:creationId xmlns:a16="http://schemas.microsoft.com/office/drawing/2014/main" id="{B83258DC-4D70-4EBC-BAF4-D252089FE4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65" name="AutoShape 1" descr="Vista previa de toda la pantalla">
          <a:extLst>
            <a:ext uri="{FF2B5EF4-FFF2-40B4-BE49-F238E27FC236}">
              <a16:creationId xmlns:a16="http://schemas.microsoft.com/office/drawing/2014/main" id="{5477CF33-241A-4C15-8B76-A7B9BD0465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66" name="AutoShape 1" descr="Vista previa de toda la pantalla">
          <a:extLst>
            <a:ext uri="{FF2B5EF4-FFF2-40B4-BE49-F238E27FC236}">
              <a16:creationId xmlns:a16="http://schemas.microsoft.com/office/drawing/2014/main" id="{DDE645D3-0FC0-407F-B388-33D727F297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67" name="AutoShape 1" descr="Vista previa de toda la pantalla">
          <a:extLst>
            <a:ext uri="{FF2B5EF4-FFF2-40B4-BE49-F238E27FC236}">
              <a16:creationId xmlns:a16="http://schemas.microsoft.com/office/drawing/2014/main" id="{2BFAC816-5A73-4798-922B-5894EA0FFF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68" name="AutoShape 1" descr="Vista previa de toda la pantalla">
          <a:extLst>
            <a:ext uri="{FF2B5EF4-FFF2-40B4-BE49-F238E27FC236}">
              <a16:creationId xmlns:a16="http://schemas.microsoft.com/office/drawing/2014/main" id="{974A4D55-0D14-48F4-B800-F7690AE6EB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69" name="AutoShape 1" descr="Vista previa de toda la pantalla">
          <a:extLst>
            <a:ext uri="{FF2B5EF4-FFF2-40B4-BE49-F238E27FC236}">
              <a16:creationId xmlns:a16="http://schemas.microsoft.com/office/drawing/2014/main" id="{F360391F-35E6-4587-8917-977A728693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70" name="AutoShape 1" descr="Vista previa de toda la pantalla">
          <a:extLst>
            <a:ext uri="{FF2B5EF4-FFF2-40B4-BE49-F238E27FC236}">
              <a16:creationId xmlns:a16="http://schemas.microsoft.com/office/drawing/2014/main" id="{430801F0-5DB9-4EF2-A344-0632D0B2F0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71" name="AutoShape 1" descr="Vista previa de toda la pantalla">
          <a:extLst>
            <a:ext uri="{FF2B5EF4-FFF2-40B4-BE49-F238E27FC236}">
              <a16:creationId xmlns:a16="http://schemas.microsoft.com/office/drawing/2014/main" id="{7E3EAB16-D88A-44C3-B776-9F75159ABA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72" name="AutoShape 1" descr="Vista previa de toda la pantalla">
          <a:extLst>
            <a:ext uri="{FF2B5EF4-FFF2-40B4-BE49-F238E27FC236}">
              <a16:creationId xmlns:a16="http://schemas.microsoft.com/office/drawing/2014/main" id="{AF786A16-C326-4E42-B442-7311CA8EBC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73" name="AutoShape 1" descr="Vista previa de toda la pantalla">
          <a:extLst>
            <a:ext uri="{FF2B5EF4-FFF2-40B4-BE49-F238E27FC236}">
              <a16:creationId xmlns:a16="http://schemas.microsoft.com/office/drawing/2014/main" id="{C0777D5B-9CEC-4267-844C-97ADB5A2E4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74" name="AutoShape 1" descr="Vista previa de toda la pantalla">
          <a:extLst>
            <a:ext uri="{FF2B5EF4-FFF2-40B4-BE49-F238E27FC236}">
              <a16:creationId xmlns:a16="http://schemas.microsoft.com/office/drawing/2014/main" id="{0F136812-C9A5-4DCE-924B-54BABAD61B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75" name="AutoShape 1" descr="Vista previa de toda la pantalla">
          <a:extLst>
            <a:ext uri="{FF2B5EF4-FFF2-40B4-BE49-F238E27FC236}">
              <a16:creationId xmlns:a16="http://schemas.microsoft.com/office/drawing/2014/main" id="{B87C0773-BDD6-4224-9495-362D0EAFAA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76" name="AutoShape 1" descr="Vista previa de toda la pantalla">
          <a:extLst>
            <a:ext uri="{FF2B5EF4-FFF2-40B4-BE49-F238E27FC236}">
              <a16:creationId xmlns:a16="http://schemas.microsoft.com/office/drawing/2014/main" id="{2A480092-17B5-4E89-B791-915ACFF655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77" name="AutoShape 1" descr="Vista previa de toda la pantalla">
          <a:extLst>
            <a:ext uri="{FF2B5EF4-FFF2-40B4-BE49-F238E27FC236}">
              <a16:creationId xmlns:a16="http://schemas.microsoft.com/office/drawing/2014/main" id="{9A9B2A46-FBEC-435F-822C-FBF6BEF2E0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78" name="AutoShape 1" descr="Vista previa de toda la pantalla">
          <a:extLst>
            <a:ext uri="{FF2B5EF4-FFF2-40B4-BE49-F238E27FC236}">
              <a16:creationId xmlns:a16="http://schemas.microsoft.com/office/drawing/2014/main" id="{05724EE7-0D6C-455E-A2E3-BEE1AEDF1E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79" name="AutoShape 1" descr="Vista previa de toda la pantalla">
          <a:extLst>
            <a:ext uri="{FF2B5EF4-FFF2-40B4-BE49-F238E27FC236}">
              <a16:creationId xmlns:a16="http://schemas.microsoft.com/office/drawing/2014/main" id="{584F3EA0-17F6-4029-8C6D-9E40CCAD6C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80" name="AutoShape 1" descr="Vista previa de toda la pantalla">
          <a:extLst>
            <a:ext uri="{FF2B5EF4-FFF2-40B4-BE49-F238E27FC236}">
              <a16:creationId xmlns:a16="http://schemas.microsoft.com/office/drawing/2014/main" id="{6EDC82C0-E564-499F-A8B5-707E58EF34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81" name="AutoShape 1" descr="Vista previa de toda la pantalla">
          <a:extLst>
            <a:ext uri="{FF2B5EF4-FFF2-40B4-BE49-F238E27FC236}">
              <a16:creationId xmlns:a16="http://schemas.microsoft.com/office/drawing/2014/main" id="{1833571C-5D46-4F2C-870D-AD01A85FA3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82" name="AutoShape 1" descr="Vista previa de toda la pantalla">
          <a:extLst>
            <a:ext uri="{FF2B5EF4-FFF2-40B4-BE49-F238E27FC236}">
              <a16:creationId xmlns:a16="http://schemas.microsoft.com/office/drawing/2014/main" id="{0DD54385-98A1-47A5-8856-D77C60128B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83" name="AutoShape 1" descr="Vista previa de toda la pantalla">
          <a:extLst>
            <a:ext uri="{FF2B5EF4-FFF2-40B4-BE49-F238E27FC236}">
              <a16:creationId xmlns:a16="http://schemas.microsoft.com/office/drawing/2014/main" id="{48E4FDDE-D199-417D-B579-3EA7DE5397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84" name="AutoShape 1" descr="Vista previa de toda la pantalla">
          <a:extLst>
            <a:ext uri="{FF2B5EF4-FFF2-40B4-BE49-F238E27FC236}">
              <a16:creationId xmlns:a16="http://schemas.microsoft.com/office/drawing/2014/main" id="{1DA5654B-A09C-4151-B77D-6F7BD800DB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85" name="AutoShape 1" descr="Vista previa de toda la pantalla">
          <a:extLst>
            <a:ext uri="{FF2B5EF4-FFF2-40B4-BE49-F238E27FC236}">
              <a16:creationId xmlns:a16="http://schemas.microsoft.com/office/drawing/2014/main" id="{AD13EA8E-E681-476E-8E03-56808FCEE8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86" name="AutoShape 1" descr="Vista previa de toda la pantalla">
          <a:extLst>
            <a:ext uri="{FF2B5EF4-FFF2-40B4-BE49-F238E27FC236}">
              <a16:creationId xmlns:a16="http://schemas.microsoft.com/office/drawing/2014/main" id="{F04309B7-83DE-4DE0-8F63-D47210E805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87" name="AutoShape 1" descr="Vista previa de toda la pantalla">
          <a:extLst>
            <a:ext uri="{FF2B5EF4-FFF2-40B4-BE49-F238E27FC236}">
              <a16:creationId xmlns:a16="http://schemas.microsoft.com/office/drawing/2014/main" id="{43AE621F-41BE-4A90-8D6B-FB0D19EAC4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88" name="AutoShape 1" descr="Vista previa de toda la pantalla">
          <a:extLst>
            <a:ext uri="{FF2B5EF4-FFF2-40B4-BE49-F238E27FC236}">
              <a16:creationId xmlns:a16="http://schemas.microsoft.com/office/drawing/2014/main" id="{16F649FE-2B77-4BB2-B547-7E7FB253FD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89" name="AutoShape 1" descr="Vista previa de toda la pantalla">
          <a:extLst>
            <a:ext uri="{FF2B5EF4-FFF2-40B4-BE49-F238E27FC236}">
              <a16:creationId xmlns:a16="http://schemas.microsoft.com/office/drawing/2014/main" id="{84E7CB43-27F9-4E8D-8F45-F349EEBCC6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90" name="AutoShape 1" descr="Vista previa de toda la pantalla">
          <a:extLst>
            <a:ext uri="{FF2B5EF4-FFF2-40B4-BE49-F238E27FC236}">
              <a16:creationId xmlns:a16="http://schemas.microsoft.com/office/drawing/2014/main" id="{104D472B-0049-41C6-A1A4-2CD4639448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91" name="AutoShape 1" descr="Vista previa de toda la pantalla">
          <a:extLst>
            <a:ext uri="{FF2B5EF4-FFF2-40B4-BE49-F238E27FC236}">
              <a16:creationId xmlns:a16="http://schemas.microsoft.com/office/drawing/2014/main" id="{4C0DB4E2-5146-45A3-91C0-13736BD89A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92" name="AutoShape 1" descr="Vista previa de toda la pantalla">
          <a:extLst>
            <a:ext uri="{FF2B5EF4-FFF2-40B4-BE49-F238E27FC236}">
              <a16:creationId xmlns:a16="http://schemas.microsoft.com/office/drawing/2014/main" id="{6F30E53C-6001-406D-A03E-66271E9949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93" name="AutoShape 1" descr="Vista previa de toda la pantalla">
          <a:extLst>
            <a:ext uri="{FF2B5EF4-FFF2-40B4-BE49-F238E27FC236}">
              <a16:creationId xmlns:a16="http://schemas.microsoft.com/office/drawing/2014/main" id="{39C1E4C0-8227-47EE-8850-6AEC08384B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94" name="AutoShape 1" descr="Vista previa de toda la pantalla">
          <a:extLst>
            <a:ext uri="{FF2B5EF4-FFF2-40B4-BE49-F238E27FC236}">
              <a16:creationId xmlns:a16="http://schemas.microsoft.com/office/drawing/2014/main" id="{17FAA607-CF22-4569-A7D2-1E89E015FB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95" name="AutoShape 1" descr="Vista previa de toda la pantalla">
          <a:extLst>
            <a:ext uri="{FF2B5EF4-FFF2-40B4-BE49-F238E27FC236}">
              <a16:creationId xmlns:a16="http://schemas.microsoft.com/office/drawing/2014/main" id="{6BE5C34E-1767-401C-B632-12ACD848B8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96" name="AutoShape 1" descr="Vista previa de toda la pantalla">
          <a:extLst>
            <a:ext uri="{FF2B5EF4-FFF2-40B4-BE49-F238E27FC236}">
              <a16:creationId xmlns:a16="http://schemas.microsoft.com/office/drawing/2014/main" id="{4B0DC61F-72D5-4299-872B-D0CA9B967B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97" name="AutoShape 1" descr="Vista previa de toda la pantalla">
          <a:extLst>
            <a:ext uri="{FF2B5EF4-FFF2-40B4-BE49-F238E27FC236}">
              <a16:creationId xmlns:a16="http://schemas.microsoft.com/office/drawing/2014/main" id="{3763B6B1-F4AB-4FBF-8067-A33583281A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98" name="AutoShape 1" descr="Vista previa de toda la pantalla">
          <a:extLst>
            <a:ext uri="{FF2B5EF4-FFF2-40B4-BE49-F238E27FC236}">
              <a16:creationId xmlns:a16="http://schemas.microsoft.com/office/drawing/2014/main" id="{6859429E-2B15-4971-A5EE-075219F7C1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2999" name="AutoShape 1" descr="Vista previa de toda la pantalla">
          <a:extLst>
            <a:ext uri="{FF2B5EF4-FFF2-40B4-BE49-F238E27FC236}">
              <a16:creationId xmlns:a16="http://schemas.microsoft.com/office/drawing/2014/main" id="{DD27A470-797F-4214-9057-23E50D6AC4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00" name="AutoShape 1" descr="Vista previa de toda la pantalla">
          <a:extLst>
            <a:ext uri="{FF2B5EF4-FFF2-40B4-BE49-F238E27FC236}">
              <a16:creationId xmlns:a16="http://schemas.microsoft.com/office/drawing/2014/main" id="{1E48E44B-C7DF-4496-833E-39C95D579C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01" name="AutoShape 1" descr="Vista previa de toda la pantalla">
          <a:extLst>
            <a:ext uri="{FF2B5EF4-FFF2-40B4-BE49-F238E27FC236}">
              <a16:creationId xmlns:a16="http://schemas.microsoft.com/office/drawing/2014/main" id="{23F73792-3EF0-439E-AFF1-ADFE6323AA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02" name="AutoShape 1" descr="Vista previa de toda la pantalla">
          <a:extLst>
            <a:ext uri="{FF2B5EF4-FFF2-40B4-BE49-F238E27FC236}">
              <a16:creationId xmlns:a16="http://schemas.microsoft.com/office/drawing/2014/main" id="{C624B0C9-774D-41BF-BDB0-8A65A007BA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03" name="AutoShape 1" descr="Vista previa de toda la pantalla">
          <a:extLst>
            <a:ext uri="{FF2B5EF4-FFF2-40B4-BE49-F238E27FC236}">
              <a16:creationId xmlns:a16="http://schemas.microsoft.com/office/drawing/2014/main" id="{B85CC76B-8ADB-43AC-BEA8-6A67A23773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04" name="AutoShape 1" descr="Vista previa de toda la pantalla">
          <a:extLst>
            <a:ext uri="{FF2B5EF4-FFF2-40B4-BE49-F238E27FC236}">
              <a16:creationId xmlns:a16="http://schemas.microsoft.com/office/drawing/2014/main" id="{86C50B2E-C107-4A0C-8E93-10FE4D180E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05" name="AutoShape 1" descr="Vista previa de toda la pantalla">
          <a:extLst>
            <a:ext uri="{FF2B5EF4-FFF2-40B4-BE49-F238E27FC236}">
              <a16:creationId xmlns:a16="http://schemas.microsoft.com/office/drawing/2014/main" id="{7FA03FB6-8737-4D1A-88B7-74EE012395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06" name="AutoShape 1" descr="Vista previa de toda la pantalla">
          <a:extLst>
            <a:ext uri="{FF2B5EF4-FFF2-40B4-BE49-F238E27FC236}">
              <a16:creationId xmlns:a16="http://schemas.microsoft.com/office/drawing/2014/main" id="{335E3303-9FF4-43FD-ABD2-F84D5249AC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07" name="AutoShape 1" descr="Vista previa de toda la pantalla">
          <a:extLst>
            <a:ext uri="{FF2B5EF4-FFF2-40B4-BE49-F238E27FC236}">
              <a16:creationId xmlns:a16="http://schemas.microsoft.com/office/drawing/2014/main" id="{0E8FAA49-F2E7-4633-AF35-93A26769D2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08" name="AutoShape 1" descr="Vista previa de toda la pantalla">
          <a:extLst>
            <a:ext uri="{FF2B5EF4-FFF2-40B4-BE49-F238E27FC236}">
              <a16:creationId xmlns:a16="http://schemas.microsoft.com/office/drawing/2014/main" id="{B3423A37-0A58-49D7-92E7-07AC50F87C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09" name="AutoShape 1" descr="Vista previa de toda la pantalla">
          <a:extLst>
            <a:ext uri="{FF2B5EF4-FFF2-40B4-BE49-F238E27FC236}">
              <a16:creationId xmlns:a16="http://schemas.microsoft.com/office/drawing/2014/main" id="{7702EED7-2D75-4FA6-9C6F-AE00B16C39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10" name="AutoShape 1" descr="Vista previa de toda la pantalla">
          <a:extLst>
            <a:ext uri="{FF2B5EF4-FFF2-40B4-BE49-F238E27FC236}">
              <a16:creationId xmlns:a16="http://schemas.microsoft.com/office/drawing/2014/main" id="{4EBDF360-6D68-4B8D-AE8E-4B2B71FE08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11" name="AutoShape 1" descr="Vista previa de toda la pantalla">
          <a:extLst>
            <a:ext uri="{FF2B5EF4-FFF2-40B4-BE49-F238E27FC236}">
              <a16:creationId xmlns:a16="http://schemas.microsoft.com/office/drawing/2014/main" id="{0C047328-3E20-4DBF-8DF7-B354F4D6F9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12" name="AutoShape 1" descr="Vista previa de toda la pantalla">
          <a:extLst>
            <a:ext uri="{FF2B5EF4-FFF2-40B4-BE49-F238E27FC236}">
              <a16:creationId xmlns:a16="http://schemas.microsoft.com/office/drawing/2014/main" id="{DF0A24FB-B4D1-4BD6-BC36-894DBE004A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13" name="AutoShape 1" descr="Vista previa de toda la pantalla">
          <a:extLst>
            <a:ext uri="{FF2B5EF4-FFF2-40B4-BE49-F238E27FC236}">
              <a16:creationId xmlns:a16="http://schemas.microsoft.com/office/drawing/2014/main" id="{183B1B42-A22E-4F4D-AF44-74C158AA9E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14" name="AutoShape 1" descr="Vista previa de toda la pantalla">
          <a:extLst>
            <a:ext uri="{FF2B5EF4-FFF2-40B4-BE49-F238E27FC236}">
              <a16:creationId xmlns:a16="http://schemas.microsoft.com/office/drawing/2014/main" id="{0CC0A4B3-9B86-4459-847C-F71AE96FD8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15" name="AutoShape 1" descr="Vista previa de toda la pantalla">
          <a:extLst>
            <a:ext uri="{FF2B5EF4-FFF2-40B4-BE49-F238E27FC236}">
              <a16:creationId xmlns:a16="http://schemas.microsoft.com/office/drawing/2014/main" id="{81B96509-52AA-4ACB-AA60-4EC8C4C162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16" name="AutoShape 1" descr="Vista previa de toda la pantalla">
          <a:extLst>
            <a:ext uri="{FF2B5EF4-FFF2-40B4-BE49-F238E27FC236}">
              <a16:creationId xmlns:a16="http://schemas.microsoft.com/office/drawing/2014/main" id="{412D5849-DC8E-4B72-A189-49D482A836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17" name="AutoShape 1" descr="Vista previa de toda la pantalla">
          <a:extLst>
            <a:ext uri="{FF2B5EF4-FFF2-40B4-BE49-F238E27FC236}">
              <a16:creationId xmlns:a16="http://schemas.microsoft.com/office/drawing/2014/main" id="{FC9897CA-2637-4339-9860-552E027C50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18" name="AutoShape 1" descr="Vista previa de toda la pantalla">
          <a:extLst>
            <a:ext uri="{FF2B5EF4-FFF2-40B4-BE49-F238E27FC236}">
              <a16:creationId xmlns:a16="http://schemas.microsoft.com/office/drawing/2014/main" id="{DBF77B3B-7C79-494D-BAD7-82BBFBB853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19" name="AutoShape 1" descr="Vista previa de toda la pantalla">
          <a:extLst>
            <a:ext uri="{FF2B5EF4-FFF2-40B4-BE49-F238E27FC236}">
              <a16:creationId xmlns:a16="http://schemas.microsoft.com/office/drawing/2014/main" id="{B28574EA-DB54-4EAD-AF7B-73A463ED83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20" name="AutoShape 1" descr="Vista previa de toda la pantalla">
          <a:extLst>
            <a:ext uri="{FF2B5EF4-FFF2-40B4-BE49-F238E27FC236}">
              <a16:creationId xmlns:a16="http://schemas.microsoft.com/office/drawing/2014/main" id="{0CDE4FA3-0405-4EF9-BA68-D5956AE3B1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21" name="AutoShape 1" descr="Vista previa de toda la pantalla">
          <a:extLst>
            <a:ext uri="{FF2B5EF4-FFF2-40B4-BE49-F238E27FC236}">
              <a16:creationId xmlns:a16="http://schemas.microsoft.com/office/drawing/2014/main" id="{92B1ABBB-98AE-4730-ABF3-E90F99C511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22" name="AutoShape 1" descr="Vista previa de toda la pantalla">
          <a:extLst>
            <a:ext uri="{FF2B5EF4-FFF2-40B4-BE49-F238E27FC236}">
              <a16:creationId xmlns:a16="http://schemas.microsoft.com/office/drawing/2014/main" id="{B3D4E880-A8CD-46DD-9E11-E9CB44C6A5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23" name="AutoShape 1" descr="Vista previa de toda la pantalla">
          <a:extLst>
            <a:ext uri="{FF2B5EF4-FFF2-40B4-BE49-F238E27FC236}">
              <a16:creationId xmlns:a16="http://schemas.microsoft.com/office/drawing/2014/main" id="{613B56B1-0106-4793-B2FA-7690F8A765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24" name="AutoShape 1" descr="Vista previa de toda la pantalla">
          <a:extLst>
            <a:ext uri="{FF2B5EF4-FFF2-40B4-BE49-F238E27FC236}">
              <a16:creationId xmlns:a16="http://schemas.microsoft.com/office/drawing/2014/main" id="{939784BA-FADD-48BC-A690-8AB5E96202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25" name="AutoShape 1" descr="Vista previa de toda la pantalla">
          <a:extLst>
            <a:ext uri="{FF2B5EF4-FFF2-40B4-BE49-F238E27FC236}">
              <a16:creationId xmlns:a16="http://schemas.microsoft.com/office/drawing/2014/main" id="{CFA79E04-AC43-4057-8D62-FEC7949472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26" name="AutoShape 1" descr="Vista previa de toda la pantalla">
          <a:extLst>
            <a:ext uri="{FF2B5EF4-FFF2-40B4-BE49-F238E27FC236}">
              <a16:creationId xmlns:a16="http://schemas.microsoft.com/office/drawing/2014/main" id="{15AEEC45-FC6F-4354-9B00-2481D59A36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27" name="AutoShape 1" descr="Vista previa de toda la pantalla">
          <a:extLst>
            <a:ext uri="{FF2B5EF4-FFF2-40B4-BE49-F238E27FC236}">
              <a16:creationId xmlns:a16="http://schemas.microsoft.com/office/drawing/2014/main" id="{5088AE21-2A47-4656-8B0A-C808285753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28" name="AutoShape 1" descr="Vista previa de toda la pantalla">
          <a:extLst>
            <a:ext uri="{FF2B5EF4-FFF2-40B4-BE49-F238E27FC236}">
              <a16:creationId xmlns:a16="http://schemas.microsoft.com/office/drawing/2014/main" id="{F5743D5E-4BF6-4DB4-A687-B82BAE5DEF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29" name="AutoShape 1" descr="Vista previa de toda la pantalla">
          <a:extLst>
            <a:ext uri="{FF2B5EF4-FFF2-40B4-BE49-F238E27FC236}">
              <a16:creationId xmlns:a16="http://schemas.microsoft.com/office/drawing/2014/main" id="{43E84ECA-F1E3-4577-AA43-930D5BDF2D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30" name="AutoShape 1" descr="Vista previa de toda la pantalla">
          <a:extLst>
            <a:ext uri="{FF2B5EF4-FFF2-40B4-BE49-F238E27FC236}">
              <a16:creationId xmlns:a16="http://schemas.microsoft.com/office/drawing/2014/main" id="{1648AF29-013A-41E1-BF2A-92ED367DB0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31" name="AutoShape 1" descr="Vista previa de toda la pantalla">
          <a:extLst>
            <a:ext uri="{FF2B5EF4-FFF2-40B4-BE49-F238E27FC236}">
              <a16:creationId xmlns:a16="http://schemas.microsoft.com/office/drawing/2014/main" id="{B824E765-E978-4E37-BE28-29C569F386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32" name="AutoShape 1" descr="Vista previa de toda la pantalla">
          <a:extLst>
            <a:ext uri="{FF2B5EF4-FFF2-40B4-BE49-F238E27FC236}">
              <a16:creationId xmlns:a16="http://schemas.microsoft.com/office/drawing/2014/main" id="{DD050CD4-B40D-4D6A-AAB6-C1BB651440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33" name="AutoShape 1" descr="Vista previa de toda la pantalla">
          <a:extLst>
            <a:ext uri="{FF2B5EF4-FFF2-40B4-BE49-F238E27FC236}">
              <a16:creationId xmlns:a16="http://schemas.microsoft.com/office/drawing/2014/main" id="{9A915112-F757-462A-9188-DAA5CCCA71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34" name="AutoShape 1" descr="Vista previa de toda la pantalla">
          <a:extLst>
            <a:ext uri="{FF2B5EF4-FFF2-40B4-BE49-F238E27FC236}">
              <a16:creationId xmlns:a16="http://schemas.microsoft.com/office/drawing/2014/main" id="{EDC8BAA5-6477-4749-879E-C3861E1800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35" name="AutoShape 1" descr="Vista previa de toda la pantalla">
          <a:extLst>
            <a:ext uri="{FF2B5EF4-FFF2-40B4-BE49-F238E27FC236}">
              <a16:creationId xmlns:a16="http://schemas.microsoft.com/office/drawing/2014/main" id="{373E1924-97DD-4531-B422-0EC0ED5D3D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36" name="AutoShape 1" descr="Vista previa de toda la pantalla">
          <a:extLst>
            <a:ext uri="{FF2B5EF4-FFF2-40B4-BE49-F238E27FC236}">
              <a16:creationId xmlns:a16="http://schemas.microsoft.com/office/drawing/2014/main" id="{DECC7936-6CF0-4F37-A464-04657841AA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37" name="AutoShape 1" descr="Vista previa de toda la pantalla">
          <a:extLst>
            <a:ext uri="{FF2B5EF4-FFF2-40B4-BE49-F238E27FC236}">
              <a16:creationId xmlns:a16="http://schemas.microsoft.com/office/drawing/2014/main" id="{AE4C3B2F-EFF3-4E20-ADA0-5E873DEE4C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38" name="AutoShape 1" descr="Vista previa de toda la pantalla">
          <a:extLst>
            <a:ext uri="{FF2B5EF4-FFF2-40B4-BE49-F238E27FC236}">
              <a16:creationId xmlns:a16="http://schemas.microsoft.com/office/drawing/2014/main" id="{F54124B1-041E-4FE6-81FB-FD00D6AD8C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39" name="AutoShape 1" descr="Vista previa de toda la pantalla">
          <a:extLst>
            <a:ext uri="{FF2B5EF4-FFF2-40B4-BE49-F238E27FC236}">
              <a16:creationId xmlns:a16="http://schemas.microsoft.com/office/drawing/2014/main" id="{107E58BB-97C9-423D-9058-A3C117FE13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40" name="AutoShape 1" descr="Vista previa de toda la pantalla">
          <a:extLst>
            <a:ext uri="{FF2B5EF4-FFF2-40B4-BE49-F238E27FC236}">
              <a16:creationId xmlns:a16="http://schemas.microsoft.com/office/drawing/2014/main" id="{59F27954-0AFA-4C30-8F70-CC0D850DE5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41" name="AutoShape 1" descr="Vista previa de toda la pantalla">
          <a:extLst>
            <a:ext uri="{FF2B5EF4-FFF2-40B4-BE49-F238E27FC236}">
              <a16:creationId xmlns:a16="http://schemas.microsoft.com/office/drawing/2014/main" id="{180AD41A-EBA7-4C9D-8951-9009C4E3BB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42" name="AutoShape 1" descr="Vista previa de toda la pantalla">
          <a:extLst>
            <a:ext uri="{FF2B5EF4-FFF2-40B4-BE49-F238E27FC236}">
              <a16:creationId xmlns:a16="http://schemas.microsoft.com/office/drawing/2014/main" id="{CF328440-B5DF-45EC-AA7D-C6EA23D49B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43" name="AutoShape 1" descr="Vista previa de toda la pantalla">
          <a:extLst>
            <a:ext uri="{FF2B5EF4-FFF2-40B4-BE49-F238E27FC236}">
              <a16:creationId xmlns:a16="http://schemas.microsoft.com/office/drawing/2014/main" id="{95276C01-45B6-4E38-87BF-5A05D85AC9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44" name="AutoShape 1" descr="Vista previa de toda la pantalla">
          <a:extLst>
            <a:ext uri="{FF2B5EF4-FFF2-40B4-BE49-F238E27FC236}">
              <a16:creationId xmlns:a16="http://schemas.microsoft.com/office/drawing/2014/main" id="{C6B0FCE7-2221-4A0C-A138-CCA8193DFF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45" name="AutoShape 1" descr="Vista previa de toda la pantalla">
          <a:extLst>
            <a:ext uri="{FF2B5EF4-FFF2-40B4-BE49-F238E27FC236}">
              <a16:creationId xmlns:a16="http://schemas.microsoft.com/office/drawing/2014/main" id="{EEBB2F90-273E-4AC0-B05D-CEED8283DE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46" name="AutoShape 1" descr="Vista previa de toda la pantalla">
          <a:extLst>
            <a:ext uri="{FF2B5EF4-FFF2-40B4-BE49-F238E27FC236}">
              <a16:creationId xmlns:a16="http://schemas.microsoft.com/office/drawing/2014/main" id="{7E93BFDD-EF89-4F11-98B2-19636E8001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47" name="AutoShape 1" descr="Vista previa de toda la pantalla">
          <a:extLst>
            <a:ext uri="{FF2B5EF4-FFF2-40B4-BE49-F238E27FC236}">
              <a16:creationId xmlns:a16="http://schemas.microsoft.com/office/drawing/2014/main" id="{EF8AD922-1948-4868-BC42-12B1312B14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48" name="AutoShape 1" descr="Vista previa de toda la pantalla">
          <a:extLst>
            <a:ext uri="{FF2B5EF4-FFF2-40B4-BE49-F238E27FC236}">
              <a16:creationId xmlns:a16="http://schemas.microsoft.com/office/drawing/2014/main" id="{488867A0-8725-472A-912D-18B422B563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49" name="AutoShape 1" descr="Vista previa de toda la pantalla">
          <a:extLst>
            <a:ext uri="{FF2B5EF4-FFF2-40B4-BE49-F238E27FC236}">
              <a16:creationId xmlns:a16="http://schemas.microsoft.com/office/drawing/2014/main" id="{674C56C6-6807-4981-B7DF-2F1861B1F8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50" name="AutoShape 1" descr="Vista previa de toda la pantalla">
          <a:extLst>
            <a:ext uri="{FF2B5EF4-FFF2-40B4-BE49-F238E27FC236}">
              <a16:creationId xmlns:a16="http://schemas.microsoft.com/office/drawing/2014/main" id="{6F3D6D7F-7475-4539-BE2F-8D8919E29B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51" name="AutoShape 1" descr="Vista previa de toda la pantalla">
          <a:extLst>
            <a:ext uri="{FF2B5EF4-FFF2-40B4-BE49-F238E27FC236}">
              <a16:creationId xmlns:a16="http://schemas.microsoft.com/office/drawing/2014/main" id="{BA36CFA3-01E4-4E2C-A31C-817DED7ADF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52" name="AutoShape 1" descr="Vista previa de toda la pantalla">
          <a:extLst>
            <a:ext uri="{FF2B5EF4-FFF2-40B4-BE49-F238E27FC236}">
              <a16:creationId xmlns:a16="http://schemas.microsoft.com/office/drawing/2014/main" id="{E2C8DCB4-C52D-4971-8C5E-5C09AE2FA4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53" name="AutoShape 1" descr="Vista previa de toda la pantalla">
          <a:extLst>
            <a:ext uri="{FF2B5EF4-FFF2-40B4-BE49-F238E27FC236}">
              <a16:creationId xmlns:a16="http://schemas.microsoft.com/office/drawing/2014/main" id="{63A8D3A5-0918-4732-8EEF-A4B1F40B7E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54" name="AutoShape 1" descr="Vista previa de toda la pantalla">
          <a:extLst>
            <a:ext uri="{FF2B5EF4-FFF2-40B4-BE49-F238E27FC236}">
              <a16:creationId xmlns:a16="http://schemas.microsoft.com/office/drawing/2014/main" id="{F987ACD4-7279-4264-9CBD-31ED7CE9E1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55" name="AutoShape 1" descr="Vista previa de toda la pantalla">
          <a:extLst>
            <a:ext uri="{FF2B5EF4-FFF2-40B4-BE49-F238E27FC236}">
              <a16:creationId xmlns:a16="http://schemas.microsoft.com/office/drawing/2014/main" id="{3B29141A-DC04-43DA-BA5C-B1202F62F4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56" name="AutoShape 1" descr="Vista previa de toda la pantalla">
          <a:extLst>
            <a:ext uri="{FF2B5EF4-FFF2-40B4-BE49-F238E27FC236}">
              <a16:creationId xmlns:a16="http://schemas.microsoft.com/office/drawing/2014/main" id="{275390AF-B8A1-4289-84CE-ACA77553A2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57" name="AutoShape 1" descr="Vista previa de toda la pantalla">
          <a:extLst>
            <a:ext uri="{FF2B5EF4-FFF2-40B4-BE49-F238E27FC236}">
              <a16:creationId xmlns:a16="http://schemas.microsoft.com/office/drawing/2014/main" id="{EA277BDF-8CC8-40C1-9464-BE7C4FCBE4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58" name="AutoShape 1" descr="Vista previa de toda la pantalla">
          <a:extLst>
            <a:ext uri="{FF2B5EF4-FFF2-40B4-BE49-F238E27FC236}">
              <a16:creationId xmlns:a16="http://schemas.microsoft.com/office/drawing/2014/main" id="{3D3BDC86-14ED-4EC3-8159-CBFD316D2B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59" name="AutoShape 1" descr="Vista previa de toda la pantalla">
          <a:extLst>
            <a:ext uri="{FF2B5EF4-FFF2-40B4-BE49-F238E27FC236}">
              <a16:creationId xmlns:a16="http://schemas.microsoft.com/office/drawing/2014/main" id="{EA7F62D3-1CDF-4CFB-9BF5-919AEF7411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60" name="AutoShape 1" descr="Vista previa de toda la pantalla">
          <a:extLst>
            <a:ext uri="{FF2B5EF4-FFF2-40B4-BE49-F238E27FC236}">
              <a16:creationId xmlns:a16="http://schemas.microsoft.com/office/drawing/2014/main" id="{AC6E455A-C74A-4AE8-94D4-37CC03C98A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61" name="AutoShape 1" descr="Vista previa de toda la pantalla">
          <a:extLst>
            <a:ext uri="{FF2B5EF4-FFF2-40B4-BE49-F238E27FC236}">
              <a16:creationId xmlns:a16="http://schemas.microsoft.com/office/drawing/2014/main" id="{A22973AA-00CE-4532-A93C-DE92D5F7E7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62" name="AutoShape 1" descr="Vista previa de toda la pantalla">
          <a:extLst>
            <a:ext uri="{FF2B5EF4-FFF2-40B4-BE49-F238E27FC236}">
              <a16:creationId xmlns:a16="http://schemas.microsoft.com/office/drawing/2014/main" id="{B12EA5EE-ADAB-4463-BDC3-0E607FE24B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63" name="AutoShape 1" descr="Vista previa de toda la pantalla">
          <a:extLst>
            <a:ext uri="{FF2B5EF4-FFF2-40B4-BE49-F238E27FC236}">
              <a16:creationId xmlns:a16="http://schemas.microsoft.com/office/drawing/2014/main" id="{55D8DC12-216B-45BF-ADCE-14DC74689F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64" name="AutoShape 1" descr="Vista previa de toda la pantalla">
          <a:extLst>
            <a:ext uri="{FF2B5EF4-FFF2-40B4-BE49-F238E27FC236}">
              <a16:creationId xmlns:a16="http://schemas.microsoft.com/office/drawing/2014/main" id="{AA99174C-0577-47B7-A432-320167F122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65" name="AutoShape 1" descr="Vista previa de toda la pantalla">
          <a:extLst>
            <a:ext uri="{FF2B5EF4-FFF2-40B4-BE49-F238E27FC236}">
              <a16:creationId xmlns:a16="http://schemas.microsoft.com/office/drawing/2014/main" id="{7AFEC7D5-7B28-44DD-B757-C92512CA94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66" name="AutoShape 1" descr="Vista previa de toda la pantalla">
          <a:extLst>
            <a:ext uri="{FF2B5EF4-FFF2-40B4-BE49-F238E27FC236}">
              <a16:creationId xmlns:a16="http://schemas.microsoft.com/office/drawing/2014/main" id="{607E98B3-DC5C-4227-9341-B4566DF081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67" name="AutoShape 1" descr="Vista previa de toda la pantalla">
          <a:extLst>
            <a:ext uri="{FF2B5EF4-FFF2-40B4-BE49-F238E27FC236}">
              <a16:creationId xmlns:a16="http://schemas.microsoft.com/office/drawing/2014/main" id="{BBBC197E-5684-44F6-AA18-805B9235E7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68" name="AutoShape 1" descr="Vista previa de toda la pantalla">
          <a:extLst>
            <a:ext uri="{FF2B5EF4-FFF2-40B4-BE49-F238E27FC236}">
              <a16:creationId xmlns:a16="http://schemas.microsoft.com/office/drawing/2014/main" id="{65755BD2-D546-4756-95D9-49FF539356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69" name="AutoShape 1" descr="Vista previa de toda la pantalla">
          <a:extLst>
            <a:ext uri="{FF2B5EF4-FFF2-40B4-BE49-F238E27FC236}">
              <a16:creationId xmlns:a16="http://schemas.microsoft.com/office/drawing/2014/main" id="{8DEEBE31-63E0-4AD5-9BD9-87CB3C64E1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70" name="AutoShape 1" descr="Vista previa de toda la pantalla">
          <a:extLst>
            <a:ext uri="{FF2B5EF4-FFF2-40B4-BE49-F238E27FC236}">
              <a16:creationId xmlns:a16="http://schemas.microsoft.com/office/drawing/2014/main" id="{EBF369F4-BC8A-4BAD-939F-85DE94ACD1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71" name="AutoShape 1" descr="Vista previa de toda la pantalla">
          <a:extLst>
            <a:ext uri="{FF2B5EF4-FFF2-40B4-BE49-F238E27FC236}">
              <a16:creationId xmlns:a16="http://schemas.microsoft.com/office/drawing/2014/main" id="{C6CBB664-0271-4ACA-8EE4-626EC9952D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72" name="AutoShape 1" descr="Vista previa de toda la pantalla">
          <a:extLst>
            <a:ext uri="{FF2B5EF4-FFF2-40B4-BE49-F238E27FC236}">
              <a16:creationId xmlns:a16="http://schemas.microsoft.com/office/drawing/2014/main" id="{3DDDC3E9-140A-4A3F-BDC2-BF3C8DE293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73" name="AutoShape 1" descr="Vista previa de toda la pantalla">
          <a:extLst>
            <a:ext uri="{FF2B5EF4-FFF2-40B4-BE49-F238E27FC236}">
              <a16:creationId xmlns:a16="http://schemas.microsoft.com/office/drawing/2014/main" id="{FFF17F7E-F814-4578-81FA-F16005992F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74" name="AutoShape 1" descr="Vista previa de toda la pantalla">
          <a:extLst>
            <a:ext uri="{FF2B5EF4-FFF2-40B4-BE49-F238E27FC236}">
              <a16:creationId xmlns:a16="http://schemas.microsoft.com/office/drawing/2014/main" id="{D0F3FEF2-B881-45F8-8279-C520E2E100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75" name="AutoShape 1" descr="Vista previa de toda la pantalla">
          <a:extLst>
            <a:ext uri="{FF2B5EF4-FFF2-40B4-BE49-F238E27FC236}">
              <a16:creationId xmlns:a16="http://schemas.microsoft.com/office/drawing/2014/main" id="{F0B53ECB-800A-47A6-A9FB-9926F5709F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76" name="AutoShape 1" descr="Vista previa de toda la pantalla">
          <a:extLst>
            <a:ext uri="{FF2B5EF4-FFF2-40B4-BE49-F238E27FC236}">
              <a16:creationId xmlns:a16="http://schemas.microsoft.com/office/drawing/2014/main" id="{903D5E58-5AD5-40EB-AFD3-05E5EA9D3F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77" name="AutoShape 1" descr="Vista previa de toda la pantalla">
          <a:extLst>
            <a:ext uri="{FF2B5EF4-FFF2-40B4-BE49-F238E27FC236}">
              <a16:creationId xmlns:a16="http://schemas.microsoft.com/office/drawing/2014/main" id="{71AF8C41-36DC-433B-89AD-6D35D51756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78" name="AutoShape 1" descr="Vista previa de toda la pantalla">
          <a:extLst>
            <a:ext uri="{FF2B5EF4-FFF2-40B4-BE49-F238E27FC236}">
              <a16:creationId xmlns:a16="http://schemas.microsoft.com/office/drawing/2014/main" id="{9C12C37F-2F8A-4EBC-9D53-CAD1691B6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79" name="AutoShape 1" descr="Vista previa de toda la pantalla">
          <a:extLst>
            <a:ext uri="{FF2B5EF4-FFF2-40B4-BE49-F238E27FC236}">
              <a16:creationId xmlns:a16="http://schemas.microsoft.com/office/drawing/2014/main" id="{32C2FAD8-F506-4372-AB3C-7A1DCA0464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80" name="AutoShape 1" descr="Vista previa de toda la pantalla">
          <a:extLst>
            <a:ext uri="{FF2B5EF4-FFF2-40B4-BE49-F238E27FC236}">
              <a16:creationId xmlns:a16="http://schemas.microsoft.com/office/drawing/2014/main" id="{8CEEC474-13C0-41C6-B927-481B3B656E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81" name="AutoShape 1" descr="Vista previa de toda la pantalla">
          <a:extLst>
            <a:ext uri="{FF2B5EF4-FFF2-40B4-BE49-F238E27FC236}">
              <a16:creationId xmlns:a16="http://schemas.microsoft.com/office/drawing/2014/main" id="{47B077DB-1CFF-4618-B3C9-113CE4E489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82" name="AutoShape 1" descr="Vista previa de toda la pantalla">
          <a:extLst>
            <a:ext uri="{FF2B5EF4-FFF2-40B4-BE49-F238E27FC236}">
              <a16:creationId xmlns:a16="http://schemas.microsoft.com/office/drawing/2014/main" id="{CBAF2CC6-BBAE-47D7-A962-06FFA6100A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83" name="AutoShape 1" descr="Vista previa de toda la pantalla">
          <a:extLst>
            <a:ext uri="{FF2B5EF4-FFF2-40B4-BE49-F238E27FC236}">
              <a16:creationId xmlns:a16="http://schemas.microsoft.com/office/drawing/2014/main" id="{14DF3191-31BE-4D13-84D5-83800F36E6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84" name="AutoShape 1" descr="Vista previa de toda la pantalla">
          <a:extLst>
            <a:ext uri="{FF2B5EF4-FFF2-40B4-BE49-F238E27FC236}">
              <a16:creationId xmlns:a16="http://schemas.microsoft.com/office/drawing/2014/main" id="{D659CAE1-B41A-4D5C-990A-228C761401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85" name="AutoShape 1" descr="Vista previa de toda la pantalla">
          <a:extLst>
            <a:ext uri="{FF2B5EF4-FFF2-40B4-BE49-F238E27FC236}">
              <a16:creationId xmlns:a16="http://schemas.microsoft.com/office/drawing/2014/main" id="{CD6C1B2D-C1DF-4AA4-8C92-26EEC1CB78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86" name="AutoShape 1" descr="Vista previa de toda la pantalla">
          <a:extLst>
            <a:ext uri="{FF2B5EF4-FFF2-40B4-BE49-F238E27FC236}">
              <a16:creationId xmlns:a16="http://schemas.microsoft.com/office/drawing/2014/main" id="{6DCA4283-7FA7-4404-8EF7-3152D60536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87" name="AutoShape 1" descr="Vista previa de toda la pantalla">
          <a:extLst>
            <a:ext uri="{FF2B5EF4-FFF2-40B4-BE49-F238E27FC236}">
              <a16:creationId xmlns:a16="http://schemas.microsoft.com/office/drawing/2014/main" id="{BBC7C066-E60A-4935-AC50-216F88E68E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88" name="AutoShape 1" descr="Vista previa de toda la pantalla">
          <a:extLst>
            <a:ext uri="{FF2B5EF4-FFF2-40B4-BE49-F238E27FC236}">
              <a16:creationId xmlns:a16="http://schemas.microsoft.com/office/drawing/2014/main" id="{E5F75897-7663-4773-863C-59A3F6111E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89" name="AutoShape 1" descr="Vista previa de toda la pantalla">
          <a:extLst>
            <a:ext uri="{FF2B5EF4-FFF2-40B4-BE49-F238E27FC236}">
              <a16:creationId xmlns:a16="http://schemas.microsoft.com/office/drawing/2014/main" id="{BC6B23F8-B8D8-412C-B4BA-A993DF32DC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90" name="AutoShape 1" descr="Vista previa de toda la pantalla">
          <a:extLst>
            <a:ext uri="{FF2B5EF4-FFF2-40B4-BE49-F238E27FC236}">
              <a16:creationId xmlns:a16="http://schemas.microsoft.com/office/drawing/2014/main" id="{527D224C-8755-40FA-A297-CCF67FBAC5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91" name="AutoShape 1" descr="Vista previa de toda la pantalla">
          <a:extLst>
            <a:ext uri="{FF2B5EF4-FFF2-40B4-BE49-F238E27FC236}">
              <a16:creationId xmlns:a16="http://schemas.microsoft.com/office/drawing/2014/main" id="{2EB90DFB-663E-45A9-9801-CA59FC02F7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92" name="AutoShape 1" descr="Vista previa de toda la pantalla">
          <a:extLst>
            <a:ext uri="{FF2B5EF4-FFF2-40B4-BE49-F238E27FC236}">
              <a16:creationId xmlns:a16="http://schemas.microsoft.com/office/drawing/2014/main" id="{979A367F-B547-48E1-997C-172A77F7D2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93" name="AutoShape 1" descr="Vista previa de toda la pantalla">
          <a:extLst>
            <a:ext uri="{FF2B5EF4-FFF2-40B4-BE49-F238E27FC236}">
              <a16:creationId xmlns:a16="http://schemas.microsoft.com/office/drawing/2014/main" id="{8562A2E2-902D-4BFA-ABD9-03FB7E4CB5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94" name="AutoShape 1" descr="Vista previa de toda la pantalla">
          <a:extLst>
            <a:ext uri="{FF2B5EF4-FFF2-40B4-BE49-F238E27FC236}">
              <a16:creationId xmlns:a16="http://schemas.microsoft.com/office/drawing/2014/main" id="{685F575C-98FF-4BB6-AE70-81480F15F4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95" name="AutoShape 1" descr="Vista previa de toda la pantalla">
          <a:extLst>
            <a:ext uri="{FF2B5EF4-FFF2-40B4-BE49-F238E27FC236}">
              <a16:creationId xmlns:a16="http://schemas.microsoft.com/office/drawing/2014/main" id="{221FE143-8B81-4342-B06B-D8D66616ED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96" name="AutoShape 1" descr="Vista previa de toda la pantalla">
          <a:extLst>
            <a:ext uri="{FF2B5EF4-FFF2-40B4-BE49-F238E27FC236}">
              <a16:creationId xmlns:a16="http://schemas.microsoft.com/office/drawing/2014/main" id="{48F93AFE-392D-4EC1-BBF2-7F83C32509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97" name="AutoShape 1" descr="Vista previa de toda la pantalla">
          <a:extLst>
            <a:ext uri="{FF2B5EF4-FFF2-40B4-BE49-F238E27FC236}">
              <a16:creationId xmlns:a16="http://schemas.microsoft.com/office/drawing/2014/main" id="{D690CDF6-A7DC-4C1E-89D9-153D36A571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98" name="AutoShape 1" descr="Vista previa de toda la pantalla">
          <a:extLst>
            <a:ext uri="{FF2B5EF4-FFF2-40B4-BE49-F238E27FC236}">
              <a16:creationId xmlns:a16="http://schemas.microsoft.com/office/drawing/2014/main" id="{519B89F7-3D70-4F6E-88DA-33960A721B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099" name="AutoShape 1" descr="Vista previa de toda la pantalla">
          <a:extLst>
            <a:ext uri="{FF2B5EF4-FFF2-40B4-BE49-F238E27FC236}">
              <a16:creationId xmlns:a16="http://schemas.microsoft.com/office/drawing/2014/main" id="{A5070C1E-CBF4-458D-A89A-903D9E320D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00" name="AutoShape 1" descr="Vista previa de toda la pantalla">
          <a:extLst>
            <a:ext uri="{FF2B5EF4-FFF2-40B4-BE49-F238E27FC236}">
              <a16:creationId xmlns:a16="http://schemas.microsoft.com/office/drawing/2014/main" id="{3DE4797F-A768-4292-98A3-B8896B5094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01" name="AutoShape 1" descr="Vista previa de toda la pantalla">
          <a:extLst>
            <a:ext uri="{FF2B5EF4-FFF2-40B4-BE49-F238E27FC236}">
              <a16:creationId xmlns:a16="http://schemas.microsoft.com/office/drawing/2014/main" id="{B7E85A89-A7B7-4627-B05F-2434C02EB2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02" name="AutoShape 1" descr="Vista previa de toda la pantalla">
          <a:extLst>
            <a:ext uri="{FF2B5EF4-FFF2-40B4-BE49-F238E27FC236}">
              <a16:creationId xmlns:a16="http://schemas.microsoft.com/office/drawing/2014/main" id="{07AE5EA0-D9B1-4252-898C-A8AC21EC74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03" name="AutoShape 1" descr="Vista previa de toda la pantalla">
          <a:extLst>
            <a:ext uri="{FF2B5EF4-FFF2-40B4-BE49-F238E27FC236}">
              <a16:creationId xmlns:a16="http://schemas.microsoft.com/office/drawing/2014/main" id="{80AD8F75-AD05-4522-9445-B9F5EF71CF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04" name="AutoShape 1" descr="Vista previa de toda la pantalla">
          <a:extLst>
            <a:ext uri="{FF2B5EF4-FFF2-40B4-BE49-F238E27FC236}">
              <a16:creationId xmlns:a16="http://schemas.microsoft.com/office/drawing/2014/main" id="{5644E383-6592-4FE5-9E6F-FD330B9D8F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05" name="AutoShape 1" descr="Vista previa de toda la pantalla">
          <a:extLst>
            <a:ext uri="{FF2B5EF4-FFF2-40B4-BE49-F238E27FC236}">
              <a16:creationId xmlns:a16="http://schemas.microsoft.com/office/drawing/2014/main" id="{794BE3EB-66C1-4D46-95EB-C29F8BEFA2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06" name="AutoShape 1" descr="Vista previa de toda la pantalla">
          <a:extLst>
            <a:ext uri="{FF2B5EF4-FFF2-40B4-BE49-F238E27FC236}">
              <a16:creationId xmlns:a16="http://schemas.microsoft.com/office/drawing/2014/main" id="{F909A1E3-8255-4603-BC84-0D2DED46B8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07" name="AutoShape 1" descr="Vista previa de toda la pantalla">
          <a:extLst>
            <a:ext uri="{FF2B5EF4-FFF2-40B4-BE49-F238E27FC236}">
              <a16:creationId xmlns:a16="http://schemas.microsoft.com/office/drawing/2014/main" id="{69F9DF35-F46A-4DD6-8CB6-07EACEACBD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08" name="AutoShape 1" descr="Vista previa de toda la pantalla">
          <a:extLst>
            <a:ext uri="{FF2B5EF4-FFF2-40B4-BE49-F238E27FC236}">
              <a16:creationId xmlns:a16="http://schemas.microsoft.com/office/drawing/2014/main" id="{55459A48-17C6-4F40-AE1D-C2A2495E5B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09" name="AutoShape 1" descr="Vista previa de toda la pantalla">
          <a:extLst>
            <a:ext uri="{FF2B5EF4-FFF2-40B4-BE49-F238E27FC236}">
              <a16:creationId xmlns:a16="http://schemas.microsoft.com/office/drawing/2014/main" id="{2731F752-EE99-49F6-9FEA-6C5D5D7025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10" name="AutoShape 1" descr="Vista previa de toda la pantalla">
          <a:extLst>
            <a:ext uri="{FF2B5EF4-FFF2-40B4-BE49-F238E27FC236}">
              <a16:creationId xmlns:a16="http://schemas.microsoft.com/office/drawing/2014/main" id="{C32338AA-D558-463C-B653-34745AAD62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11" name="AutoShape 1" descr="Vista previa de toda la pantalla">
          <a:extLst>
            <a:ext uri="{FF2B5EF4-FFF2-40B4-BE49-F238E27FC236}">
              <a16:creationId xmlns:a16="http://schemas.microsoft.com/office/drawing/2014/main" id="{B5FA7095-573A-4337-BE2E-EECBFFC064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12" name="AutoShape 1" descr="Vista previa de toda la pantalla">
          <a:extLst>
            <a:ext uri="{FF2B5EF4-FFF2-40B4-BE49-F238E27FC236}">
              <a16:creationId xmlns:a16="http://schemas.microsoft.com/office/drawing/2014/main" id="{5F0709C9-5F7A-409D-B6BB-3794630CC6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13" name="AutoShape 1" descr="Vista previa de toda la pantalla">
          <a:extLst>
            <a:ext uri="{FF2B5EF4-FFF2-40B4-BE49-F238E27FC236}">
              <a16:creationId xmlns:a16="http://schemas.microsoft.com/office/drawing/2014/main" id="{F4C24E8E-B7C0-40CA-A9BB-6EFE8FC3F4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14" name="AutoShape 1" descr="Vista previa de toda la pantalla">
          <a:extLst>
            <a:ext uri="{FF2B5EF4-FFF2-40B4-BE49-F238E27FC236}">
              <a16:creationId xmlns:a16="http://schemas.microsoft.com/office/drawing/2014/main" id="{3AD9D006-E3F3-416B-96DC-1CBE1C23B7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15" name="AutoShape 1" descr="Vista previa de toda la pantalla">
          <a:extLst>
            <a:ext uri="{FF2B5EF4-FFF2-40B4-BE49-F238E27FC236}">
              <a16:creationId xmlns:a16="http://schemas.microsoft.com/office/drawing/2014/main" id="{6AC9DC6D-264D-48FE-AE57-0F74ACCA66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16" name="AutoShape 1" descr="Vista previa de toda la pantalla">
          <a:extLst>
            <a:ext uri="{FF2B5EF4-FFF2-40B4-BE49-F238E27FC236}">
              <a16:creationId xmlns:a16="http://schemas.microsoft.com/office/drawing/2014/main" id="{760FE844-C0A2-4315-8A9A-7816D00C44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17" name="AutoShape 1" descr="Vista previa de toda la pantalla">
          <a:extLst>
            <a:ext uri="{FF2B5EF4-FFF2-40B4-BE49-F238E27FC236}">
              <a16:creationId xmlns:a16="http://schemas.microsoft.com/office/drawing/2014/main" id="{7BAA33D1-DAA0-41E1-8796-CD384DE548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18" name="AutoShape 1" descr="Vista previa de toda la pantalla">
          <a:extLst>
            <a:ext uri="{FF2B5EF4-FFF2-40B4-BE49-F238E27FC236}">
              <a16:creationId xmlns:a16="http://schemas.microsoft.com/office/drawing/2014/main" id="{4FA610FC-F4F9-422D-9A5F-1DAE7FDF1D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19" name="AutoShape 1" descr="Vista previa de toda la pantalla">
          <a:extLst>
            <a:ext uri="{FF2B5EF4-FFF2-40B4-BE49-F238E27FC236}">
              <a16:creationId xmlns:a16="http://schemas.microsoft.com/office/drawing/2014/main" id="{BEF567B5-C24C-4DD5-817E-945D61AF75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20" name="AutoShape 1" descr="Vista previa de toda la pantalla">
          <a:extLst>
            <a:ext uri="{FF2B5EF4-FFF2-40B4-BE49-F238E27FC236}">
              <a16:creationId xmlns:a16="http://schemas.microsoft.com/office/drawing/2014/main" id="{932B57C7-CEDF-47FE-B1AD-311D29BF23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21" name="AutoShape 1" descr="Vista previa de toda la pantalla">
          <a:extLst>
            <a:ext uri="{FF2B5EF4-FFF2-40B4-BE49-F238E27FC236}">
              <a16:creationId xmlns:a16="http://schemas.microsoft.com/office/drawing/2014/main" id="{5D8BE15C-37B1-45DD-A48B-AD6741790A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22" name="AutoShape 1" descr="Vista previa de toda la pantalla">
          <a:extLst>
            <a:ext uri="{FF2B5EF4-FFF2-40B4-BE49-F238E27FC236}">
              <a16:creationId xmlns:a16="http://schemas.microsoft.com/office/drawing/2014/main" id="{2416A0BA-F839-4742-BB9E-F89E4B9D3E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23" name="AutoShape 1" descr="Vista previa de toda la pantalla">
          <a:extLst>
            <a:ext uri="{FF2B5EF4-FFF2-40B4-BE49-F238E27FC236}">
              <a16:creationId xmlns:a16="http://schemas.microsoft.com/office/drawing/2014/main" id="{1561373D-1DA2-495F-B1F2-F5A239AA17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24" name="AutoShape 1" descr="Vista previa de toda la pantalla">
          <a:extLst>
            <a:ext uri="{FF2B5EF4-FFF2-40B4-BE49-F238E27FC236}">
              <a16:creationId xmlns:a16="http://schemas.microsoft.com/office/drawing/2014/main" id="{DD30A4E6-C95A-4C56-959D-06D822A660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25" name="AutoShape 1" descr="Vista previa de toda la pantalla">
          <a:extLst>
            <a:ext uri="{FF2B5EF4-FFF2-40B4-BE49-F238E27FC236}">
              <a16:creationId xmlns:a16="http://schemas.microsoft.com/office/drawing/2014/main" id="{F9219092-2EDD-48B9-B733-C3EAADEB6D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26" name="AutoShape 1" descr="Vista previa de toda la pantalla">
          <a:extLst>
            <a:ext uri="{FF2B5EF4-FFF2-40B4-BE49-F238E27FC236}">
              <a16:creationId xmlns:a16="http://schemas.microsoft.com/office/drawing/2014/main" id="{CCB06F96-26A2-4E0D-AC74-12FDA620BA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27" name="AutoShape 1" descr="Vista previa de toda la pantalla">
          <a:extLst>
            <a:ext uri="{FF2B5EF4-FFF2-40B4-BE49-F238E27FC236}">
              <a16:creationId xmlns:a16="http://schemas.microsoft.com/office/drawing/2014/main" id="{E2E482C6-D1E4-41E4-B30C-3FB0AAA3C3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28" name="AutoShape 1" descr="Vista previa de toda la pantalla">
          <a:extLst>
            <a:ext uri="{FF2B5EF4-FFF2-40B4-BE49-F238E27FC236}">
              <a16:creationId xmlns:a16="http://schemas.microsoft.com/office/drawing/2014/main" id="{4492CCF8-3F82-4954-9DCD-3DEE5316C5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29" name="AutoShape 1" descr="Vista previa de toda la pantalla">
          <a:extLst>
            <a:ext uri="{FF2B5EF4-FFF2-40B4-BE49-F238E27FC236}">
              <a16:creationId xmlns:a16="http://schemas.microsoft.com/office/drawing/2014/main" id="{9CE64448-06D6-41A9-A458-BE568FCE55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30" name="AutoShape 1" descr="Vista previa de toda la pantalla">
          <a:extLst>
            <a:ext uri="{FF2B5EF4-FFF2-40B4-BE49-F238E27FC236}">
              <a16:creationId xmlns:a16="http://schemas.microsoft.com/office/drawing/2014/main" id="{4B2C88FC-5596-4265-B97F-8B44259618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31" name="AutoShape 1" descr="Vista previa de toda la pantalla">
          <a:extLst>
            <a:ext uri="{FF2B5EF4-FFF2-40B4-BE49-F238E27FC236}">
              <a16:creationId xmlns:a16="http://schemas.microsoft.com/office/drawing/2014/main" id="{285C25A2-834C-4CEF-89CB-D9F1126D58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32" name="AutoShape 1" descr="Vista previa de toda la pantalla">
          <a:extLst>
            <a:ext uri="{FF2B5EF4-FFF2-40B4-BE49-F238E27FC236}">
              <a16:creationId xmlns:a16="http://schemas.microsoft.com/office/drawing/2014/main" id="{77B359F4-7430-451C-97DF-BB48829441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33" name="AutoShape 1" descr="Vista previa de toda la pantalla">
          <a:extLst>
            <a:ext uri="{FF2B5EF4-FFF2-40B4-BE49-F238E27FC236}">
              <a16:creationId xmlns:a16="http://schemas.microsoft.com/office/drawing/2014/main" id="{F6EF750F-8526-4B32-9D36-880FBE3843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34" name="AutoShape 1" descr="Vista previa de toda la pantalla">
          <a:extLst>
            <a:ext uri="{FF2B5EF4-FFF2-40B4-BE49-F238E27FC236}">
              <a16:creationId xmlns:a16="http://schemas.microsoft.com/office/drawing/2014/main" id="{C8977999-014F-45FE-9C87-A8CAC8415F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35" name="AutoShape 1" descr="Vista previa de toda la pantalla">
          <a:extLst>
            <a:ext uri="{FF2B5EF4-FFF2-40B4-BE49-F238E27FC236}">
              <a16:creationId xmlns:a16="http://schemas.microsoft.com/office/drawing/2014/main" id="{FE13DB2F-278D-47A9-B9F4-7256F6E4CF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36" name="AutoShape 1" descr="Vista previa de toda la pantalla">
          <a:extLst>
            <a:ext uri="{FF2B5EF4-FFF2-40B4-BE49-F238E27FC236}">
              <a16:creationId xmlns:a16="http://schemas.microsoft.com/office/drawing/2014/main" id="{64311048-70BD-4483-B182-DAE583F898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37" name="AutoShape 1" descr="Vista previa de toda la pantalla">
          <a:extLst>
            <a:ext uri="{FF2B5EF4-FFF2-40B4-BE49-F238E27FC236}">
              <a16:creationId xmlns:a16="http://schemas.microsoft.com/office/drawing/2014/main" id="{914543D6-BB24-4705-BDC6-FD414A7E68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38" name="AutoShape 1" descr="Vista previa de toda la pantalla">
          <a:extLst>
            <a:ext uri="{FF2B5EF4-FFF2-40B4-BE49-F238E27FC236}">
              <a16:creationId xmlns:a16="http://schemas.microsoft.com/office/drawing/2014/main" id="{D677DF7B-70B1-41A0-95BC-6658456260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39" name="AutoShape 1" descr="Vista previa de toda la pantalla">
          <a:extLst>
            <a:ext uri="{FF2B5EF4-FFF2-40B4-BE49-F238E27FC236}">
              <a16:creationId xmlns:a16="http://schemas.microsoft.com/office/drawing/2014/main" id="{1CC4B7E9-FF2E-417E-B5C7-63A954090D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40" name="AutoShape 1" descr="Vista previa de toda la pantalla">
          <a:extLst>
            <a:ext uri="{FF2B5EF4-FFF2-40B4-BE49-F238E27FC236}">
              <a16:creationId xmlns:a16="http://schemas.microsoft.com/office/drawing/2014/main" id="{C101BE2E-BD19-4016-92CB-D8C904B12A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41" name="AutoShape 1" descr="Vista previa de toda la pantalla">
          <a:extLst>
            <a:ext uri="{FF2B5EF4-FFF2-40B4-BE49-F238E27FC236}">
              <a16:creationId xmlns:a16="http://schemas.microsoft.com/office/drawing/2014/main" id="{91E1DF1E-728E-4AB4-82A2-1DD680129E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42" name="AutoShape 1" descr="Vista previa de toda la pantalla">
          <a:extLst>
            <a:ext uri="{FF2B5EF4-FFF2-40B4-BE49-F238E27FC236}">
              <a16:creationId xmlns:a16="http://schemas.microsoft.com/office/drawing/2014/main" id="{33870A56-AB77-486E-95C8-1C027E8813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43" name="AutoShape 1" descr="Vista previa de toda la pantalla">
          <a:extLst>
            <a:ext uri="{FF2B5EF4-FFF2-40B4-BE49-F238E27FC236}">
              <a16:creationId xmlns:a16="http://schemas.microsoft.com/office/drawing/2014/main" id="{0F07BB90-172E-46DA-BBC6-DCA7822124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44" name="AutoShape 1" descr="Vista previa de toda la pantalla">
          <a:extLst>
            <a:ext uri="{FF2B5EF4-FFF2-40B4-BE49-F238E27FC236}">
              <a16:creationId xmlns:a16="http://schemas.microsoft.com/office/drawing/2014/main" id="{C38BE887-ABCC-46D8-8C43-FF6E2DABC2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45" name="AutoShape 1" descr="Vista previa de toda la pantalla">
          <a:extLst>
            <a:ext uri="{FF2B5EF4-FFF2-40B4-BE49-F238E27FC236}">
              <a16:creationId xmlns:a16="http://schemas.microsoft.com/office/drawing/2014/main" id="{AB9C6E1B-C778-41A6-902A-0B0964863F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46" name="AutoShape 1" descr="Vista previa de toda la pantalla">
          <a:extLst>
            <a:ext uri="{FF2B5EF4-FFF2-40B4-BE49-F238E27FC236}">
              <a16:creationId xmlns:a16="http://schemas.microsoft.com/office/drawing/2014/main" id="{F2214F71-8EB8-45C9-BCD5-75DD3AB433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47" name="AutoShape 1" descr="Vista previa de toda la pantalla">
          <a:extLst>
            <a:ext uri="{FF2B5EF4-FFF2-40B4-BE49-F238E27FC236}">
              <a16:creationId xmlns:a16="http://schemas.microsoft.com/office/drawing/2014/main" id="{758141A2-883E-4FB7-9760-FD5F690B10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48" name="AutoShape 1" descr="Vista previa de toda la pantalla">
          <a:extLst>
            <a:ext uri="{FF2B5EF4-FFF2-40B4-BE49-F238E27FC236}">
              <a16:creationId xmlns:a16="http://schemas.microsoft.com/office/drawing/2014/main" id="{2D67D5E1-B4E3-46CB-AA65-F599D21B06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49" name="AutoShape 1" descr="Vista previa de toda la pantalla">
          <a:extLst>
            <a:ext uri="{FF2B5EF4-FFF2-40B4-BE49-F238E27FC236}">
              <a16:creationId xmlns:a16="http://schemas.microsoft.com/office/drawing/2014/main" id="{65B624AF-0FF9-4CEE-8130-3C2604E211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0" name="AutoShape 1" descr="Vista previa de toda la pantalla">
          <a:extLst>
            <a:ext uri="{FF2B5EF4-FFF2-40B4-BE49-F238E27FC236}">
              <a16:creationId xmlns:a16="http://schemas.microsoft.com/office/drawing/2014/main" id="{9FCC466C-26FE-4096-AF89-2B67EF06A8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1" name="AutoShape 1" descr="Vista previa de toda la pantalla">
          <a:extLst>
            <a:ext uri="{FF2B5EF4-FFF2-40B4-BE49-F238E27FC236}">
              <a16:creationId xmlns:a16="http://schemas.microsoft.com/office/drawing/2014/main" id="{859272F7-4BC1-4C65-83D2-4573F076E8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2" name="AutoShape 1" descr="Vista previa de toda la pantalla">
          <a:extLst>
            <a:ext uri="{FF2B5EF4-FFF2-40B4-BE49-F238E27FC236}">
              <a16:creationId xmlns:a16="http://schemas.microsoft.com/office/drawing/2014/main" id="{503A11A4-C1A4-4508-A88D-C42353E5DB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3" name="AutoShape 1" descr="Vista previa de toda la pantalla">
          <a:extLst>
            <a:ext uri="{FF2B5EF4-FFF2-40B4-BE49-F238E27FC236}">
              <a16:creationId xmlns:a16="http://schemas.microsoft.com/office/drawing/2014/main" id="{A8DD5977-5D6E-436A-B3F4-FA39386C83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4" name="AutoShape 1" descr="Vista previa de toda la pantalla">
          <a:extLst>
            <a:ext uri="{FF2B5EF4-FFF2-40B4-BE49-F238E27FC236}">
              <a16:creationId xmlns:a16="http://schemas.microsoft.com/office/drawing/2014/main" id="{6D852C8B-9EE5-47C4-8B24-7A63655127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5" name="AutoShape 1" descr="Vista previa de toda la pantalla">
          <a:extLst>
            <a:ext uri="{FF2B5EF4-FFF2-40B4-BE49-F238E27FC236}">
              <a16:creationId xmlns:a16="http://schemas.microsoft.com/office/drawing/2014/main" id="{470A70CA-B9E7-4876-B926-83DF3B205A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6" name="AutoShape 1" descr="Vista previa de toda la pantalla">
          <a:extLst>
            <a:ext uri="{FF2B5EF4-FFF2-40B4-BE49-F238E27FC236}">
              <a16:creationId xmlns:a16="http://schemas.microsoft.com/office/drawing/2014/main" id="{12468513-1941-43BE-A672-64125196B3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7" name="AutoShape 1" descr="Vista previa de toda la pantalla">
          <a:extLst>
            <a:ext uri="{FF2B5EF4-FFF2-40B4-BE49-F238E27FC236}">
              <a16:creationId xmlns:a16="http://schemas.microsoft.com/office/drawing/2014/main" id="{0BDA7F94-CB61-493D-A5B8-9935F692A8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8" name="AutoShape 1" descr="Vista previa de toda la pantalla">
          <a:extLst>
            <a:ext uri="{FF2B5EF4-FFF2-40B4-BE49-F238E27FC236}">
              <a16:creationId xmlns:a16="http://schemas.microsoft.com/office/drawing/2014/main" id="{184D58A0-4C38-4D8B-83F5-827045E9EC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59" name="AutoShape 1" descr="Vista previa de toda la pantalla">
          <a:extLst>
            <a:ext uri="{FF2B5EF4-FFF2-40B4-BE49-F238E27FC236}">
              <a16:creationId xmlns:a16="http://schemas.microsoft.com/office/drawing/2014/main" id="{302B03AD-909B-45F5-AFED-9B0888636E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0" name="AutoShape 1" descr="Vista previa de toda la pantalla">
          <a:extLst>
            <a:ext uri="{FF2B5EF4-FFF2-40B4-BE49-F238E27FC236}">
              <a16:creationId xmlns:a16="http://schemas.microsoft.com/office/drawing/2014/main" id="{238D4FD0-9884-4A9F-91C6-2369CB3BE5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1" name="AutoShape 1" descr="Vista previa de toda la pantalla">
          <a:extLst>
            <a:ext uri="{FF2B5EF4-FFF2-40B4-BE49-F238E27FC236}">
              <a16:creationId xmlns:a16="http://schemas.microsoft.com/office/drawing/2014/main" id="{42BDAD42-2748-48B8-9A2A-A7A5842747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2" name="AutoShape 1" descr="Vista previa de toda la pantalla">
          <a:extLst>
            <a:ext uri="{FF2B5EF4-FFF2-40B4-BE49-F238E27FC236}">
              <a16:creationId xmlns:a16="http://schemas.microsoft.com/office/drawing/2014/main" id="{8D01B124-9A35-4BDA-BF2C-3D9AE4CE75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3" name="AutoShape 1" descr="Vista previa de toda la pantalla">
          <a:extLst>
            <a:ext uri="{FF2B5EF4-FFF2-40B4-BE49-F238E27FC236}">
              <a16:creationId xmlns:a16="http://schemas.microsoft.com/office/drawing/2014/main" id="{C7FA22F5-CAED-46EB-80FB-0F1D82DC8C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4" name="AutoShape 1" descr="Vista previa de toda la pantalla">
          <a:extLst>
            <a:ext uri="{FF2B5EF4-FFF2-40B4-BE49-F238E27FC236}">
              <a16:creationId xmlns:a16="http://schemas.microsoft.com/office/drawing/2014/main" id="{92C5676D-DFF4-4065-94E4-B6CCD081E9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5" name="AutoShape 1" descr="Vista previa de toda la pantalla">
          <a:extLst>
            <a:ext uri="{FF2B5EF4-FFF2-40B4-BE49-F238E27FC236}">
              <a16:creationId xmlns:a16="http://schemas.microsoft.com/office/drawing/2014/main" id="{3447CBEB-6513-415C-86BF-338B05BF77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6" name="AutoShape 1" descr="Vista previa de toda la pantalla">
          <a:extLst>
            <a:ext uri="{FF2B5EF4-FFF2-40B4-BE49-F238E27FC236}">
              <a16:creationId xmlns:a16="http://schemas.microsoft.com/office/drawing/2014/main" id="{4085C9CD-B7F4-408D-BE22-250A793AB5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7" name="AutoShape 1" descr="Vista previa de toda la pantalla">
          <a:extLst>
            <a:ext uri="{FF2B5EF4-FFF2-40B4-BE49-F238E27FC236}">
              <a16:creationId xmlns:a16="http://schemas.microsoft.com/office/drawing/2014/main" id="{F227073C-D87B-4779-A233-25A1F98A1B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8" name="AutoShape 1" descr="Vista previa de toda la pantalla">
          <a:extLst>
            <a:ext uri="{FF2B5EF4-FFF2-40B4-BE49-F238E27FC236}">
              <a16:creationId xmlns:a16="http://schemas.microsoft.com/office/drawing/2014/main" id="{E90D7B0B-15F4-4016-B080-F21458D4B7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69" name="AutoShape 1" descr="Vista previa de toda la pantalla">
          <a:extLst>
            <a:ext uri="{FF2B5EF4-FFF2-40B4-BE49-F238E27FC236}">
              <a16:creationId xmlns:a16="http://schemas.microsoft.com/office/drawing/2014/main" id="{86351901-2361-41B0-99FF-2238CD8C4D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0" name="AutoShape 1" descr="Vista previa de toda la pantalla">
          <a:extLst>
            <a:ext uri="{FF2B5EF4-FFF2-40B4-BE49-F238E27FC236}">
              <a16:creationId xmlns:a16="http://schemas.microsoft.com/office/drawing/2014/main" id="{A7EFE4AE-4084-424E-82D7-D5BEF5BAB0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1" name="AutoShape 1" descr="Vista previa de toda la pantalla">
          <a:extLst>
            <a:ext uri="{FF2B5EF4-FFF2-40B4-BE49-F238E27FC236}">
              <a16:creationId xmlns:a16="http://schemas.microsoft.com/office/drawing/2014/main" id="{71C7BACA-9F47-457B-B532-9DCF87AA9C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2" name="AutoShape 1" descr="Vista previa de toda la pantalla">
          <a:extLst>
            <a:ext uri="{FF2B5EF4-FFF2-40B4-BE49-F238E27FC236}">
              <a16:creationId xmlns:a16="http://schemas.microsoft.com/office/drawing/2014/main" id="{EA845A1F-F803-4866-A73F-B83DA23548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3" name="AutoShape 1" descr="Vista previa de toda la pantalla">
          <a:extLst>
            <a:ext uri="{FF2B5EF4-FFF2-40B4-BE49-F238E27FC236}">
              <a16:creationId xmlns:a16="http://schemas.microsoft.com/office/drawing/2014/main" id="{65A76F7E-7A25-4CD8-810E-F1FDEED7D5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4" name="AutoShape 1" descr="Vista previa de toda la pantalla">
          <a:extLst>
            <a:ext uri="{FF2B5EF4-FFF2-40B4-BE49-F238E27FC236}">
              <a16:creationId xmlns:a16="http://schemas.microsoft.com/office/drawing/2014/main" id="{8E0B4490-3AB2-4BF9-90F3-3802E94FCC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5" name="AutoShape 1" descr="Vista previa de toda la pantalla">
          <a:extLst>
            <a:ext uri="{FF2B5EF4-FFF2-40B4-BE49-F238E27FC236}">
              <a16:creationId xmlns:a16="http://schemas.microsoft.com/office/drawing/2014/main" id="{21D6ACF0-DF95-41DE-90A1-A253735FF2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6" name="AutoShape 1" descr="Vista previa de toda la pantalla">
          <a:extLst>
            <a:ext uri="{FF2B5EF4-FFF2-40B4-BE49-F238E27FC236}">
              <a16:creationId xmlns:a16="http://schemas.microsoft.com/office/drawing/2014/main" id="{E5519261-8550-4751-81B3-A4002200CB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7" name="AutoShape 1" descr="Vista previa de toda la pantalla">
          <a:extLst>
            <a:ext uri="{FF2B5EF4-FFF2-40B4-BE49-F238E27FC236}">
              <a16:creationId xmlns:a16="http://schemas.microsoft.com/office/drawing/2014/main" id="{8C200175-1A47-4442-BAEA-A789D3D35E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8" name="AutoShape 1" descr="Vista previa de toda la pantalla">
          <a:extLst>
            <a:ext uri="{FF2B5EF4-FFF2-40B4-BE49-F238E27FC236}">
              <a16:creationId xmlns:a16="http://schemas.microsoft.com/office/drawing/2014/main" id="{EB376A35-F5C3-46AD-A61C-F3F9781710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79" name="AutoShape 1" descr="Vista previa de toda la pantalla">
          <a:extLst>
            <a:ext uri="{FF2B5EF4-FFF2-40B4-BE49-F238E27FC236}">
              <a16:creationId xmlns:a16="http://schemas.microsoft.com/office/drawing/2014/main" id="{79123DCE-EAE3-4B29-9A43-303485ED9C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80" name="AutoShape 1" descr="Vista previa de toda la pantalla">
          <a:extLst>
            <a:ext uri="{FF2B5EF4-FFF2-40B4-BE49-F238E27FC236}">
              <a16:creationId xmlns:a16="http://schemas.microsoft.com/office/drawing/2014/main" id="{F9D44258-4BBF-4F3B-A593-44C11C643C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81" name="AutoShape 1" descr="Vista previa de toda la pantalla">
          <a:extLst>
            <a:ext uri="{FF2B5EF4-FFF2-40B4-BE49-F238E27FC236}">
              <a16:creationId xmlns:a16="http://schemas.microsoft.com/office/drawing/2014/main" id="{CFF3C625-6570-4FC7-A26B-6D9D69D9C4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82" name="AutoShape 1" descr="Vista previa de toda la pantalla">
          <a:extLst>
            <a:ext uri="{FF2B5EF4-FFF2-40B4-BE49-F238E27FC236}">
              <a16:creationId xmlns:a16="http://schemas.microsoft.com/office/drawing/2014/main" id="{7C375C27-A4FF-43C3-A6EF-B8EB72187B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3183" name="AutoShape 1" descr="Vista previa de toda la pantalla">
          <a:extLst>
            <a:ext uri="{FF2B5EF4-FFF2-40B4-BE49-F238E27FC236}">
              <a16:creationId xmlns:a16="http://schemas.microsoft.com/office/drawing/2014/main" id="{3CC9E4A2-D3AE-42BD-9E07-CC9B4D58A0C5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84" name="AutoShape 1" descr="Vista previa de toda la pantalla">
          <a:extLst>
            <a:ext uri="{FF2B5EF4-FFF2-40B4-BE49-F238E27FC236}">
              <a16:creationId xmlns:a16="http://schemas.microsoft.com/office/drawing/2014/main" id="{4701BDBB-F900-43A2-B316-85DA7537F2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85" name="AutoShape 1" descr="Vista previa de toda la pantalla">
          <a:extLst>
            <a:ext uri="{FF2B5EF4-FFF2-40B4-BE49-F238E27FC236}">
              <a16:creationId xmlns:a16="http://schemas.microsoft.com/office/drawing/2014/main" id="{2390BCEF-206B-480D-8CBF-9693AFCF4E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86" name="AutoShape 1" descr="Vista previa de toda la pantalla">
          <a:extLst>
            <a:ext uri="{FF2B5EF4-FFF2-40B4-BE49-F238E27FC236}">
              <a16:creationId xmlns:a16="http://schemas.microsoft.com/office/drawing/2014/main" id="{D9895F7B-E964-4C28-9920-71E75197B5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87" name="AutoShape 1" descr="Vista previa de toda la pantalla">
          <a:extLst>
            <a:ext uri="{FF2B5EF4-FFF2-40B4-BE49-F238E27FC236}">
              <a16:creationId xmlns:a16="http://schemas.microsoft.com/office/drawing/2014/main" id="{B7825112-D7B3-493C-B2D7-FB9B890F91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88" name="AutoShape 1" descr="Vista previa de toda la pantalla">
          <a:extLst>
            <a:ext uri="{FF2B5EF4-FFF2-40B4-BE49-F238E27FC236}">
              <a16:creationId xmlns:a16="http://schemas.microsoft.com/office/drawing/2014/main" id="{9E7D03C0-E35D-4520-BBD7-5D231DDD95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89" name="AutoShape 1" descr="Vista previa de toda la pantalla">
          <a:extLst>
            <a:ext uri="{FF2B5EF4-FFF2-40B4-BE49-F238E27FC236}">
              <a16:creationId xmlns:a16="http://schemas.microsoft.com/office/drawing/2014/main" id="{FAB75CDC-CEFD-4A2F-9EEF-81482AD788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0" name="AutoShape 1" descr="Vista previa de toda la pantalla">
          <a:extLst>
            <a:ext uri="{FF2B5EF4-FFF2-40B4-BE49-F238E27FC236}">
              <a16:creationId xmlns:a16="http://schemas.microsoft.com/office/drawing/2014/main" id="{78686701-7F72-4E92-8D95-CF6FF2CEC4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1" name="AutoShape 1" descr="Vista previa de toda la pantalla">
          <a:extLst>
            <a:ext uri="{FF2B5EF4-FFF2-40B4-BE49-F238E27FC236}">
              <a16:creationId xmlns:a16="http://schemas.microsoft.com/office/drawing/2014/main" id="{C8A16DBF-0776-4652-A7A7-9A3202FA44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2" name="AutoShape 1" descr="Vista previa de toda la pantalla">
          <a:extLst>
            <a:ext uri="{FF2B5EF4-FFF2-40B4-BE49-F238E27FC236}">
              <a16:creationId xmlns:a16="http://schemas.microsoft.com/office/drawing/2014/main" id="{17E0F343-045E-4555-AE6C-D108FEE4DD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3" name="AutoShape 1" descr="Vista previa de toda la pantalla">
          <a:extLst>
            <a:ext uri="{FF2B5EF4-FFF2-40B4-BE49-F238E27FC236}">
              <a16:creationId xmlns:a16="http://schemas.microsoft.com/office/drawing/2014/main" id="{38B63D53-28ED-4A62-9DE0-5DBBFB6E72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4" name="AutoShape 1" descr="Vista previa de toda la pantalla">
          <a:extLst>
            <a:ext uri="{FF2B5EF4-FFF2-40B4-BE49-F238E27FC236}">
              <a16:creationId xmlns:a16="http://schemas.microsoft.com/office/drawing/2014/main" id="{3925CAAE-9D28-4F40-B257-AC8E0BBDDF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5" name="AutoShape 1" descr="Vista previa de toda la pantalla">
          <a:extLst>
            <a:ext uri="{FF2B5EF4-FFF2-40B4-BE49-F238E27FC236}">
              <a16:creationId xmlns:a16="http://schemas.microsoft.com/office/drawing/2014/main" id="{D1CECE4F-B0D4-444E-979D-8C875C42D6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6" name="AutoShape 1" descr="Vista previa de toda la pantalla">
          <a:extLst>
            <a:ext uri="{FF2B5EF4-FFF2-40B4-BE49-F238E27FC236}">
              <a16:creationId xmlns:a16="http://schemas.microsoft.com/office/drawing/2014/main" id="{C43E993F-57C5-42C1-B4A0-DC47811BF5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7" name="AutoShape 1" descr="Vista previa de toda la pantalla">
          <a:extLst>
            <a:ext uri="{FF2B5EF4-FFF2-40B4-BE49-F238E27FC236}">
              <a16:creationId xmlns:a16="http://schemas.microsoft.com/office/drawing/2014/main" id="{4BCC59C0-4437-47FA-80DE-558C1DC3DA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8" name="AutoShape 1" descr="Vista previa de toda la pantalla">
          <a:extLst>
            <a:ext uri="{FF2B5EF4-FFF2-40B4-BE49-F238E27FC236}">
              <a16:creationId xmlns:a16="http://schemas.microsoft.com/office/drawing/2014/main" id="{91CE746B-B540-4CF1-8486-898A40457B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199" name="AutoShape 1" descr="Vista previa de toda la pantalla">
          <a:extLst>
            <a:ext uri="{FF2B5EF4-FFF2-40B4-BE49-F238E27FC236}">
              <a16:creationId xmlns:a16="http://schemas.microsoft.com/office/drawing/2014/main" id="{B04996A6-8CDD-4178-AD90-640B1E63DB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0" name="AutoShape 1" descr="Vista previa de toda la pantalla">
          <a:extLst>
            <a:ext uri="{FF2B5EF4-FFF2-40B4-BE49-F238E27FC236}">
              <a16:creationId xmlns:a16="http://schemas.microsoft.com/office/drawing/2014/main" id="{C3BEC281-A9D9-4F5C-831B-0B6DE91354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1" name="AutoShape 1" descr="Vista previa de toda la pantalla">
          <a:extLst>
            <a:ext uri="{FF2B5EF4-FFF2-40B4-BE49-F238E27FC236}">
              <a16:creationId xmlns:a16="http://schemas.microsoft.com/office/drawing/2014/main" id="{0EEBC6E6-5C7F-411B-B974-C33B119648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2" name="AutoShape 1" descr="Vista previa de toda la pantalla">
          <a:extLst>
            <a:ext uri="{FF2B5EF4-FFF2-40B4-BE49-F238E27FC236}">
              <a16:creationId xmlns:a16="http://schemas.microsoft.com/office/drawing/2014/main" id="{838EF4F8-F7EF-47F2-93FA-EDC6B1706E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3" name="AutoShape 1" descr="Vista previa de toda la pantalla">
          <a:extLst>
            <a:ext uri="{FF2B5EF4-FFF2-40B4-BE49-F238E27FC236}">
              <a16:creationId xmlns:a16="http://schemas.microsoft.com/office/drawing/2014/main" id="{EA109A98-3B0F-4F5C-B921-480AA36E3A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4" name="AutoShape 1" descr="Vista previa de toda la pantalla">
          <a:extLst>
            <a:ext uri="{FF2B5EF4-FFF2-40B4-BE49-F238E27FC236}">
              <a16:creationId xmlns:a16="http://schemas.microsoft.com/office/drawing/2014/main" id="{FAC0BBB1-B41A-48F3-A825-BF7D1F1BA4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5" name="AutoShape 1" descr="Vista previa de toda la pantalla">
          <a:extLst>
            <a:ext uri="{FF2B5EF4-FFF2-40B4-BE49-F238E27FC236}">
              <a16:creationId xmlns:a16="http://schemas.microsoft.com/office/drawing/2014/main" id="{9EE22E7B-07E2-4D63-825C-BE744E8836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6" name="AutoShape 1" descr="Vista previa de toda la pantalla">
          <a:extLst>
            <a:ext uri="{FF2B5EF4-FFF2-40B4-BE49-F238E27FC236}">
              <a16:creationId xmlns:a16="http://schemas.microsoft.com/office/drawing/2014/main" id="{23B75A9B-DA73-4431-89EA-7CA9B0525D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7" name="AutoShape 1" descr="Vista previa de toda la pantalla">
          <a:extLst>
            <a:ext uri="{FF2B5EF4-FFF2-40B4-BE49-F238E27FC236}">
              <a16:creationId xmlns:a16="http://schemas.microsoft.com/office/drawing/2014/main" id="{EEFC3C3F-E64C-42B7-BB68-933F9D56B8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8" name="AutoShape 1" descr="Vista previa de toda la pantalla">
          <a:extLst>
            <a:ext uri="{FF2B5EF4-FFF2-40B4-BE49-F238E27FC236}">
              <a16:creationId xmlns:a16="http://schemas.microsoft.com/office/drawing/2014/main" id="{2A1F8DA3-3EC4-40C1-A276-C236A55B3C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09" name="AutoShape 1" descr="Vista previa de toda la pantalla">
          <a:extLst>
            <a:ext uri="{FF2B5EF4-FFF2-40B4-BE49-F238E27FC236}">
              <a16:creationId xmlns:a16="http://schemas.microsoft.com/office/drawing/2014/main" id="{E18DE004-30B9-437D-B487-C249B78FB1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0" name="AutoShape 1" descr="Vista previa de toda la pantalla">
          <a:extLst>
            <a:ext uri="{FF2B5EF4-FFF2-40B4-BE49-F238E27FC236}">
              <a16:creationId xmlns:a16="http://schemas.microsoft.com/office/drawing/2014/main" id="{34B6B132-150E-4AA7-90AE-60BC268167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1" name="AutoShape 1" descr="Vista previa de toda la pantalla">
          <a:extLst>
            <a:ext uri="{FF2B5EF4-FFF2-40B4-BE49-F238E27FC236}">
              <a16:creationId xmlns:a16="http://schemas.microsoft.com/office/drawing/2014/main" id="{6C4C7C1F-7F30-46E6-BCEE-018A7F2F3A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2" name="AutoShape 1" descr="Vista previa de toda la pantalla">
          <a:extLst>
            <a:ext uri="{FF2B5EF4-FFF2-40B4-BE49-F238E27FC236}">
              <a16:creationId xmlns:a16="http://schemas.microsoft.com/office/drawing/2014/main" id="{2875D5CD-2B7F-4200-B51C-4D29BF1B87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3" name="AutoShape 1" descr="Vista previa de toda la pantalla">
          <a:extLst>
            <a:ext uri="{FF2B5EF4-FFF2-40B4-BE49-F238E27FC236}">
              <a16:creationId xmlns:a16="http://schemas.microsoft.com/office/drawing/2014/main" id="{4DBE3755-3391-4916-A98B-3A0CD59859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4" name="AutoShape 1" descr="Vista previa de toda la pantalla">
          <a:extLst>
            <a:ext uri="{FF2B5EF4-FFF2-40B4-BE49-F238E27FC236}">
              <a16:creationId xmlns:a16="http://schemas.microsoft.com/office/drawing/2014/main" id="{84FE6BB8-C116-43E8-ACA4-9468924327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5" name="AutoShape 1" descr="Vista previa de toda la pantalla">
          <a:extLst>
            <a:ext uri="{FF2B5EF4-FFF2-40B4-BE49-F238E27FC236}">
              <a16:creationId xmlns:a16="http://schemas.microsoft.com/office/drawing/2014/main" id="{48400135-32DA-4470-A47C-7393361179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6" name="AutoShape 1" descr="Vista previa de toda la pantalla">
          <a:extLst>
            <a:ext uri="{FF2B5EF4-FFF2-40B4-BE49-F238E27FC236}">
              <a16:creationId xmlns:a16="http://schemas.microsoft.com/office/drawing/2014/main" id="{F61FC8F2-54FC-4BB2-876F-A21D5B9D08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7" name="AutoShape 1" descr="Vista previa de toda la pantalla">
          <a:extLst>
            <a:ext uri="{FF2B5EF4-FFF2-40B4-BE49-F238E27FC236}">
              <a16:creationId xmlns:a16="http://schemas.microsoft.com/office/drawing/2014/main" id="{BEF1D555-7C9A-4067-B74F-E8128B0F37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8" name="AutoShape 1" descr="Vista previa de toda la pantalla">
          <a:extLst>
            <a:ext uri="{FF2B5EF4-FFF2-40B4-BE49-F238E27FC236}">
              <a16:creationId xmlns:a16="http://schemas.microsoft.com/office/drawing/2014/main" id="{68687899-CCEB-4231-B498-0FDB03A393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19" name="AutoShape 1" descr="Vista previa de toda la pantalla">
          <a:extLst>
            <a:ext uri="{FF2B5EF4-FFF2-40B4-BE49-F238E27FC236}">
              <a16:creationId xmlns:a16="http://schemas.microsoft.com/office/drawing/2014/main" id="{C2F1D0AF-3B88-471C-8E57-14F2F3380D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0" name="AutoShape 1" descr="Vista previa de toda la pantalla">
          <a:extLst>
            <a:ext uri="{FF2B5EF4-FFF2-40B4-BE49-F238E27FC236}">
              <a16:creationId xmlns:a16="http://schemas.microsoft.com/office/drawing/2014/main" id="{73FD0BD0-4DF8-44B5-B949-DD2F736276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1" name="AutoShape 1" descr="Vista previa de toda la pantalla">
          <a:extLst>
            <a:ext uri="{FF2B5EF4-FFF2-40B4-BE49-F238E27FC236}">
              <a16:creationId xmlns:a16="http://schemas.microsoft.com/office/drawing/2014/main" id="{4112A09D-10AB-48EA-AD26-68D091E976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2" name="AutoShape 1" descr="Vista previa de toda la pantalla">
          <a:extLst>
            <a:ext uri="{FF2B5EF4-FFF2-40B4-BE49-F238E27FC236}">
              <a16:creationId xmlns:a16="http://schemas.microsoft.com/office/drawing/2014/main" id="{C8721E40-FD85-45E3-AA41-C3DF258304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3" name="AutoShape 1" descr="Vista previa de toda la pantalla">
          <a:extLst>
            <a:ext uri="{FF2B5EF4-FFF2-40B4-BE49-F238E27FC236}">
              <a16:creationId xmlns:a16="http://schemas.microsoft.com/office/drawing/2014/main" id="{532DCEB1-27EA-45AA-90D6-AAA07ECBC5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4" name="AutoShape 1" descr="Vista previa de toda la pantalla">
          <a:extLst>
            <a:ext uri="{FF2B5EF4-FFF2-40B4-BE49-F238E27FC236}">
              <a16:creationId xmlns:a16="http://schemas.microsoft.com/office/drawing/2014/main" id="{75094335-1259-4178-A068-7973587E03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5" name="AutoShape 1" descr="Vista previa de toda la pantalla">
          <a:extLst>
            <a:ext uri="{FF2B5EF4-FFF2-40B4-BE49-F238E27FC236}">
              <a16:creationId xmlns:a16="http://schemas.microsoft.com/office/drawing/2014/main" id="{A98085C2-037A-43E7-A01B-9B3774BCDE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6" name="AutoShape 1" descr="Vista previa de toda la pantalla">
          <a:extLst>
            <a:ext uri="{FF2B5EF4-FFF2-40B4-BE49-F238E27FC236}">
              <a16:creationId xmlns:a16="http://schemas.microsoft.com/office/drawing/2014/main" id="{1DF99B4B-4881-45EA-8EC8-CB874E6278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7" name="AutoShape 1" descr="Vista previa de toda la pantalla">
          <a:extLst>
            <a:ext uri="{FF2B5EF4-FFF2-40B4-BE49-F238E27FC236}">
              <a16:creationId xmlns:a16="http://schemas.microsoft.com/office/drawing/2014/main" id="{B878FDA7-6122-41D2-AA64-55157C47E0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8" name="AutoShape 1" descr="Vista previa de toda la pantalla">
          <a:extLst>
            <a:ext uri="{FF2B5EF4-FFF2-40B4-BE49-F238E27FC236}">
              <a16:creationId xmlns:a16="http://schemas.microsoft.com/office/drawing/2014/main" id="{3F190C54-B432-4895-B94B-9C2DF96C3C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29" name="AutoShape 1" descr="Vista previa de toda la pantalla">
          <a:extLst>
            <a:ext uri="{FF2B5EF4-FFF2-40B4-BE49-F238E27FC236}">
              <a16:creationId xmlns:a16="http://schemas.microsoft.com/office/drawing/2014/main" id="{E4CB9BEF-BB1F-4423-BD82-4442A96077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0" name="AutoShape 1" descr="Vista previa de toda la pantalla">
          <a:extLst>
            <a:ext uri="{FF2B5EF4-FFF2-40B4-BE49-F238E27FC236}">
              <a16:creationId xmlns:a16="http://schemas.microsoft.com/office/drawing/2014/main" id="{03636823-6229-47F9-B190-9D5FDE6B57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1" name="AutoShape 1" descr="Vista previa de toda la pantalla">
          <a:extLst>
            <a:ext uri="{FF2B5EF4-FFF2-40B4-BE49-F238E27FC236}">
              <a16:creationId xmlns:a16="http://schemas.microsoft.com/office/drawing/2014/main" id="{BD456922-D2F3-4552-B154-382272E470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2" name="AutoShape 1" descr="Vista previa de toda la pantalla">
          <a:extLst>
            <a:ext uri="{FF2B5EF4-FFF2-40B4-BE49-F238E27FC236}">
              <a16:creationId xmlns:a16="http://schemas.microsoft.com/office/drawing/2014/main" id="{AB09B86E-D4A4-45F5-BD9D-E286E4DE49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3" name="AutoShape 1" descr="Vista previa de toda la pantalla">
          <a:extLst>
            <a:ext uri="{FF2B5EF4-FFF2-40B4-BE49-F238E27FC236}">
              <a16:creationId xmlns:a16="http://schemas.microsoft.com/office/drawing/2014/main" id="{3A71B6D8-8F94-4557-ACE3-E62A8CC337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4" name="AutoShape 1" descr="Vista previa de toda la pantalla">
          <a:extLst>
            <a:ext uri="{FF2B5EF4-FFF2-40B4-BE49-F238E27FC236}">
              <a16:creationId xmlns:a16="http://schemas.microsoft.com/office/drawing/2014/main" id="{D1F95144-E027-4571-8CC3-4EAA372205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5" name="AutoShape 1" descr="Vista previa de toda la pantalla">
          <a:extLst>
            <a:ext uri="{FF2B5EF4-FFF2-40B4-BE49-F238E27FC236}">
              <a16:creationId xmlns:a16="http://schemas.microsoft.com/office/drawing/2014/main" id="{C2519AA2-413B-4E73-AB3F-59E97639CD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6" name="AutoShape 1" descr="Vista previa de toda la pantalla">
          <a:extLst>
            <a:ext uri="{FF2B5EF4-FFF2-40B4-BE49-F238E27FC236}">
              <a16:creationId xmlns:a16="http://schemas.microsoft.com/office/drawing/2014/main" id="{1E34BCBB-4981-4240-BB7E-044AF738E4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7" name="AutoShape 1" descr="Vista previa de toda la pantalla">
          <a:extLst>
            <a:ext uri="{FF2B5EF4-FFF2-40B4-BE49-F238E27FC236}">
              <a16:creationId xmlns:a16="http://schemas.microsoft.com/office/drawing/2014/main" id="{33FCB677-85E8-4099-8026-8B86EA5790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8" name="AutoShape 1" descr="Vista previa de toda la pantalla">
          <a:extLst>
            <a:ext uri="{FF2B5EF4-FFF2-40B4-BE49-F238E27FC236}">
              <a16:creationId xmlns:a16="http://schemas.microsoft.com/office/drawing/2014/main" id="{C0056975-1E06-4222-A58E-777DB6C4A3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39" name="AutoShape 1" descr="Vista previa de toda la pantalla">
          <a:extLst>
            <a:ext uri="{FF2B5EF4-FFF2-40B4-BE49-F238E27FC236}">
              <a16:creationId xmlns:a16="http://schemas.microsoft.com/office/drawing/2014/main" id="{A56E2F3E-1C5D-46D0-80AF-A913926900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0" name="AutoShape 1" descr="Vista previa de toda la pantalla">
          <a:extLst>
            <a:ext uri="{FF2B5EF4-FFF2-40B4-BE49-F238E27FC236}">
              <a16:creationId xmlns:a16="http://schemas.microsoft.com/office/drawing/2014/main" id="{4FF455AB-66DA-463F-B647-FE73724EB1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1" name="AutoShape 1" descr="Vista previa de toda la pantalla">
          <a:extLst>
            <a:ext uri="{FF2B5EF4-FFF2-40B4-BE49-F238E27FC236}">
              <a16:creationId xmlns:a16="http://schemas.microsoft.com/office/drawing/2014/main" id="{A7A946C5-22D3-41CD-ACAB-FCB66F86B6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2" name="AutoShape 1" descr="Vista previa de toda la pantalla">
          <a:extLst>
            <a:ext uri="{FF2B5EF4-FFF2-40B4-BE49-F238E27FC236}">
              <a16:creationId xmlns:a16="http://schemas.microsoft.com/office/drawing/2014/main" id="{2957F587-8800-42C5-AA74-B075B9E762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3" name="AutoShape 1" descr="Vista previa de toda la pantalla">
          <a:extLst>
            <a:ext uri="{FF2B5EF4-FFF2-40B4-BE49-F238E27FC236}">
              <a16:creationId xmlns:a16="http://schemas.microsoft.com/office/drawing/2014/main" id="{2D2825AC-B998-45EF-AC5F-B69BC52016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4" name="AutoShape 1" descr="Vista previa de toda la pantalla">
          <a:extLst>
            <a:ext uri="{FF2B5EF4-FFF2-40B4-BE49-F238E27FC236}">
              <a16:creationId xmlns:a16="http://schemas.microsoft.com/office/drawing/2014/main" id="{F310325D-B2F1-4EA5-94C5-930209C07E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5" name="AutoShape 1" descr="Vista previa de toda la pantalla">
          <a:extLst>
            <a:ext uri="{FF2B5EF4-FFF2-40B4-BE49-F238E27FC236}">
              <a16:creationId xmlns:a16="http://schemas.microsoft.com/office/drawing/2014/main" id="{73432E51-FBE4-4E5F-AF47-8006E54FA2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6" name="AutoShape 1" descr="Vista previa de toda la pantalla">
          <a:extLst>
            <a:ext uri="{FF2B5EF4-FFF2-40B4-BE49-F238E27FC236}">
              <a16:creationId xmlns:a16="http://schemas.microsoft.com/office/drawing/2014/main" id="{D7270FE8-7519-4C85-9078-5894595BAD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7" name="AutoShape 1" descr="Vista previa de toda la pantalla">
          <a:extLst>
            <a:ext uri="{FF2B5EF4-FFF2-40B4-BE49-F238E27FC236}">
              <a16:creationId xmlns:a16="http://schemas.microsoft.com/office/drawing/2014/main" id="{1ABF27A0-8371-4A11-87B9-94CAD5A567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8" name="AutoShape 1" descr="Vista previa de toda la pantalla">
          <a:extLst>
            <a:ext uri="{FF2B5EF4-FFF2-40B4-BE49-F238E27FC236}">
              <a16:creationId xmlns:a16="http://schemas.microsoft.com/office/drawing/2014/main" id="{282C0BA0-4A98-404C-8293-B98D3BB5CE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49" name="AutoShape 1" descr="Vista previa de toda la pantalla">
          <a:extLst>
            <a:ext uri="{FF2B5EF4-FFF2-40B4-BE49-F238E27FC236}">
              <a16:creationId xmlns:a16="http://schemas.microsoft.com/office/drawing/2014/main" id="{70C974E8-DA75-495A-8A99-247B50E374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0" name="AutoShape 1" descr="Vista previa de toda la pantalla">
          <a:extLst>
            <a:ext uri="{FF2B5EF4-FFF2-40B4-BE49-F238E27FC236}">
              <a16:creationId xmlns:a16="http://schemas.microsoft.com/office/drawing/2014/main" id="{05CDDC5F-A31B-450F-B8BA-57104C1D65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1" name="AutoShape 1" descr="Vista previa de toda la pantalla">
          <a:extLst>
            <a:ext uri="{FF2B5EF4-FFF2-40B4-BE49-F238E27FC236}">
              <a16:creationId xmlns:a16="http://schemas.microsoft.com/office/drawing/2014/main" id="{CB598FB2-0E29-46DB-8436-672166E29B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2" name="AutoShape 1" descr="Vista previa de toda la pantalla">
          <a:extLst>
            <a:ext uri="{FF2B5EF4-FFF2-40B4-BE49-F238E27FC236}">
              <a16:creationId xmlns:a16="http://schemas.microsoft.com/office/drawing/2014/main" id="{AC85680B-AFE9-45AA-B47C-0E244F758D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3" name="AutoShape 1" descr="Vista previa de toda la pantalla">
          <a:extLst>
            <a:ext uri="{FF2B5EF4-FFF2-40B4-BE49-F238E27FC236}">
              <a16:creationId xmlns:a16="http://schemas.microsoft.com/office/drawing/2014/main" id="{889E1EB7-9D9A-48C9-BB9D-D3E86F9CD3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4" name="AutoShape 1" descr="Vista previa de toda la pantalla">
          <a:extLst>
            <a:ext uri="{FF2B5EF4-FFF2-40B4-BE49-F238E27FC236}">
              <a16:creationId xmlns:a16="http://schemas.microsoft.com/office/drawing/2014/main" id="{DFD49E37-3CD5-404A-A66E-DC69512FA7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5" name="AutoShape 1" descr="Vista previa de toda la pantalla">
          <a:extLst>
            <a:ext uri="{FF2B5EF4-FFF2-40B4-BE49-F238E27FC236}">
              <a16:creationId xmlns:a16="http://schemas.microsoft.com/office/drawing/2014/main" id="{30D606A6-8233-491C-8944-831998FB68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6" name="AutoShape 1" descr="Vista previa de toda la pantalla">
          <a:extLst>
            <a:ext uri="{FF2B5EF4-FFF2-40B4-BE49-F238E27FC236}">
              <a16:creationId xmlns:a16="http://schemas.microsoft.com/office/drawing/2014/main" id="{EA14FADE-5B46-417A-BBE4-381E6F49B7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7" name="AutoShape 1" descr="Vista previa de toda la pantalla">
          <a:extLst>
            <a:ext uri="{FF2B5EF4-FFF2-40B4-BE49-F238E27FC236}">
              <a16:creationId xmlns:a16="http://schemas.microsoft.com/office/drawing/2014/main" id="{ED22EFEB-A095-4F5D-BC41-D76B8B0B7B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8" name="AutoShape 1" descr="Vista previa de toda la pantalla">
          <a:extLst>
            <a:ext uri="{FF2B5EF4-FFF2-40B4-BE49-F238E27FC236}">
              <a16:creationId xmlns:a16="http://schemas.microsoft.com/office/drawing/2014/main" id="{BE0BF48C-AA2F-4E6E-9518-6B234544D2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59" name="AutoShape 1" descr="Vista previa de toda la pantalla">
          <a:extLst>
            <a:ext uri="{FF2B5EF4-FFF2-40B4-BE49-F238E27FC236}">
              <a16:creationId xmlns:a16="http://schemas.microsoft.com/office/drawing/2014/main" id="{7B97AF57-D2BE-4B7C-8557-65FBDE61B9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0" name="AutoShape 1" descr="Vista previa de toda la pantalla">
          <a:extLst>
            <a:ext uri="{FF2B5EF4-FFF2-40B4-BE49-F238E27FC236}">
              <a16:creationId xmlns:a16="http://schemas.microsoft.com/office/drawing/2014/main" id="{B4DF4A43-8F6C-4C44-8E8E-68C0B4C42B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1" name="AutoShape 1" descr="Vista previa de toda la pantalla">
          <a:extLst>
            <a:ext uri="{FF2B5EF4-FFF2-40B4-BE49-F238E27FC236}">
              <a16:creationId xmlns:a16="http://schemas.microsoft.com/office/drawing/2014/main" id="{FB4F46B0-E951-4A7D-8535-10AA7A00E8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2" name="AutoShape 1" descr="Vista previa de toda la pantalla">
          <a:extLst>
            <a:ext uri="{FF2B5EF4-FFF2-40B4-BE49-F238E27FC236}">
              <a16:creationId xmlns:a16="http://schemas.microsoft.com/office/drawing/2014/main" id="{6B4134C1-FF25-4692-AC70-307D3C7603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3" name="AutoShape 1" descr="Vista previa de toda la pantalla">
          <a:extLst>
            <a:ext uri="{FF2B5EF4-FFF2-40B4-BE49-F238E27FC236}">
              <a16:creationId xmlns:a16="http://schemas.microsoft.com/office/drawing/2014/main" id="{C8E23CAE-442E-4261-8C04-5B78464B71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4" name="AutoShape 1" descr="Vista previa de toda la pantalla">
          <a:extLst>
            <a:ext uri="{FF2B5EF4-FFF2-40B4-BE49-F238E27FC236}">
              <a16:creationId xmlns:a16="http://schemas.microsoft.com/office/drawing/2014/main" id="{17063C18-03C4-48CE-BEE9-BDC825A2E0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5" name="AutoShape 1" descr="Vista previa de toda la pantalla">
          <a:extLst>
            <a:ext uri="{FF2B5EF4-FFF2-40B4-BE49-F238E27FC236}">
              <a16:creationId xmlns:a16="http://schemas.microsoft.com/office/drawing/2014/main" id="{B7AFD36D-5547-4058-BF10-5B885A4D06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6" name="AutoShape 1" descr="Vista previa de toda la pantalla">
          <a:extLst>
            <a:ext uri="{FF2B5EF4-FFF2-40B4-BE49-F238E27FC236}">
              <a16:creationId xmlns:a16="http://schemas.microsoft.com/office/drawing/2014/main" id="{3EE106AB-ED5F-4167-8562-EC85CE3473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7" name="AutoShape 1" descr="Vista previa de toda la pantalla">
          <a:extLst>
            <a:ext uri="{FF2B5EF4-FFF2-40B4-BE49-F238E27FC236}">
              <a16:creationId xmlns:a16="http://schemas.microsoft.com/office/drawing/2014/main" id="{97439894-70DB-4E61-82BD-C5F4D51F5D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8" name="AutoShape 1" descr="Vista previa de toda la pantalla">
          <a:extLst>
            <a:ext uri="{FF2B5EF4-FFF2-40B4-BE49-F238E27FC236}">
              <a16:creationId xmlns:a16="http://schemas.microsoft.com/office/drawing/2014/main" id="{FBD5E950-AC02-47FB-AAA4-1361146CC5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69" name="AutoShape 1" descr="Vista previa de toda la pantalla">
          <a:extLst>
            <a:ext uri="{FF2B5EF4-FFF2-40B4-BE49-F238E27FC236}">
              <a16:creationId xmlns:a16="http://schemas.microsoft.com/office/drawing/2014/main" id="{B668BF2F-51E4-4440-810C-C0AD9BCB5E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0" name="AutoShape 1" descr="Vista previa de toda la pantalla">
          <a:extLst>
            <a:ext uri="{FF2B5EF4-FFF2-40B4-BE49-F238E27FC236}">
              <a16:creationId xmlns:a16="http://schemas.microsoft.com/office/drawing/2014/main" id="{1C16E0F3-85C1-450B-8D20-5EB1C2F772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1" name="AutoShape 1" descr="Vista previa de toda la pantalla">
          <a:extLst>
            <a:ext uri="{FF2B5EF4-FFF2-40B4-BE49-F238E27FC236}">
              <a16:creationId xmlns:a16="http://schemas.microsoft.com/office/drawing/2014/main" id="{B47FA645-47A2-4B5C-A7AB-E1773FDF10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2" name="AutoShape 1" descr="Vista previa de toda la pantalla">
          <a:extLst>
            <a:ext uri="{FF2B5EF4-FFF2-40B4-BE49-F238E27FC236}">
              <a16:creationId xmlns:a16="http://schemas.microsoft.com/office/drawing/2014/main" id="{DDDF3FD3-08FF-4C79-AFD8-17C0CAF702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3" name="AutoShape 1" descr="Vista previa de toda la pantalla">
          <a:extLst>
            <a:ext uri="{FF2B5EF4-FFF2-40B4-BE49-F238E27FC236}">
              <a16:creationId xmlns:a16="http://schemas.microsoft.com/office/drawing/2014/main" id="{AF7AC00C-6C89-4624-833C-3EAA848D98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4" name="AutoShape 1" descr="Vista previa de toda la pantalla">
          <a:extLst>
            <a:ext uri="{FF2B5EF4-FFF2-40B4-BE49-F238E27FC236}">
              <a16:creationId xmlns:a16="http://schemas.microsoft.com/office/drawing/2014/main" id="{AD194BA7-653D-4DB6-B140-A13413E383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5" name="AutoShape 1" descr="Vista previa de toda la pantalla">
          <a:extLst>
            <a:ext uri="{FF2B5EF4-FFF2-40B4-BE49-F238E27FC236}">
              <a16:creationId xmlns:a16="http://schemas.microsoft.com/office/drawing/2014/main" id="{B1BA7CD2-FBF9-4752-9B9B-8DE74B0F81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6" name="AutoShape 1" descr="Vista previa de toda la pantalla">
          <a:extLst>
            <a:ext uri="{FF2B5EF4-FFF2-40B4-BE49-F238E27FC236}">
              <a16:creationId xmlns:a16="http://schemas.microsoft.com/office/drawing/2014/main" id="{2507E7C0-D4D6-41B9-860E-8ADF46A132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7" name="AutoShape 1" descr="Vista previa de toda la pantalla">
          <a:extLst>
            <a:ext uri="{FF2B5EF4-FFF2-40B4-BE49-F238E27FC236}">
              <a16:creationId xmlns:a16="http://schemas.microsoft.com/office/drawing/2014/main" id="{CFA75C89-1A3E-4C44-AACD-4D0EA9F02C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8" name="AutoShape 1" descr="Vista previa de toda la pantalla">
          <a:extLst>
            <a:ext uri="{FF2B5EF4-FFF2-40B4-BE49-F238E27FC236}">
              <a16:creationId xmlns:a16="http://schemas.microsoft.com/office/drawing/2014/main" id="{BBD5BA6A-3294-4BDE-9EF2-57C12E50F6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79" name="AutoShape 1" descr="Vista previa de toda la pantalla">
          <a:extLst>
            <a:ext uri="{FF2B5EF4-FFF2-40B4-BE49-F238E27FC236}">
              <a16:creationId xmlns:a16="http://schemas.microsoft.com/office/drawing/2014/main" id="{6EA4D93B-EDA3-4487-86E0-CB5254F14E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0" name="AutoShape 1" descr="Vista previa de toda la pantalla">
          <a:extLst>
            <a:ext uri="{FF2B5EF4-FFF2-40B4-BE49-F238E27FC236}">
              <a16:creationId xmlns:a16="http://schemas.microsoft.com/office/drawing/2014/main" id="{77C11DCF-19A6-444C-83F0-5E0150E339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1" name="AutoShape 1" descr="Vista previa de toda la pantalla">
          <a:extLst>
            <a:ext uri="{FF2B5EF4-FFF2-40B4-BE49-F238E27FC236}">
              <a16:creationId xmlns:a16="http://schemas.microsoft.com/office/drawing/2014/main" id="{4A3B543E-AA3C-4018-91A4-66ADF82974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2" name="AutoShape 1" descr="Vista previa de toda la pantalla">
          <a:extLst>
            <a:ext uri="{FF2B5EF4-FFF2-40B4-BE49-F238E27FC236}">
              <a16:creationId xmlns:a16="http://schemas.microsoft.com/office/drawing/2014/main" id="{7F30EA5A-3249-42B6-9E4E-3B0C9F2310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3" name="AutoShape 1" descr="Vista previa de toda la pantalla">
          <a:extLst>
            <a:ext uri="{FF2B5EF4-FFF2-40B4-BE49-F238E27FC236}">
              <a16:creationId xmlns:a16="http://schemas.microsoft.com/office/drawing/2014/main" id="{8D99FEB8-C61C-41F5-B98B-EBF3E882DF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4" name="AutoShape 1" descr="Vista previa de toda la pantalla">
          <a:extLst>
            <a:ext uri="{FF2B5EF4-FFF2-40B4-BE49-F238E27FC236}">
              <a16:creationId xmlns:a16="http://schemas.microsoft.com/office/drawing/2014/main" id="{D610C9FA-BB02-4F0A-80F9-BAF5A2A762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5" name="AutoShape 1" descr="Vista previa de toda la pantalla">
          <a:extLst>
            <a:ext uri="{FF2B5EF4-FFF2-40B4-BE49-F238E27FC236}">
              <a16:creationId xmlns:a16="http://schemas.microsoft.com/office/drawing/2014/main" id="{4606C152-0C2E-4AC1-901F-ECE32FA936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6" name="AutoShape 1" descr="Vista previa de toda la pantalla">
          <a:extLst>
            <a:ext uri="{FF2B5EF4-FFF2-40B4-BE49-F238E27FC236}">
              <a16:creationId xmlns:a16="http://schemas.microsoft.com/office/drawing/2014/main" id="{98A5E6FB-EAD7-418A-BEDF-04D616113E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7" name="AutoShape 1" descr="Vista previa de toda la pantalla">
          <a:extLst>
            <a:ext uri="{FF2B5EF4-FFF2-40B4-BE49-F238E27FC236}">
              <a16:creationId xmlns:a16="http://schemas.microsoft.com/office/drawing/2014/main" id="{9ABCFF6D-1B04-4CBF-8253-66C906232C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8" name="AutoShape 1" descr="Vista previa de toda la pantalla">
          <a:extLst>
            <a:ext uri="{FF2B5EF4-FFF2-40B4-BE49-F238E27FC236}">
              <a16:creationId xmlns:a16="http://schemas.microsoft.com/office/drawing/2014/main" id="{68974E8B-8C4C-4F54-91F7-DB8F5B2193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89" name="AutoShape 1" descr="Vista previa de toda la pantalla">
          <a:extLst>
            <a:ext uri="{FF2B5EF4-FFF2-40B4-BE49-F238E27FC236}">
              <a16:creationId xmlns:a16="http://schemas.microsoft.com/office/drawing/2014/main" id="{A60302F5-5D56-4C13-8030-1263015AC5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0" name="AutoShape 1" descr="Vista previa de toda la pantalla">
          <a:extLst>
            <a:ext uri="{FF2B5EF4-FFF2-40B4-BE49-F238E27FC236}">
              <a16:creationId xmlns:a16="http://schemas.microsoft.com/office/drawing/2014/main" id="{F825213A-EC67-4B87-942A-8BE9C666D7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1" name="AutoShape 1" descr="Vista previa de toda la pantalla">
          <a:extLst>
            <a:ext uri="{FF2B5EF4-FFF2-40B4-BE49-F238E27FC236}">
              <a16:creationId xmlns:a16="http://schemas.microsoft.com/office/drawing/2014/main" id="{FC85DC68-8B73-49A0-9D9F-318A58B2F8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2" name="AutoShape 1" descr="Vista previa de toda la pantalla">
          <a:extLst>
            <a:ext uri="{FF2B5EF4-FFF2-40B4-BE49-F238E27FC236}">
              <a16:creationId xmlns:a16="http://schemas.microsoft.com/office/drawing/2014/main" id="{2E6A4066-77FE-4A6E-9324-FB4F11B22F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3" name="AutoShape 1" descr="Vista previa de toda la pantalla">
          <a:extLst>
            <a:ext uri="{FF2B5EF4-FFF2-40B4-BE49-F238E27FC236}">
              <a16:creationId xmlns:a16="http://schemas.microsoft.com/office/drawing/2014/main" id="{2C765613-A0FA-442C-A364-414F6F8BD9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4" name="AutoShape 1" descr="Vista previa de toda la pantalla">
          <a:extLst>
            <a:ext uri="{FF2B5EF4-FFF2-40B4-BE49-F238E27FC236}">
              <a16:creationId xmlns:a16="http://schemas.microsoft.com/office/drawing/2014/main" id="{556BA0C9-E50D-424C-B8CA-397F4C2B56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5" name="AutoShape 1" descr="Vista previa de toda la pantalla">
          <a:extLst>
            <a:ext uri="{FF2B5EF4-FFF2-40B4-BE49-F238E27FC236}">
              <a16:creationId xmlns:a16="http://schemas.microsoft.com/office/drawing/2014/main" id="{E9F0C0A5-1CBA-4D51-81C0-24E93C14D6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6" name="AutoShape 1" descr="Vista previa de toda la pantalla">
          <a:extLst>
            <a:ext uri="{FF2B5EF4-FFF2-40B4-BE49-F238E27FC236}">
              <a16:creationId xmlns:a16="http://schemas.microsoft.com/office/drawing/2014/main" id="{C3D66E78-FEA2-40AD-939B-F61E39030B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7" name="AutoShape 1" descr="Vista previa de toda la pantalla">
          <a:extLst>
            <a:ext uri="{FF2B5EF4-FFF2-40B4-BE49-F238E27FC236}">
              <a16:creationId xmlns:a16="http://schemas.microsoft.com/office/drawing/2014/main" id="{2356E2CD-1CF6-4750-A79B-C5DCF31971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8" name="AutoShape 1" descr="Vista previa de toda la pantalla">
          <a:extLst>
            <a:ext uri="{FF2B5EF4-FFF2-40B4-BE49-F238E27FC236}">
              <a16:creationId xmlns:a16="http://schemas.microsoft.com/office/drawing/2014/main" id="{C8DE2435-38D5-4919-A7BC-7DDEFC2748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299" name="AutoShape 1" descr="Vista previa de toda la pantalla">
          <a:extLst>
            <a:ext uri="{FF2B5EF4-FFF2-40B4-BE49-F238E27FC236}">
              <a16:creationId xmlns:a16="http://schemas.microsoft.com/office/drawing/2014/main" id="{2487854A-6ADD-4265-9C36-812B972B86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0" name="AutoShape 1" descr="Vista previa de toda la pantalla">
          <a:extLst>
            <a:ext uri="{FF2B5EF4-FFF2-40B4-BE49-F238E27FC236}">
              <a16:creationId xmlns:a16="http://schemas.microsoft.com/office/drawing/2014/main" id="{59F3EB7D-1C3B-49B4-8BA4-5A1F6497DA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1" name="AutoShape 1" descr="Vista previa de toda la pantalla">
          <a:extLst>
            <a:ext uri="{FF2B5EF4-FFF2-40B4-BE49-F238E27FC236}">
              <a16:creationId xmlns:a16="http://schemas.microsoft.com/office/drawing/2014/main" id="{F3AAB509-F240-4AD3-8913-A73CB83422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2" name="AutoShape 1" descr="Vista previa de toda la pantalla">
          <a:extLst>
            <a:ext uri="{FF2B5EF4-FFF2-40B4-BE49-F238E27FC236}">
              <a16:creationId xmlns:a16="http://schemas.microsoft.com/office/drawing/2014/main" id="{8C7767BF-C87D-4316-A305-A38887D043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3" name="AutoShape 1" descr="Vista previa de toda la pantalla">
          <a:extLst>
            <a:ext uri="{FF2B5EF4-FFF2-40B4-BE49-F238E27FC236}">
              <a16:creationId xmlns:a16="http://schemas.microsoft.com/office/drawing/2014/main" id="{BE42E96C-13AD-4966-B122-CC93B4F73B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4" name="AutoShape 1" descr="Vista previa de toda la pantalla">
          <a:extLst>
            <a:ext uri="{FF2B5EF4-FFF2-40B4-BE49-F238E27FC236}">
              <a16:creationId xmlns:a16="http://schemas.microsoft.com/office/drawing/2014/main" id="{68B47137-3412-44C5-9F5F-E448B66ABC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5" name="AutoShape 1" descr="Vista previa de toda la pantalla">
          <a:extLst>
            <a:ext uri="{FF2B5EF4-FFF2-40B4-BE49-F238E27FC236}">
              <a16:creationId xmlns:a16="http://schemas.microsoft.com/office/drawing/2014/main" id="{BA948E70-4D30-4E12-A6D6-A406EDD1F8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6" name="AutoShape 1" descr="Vista previa de toda la pantalla">
          <a:extLst>
            <a:ext uri="{FF2B5EF4-FFF2-40B4-BE49-F238E27FC236}">
              <a16:creationId xmlns:a16="http://schemas.microsoft.com/office/drawing/2014/main" id="{608F8D5A-2874-474C-BC91-3B5081AA37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7" name="AutoShape 1" descr="Vista previa de toda la pantalla">
          <a:extLst>
            <a:ext uri="{FF2B5EF4-FFF2-40B4-BE49-F238E27FC236}">
              <a16:creationId xmlns:a16="http://schemas.microsoft.com/office/drawing/2014/main" id="{EE625726-D1D0-4C5F-8A7A-DC4B494C86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8" name="AutoShape 1" descr="Vista previa de toda la pantalla">
          <a:extLst>
            <a:ext uri="{FF2B5EF4-FFF2-40B4-BE49-F238E27FC236}">
              <a16:creationId xmlns:a16="http://schemas.microsoft.com/office/drawing/2014/main" id="{DD106871-DB44-4FDA-8CD7-EDD02F1642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09" name="AutoShape 1" descr="Vista previa de toda la pantalla">
          <a:extLst>
            <a:ext uri="{FF2B5EF4-FFF2-40B4-BE49-F238E27FC236}">
              <a16:creationId xmlns:a16="http://schemas.microsoft.com/office/drawing/2014/main" id="{A30BDFD2-F402-4BE5-96C0-EC8BBCE214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0" name="AutoShape 1" descr="Vista previa de toda la pantalla">
          <a:extLst>
            <a:ext uri="{FF2B5EF4-FFF2-40B4-BE49-F238E27FC236}">
              <a16:creationId xmlns:a16="http://schemas.microsoft.com/office/drawing/2014/main" id="{0F40E548-CC17-4907-A735-852B724842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1" name="AutoShape 1" descr="Vista previa de toda la pantalla">
          <a:extLst>
            <a:ext uri="{FF2B5EF4-FFF2-40B4-BE49-F238E27FC236}">
              <a16:creationId xmlns:a16="http://schemas.microsoft.com/office/drawing/2014/main" id="{04522091-DB4C-4CE0-B467-AAC9215DC5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2" name="AutoShape 1" descr="Vista previa de toda la pantalla">
          <a:extLst>
            <a:ext uri="{FF2B5EF4-FFF2-40B4-BE49-F238E27FC236}">
              <a16:creationId xmlns:a16="http://schemas.microsoft.com/office/drawing/2014/main" id="{B5829CFB-1B4C-4C85-B053-406C2D627D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3" name="AutoShape 1" descr="Vista previa de toda la pantalla">
          <a:extLst>
            <a:ext uri="{FF2B5EF4-FFF2-40B4-BE49-F238E27FC236}">
              <a16:creationId xmlns:a16="http://schemas.microsoft.com/office/drawing/2014/main" id="{F5DD5F96-7F59-4CFE-978F-FF5FE660E5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4" name="AutoShape 1" descr="Vista previa de toda la pantalla">
          <a:extLst>
            <a:ext uri="{FF2B5EF4-FFF2-40B4-BE49-F238E27FC236}">
              <a16:creationId xmlns:a16="http://schemas.microsoft.com/office/drawing/2014/main" id="{072B7B53-8D43-4F8E-98E0-238F7B03C0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5" name="AutoShape 1" descr="Vista previa de toda la pantalla">
          <a:extLst>
            <a:ext uri="{FF2B5EF4-FFF2-40B4-BE49-F238E27FC236}">
              <a16:creationId xmlns:a16="http://schemas.microsoft.com/office/drawing/2014/main" id="{364CE435-B579-4B02-B9EF-AC5A5A6745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6" name="AutoShape 1" descr="Vista previa de toda la pantalla">
          <a:extLst>
            <a:ext uri="{FF2B5EF4-FFF2-40B4-BE49-F238E27FC236}">
              <a16:creationId xmlns:a16="http://schemas.microsoft.com/office/drawing/2014/main" id="{61741BCC-6944-4B06-95EF-63AA528A99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7" name="AutoShape 1" descr="Vista previa de toda la pantalla">
          <a:extLst>
            <a:ext uri="{FF2B5EF4-FFF2-40B4-BE49-F238E27FC236}">
              <a16:creationId xmlns:a16="http://schemas.microsoft.com/office/drawing/2014/main" id="{5FB3EF92-1244-4749-811C-D627DE76DF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8" name="AutoShape 1" descr="Vista previa de toda la pantalla">
          <a:extLst>
            <a:ext uri="{FF2B5EF4-FFF2-40B4-BE49-F238E27FC236}">
              <a16:creationId xmlns:a16="http://schemas.microsoft.com/office/drawing/2014/main" id="{D31C9845-5F8C-4401-BA8C-4D91DCC73F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19" name="AutoShape 1" descr="Vista previa de toda la pantalla">
          <a:extLst>
            <a:ext uri="{FF2B5EF4-FFF2-40B4-BE49-F238E27FC236}">
              <a16:creationId xmlns:a16="http://schemas.microsoft.com/office/drawing/2014/main" id="{0CCEB8BD-64F6-4D42-BCD9-B45AAD9086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0" name="AutoShape 1" descr="Vista previa de toda la pantalla">
          <a:extLst>
            <a:ext uri="{FF2B5EF4-FFF2-40B4-BE49-F238E27FC236}">
              <a16:creationId xmlns:a16="http://schemas.microsoft.com/office/drawing/2014/main" id="{EF36F5C7-EA53-404F-83A2-7F9AFDB524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1" name="AutoShape 1" descr="Vista previa de toda la pantalla">
          <a:extLst>
            <a:ext uri="{FF2B5EF4-FFF2-40B4-BE49-F238E27FC236}">
              <a16:creationId xmlns:a16="http://schemas.microsoft.com/office/drawing/2014/main" id="{986E6B76-7437-49BF-9D1E-F6BB3E7307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2" name="AutoShape 1" descr="Vista previa de toda la pantalla">
          <a:extLst>
            <a:ext uri="{FF2B5EF4-FFF2-40B4-BE49-F238E27FC236}">
              <a16:creationId xmlns:a16="http://schemas.microsoft.com/office/drawing/2014/main" id="{463EDFB6-53CB-4BDE-9118-32534D9219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3" name="AutoShape 1" descr="Vista previa de toda la pantalla">
          <a:extLst>
            <a:ext uri="{FF2B5EF4-FFF2-40B4-BE49-F238E27FC236}">
              <a16:creationId xmlns:a16="http://schemas.microsoft.com/office/drawing/2014/main" id="{E229CACA-ABF2-4DE8-8AE6-13904046A9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4" name="AutoShape 1" descr="Vista previa de toda la pantalla">
          <a:extLst>
            <a:ext uri="{FF2B5EF4-FFF2-40B4-BE49-F238E27FC236}">
              <a16:creationId xmlns:a16="http://schemas.microsoft.com/office/drawing/2014/main" id="{AA5A308A-1794-464B-9F28-47B742E5CD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5" name="AutoShape 1" descr="Vista previa de toda la pantalla">
          <a:extLst>
            <a:ext uri="{FF2B5EF4-FFF2-40B4-BE49-F238E27FC236}">
              <a16:creationId xmlns:a16="http://schemas.microsoft.com/office/drawing/2014/main" id="{A60E155A-B6EF-4D46-9842-F6902CDC8A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6" name="AutoShape 1" descr="Vista previa de toda la pantalla">
          <a:extLst>
            <a:ext uri="{FF2B5EF4-FFF2-40B4-BE49-F238E27FC236}">
              <a16:creationId xmlns:a16="http://schemas.microsoft.com/office/drawing/2014/main" id="{937CE91D-A429-43A8-9796-09855B91F1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7" name="AutoShape 1" descr="Vista previa de toda la pantalla">
          <a:extLst>
            <a:ext uri="{FF2B5EF4-FFF2-40B4-BE49-F238E27FC236}">
              <a16:creationId xmlns:a16="http://schemas.microsoft.com/office/drawing/2014/main" id="{87154BDB-B204-4C90-83EE-289F47B593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8" name="AutoShape 1" descr="Vista previa de toda la pantalla">
          <a:extLst>
            <a:ext uri="{FF2B5EF4-FFF2-40B4-BE49-F238E27FC236}">
              <a16:creationId xmlns:a16="http://schemas.microsoft.com/office/drawing/2014/main" id="{37AC34A0-4096-4443-B092-387391E276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29" name="AutoShape 1" descr="Vista previa de toda la pantalla">
          <a:extLst>
            <a:ext uri="{FF2B5EF4-FFF2-40B4-BE49-F238E27FC236}">
              <a16:creationId xmlns:a16="http://schemas.microsoft.com/office/drawing/2014/main" id="{43AEF720-15BE-40FC-86FE-134742BEBD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0" name="AutoShape 1" descr="Vista previa de toda la pantalla">
          <a:extLst>
            <a:ext uri="{FF2B5EF4-FFF2-40B4-BE49-F238E27FC236}">
              <a16:creationId xmlns:a16="http://schemas.microsoft.com/office/drawing/2014/main" id="{3F10CC38-0A68-4449-9B97-CEF95B17BD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1" name="AutoShape 1" descr="Vista previa de toda la pantalla">
          <a:extLst>
            <a:ext uri="{FF2B5EF4-FFF2-40B4-BE49-F238E27FC236}">
              <a16:creationId xmlns:a16="http://schemas.microsoft.com/office/drawing/2014/main" id="{9E1D6BCF-4A3C-4356-86CB-4605286618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2" name="AutoShape 1" descr="Vista previa de toda la pantalla">
          <a:extLst>
            <a:ext uri="{FF2B5EF4-FFF2-40B4-BE49-F238E27FC236}">
              <a16:creationId xmlns:a16="http://schemas.microsoft.com/office/drawing/2014/main" id="{38C3229C-6F3F-4AA3-AEAE-A9EE814EC9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3" name="AutoShape 1" descr="Vista previa de toda la pantalla">
          <a:extLst>
            <a:ext uri="{FF2B5EF4-FFF2-40B4-BE49-F238E27FC236}">
              <a16:creationId xmlns:a16="http://schemas.microsoft.com/office/drawing/2014/main" id="{32943C27-CEF5-45C3-89D0-832A0A5976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4" name="AutoShape 1" descr="Vista previa de toda la pantalla">
          <a:extLst>
            <a:ext uri="{FF2B5EF4-FFF2-40B4-BE49-F238E27FC236}">
              <a16:creationId xmlns:a16="http://schemas.microsoft.com/office/drawing/2014/main" id="{E1C5B154-4D8D-4AD8-8868-2B90894C47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5" name="AutoShape 1" descr="Vista previa de toda la pantalla">
          <a:extLst>
            <a:ext uri="{FF2B5EF4-FFF2-40B4-BE49-F238E27FC236}">
              <a16:creationId xmlns:a16="http://schemas.microsoft.com/office/drawing/2014/main" id="{F5C43902-5FCA-43B0-BDD2-768CB18B86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6" name="AutoShape 1" descr="Vista previa de toda la pantalla">
          <a:extLst>
            <a:ext uri="{FF2B5EF4-FFF2-40B4-BE49-F238E27FC236}">
              <a16:creationId xmlns:a16="http://schemas.microsoft.com/office/drawing/2014/main" id="{7078CBC4-C453-4DDA-BBE4-E01A0BF07F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7" name="AutoShape 1" descr="Vista previa de toda la pantalla">
          <a:extLst>
            <a:ext uri="{FF2B5EF4-FFF2-40B4-BE49-F238E27FC236}">
              <a16:creationId xmlns:a16="http://schemas.microsoft.com/office/drawing/2014/main" id="{1F1090E4-8D6B-4525-A430-548B54CFF5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8" name="AutoShape 1" descr="Vista previa de toda la pantalla">
          <a:extLst>
            <a:ext uri="{FF2B5EF4-FFF2-40B4-BE49-F238E27FC236}">
              <a16:creationId xmlns:a16="http://schemas.microsoft.com/office/drawing/2014/main" id="{EF314EA3-8745-432F-94B2-82965658E5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39" name="AutoShape 1" descr="Vista previa de toda la pantalla">
          <a:extLst>
            <a:ext uri="{FF2B5EF4-FFF2-40B4-BE49-F238E27FC236}">
              <a16:creationId xmlns:a16="http://schemas.microsoft.com/office/drawing/2014/main" id="{F15BD594-27CE-49B5-B863-C809DA49B1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0" name="AutoShape 1" descr="Vista previa de toda la pantalla">
          <a:extLst>
            <a:ext uri="{FF2B5EF4-FFF2-40B4-BE49-F238E27FC236}">
              <a16:creationId xmlns:a16="http://schemas.microsoft.com/office/drawing/2014/main" id="{8637A0BB-307A-433E-9D57-0E2F155D14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1" name="AutoShape 1" descr="Vista previa de toda la pantalla">
          <a:extLst>
            <a:ext uri="{FF2B5EF4-FFF2-40B4-BE49-F238E27FC236}">
              <a16:creationId xmlns:a16="http://schemas.microsoft.com/office/drawing/2014/main" id="{814E8A00-5493-424C-BA3F-502AF4A122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2" name="AutoShape 1" descr="Vista previa de toda la pantalla">
          <a:extLst>
            <a:ext uri="{FF2B5EF4-FFF2-40B4-BE49-F238E27FC236}">
              <a16:creationId xmlns:a16="http://schemas.microsoft.com/office/drawing/2014/main" id="{59C6CE54-15C6-4CF4-BE18-2923FE5139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3" name="AutoShape 1" descr="Vista previa de toda la pantalla">
          <a:extLst>
            <a:ext uri="{FF2B5EF4-FFF2-40B4-BE49-F238E27FC236}">
              <a16:creationId xmlns:a16="http://schemas.microsoft.com/office/drawing/2014/main" id="{B476B264-3710-43F6-A372-C13367C4F2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4" name="AutoShape 1" descr="Vista previa de toda la pantalla">
          <a:extLst>
            <a:ext uri="{FF2B5EF4-FFF2-40B4-BE49-F238E27FC236}">
              <a16:creationId xmlns:a16="http://schemas.microsoft.com/office/drawing/2014/main" id="{28744556-9DD0-4EE6-AFB1-4086B12F0F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5" name="AutoShape 1" descr="Vista previa de toda la pantalla">
          <a:extLst>
            <a:ext uri="{FF2B5EF4-FFF2-40B4-BE49-F238E27FC236}">
              <a16:creationId xmlns:a16="http://schemas.microsoft.com/office/drawing/2014/main" id="{18355E35-EFF4-4F47-A299-734C215CCD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6" name="AutoShape 1" descr="Vista previa de toda la pantalla">
          <a:extLst>
            <a:ext uri="{FF2B5EF4-FFF2-40B4-BE49-F238E27FC236}">
              <a16:creationId xmlns:a16="http://schemas.microsoft.com/office/drawing/2014/main" id="{04550F0A-3043-48EF-98D5-FB91FEAA86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7" name="AutoShape 1" descr="Vista previa de toda la pantalla">
          <a:extLst>
            <a:ext uri="{FF2B5EF4-FFF2-40B4-BE49-F238E27FC236}">
              <a16:creationId xmlns:a16="http://schemas.microsoft.com/office/drawing/2014/main" id="{A9A0F96C-692A-4A71-AEBB-AFB7EE5B04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8" name="AutoShape 1" descr="Vista previa de toda la pantalla">
          <a:extLst>
            <a:ext uri="{FF2B5EF4-FFF2-40B4-BE49-F238E27FC236}">
              <a16:creationId xmlns:a16="http://schemas.microsoft.com/office/drawing/2014/main" id="{93338405-FD76-4380-8CA4-22597224D1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49" name="AutoShape 1" descr="Vista previa de toda la pantalla">
          <a:extLst>
            <a:ext uri="{FF2B5EF4-FFF2-40B4-BE49-F238E27FC236}">
              <a16:creationId xmlns:a16="http://schemas.microsoft.com/office/drawing/2014/main" id="{F3EB95F1-9E17-46FC-9F36-94ED8EC7B7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50" name="AutoShape 1" descr="Vista previa de toda la pantalla">
          <a:extLst>
            <a:ext uri="{FF2B5EF4-FFF2-40B4-BE49-F238E27FC236}">
              <a16:creationId xmlns:a16="http://schemas.microsoft.com/office/drawing/2014/main" id="{0E1EED16-DD35-46F9-9830-8CF5E0D27A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51" name="AutoShape 1" descr="Vista previa de toda la pantalla">
          <a:extLst>
            <a:ext uri="{FF2B5EF4-FFF2-40B4-BE49-F238E27FC236}">
              <a16:creationId xmlns:a16="http://schemas.microsoft.com/office/drawing/2014/main" id="{C3E47772-A3CA-48FE-B577-54E2F19ECF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3352" name="AutoShape 1" descr="Vista previa de toda la pantalla">
          <a:extLst>
            <a:ext uri="{FF2B5EF4-FFF2-40B4-BE49-F238E27FC236}">
              <a16:creationId xmlns:a16="http://schemas.microsoft.com/office/drawing/2014/main" id="{11AF50B1-5E55-4E95-9882-F9516B885DE8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53" name="AutoShape 1" descr="Vista previa de toda la pantalla">
          <a:extLst>
            <a:ext uri="{FF2B5EF4-FFF2-40B4-BE49-F238E27FC236}">
              <a16:creationId xmlns:a16="http://schemas.microsoft.com/office/drawing/2014/main" id="{3164F754-3ABD-485E-914F-634EC0255F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54" name="AutoShape 1" descr="Vista previa de toda la pantalla">
          <a:extLst>
            <a:ext uri="{FF2B5EF4-FFF2-40B4-BE49-F238E27FC236}">
              <a16:creationId xmlns:a16="http://schemas.microsoft.com/office/drawing/2014/main" id="{73F92FE4-16EC-4D76-9ED4-31E59C1492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55" name="AutoShape 1" descr="Vista previa de toda la pantalla">
          <a:extLst>
            <a:ext uri="{FF2B5EF4-FFF2-40B4-BE49-F238E27FC236}">
              <a16:creationId xmlns:a16="http://schemas.microsoft.com/office/drawing/2014/main" id="{477B1CA6-2B98-435E-8064-EEE47BD4B3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56" name="AutoShape 1" descr="Vista previa de toda la pantalla">
          <a:extLst>
            <a:ext uri="{FF2B5EF4-FFF2-40B4-BE49-F238E27FC236}">
              <a16:creationId xmlns:a16="http://schemas.microsoft.com/office/drawing/2014/main" id="{A0F8888C-F3C5-4D02-8343-16F542C90B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57" name="AutoShape 1" descr="Vista previa de toda la pantalla">
          <a:extLst>
            <a:ext uri="{FF2B5EF4-FFF2-40B4-BE49-F238E27FC236}">
              <a16:creationId xmlns:a16="http://schemas.microsoft.com/office/drawing/2014/main" id="{ED5E42AD-7240-4525-8B88-CE8C4B9883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58" name="AutoShape 1" descr="Vista previa de toda la pantalla">
          <a:extLst>
            <a:ext uri="{FF2B5EF4-FFF2-40B4-BE49-F238E27FC236}">
              <a16:creationId xmlns:a16="http://schemas.microsoft.com/office/drawing/2014/main" id="{1D5F891B-6E42-4E4F-9215-EC4727E0FA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59" name="AutoShape 1" descr="Vista previa de toda la pantalla">
          <a:extLst>
            <a:ext uri="{FF2B5EF4-FFF2-40B4-BE49-F238E27FC236}">
              <a16:creationId xmlns:a16="http://schemas.microsoft.com/office/drawing/2014/main" id="{557ADE02-3FC1-4849-BBD5-0B4C58835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0" name="AutoShape 1" descr="Vista previa de toda la pantalla">
          <a:extLst>
            <a:ext uri="{FF2B5EF4-FFF2-40B4-BE49-F238E27FC236}">
              <a16:creationId xmlns:a16="http://schemas.microsoft.com/office/drawing/2014/main" id="{4E19D13A-671B-4B37-BD75-F1C4DDE994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1" name="AutoShape 1" descr="Vista previa de toda la pantalla">
          <a:extLst>
            <a:ext uri="{FF2B5EF4-FFF2-40B4-BE49-F238E27FC236}">
              <a16:creationId xmlns:a16="http://schemas.microsoft.com/office/drawing/2014/main" id="{71C019CB-B024-4F4D-AAFB-C4B996ABEF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2" name="AutoShape 1" descr="Vista previa de toda la pantalla">
          <a:extLst>
            <a:ext uri="{FF2B5EF4-FFF2-40B4-BE49-F238E27FC236}">
              <a16:creationId xmlns:a16="http://schemas.microsoft.com/office/drawing/2014/main" id="{43C7AF83-91F0-421C-8D68-A5C2E6A0B4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3" name="AutoShape 1" descr="Vista previa de toda la pantalla">
          <a:extLst>
            <a:ext uri="{FF2B5EF4-FFF2-40B4-BE49-F238E27FC236}">
              <a16:creationId xmlns:a16="http://schemas.microsoft.com/office/drawing/2014/main" id="{57B4C4C7-3E7E-4E39-9353-D1AACB49BF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4" name="AutoShape 1" descr="Vista previa de toda la pantalla">
          <a:extLst>
            <a:ext uri="{FF2B5EF4-FFF2-40B4-BE49-F238E27FC236}">
              <a16:creationId xmlns:a16="http://schemas.microsoft.com/office/drawing/2014/main" id="{B270ABA1-5E03-453F-B17D-2583166A2A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5" name="AutoShape 1" descr="Vista previa de toda la pantalla">
          <a:extLst>
            <a:ext uri="{FF2B5EF4-FFF2-40B4-BE49-F238E27FC236}">
              <a16:creationId xmlns:a16="http://schemas.microsoft.com/office/drawing/2014/main" id="{F7D65A79-4602-4379-B158-A5D3780AE1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6" name="AutoShape 1" descr="Vista previa de toda la pantalla">
          <a:extLst>
            <a:ext uri="{FF2B5EF4-FFF2-40B4-BE49-F238E27FC236}">
              <a16:creationId xmlns:a16="http://schemas.microsoft.com/office/drawing/2014/main" id="{B3154A98-8669-46FC-9910-109587839A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7" name="AutoShape 1" descr="Vista previa de toda la pantalla">
          <a:extLst>
            <a:ext uri="{FF2B5EF4-FFF2-40B4-BE49-F238E27FC236}">
              <a16:creationId xmlns:a16="http://schemas.microsoft.com/office/drawing/2014/main" id="{09D19C31-7A10-42BA-A7B1-D927B626FD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8" name="AutoShape 1" descr="Vista previa de toda la pantalla">
          <a:extLst>
            <a:ext uri="{FF2B5EF4-FFF2-40B4-BE49-F238E27FC236}">
              <a16:creationId xmlns:a16="http://schemas.microsoft.com/office/drawing/2014/main" id="{FC3B2BC6-0470-4B5F-831F-77806921F2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69" name="AutoShape 1" descr="Vista previa de toda la pantalla">
          <a:extLst>
            <a:ext uri="{FF2B5EF4-FFF2-40B4-BE49-F238E27FC236}">
              <a16:creationId xmlns:a16="http://schemas.microsoft.com/office/drawing/2014/main" id="{F5027C02-8217-4D84-9946-00193B7982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0" name="AutoShape 1" descr="Vista previa de toda la pantalla">
          <a:extLst>
            <a:ext uri="{FF2B5EF4-FFF2-40B4-BE49-F238E27FC236}">
              <a16:creationId xmlns:a16="http://schemas.microsoft.com/office/drawing/2014/main" id="{FC442403-754E-4939-8019-16F7E5903C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1" name="AutoShape 1" descr="Vista previa de toda la pantalla">
          <a:extLst>
            <a:ext uri="{FF2B5EF4-FFF2-40B4-BE49-F238E27FC236}">
              <a16:creationId xmlns:a16="http://schemas.microsoft.com/office/drawing/2014/main" id="{41E94869-8F3F-4FCC-8FC4-375D776F41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2" name="AutoShape 1" descr="Vista previa de toda la pantalla">
          <a:extLst>
            <a:ext uri="{FF2B5EF4-FFF2-40B4-BE49-F238E27FC236}">
              <a16:creationId xmlns:a16="http://schemas.microsoft.com/office/drawing/2014/main" id="{ABD633EC-45AA-4560-8216-BC769D1902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3" name="AutoShape 1" descr="Vista previa de toda la pantalla">
          <a:extLst>
            <a:ext uri="{FF2B5EF4-FFF2-40B4-BE49-F238E27FC236}">
              <a16:creationId xmlns:a16="http://schemas.microsoft.com/office/drawing/2014/main" id="{4DC7F08C-456F-4957-929A-5402EABB18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4" name="AutoShape 1" descr="Vista previa de toda la pantalla">
          <a:extLst>
            <a:ext uri="{FF2B5EF4-FFF2-40B4-BE49-F238E27FC236}">
              <a16:creationId xmlns:a16="http://schemas.microsoft.com/office/drawing/2014/main" id="{3A958707-B8CF-45DE-8B0E-5A15EA9C77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5" name="AutoShape 1" descr="Vista previa de toda la pantalla">
          <a:extLst>
            <a:ext uri="{FF2B5EF4-FFF2-40B4-BE49-F238E27FC236}">
              <a16:creationId xmlns:a16="http://schemas.microsoft.com/office/drawing/2014/main" id="{73D94588-0A95-4CE9-81BE-A03FF67368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6" name="AutoShape 1" descr="Vista previa de toda la pantalla">
          <a:extLst>
            <a:ext uri="{FF2B5EF4-FFF2-40B4-BE49-F238E27FC236}">
              <a16:creationId xmlns:a16="http://schemas.microsoft.com/office/drawing/2014/main" id="{DFBC4029-F2B1-4602-B9DC-5D815809A4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7" name="AutoShape 1" descr="Vista previa de toda la pantalla">
          <a:extLst>
            <a:ext uri="{FF2B5EF4-FFF2-40B4-BE49-F238E27FC236}">
              <a16:creationId xmlns:a16="http://schemas.microsoft.com/office/drawing/2014/main" id="{96971A5C-8B02-432D-AD77-C4DF87BA48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8" name="AutoShape 1" descr="Vista previa de toda la pantalla">
          <a:extLst>
            <a:ext uri="{FF2B5EF4-FFF2-40B4-BE49-F238E27FC236}">
              <a16:creationId xmlns:a16="http://schemas.microsoft.com/office/drawing/2014/main" id="{E8C2A484-3183-4DCD-9CE3-A64BAAFB38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79" name="AutoShape 1" descr="Vista previa de toda la pantalla">
          <a:extLst>
            <a:ext uri="{FF2B5EF4-FFF2-40B4-BE49-F238E27FC236}">
              <a16:creationId xmlns:a16="http://schemas.microsoft.com/office/drawing/2014/main" id="{3D8D1779-2DB8-43E0-ACD3-4D6B65F14B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0" name="AutoShape 1" descr="Vista previa de toda la pantalla">
          <a:extLst>
            <a:ext uri="{FF2B5EF4-FFF2-40B4-BE49-F238E27FC236}">
              <a16:creationId xmlns:a16="http://schemas.microsoft.com/office/drawing/2014/main" id="{3A5FB680-5916-4D60-A1C7-2DCE03AD8B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1" name="AutoShape 1" descr="Vista previa de toda la pantalla">
          <a:extLst>
            <a:ext uri="{FF2B5EF4-FFF2-40B4-BE49-F238E27FC236}">
              <a16:creationId xmlns:a16="http://schemas.microsoft.com/office/drawing/2014/main" id="{D72E63E9-E74E-461E-B3ED-4F65162C67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2" name="AutoShape 1" descr="Vista previa de toda la pantalla">
          <a:extLst>
            <a:ext uri="{FF2B5EF4-FFF2-40B4-BE49-F238E27FC236}">
              <a16:creationId xmlns:a16="http://schemas.microsoft.com/office/drawing/2014/main" id="{9D19C895-CB7A-4848-9519-B97C3BD517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3" name="AutoShape 1" descr="Vista previa de toda la pantalla">
          <a:extLst>
            <a:ext uri="{FF2B5EF4-FFF2-40B4-BE49-F238E27FC236}">
              <a16:creationId xmlns:a16="http://schemas.microsoft.com/office/drawing/2014/main" id="{447D18E3-3440-4D5A-9C81-0A04D3E2CE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4" name="AutoShape 1" descr="Vista previa de toda la pantalla">
          <a:extLst>
            <a:ext uri="{FF2B5EF4-FFF2-40B4-BE49-F238E27FC236}">
              <a16:creationId xmlns:a16="http://schemas.microsoft.com/office/drawing/2014/main" id="{441AAF1E-DA4D-475B-B67D-BE15B0E48B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5" name="AutoShape 1" descr="Vista previa de toda la pantalla">
          <a:extLst>
            <a:ext uri="{FF2B5EF4-FFF2-40B4-BE49-F238E27FC236}">
              <a16:creationId xmlns:a16="http://schemas.microsoft.com/office/drawing/2014/main" id="{1933CEDE-8FD2-4C09-BA5E-28AAFA062D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6" name="AutoShape 1" descr="Vista previa de toda la pantalla">
          <a:extLst>
            <a:ext uri="{FF2B5EF4-FFF2-40B4-BE49-F238E27FC236}">
              <a16:creationId xmlns:a16="http://schemas.microsoft.com/office/drawing/2014/main" id="{B1A4AD84-3D50-4F66-9117-D27B1773B6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7" name="AutoShape 1" descr="Vista previa de toda la pantalla">
          <a:extLst>
            <a:ext uri="{FF2B5EF4-FFF2-40B4-BE49-F238E27FC236}">
              <a16:creationId xmlns:a16="http://schemas.microsoft.com/office/drawing/2014/main" id="{3A1E1D96-BAC0-4566-8CA5-B1AF70193C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8" name="AutoShape 1" descr="Vista previa de toda la pantalla">
          <a:extLst>
            <a:ext uri="{FF2B5EF4-FFF2-40B4-BE49-F238E27FC236}">
              <a16:creationId xmlns:a16="http://schemas.microsoft.com/office/drawing/2014/main" id="{00277362-6D9A-4A48-9F00-CC106C8CC8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89" name="AutoShape 1" descr="Vista previa de toda la pantalla">
          <a:extLst>
            <a:ext uri="{FF2B5EF4-FFF2-40B4-BE49-F238E27FC236}">
              <a16:creationId xmlns:a16="http://schemas.microsoft.com/office/drawing/2014/main" id="{50094166-3C6E-423C-B56D-D61FA9955D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0" name="AutoShape 1" descr="Vista previa de toda la pantalla">
          <a:extLst>
            <a:ext uri="{FF2B5EF4-FFF2-40B4-BE49-F238E27FC236}">
              <a16:creationId xmlns:a16="http://schemas.microsoft.com/office/drawing/2014/main" id="{8BD7F2E0-756B-41D5-BD9C-8E56D2BB39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1" name="AutoShape 1" descr="Vista previa de toda la pantalla">
          <a:extLst>
            <a:ext uri="{FF2B5EF4-FFF2-40B4-BE49-F238E27FC236}">
              <a16:creationId xmlns:a16="http://schemas.microsoft.com/office/drawing/2014/main" id="{EBB7A7A2-D651-4EC3-BE75-4C3DF73069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2" name="AutoShape 1" descr="Vista previa de toda la pantalla">
          <a:extLst>
            <a:ext uri="{FF2B5EF4-FFF2-40B4-BE49-F238E27FC236}">
              <a16:creationId xmlns:a16="http://schemas.microsoft.com/office/drawing/2014/main" id="{E9653289-AE42-4A64-BD19-678BF2788F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3" name="AutoShape 1" descr="Vista previa de toda la pantalla">
          <a:extLst>
            <a:ext uri="{FF2B5EF4-FFF2-40B4-BE49-F238E27FC236}">
              <a16:creationId xmlns:a16="http://schemas.microsoft.com/office/drawing/2014/main" id="{3A7D30B0-0FF9-4247-A139-A51A35CFD5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4" name="AutoShape 1" descr="Vista previa de toda la pantalla">
          <a:extLst>
            <a:ext uri="{FF2B5EF4-FFF2-40B4-BE49-F238E27FC236}">
              <a16:creationId xmlns:a16="http://schemas.microsoft.com/office/drawing/2014/main" id="{62497FF2-2502-4EA6-8638-60950D349D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5" name="AutoShape 1" descr="Vista previa de toda la pantalla">
          <a:extLst>
            <a:ext uri="{FF2B5EF4-FFF2-40B4-BE49-F238E27FC236}">
              <a16:creationId xmlns:a16="http://schemas.microsoft.com/office/drawing/2014/main" id="{636C111E-4250-4E92-9B2A-BF5A91E41A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6" name="AutoShape 1" descr="Vista previa de toda la pantalla">
          <a:extLst>
            <a:ext uri="{FF2B5EF4-FFF2-40B4-BE49-F238E27FC236}">
              <a16:creationId xmlns:a16="http://schemas.microsoft.com/office/drawing/2014/main" id="{21A92668-BB57-4811-AEDA-07AC0EB504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7" name="AutoShape 1" descr="Vista previa de toda la pantalla">
          <a:extLst>
            <a:ext uri="{FF2B5EF4-FFF2-40B4-BE49-F238E27FC236}">
              <a16:creationId xmlns:a16="http://schemas.microsoft.com/office/drawing/2014/main" id="{1B619CDF-0319-4F7F-A5C1-1CC2D99EC0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8" name="AutoShape 1" descr="Vista previa de toda la pantalla">
          <a:extLst>
            <a:ext uri="{FF2B5EF4-FFF2-40B4-BE49-F238E27FC236}">
              <a16:creationId xmlns:a16="http://schemas.microsoft.com/office/drawing/2014/main" id="{49130788-2B8E-44AF-A4B4-F48856BAE9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399" name="AutoShape 1" descr="Vista previa de toda la pantalla">
          <a:extLst>
            <a:ext uri="{FF2B5EF4-FFF2-40B4-BE49-F238E27FC236}">
              <a16:creationId xmlns:a16="http://schemas.microsoft.com/office/drawing/2014/main" id="{B9B550F9-886C-4AC6-9101-9B1AD34055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0" name="AutoShape 1" descr="Vista previa de toda la pantalla">
          <a:extLst>
            <a:ext uri="{FF2B5EF4-FFF2-40B4-BE49-F238E27FC236}">
              <a16:creationId xmlns:a16="http://schemas.microsoft.com/office/drawing/2014/main" id="{07FB4A88-54DF-43C4-82B9-34B4EC42BE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1" name="AutoShape 1" descr="Vista previa de toda la pantalla">
          <a:extLst>
            <a:ext uri="{FF2B5EF4-FFF2-40B4-BE49-F238E27FC236}">
              <a16:creationId xmlns:a16="http://schemas.microsoft.com/office/drawing/2014/main" id="{946D05A4-60E4-4F6E-97B0-E161857737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2" name="AutoShape 1" descr="Vista previa de toda la pantalla">
          <a:extLst>
            <a:ext uri="{FF2B5EF4-FFF2-40B4-BE49-F238E27FC236}">
              <a16:creationId xmlns:a16="http://schemas.microsoft.com/office/drawing/2014/main" id="{F28D7D08-D9FC-4B2C-80E2-80F06C8035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3" name="AutoShape 1" descr="Vista previa de toda la pantalla">
          <a:extLst>
            <a:ext uri="{FF2B5EF4-FFF2-40B4-BE49-F238E27FC236}">
              <a16:creationId xmlns:a16="http://schemas.microsoft.com/office/drawing/2014/main" id="{886FEEFD-5230-43E9-936A-DBEF254422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4" name="AutoShape 1" descr="Vista previa de toda la pantalla">
          <a:extLst>
            <a:ext uri="{FF2B5EF4-FFF2-40B4-BE49-F238E27FC236}">
              <a16:creationId xmlns:a16="http://schemas.microsoft.com/office/drawing/2014/main" id="{63D2D647-B902-4905-8F4D-691B02B3DC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5" name="AutoShape 1" descr="Vista previa de toda la pantalla">
          <a:extLst>
            <a:ext uri="{FF2B5EF4-FFF2-40B4-BE49-F238E27FC236}">
              <a16:creationId xmlns:a16="http://schemas.microsoft.com/office/drawing/2014/main" id="{0DAA7545-97D0-49E9-9C6D-091498A4D9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6" name="AutoShape 1" descr="Vista previa de toda la pantalla">
          <a:extLst>
            <a:ext uri="{FF2B5EF4-FFF2-40B4-BE49-F238E27FC236}">
              <a16:creationId xmlns:a16="http://schemas.microsoft.com/office/drawing/2014/main" id="{2DB5BA2A-3913-446E-8B51-C259F394B2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7" name="AutoShape 1" descr="Vista previa de toda la pantalla">
          <a:extLst>
            <a:ext uri="{FF2B5EF4-FFF2-40B4-BE49-F238E27FC236}">
              <a16:creationId xmlns:a16="http://schemas.microsoft.com/office/drawing/2014/main" id="{707336BE-30EB-4A39-8CD7-089F101D20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8" name="AutoShape 1" descr="Vista previa de toda la pantalla">
          <a:extLst>
            <a:ext uri="{FF2B5EF4-FFF2-40B4-BE49-F238E27FC236}">
              <a16:creationId xmlns:a16="http://schemas.microsoft.com/office/drawing/2014/main" id="{4311727E-354F-47C8-9019-0DF77E3BAD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09" name="AutoShape 1" descr="Vista previa de toda la pantalla">
          <a:extLst>
            <a:ext uri="{FF2B5EF4-FFF2-40B4-BE49-F238E27FC236}">
              <a16:creationId xmlns:a16="http://schemas.microsoft.com/office/drawing/2014/main" id="{F7A5B9A9-BFD7-4BEA-8065-1C97E08A44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0" name="AutoShape 1" descr="Vista previa de toda la pantalla">
          <a:extLst>
            <a:ext uri="{FF2B5EF4-FFF2-40B4-BE49-F238E27FC236}">
              <a16:creationId xmlns:a16="http://schemas.microsoft.com/office/drawing/2014/main" id="{0F328B8C-BD1B-4032-BD68-F5C07BF3EC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1" name="AutoShape 1" descr="Vista previa de toda la pantalla">
          <a:extLst>
            <a:ext uri="{FF2B5EF4-FFF2-40B4-BE49-F238E27FC236}">
              <a16:creationId xmlns:a16="http://schemas.microsoft.com/office/drawing/2014/main" id="{B438CECB-E611-47A1-83BE-3CF04012ED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2" name="AutoShape 1" descr="Vista previa de toda la pantalla">
          <a:extLst>
            <a:ext uri="{FF2B5EF4-FFF2-40B4-BE49-F238E27FC236}">
              <a16:creationId xmlns:a16="http://schemas.microsoft.com/office/drawing/2014/main" id="{01C9400A-D329-4E28-8BDC-D70451B952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3" name="AutoShape 1" descr="Vista previa de toda la pantalla">
          <a:extLst>
            <a:ext uri="{FF2B5EF4-FFF2-40B4-BE49-F238E27FC236}">
              <a16:creationId xmlns:a16="http://schemas.microsoft.com/office/drawing/2014/main" id="{456CEBF9-798A-4A93-9A44-503E0E7B83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4" name="AutoShape 1" descr="Vista previa de toda la pantalla">
          <a:extLst>
            <a:ext uri="{FF2B5EF4-FFF2-40B4-BE49-F238E27FC236}">
              <a16:creationId xmlns:a16="http://schemas.microsoft.com/office/drawing/2014/main" id="{F9ECD358-8C48-41C7-B941-2CF47A05B3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5" name="AutoShape 1" descr="Vista previa de toda la pantalla">
          <a:extLst>
            <a:ext uri="{FF2B5EF4-FFF2-40B4-BE49-F238E27FC236}">
              <a16:creationId xmlns:a16="http://schemas.microsoft.com/office/drawing/2014/main" id="{BBFBBA5D-6D25-47D6-8844-5387F54682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6" name="AutoShape 1" descr="Vista previa de toda la pantalla">
          <a:extLst>
            <a:ext uri="{FF2B5EF4-FFF2-40B4-BE49-F238E27FC236}">
              <a16:creationId xmlns:a16="http://schemas.microsoft.com/office/drawing/2014/main" id="{751BA94A-8807-49AD-8EEA-8795EC8B82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7" name="AutoShape 1" descr="Vista previa de toda la pantalla">
          <a:extLst>
            <a:ext uri="{FF2B5EF4-FFF2-40B4-BE49-F238E27FC236}">
              <a16:creationId xmlns:a16="http://schemas.microsoft.com/office/drawing/2014/main" id="{B6B5BA3D-4DF6-4F24-B2BA-6C2D963197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8" name="AutoShape 1" descr="Vista previa de toda la pantalla">
          <a:extLst>
            <a:ext uri="{FF2B5EF4-FFF2-40B4-BE49-F238E27FC236}">
              <a16:creationId xmlns:a16="http://schemas.microsoft.com/office/drawing/2014/main" id="{C65E2125-A9A6-4CBA-8A04-68F709BC34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19" name="AutoShape 1" descr="Vista previa de toda la pantalla">
          <a:extLst>
            <a:ext uri="{FF2B5EF4-FFF2-40B4-BE49-F238E27FC236}">
              <a16:creationId xmlns:a16="http://schemas.microsoft.com/office/drawing/2014/main" id="{AEA83C1C-11B5-4423-81D9-FA903AFC34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0" name="AutoShape 1" descr="Vista previa de toda la pantalla">
          <a:extLst>
            <a:ext uri="{FF2B5EF4-FFF2-40B4-BE49-F238E27FC236}">
              <a16:creationId xmlns:a16="http://schemas.microsoft.com/office/drawing/2014/main" id="{BA63F073-ACB4-42FE-85E1-AFE1BFBCFA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1" name="AutoShape 1" descr="Vista previa de toda la pantalla">
          <a:extLst>
            <a:ext uri="{FF2B5EF4-FFF2-40B4-BE49-F238E27FC236}">
              <a16:creationId xmlns:a16="http://schemas.microsoft.com/office/drawing/2014/main" id="{85F2A838-C04C-468F-BC60-DF1051A778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2" name="AutoShape 1" descr="Vista previa de toda la pantalla">
          <a:extLst>
            <a:ext uri="{FF2B5EF4-FFF2-40B4-BE49-F238E27FC236}">
              <a16:creationId xmlns:a16="http://schemas.microsoft.com/office/drawing/2014/main" id="{5F32C1E6-CFDE-4FD0-B72C-0C863D3B54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3" name="AutoShape 1" descr="Vista previa de toda la pantalla">
          <a:extLst>
            <a:ext uri="{FF2B5EF4-FFF2-40B4-BE49-F238E27FC236}">
              <a16:creationId xmlns:a16="http://schemas.microsoft.com/office/drawing/2014/main" id="{0078F356-6FB0-41E9-84A6-3A4F6CE92A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4" name="AutoShape 1" descr="Vista previa de toda la pantalla">
          <a:extLst>
            <a:ext uri="{FF2B5EF4-FFF2-40B4-BE49-F238E27FC236}">
              <a16:creationId xmlns:a16="http://schemas.microsoft.com/office/drawing/2014/main" id="{A9B18A63-F3C0-4DC1-A0E4-2BA2FC9CC1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5" name="AutoShape 1" descr="Vista previa de toda la pantalla">
          <a:extLst>
            <a:ext uri="{FF2B5EF4-FFF2-40B4-BE49-F238E27FC236}">
              <a16:creationId xmlns:a16="http://schemas.microsoft.com/office/drawing/2014/main" id="{30C5F60B-935C-462D-83E5-9BD1384F62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6" name="AutoShape 1" descr="Vista previa de toda la pantalla">
          <a:extLst>
            <a:ext uri="{FF2B5EF4-FFF2-40B4-BE49-F238E27FC236}">
              <a16:creationId xmlns:a16="http://schemas.microsoft.com/office/drawing/2014/main" id="{27D4FFFA-C06C-42CE-BFDA-8807AC1668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7" name="AutoShape 1" descr="Vista previa de toda la pantalla">
          <a:extLst>
            <a:ext uri="{FF2B5EF4-FFF2-40B4-BE49-F238E27FC236}">
              <a16:creationId xmlns:a16="http://schemas.microsoft.com/office/drawing/2014/main" id="{92F8F193-475C-4836-84C4-B2BF16278D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8" name="AutoShape 1" descr="Vista previa de toda la pantalla">
          <a:extLst>
            <a:ext uri="{FF2B5EF4-FFF2-40B4-BE49-F238E27FC236}">
              <a16:creationId xmlns:a16="http://schemas.microsoft.com/office/drawing/2014/main" id="{CDA02A34-42BA-42B5-A5AA-0F3F0A1842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29" name="AutoShape 1" descr="Vista previa de toda la pantalla">
          <a:extLst>
            <a:ext uri="{FF2B5EF4-FFF2-40B4-BE49-F238E27FC236}">
              <a16:creationId xmlns:a16="http://schemas.microsoft.com/office/drawing/2014/main" id="{326FFFB1-703D-479E-828A-4391BCFD6D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0" name="AutoShape 1" descr="Vista previa de toda la pantalla">
          <a:extLst>
            <a:ext uri="{FF2B5EF4-FFF2-40B4-BE49-F238E27FC236}">
              <a16:creationId xmlns:a16="http://schemas.microsoft.com/office/drawing/2014/main" id="{40F356EC-365E-4DFD-896C-05CEB074AF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1" name="AutoShape 1" descr="Vista previa de toda la pantalla">
          <a:extLst>
            <a:ext uri="{FF2B5EF4-FFF2-40B4-BE49-F238E27FC236}">
              <a16:creationId xmlns:a16="http://schemas.microsoft.com/office/drawing/2014/main" id="{614663E0-06DC-4BE4-B585-9CCAAB4BE3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2" name="AutoShape 1" descr="Vista previa de toda la pantalla">
          <a:extLst>
            <a:ext uri="{FF2B5EF4-FFF2-40B4-BE49-F238E27FC236}">
              <a16:creationId xmlns:a16="http://schemas.microsoft.com/office/drawing/2014/main" id="{ED2E4E53-6DFE-4BDF-903C-230D2427CA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3" name="AutoShape 1" descr="Vista previa de toda la pantalla">
          <a:extLst>
            <a:ext uri="{FF2B5EF4-FFF2-40B4-BE49-F238E27FC236}">
              <a16:creationId xmlns:a16="http://schemas.microsoft.com/office/drawing/2014/main" id="{58B32E44-A483-4C78-9929-BE6033910A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4" name="AutoShape 1" descr="Vista previa de toda la pantalla">
          <a:extLst>
            <a:ext uri="{FF2B5EF4-FFF2-40B4-BE49-F238E27FC236}">
              <a16:creationId xmlns:a16="http://schemas.microsoft.com/office/drawing/2014/main" id="{05C36C10-F88F-4281-891A-31B2B67F99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5" name="AutoShape 1" descr="Vista previa de toda la pantalla">
          <a:extLst>
            <a:ext uri="{FF2B5EF4-FFF2-40B4-BE49-F238E27FC236}">
              <a16:creationId xmlns:a16="http://schemas.microsoft.com/office/drawing/2014/main" id="{8E0A4BAC-5512-452C-9988-6ABEF9C7A3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6" name="AutoShape 1" descr="Vista previa de toda la pantalla">
          <a:extLst>
            <a:ext uri="{FF2B5EF4-FFF2-40B4-BE49-F238E27FC236}">
              <a16:creationId xmlns:a16="http://schemas.microsoft.com/office/drawing/2014/main" id="{7E919A51-26E6-4963-9F01-7901BB5DAD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7" name="AutoShape 1" descr="Vista previa de toda la pantalla">
          <a:extLst>
            <a:ext uri="{FF2B5EF4-FFF2-40B4-BE49-F238E27FC236}">
              <a16:creationId xmlns:a16="http://schemas.microsoft.com/office/drawing/2014/main" id="{E688F5ED-3644-4EDA-8F1F-4F803F63AD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8" name="AutoShape 1" descr="Vista previa de toda la pantalla">
          <a:extLst>
            <a:ext uri="{FF2B5EF4-FFF2-40B4-BE49-F238E27FC236}">
              <a16:creationId xmlns:a16="http://schemas.microsoft.com/office/drawing/2014/main" id="{FE75DD30-9219-4291-A2DC-F4B3B30213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39" name="AutoShape 1" descr="Vista previa de toda la pantalla">
          <a:extLst>
            <a:ext uri="{FF2B5EF4-FFF2-40B4-BE49-F238E27FC236}">
              <a16:creationId xmlns:a16="http://schemas.microsoft.com/office/drawing/2014/main" id="{F5D722EE-4D76-4FCF-9832-7A768AFAD5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0" name="AutoShape 1" descr="Vista previa de toda la pantalla">
          <a:extLst>
            <a:ext uri="{FF2B5EF4-FFF2-40B4-BE49-F238E27FC236}">
              <a16:creationId xmlns:a16="http://schemas.microsoft.com/office/drawing/2014/main" id="{D4F8574C-5EBC-4220-8E72-C1B7F13C21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1" name="AutoShape 1" descr="Vista previa de toda la pantalla">
          <a:extLst>
            <a:ext uri="{FF2B5EF4-FFF2-40B4-BE49-F238E27FC236}">
              <a16:creationId xmlns:a16="http://schemas.microsoft.com/office/drawing/2014/main" id="{1CC44909-8957-48BE-8156-C48E2ADE46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2" name="AutoShape 1" descr="Vista previa de toda la pantalla">
          <a:extLst>
            <a:ext uri="{FF2B5EF4-FFF2-40B4-BE49-F238E27FC236}">
              <a16:creationId xmlns:a16="http://schemas.microsoft.com/office/drawing/2014/main" id="{B440A6F8-1CDF-4B08-BCC6-ED887DCE21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3" name="AutoShape 1" descr="Vista previa de toda la pantalla">
          <a:extLst>
            <a:ext uri="{FF2B5EF4-FFF2-40B4-BE49-F238E27FC236}">
              <a16:creationId xmlns:a16="http://schemas.microsoft.com/office/drawing/2014/main" id="{824D14E9-4C63-4929-B620-614F5FB9C9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4" name="AutoShape 1" descr="Vista previa de toda la pantalla">
          <a:extLst>
            <a:ext uri="{FF2B5EF4-FFF2-40B4-BE49-F238E27FC236}">
              <a16:creationId xmlns:a16="http://schemas.microsoft.com/office/drawing/2014/main" id="{9DD8F5F1-1C1A-4B14-BF36-BE4AEF7CED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5" name="AutoShape 1" descr="Vista previa de toda la pantalla">
          <a:extLst>
            <a:ext uri="{FF2B5EF4-FFF2-40B4-BE49-F238E27FC236}">
              <a16:creationId xmlns:a16="http://schemas.microsoft.com/office/drawing/2014/main" id="{68440998-FADC-48FE-8470-CC60FDD622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6" name="AutoShape 1" descr="Vista previa de toda la pantalla">
          <a:extLst>
            <a:ext uri="{FF2B5EF4-FFF2-40B4-BE49-F238E27FC236}">
              <a16:creationId xmlns:a16="http://schemas.microsoft.com/office/drawing/2014/main" id="{C1CC223A-90F0-4321-9BF9-874A15A499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7" name="AutoShape 1" descr="Vista previa de toda la pantalla">
          <a:extLst>
            <a:ext uri="{FF2B5EF4-FFF2-40B4-BE49-F238E27FC236}">
              <a16:creationId xmlns:a16="http://schemas.microsoft.com/office/drawing/2014/main" id="{460D3434-2299-48F6-ABD3-FFCA2561FC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8" name="AutoShape 1" descr="Vista previa de toda la pantalla">
          <a:extLst>
            <a:ext uri="{FF2B5EF4-FFF2-40B4-BE49-F238E27FC236}">
              <a16:creationId xmlns:a16="http://schemas.microsoft.com/office/drawing/2014/main" id="{1F4E5772-60ED-451E-A3C1-A3576F949F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49" name="AutoShape 1" descr="Vista previa de toda la pantalla">
          <a:extLst>
            <a:ext uri="{FF2B5EF4-FFF2-40B4-BE49-F238E27FC236}">
              <a16:creationId xmlns:a16="http://schemas.microsoft.com/office/drawing/2014/main" id="{7D2A1801-EAED-46C1-92EB-F1458C31D2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0" name="AutoShape 1" descr="Vista previa de toda la pantalla">
          <a:extLst>
            <a:ext uri="{FF2B5EF4-FFF2-40B4-BE49-F238E27FC236}">
              <a16:creationId xmlns:a16="http://schemas.microsoft.com/office/drawing/2014/main" id="{ED7AC4F7-CF48-4E5A-8255-6FF922CF7C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1" name="AutoShape 1" descr="Vista previa de toda la pantalla">
          <a:extLst>
            <a:ext uri="{FF2B5EF4-FFF2-40B4-BE49-F238E27FC236}">
              <a16:creationId xmlns:a16="http://schemas.microsoft.com/office/drawing/2014/main" id="{ACAA672C-6BE2-480D-A4D4-C43310D79E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2" name="AutoShape 1" descr="Vista previa de toda la pantalla">
          <a:extLst>
            <a:ext uri="{FF2B5EF4-FFF2-40B4-BE49-F238E27FC236}">
              <a16:creationId xmlns:a16="http://schemas.microsoft.com/office/drawing/2014/main" id="{AFE83A0E-68BD-49F2-88C8-C0BC1C420C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3" name="AutoShape 1" descr="Vista previa de toda la pantalla">
          <a:extLst>
            <a:ext uri="{FF2B5EF4-FFF2-40B4-BE49-F238E27FC236}">
              <a16:creationId xmlns:a16="http://schemas.microsoft.com/office/drawing/2014/main" id="{EA949743-9C9E-4407-A50D-BC5FDC5979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4" name="AutoShape 1" descr="Vista previa de toda la pantalla">
          <a:extLst>
            <a:ext uri="{FF2B5EF4-FFF2-40B4-BE49-F238E27FC236}">
              <a16:creationId xmlns:a16="http://schemas.microsoft.com/office/drawing/2014/main" id="{6F260A99-2137-4688-92D7-A705F0DC32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5" name="AutoShape 1" descr="Vista previa de toda la pantalla">
          <a:extLst>
            <a:ext uri="{FF2B5EF4-FFF2-40B4-BE49-F238E27FC236}">
              <a16:creationId xmlns:a16="http://schemas.microsoft.com/office/drawing/2014/main" id="{0F96A1F3-DF0A-48CD-9109-D304A13D55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6" name="AutoShape 1" descr="Vista previa de toda la pantalla">
          <a:extLst>
            <a:ext uri="{FF2B5EF4-FFF2-40B4-BE49-F238E27FC236}">
              <a16:creationId xmlns:a16="http://schemas.microsoft.com/office/drawing/2014/main" id="{06BFC362-DD20-4169-8D8E-A5125ACD71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7" name="AutoShape 1" descr="Vista previa de toda la pantalla">
          <a:extLst>
            <a:ext uri="{FF2B5EF4-FFF2-40B4-BE49-F238E27FC236}">
              <a16:creationId xmlns:a16="http://schemas.microsoft.com/office/drawing/2014/main" id="{3FAF97B0-5503-4F76-9341-EB19495795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8" name="AutoShape 1" descr="Vista previa de toda la pantalla">
          <a:extLst>
            <a:ext uri="{FF2B5EF4-FFF2-40B4-BE49-F238E27FC236}">
              <a16:creationId xmlns:a16="http://schemas.microsoft.com/office/drawing/2014/main" id="{05732FF8-5D94-4A78-B48E-8F3A6E3323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59" name="AutoShape 1" descr="Vista previa de toda la pantalla">
          <a:extLst>
            <a:ext uri="{FF2B5EF4-FFF2-40B4-BE49-F238E27FC236}">
              <a16:creationId xmlns:a16="http://schemas.microsoft.com/office/drawing/2014/main" id="{AAC20889-58A8-4F71-A3E9-92295342E0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0" name="AutoShape 1" descr="Vista previa de toda la pantalla">
          <a:extLst>
            <a:ext uri="{FF2B5EF4-FFF2-40B4-BE49-F238E27FC236}">
              <a16:creationId xmlns:a16="http://schemas.microsoft.com/office/drawing/2014/main" id="{5673BF1C-F9E9-4649-81E6-2AED58D5AC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1" name="AutoShape 1" descr="Vista previa de toda la pantalla">
          <a:extLst>
            <a:ext uri="{FF2B5EF4-FFF2-40B4-BE49-F238E27FC236}">
              <a16:creationId xmlns:a16="http://schemas.microsoft.com/office/drawing/2014/main" id="{000301B7-8ADA-4848-A029-79F8B50AD2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2" name="AutoShape 1" descr="Vista previa de toda la pantalla">
          <a:extLst>
            <a:ext uri="{FF2B5EF4-FFF2-40B4-BE49-F238E27FC236}">
              <a16:creationId xmlns:a16="http://schemas.microsoft.com/office/drawing/2014/main" id="{3B1A002D-AD03-4B08-8AB5-D816A12964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3" name="AutoShape 1" descr="Vista previa de toda la pantalla">
          <a:extLst>
            <a:ext uri="{FF2B5EF4-FFF2-40B4-BE49-F238E27FC236}">
              <a16:creationId xmlns:a16="http://schemas.microsoft.com/office/drawing/2014/main" id="{E539C60A-0FB3-426B-92D2-EE694D29AB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4" name="AutoShape 1" descr="Vista previa de toda la pantalla">
          <a:extLst>
            <a:ext uri="{FF2B5EF4-FFF2-40B4-BE49-F238E27FC236}">
              <a16:creationId xmlns:a16="http://schemas.microsoft.com/office/drawing/2014/main" id="{E12DCECF-73C2-4F63-89F8-7B55E9658F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5" name="AutoShape 1" descr="Vista previa de toda la pantalla">
          <a:extLst>
            <a:ext uri="{FF2B5EF4-FFF2-40B4-BE49-F238E27FC236}">
              <a16:creationId xmlns:a16="http://schemas.microsoft.com/office/drawing/2014/main" id="{ADFBAEAC-4BD1-4046-BB09-0B2E98BBE4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6" name="AutoShape 1" descr="Vista previa de toda la pantalla">
          <a:extLst>
            <a:ext uri="{FF2B5EF4-FFF2-40B4-BE49-F238E27FC236}">
              <a16:creationId xmlns:a16="http://schemas.microsoft.com/office/drawing/2014/main" id="{F6EED96D-8785-4740-A698-F73505FE8F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7" name="AutoShape 1" descr="Vista previa de toda la pantalla">
          <a:extLst>
            <a:ext uri="{FF2B5EF4-FFF2-40B4-BE49-F238E27FC236}">
              <a16:creationId xmlns:a16="http://schemas.microsoft.com/office/drawing/2014/main" id="{C8911A66-DFA0-4FDC-B38E-4801CE0067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8" name="AutoShape 1" descr="Vista previa de toda la pantalla">
          <a:extLst>
            <a:ext uri="{FF2B5EF4-FFF2-40B4-BE49-F238E27FC236}">
              <a16:creationId xmlns:a16="http://schemas.microsoft.com/office/drawing/2014/main" id="{23E873B7-7466-4C2A-B5FE-E65AC95930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69" name="AutoShape 1" descr="Vista previa de toda la pantalla">
          <a:extLst>
            <a:ext uri="{FF2B5EF4-FFF2-40B4-BE49-F238E27FC236}">
              <a16:creationId xmlns:a16="http://schemas.microsoft.com/office/drawing/2014/main" id="{73B454DD-6305-4852-8FC6-D9DE39DED7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0" name="AutoShape 1" descr="Vista previa de toda la pantalla">
          <a:extLst>
            <a:ext uri="{FF2B5EF4-FFF2-40B4-BE49-F238E27FC236}">
              <a16:creationId xmlns:a16="http://schemas.microsoft.com/office/drawing/2014/main" id="{C12438FE-F11C-436A-BF11-3D0DCE57B8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1" name="AutoShape 1" descr="Vista previa de toda la pantalla">
          <a:extLst>
            <a:ext uri="{FF2B5EF4-FFF2-40B4-BE49-F238E27FC236}">
              <a16:creationId xmlns:a16="http://schemas.microsoft.com/office/drawing/2014/main" id="{A8E34E2A-302A-4758-80BA-A345505F18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2" name="AutoShape 1" descr="Vista previa de toda la pantalla">
          <a:extLst>
            <a:ext uri="{FF2B5EF4-FFF2-40B4-BE49-F238E27FC236}">
              <a16:creationId xmlns:a16="http://schemas.microsoft.com/office/drawing/2014/main" id="{3C7B3F76-46C0-4197-AE95-C976754233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3" name="AutoShape 1" descr="Vista previa de toda la pantalla">
          <a:extLst>
            <a:ext uri="{FF2B5EF4-FFF2-40B4-BE49-F238E27FC236}">
              <a16:creationId xmlns:a16="http://schemas.microsoft.com/office/drawing/2014/main" id="{6E593D0A-5ADA-4999-A560-03FB60796A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4" name="AutoShape 1" descr="Vista previa de toda la pantalla">
          <a:extLst>
            <a:ext uri="{FF2B5EF4-FFF2-40B4-BE49-F238E27FC236}">
              <a16:creationId xmlns:a16="http://schemas.microsoft.com/office/drawing/2014/main" id="{7D9182E1-60CD-446F-BC8D-76AC68E1B1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5" name="AutoShape 1" descr="Vista previa de toda la pantalla">
          <a:extLst>
            <a:ext uri="{FF2B5EF4-FFF2-40B4-BE49-F238E27FC236}">
              <a16:creationId xmlns:a16="http://schemas.microsoft.com/office/drawing/2014/main" id="{C625402D-CAD1-473E-9C06-C51E1AF50A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6" name="AutoShape 1" descr="Vista previa de toda la pantalla">
          <a:extLst>
            <a:ext uri="{FF2B5EF4-FFF2-40B4-BE49-F238E27FC236}">
              <a16:creationId xmlns:a16="http://schemas.microsoft.com/office/drawing/2014/main" id="{829F579E-0027-48BB-B4C5-27406C0167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7" name="AutoShape 1" descr="Vista previa de toda la pantalla">
          <a:extLst>
            <a:ext uri="{FF2B5EF4-FFF2-40B4-BE49-F238E27FC236}">
              <a16:creationId xmlns:a16="http://schemas.microsoft.com/office/drawing/2014/main" id="{98C0FAFF-5AD5-4C9B-8FC2-E21E2873F7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8" name="AutoShape 1" descr="Vista previa de toda la pantalla">
          <a:extLst>
            <a:ext uri="{FF2B5EF4-FFF2-40B4-BE49-F238E27FC236}">
              <a16:creationId xmlns:a16="http://schemas.microsoft.com/office/drawing/2014/main" id="{B5070E07-589D-42EB-9BB8-2D13FA98DC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79" name="AutoShape 1" descr="Vista previa de toda la pantalla">
          <a:extLst>
            <a:ext uri="{FF2B5EF4-FFF2-40B4-BE49-F238E27FC236}">
              <a16:creationId xmlns:a16="http://schemas.microsoft.com/office/drawing/2014/main" id="{36960A95-C6A5-4024-9D64-382D6FF644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0" name="AutoShape 1" descr="Vista previa de toda la pantalla">
          <a:extLst>
            <a:ext uri="{FF2B5EF4-FFF2-40B4-BE49-F238E27FC236}">
              <a16:creationId xmlns:a16="http://schemas.microsoft.com/office/drawing/2014/main" id="{D8EEE90B-3D85-4993-9279-8D1186AC57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1" name="AutoShape 1" descr="Vista previa de toda la pantalla">
          <a:extLst>
            <a:ext uri="{FF2B5EF4-FFF2-40B4-BE49-F238E27FC236}">
              <a16:creationId xmlns:a16="http://schemas.microsoft.com/office/drawing/2014/main" id="{AA157CBE-2D80-4533-8DCD-06509EEB39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2" name="AutoShape 1" descr="Vista previa de toda la pantalla">
          <a:extLst>
            <a:ext uri="{FF2B5EF4-FFF2-40B4-BE49-F238E27FC236}">
              <a16:creationId xmlns:a16="http://schemas.microsoft.com/office/drawing/2014/main" id="{0BA54852-AF0B-4C46-8614-D5CA599717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3" name="AutoShape 1" descr="Vista previa de toda la pantalla">
          <a:extLst>
            <a:ext uri="{FF2B5EF4-FFF2-40B4-BE49-F238E27FC236}">
              <a16:creationId xmlns:a16="http://schemas.microsoft.com/office/drawing/2014/main" id="{F70F1EC9-EDEE-412A-A0C0-1C85CC9CA0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4" name="AutoShape 1" descr="Vista previa de toda la pantalla">
          <a:extLst>
            <a:ext uri="{FF2B5EF4-FFF2-40B4-BE49-F238E27FC236}">
              <a16:creationId xmlns:a16="http://schemas.microsoft.com/office/drawing/2014/main" id="{6AE6A088-F81B-4797-B324-96886843F4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5" name="AutoShape 1" descr="Vista previa de toda la pantalla">
          <a:extLst>
            <a:ext uri="{FF2B5EF4-FFF2-40B4-BE49-F238E27FC236}">
              <a16:creationId xmlns:a16="http://schemas.microsoft.com/office/drawing/2014/main" id="{04512567-593C-4A1A-A271-D14A1BD5A8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6" name="AutoShape 1" descr="Vista previa de toda la pantalla">
          <a:extLst>
            <a:ext uri="{FF2B5EF4-FFF2-40B4-BE49-F238E27FC236}">
              <a16:creationId xmlns:a16="http://schemas.microsoft.com/office/drawing/2014/main" id="{C657D173-1C6F-4A8C-8394-5E93CADB9C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7" name="AutoShape 1" descr="Vista previa de toda la pantalla">
          <a:extLst>
            <a:ext uri="{FF2B5EF4-FFF2-40B4-BE49-F238E27FC236}">
              <a16:creationId xmlns:a16="http://schemas.microsoft.com/office/drawing/2014/main" id="{BD811385-6910-451D-B5B3-D123F22077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8" name="AutoShape 1" descr="Vista previa de toda la pantalla">
          <a:extLst>
            <a:ext uri="{FF2B5EF4-FFF2-40B4-BE49-F238E27FC236}">
              <a16:creationId xmlns:a16="http://schemas.microsoft.com/office/drawing/2014/main" id="{97CEE317-8500-40C6-88C5-CDC945A65D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89" name="AutoShape 1" descr="Vista previa de toda la pantalla">
          <a:extLst>
            <a:ext uri="{FF2B5EF4-FFF2-40B4-BE49-F238E27FC236}">
              <a16:creationId xmlns:a16="http://schemas.microsoft.com/office/drawing/2014/main" id="{E8489261-D522-406B-BA3E-4246007E50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0" name="AutoShape 1" descr="Vista previa de toda la pantalla">
          <a:extLst>
            <a:ext uri="{FF2B5EF4-FFF2-40B4-BE49-F238E27FC236}">
              <a16:creationId xmlns:a16="http://schemas.microsoft.com/office/drawing/2014/main" id="{841F7800-C5C4-4260-8E44-1EF8A4E7EC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1" name="AutoShape 1" descr="Vista previa de toda la pantalla">
          <a:extLst>
            <a:ext uri="{FF2B5EF4-FFF2-40B4-BE49-F238E27FC236}">
              <a16:creationId xmlns:a16="http://schemas.microsoft.com/office/drawing/2014/main" id="{13ABB523-20C5-4BD0-A27E-31B5C81CD7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2" name="AutoShape 1" descr="Vista previa de toda la pantalla">
          <a:extLst>
            <a:ext uri="{FF2B5EF4-FFF2-40B4-BE49-F238E27FC236}">
              <a16:creationId xmlns:a16="http://schemas.microsoft.com/office/drawing/2014/main" id="{5502F035-0217-421B-9A85-A9BFE800BE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3" name="AutoShape 1" descr="Vista previa de toda la pantalla">
          <a:extLst>
            <a:ext uri="{FF2B5EF4-FFF2-40B4-BE49-F238E27FC236}">
              <a16:creationId xmlns:a16="http://schemas.microsoft.com/office/drawing/2014/main" id="{A43ED589-BC96-4FED-99F3-A5BAF5BA7D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4" name="AutoShape 1" descr="Vista previa de toda la pantalla">
          <a:extLst>
            <a:ext uri="{FF2B5EF4-FFF2-40B4-BE49-F238E27FC236}">
              <a16:creationId xmlns:a16="http://schemas.microsoft.com/office/drawing/2014/main" id="{199581F3-29A6-4546-8E88-DB46B942ED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5" name="AutoShape 1" descr="Vista previa de toda la pantalla">
          <a:extLst>
            <a:ext uri="{FF2B5EF4-FFF2-40B4-BE49-F238E27FC236}">
              <a16:creationId xmlns:a16="http://schemas.microsoft.com/office/drawing/2014/main" id="{EFD92D1C-9BEB-4899-9158-EAA584CA6E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6" name="AutoShape 1" descr="Vista previa de toda la pantalla">
          <a:extLst>
            <a:ext uri="{FF2B5EF4-FFF2-40B4-BE49-F238E27FC236}">
              <a16:creationId xmlns:a16="http://schemas.microsoft.com/office/drawing/2014/main" id="{43CFCE18-100B-4BD7-B345-E294884751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7" name="AutoShape 1" descr="Vista previa de toda la pantalla">
          <a:extLst>
            <a:ext uri="{FF2B5EF4-FFF2-40B4-BE49-F238E27FC236}">
              <a16:creationId xmlns:a16="http://schemas.microsoft.com/office/drawing/2014/main" id="{5B584162-9D8A-4457-8D8D-1C9EB7355C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8" name="AutoShape 1" descr="Vista previa de toda la pantalla">
          <a:extLst>
            <a:ext uri="{FF2B5EF4-FFF2-40B4-BE49-F238E27FC236}">
              <a16:creationId xmlns:a16="http://schemas.microsoft.com/office/drawing/2014/main" id="{1A3A640D-454E-4303-941D-C9419B683E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499" name="AutoShape 1" descr="Vista previa de toda la pantalla">
          <a:extLst>
            <a:ext uri="{FF2B5EF4-FFF2-40B4-BE49-F238E27FC236}">
              <a16:creationId xmlns:a16="http://schemas.microsoft.com/office/drawing/2014/main" id="{024D5185-3453-4DCC-A684-F63DAB664B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0" name="AutoShape 1" descr="Vista previa de toda la pantalla">
          <a:extLst>
            <a:ext uri="{FF2B5EF4-FFF2-40B4-BE49-F238E27FC236}">
              <a16:creationId xmlns:a16="http://schemas.microsoft.com/office/drawing/2014/main" id="{200C1590-C0DC-4D74-8F18-1CD69B351D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1" name="AutoShape 1" descr="Vista previa de toda la pantalla">
          <a:extLst>
            <a:ext uri="{FF2B5EF4-FFF2-40B4-BE49-F238E27FC236}">
              <a16:creationId xmlns:a16="http://schemas.microsoft.com/office/drawing/2014/main" id="{141543F3-E647-476A-90CB-D2088FD3B3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2" name="AutoShape 1" descr="Vista previa de toda la pantalla">
          <a:extLst>
            <a:ext uri="{FF2B5EF4-FFF2-40B4-BE49-F238E27FC236}">
              <a16:creationId xmlns:a16="http://schemas.microsoft.com/office/drawing/2014/main" id="{CF465B7E-B4AD-4BDE-A261-A88E862A7F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3" name="AutoShape 1" descr="Vista previa de toda la pantalla">
          <a:extLst>
            <a:ext uri="{FF2B5EF4-FFF2-40B4-BE49-F238E27FC236}">
              <a16:creationId xmlns:a16="http://schemas.microsoft.com/office/drawing/2014/main" id="{A1C16B64-054D-4312-89C2-D050315DB6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4" name="AutoShape 1" descr="Vista previa de toda la pantalla">
          <a:extLst>
            <a:ext uri="{FF2B5EF4-FFF2-40B4-BE49-F238E27FC236}">
              <a16:creationId xmlns:a16="http://schemas.microsoft.com/office/drawing/2014/main" id="{62BE9858-95C3-47F0-9D07-52F666463E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5" name="AutoShape 1" descr="Vista previa de toda la pantalla">
          <a:extLst>
            <a:ext uri="{FF2B5EF4-FFF2-40B4-BE49-F238E27FC236}">
              <a16:creationId xmlns:a16="http://schemas.microsoft.com/office/drawing/2014/main" id="{B910F8B7-BE1E-4695-BBF1-A65EC55054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6" name="AutoShape 1" descr="Vista previa de toda la pantalla">
          <a:extLst>
            <a:ext uri="{FF2B5EF4-FFF2-40B4-BE49-F238E27FC236}">
              <a16:creationId xmlns:a16="http://schemas.microsoft.com/office/drawing/2014/main" id="{B51F95AE-C8B7-43D1-9C04-091B89AA8E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7" name="AutoShape 1" descr="Vista previa de toda la pantalla">
          <a:extLst>
            <a:ext uri="{FF2B5EF4-FFF2-40B4-BE49-F238E27FC236}">
              <a16:creationId xmlns:a16="http://schemas.microsoft.com/office/drawing/2014/main" id="{CAD75BCB-C572-4AB8-A57A-37B0DE20C3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8" name="AutoShape 1" descr="Vista previa de toda la pantalla">
          <a:extLst>
            <a:ext uri="{FF2B5EF4-FFF2-40B4-BE49-F238E27FC236}">
              <a16:creationId xmlns:a16="http://schemas.microsoft.com/office/drawing/2014/main" id="{0BD0E68A-19BC-4549-A02F-E836F0D1CD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09" name="AutoShape 1" descr="Vista previa de toda la pantalla">
          <a:extLst>
            <a:ext uri="{FF2B5EF4-FFF2-40B4-BE49-F238E27FC236}">
              <a16:creationId xmlns:a16="http://schemas.microsoft.com/office/drawing/2014/main" id="{2EAB6F6A-B9B4-4323-9E04-054E6B29A7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0" name="AutoShape 1" descr="Vista previa de toda la pantalla">
          <a:extLst>
            <a:ext uri="{FF2B5EF4-FFF2-40B4-BE49-F238E27FC236}">
              <a16:creationId xmlns:a16="http://schemas.microsoft.com/office/drawing/2014/main" id="{8844FE27-F0DF-4C23-A987-F66C69B445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1" name="AutoShape 1" descr="Vista previa de toda la pantalla">
          <a:extLst>
            <a:ext uri="{FF2B5EF4-FFF2-40B4-BE49-F238E27FC236}">
              <a16:creationId xmlns:a16="http://schemas.microsoft.com/office/drawing/2014/main" id="{56352021-165D-4BA0-9FC2-C26662B623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2" name="AutoShape 1" descr="Vista previa de toda la pantalla">
          <a:extLst>
            <a:ext uri="{FF2B5EF4-FFF2-40B4-BE49-F238E27FC236}">
              <a16:creationId xmlns:a16="http://schemas.microsoft.com/office/drawing/2014/main" id="{69449A47-0950-4483-9AB3-85048396DF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3" name="AutoShape 1" descr="Vista previa de toda la pantalla">
          <a:extLst>
            <a:ext uri="{FF2B5EF4-FFF2-40B4-BE49-F238E27FC236}">
              <a16:creationId xmlns:a16="http://schemas.microsoft.com/office/drawing/2014/main" id="{00F3B375-D3F7-4D3D-814F-CD58FC53D6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4" name="AutoShape 1" descr="Vista previa de toda la pantalla">
          <a:extLst>
            <a:ext uri="{FF2B5EF4-FFF2-40B4-BE49-F238E27FC236}">
              <a16:creationId xmlns:a16="http://schemas.microsoft.com/office/drawing/2014/main" id="{E77C62EA-0EA5-4FBF-87A9-5D81C6367D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5" name="AutoShape 1" descr="Vista previa de toda la pantalla">
          <a:extLst>
            <a:ext uri="{FF2B5EF4-FFF2-40B4-BE49-F238E27FC236}">
              <a16:creationId xmlns:a16="http://schemas.microsoft.com/office/drawing/2014/main" id="{86076A89-AE90-4475-A81D-AB222DC0AE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6" name="AutoShape 1" descr="Vista previa de toda la pantalla">
          <a:extLst>
            <a:ext uri="{FF2B5EF4-FFF2-40B4-BE49-F238E27FC236}">
              <a16:creationId xmlns:a16="http://schemas.microsoft.com/office/drawing/2014/main" id="{B141023B-668E-4DF3-8360-3B9CEF3BA1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7" name="AutoShape 1" descr="Vista previa de toda la pantalla">
          <a:extLst>
            <a:ext uri="{FF2B5EF4-FFF2-40B4-BE49-F238E27FC236}">
              <a16:creationId xmlns:a16="http://schemas.microsoft.com/office/drawing/2014/main" id="{466C6EC0-56E5-4E72-9607-466AF3A9D9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8" name="AutoShape 1" descr="Vista previa de toda la pantalla">
          <a:extLst>
            <a:ext uri="{FF2B5EF4-FFF2-40B4-BE49-F238E27FC236}">
              <a16:creationId xmlns:a16="http://schemas.microsoft.com/office/drawing/2014/main" id="{C9794CF8-A2B1-4FE0-9E3F-38C5B23DF4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19" name="AutoShape 1" descr="Vista previa de toda la pantalla">
          <a:extLst>
            <a:ext uri="{FF2B5EF4-FFF2-40B4-BE49-F238E27FC236}">
              <a16:creationId xmlns:a16="http://schemas.microsoft.com/office/drawing/2014/main" id="{2F2BCCCA-A602-42D0-A89E-2C49532749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20" name="AutoShape 1" descr="Vista previa de toda la pantalla">
          <a:extLst>
            <a:ext uri="{FF2B5EF4-FFF2-40B4-BE49-F238E27FC236}">
              <a16:creationId xmlns:a16="http://schemas.microsoft.com/office/drawing/2014/main" id="{D48B6859-3D63-4778-AC59-77E272DDFD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3521" name="AutoShape 1" descr="Vista previa de toda la pantalla">
          <a:extLst>
            <a:ext uri="{FF2B5EF4-FFF2-40B4-BE49-F238E27FC236}">
              <a16:creationId xmlns:a16="http://schemas.microsoft.com/office/drawing/2014/main" id="{F45C754C-EBBF-43E9-8C44-260A0677B4FA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22" name="AutoShape 1" descr="Vista previa de toda la pantalla">
          <a:extLst>
            <a:ext uri="{FF2B5EF4-FFF2-40B4-BE49-F238E27FC236}">
              <a16:creationId xmlns:a16="http://schemas.microsoft.com/office/drawing/2014/main" id="{880686F7-7A0B-4659-B852-704099A34B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23" name="AutoShape 1" descr="Vista previa de toda la pantalla">
          <a:extLst>
            <a:ext uri="{FF2B5EF4-FFF2-40B4-BE49-F238E27FC236}">
              <a16:creationId xmlns:a16="http://schemas.microsoft.com/office/drawing/2014/main" id="{8A3E0309-F3B1-455C-B4CD-1EE513BCCD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24" name="AutoShape 1" descr="Vista previa de toda la pantalla">
          <a:extLst>
            <a:ext uri="{FF2B5EF4-FFF2-40B4-BE49-F238E27FC236}">
              <a16:creationId xmlns:a16="http://schemas.microsoft.com/office/drawing/2014/main" id="{01B82667-D078-4EC1-84D3-6222A92AD2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25" name="AutoShape 1" descr="Vista previa de toda la pantalla">
          <a:extLst>
            <a:ext uri="{FF2B5EF4-FFF2-40B4-BE49-F238E27FC236}">
              <a16:creationId xmlns:a16="http://schemas.microsoft.com/office/drawing/2014/main" id="{266E140E-418F-40F3-BA2A-9BD03CDAB5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26" name="AutoShape 1" descr="Vista previa de toda la pantalla">
          <a:extLst>
            <a:ext uri="{FF2B5EF4-FFF2-40B4-BE49-F238E27FC236}">
              <a16:creationId xmlns:a16="http://schemas.microsoft.com/office/drawing/2014/main" id="{D5DD678B-E966-4C2B-9852-0D073129D4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27" name="AutoShape 1" descr="Vista previa de toda la pantalla">
          <a:extLst>
            <a:ext uri="{FF2B5EF4-FFF2-40B4-BE49-F238E27FC236}">
              <a16:creationId xmlns:a16="http://schemas.microsoft.com/office/drawing/2014/main" id="{9F730F3D-31B3-4ED1-AB77-7A6FBC95A1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28" name="AutoShape 1" descr="Vista previa de toda la pantalla">
          <a:extLst>
            <a:ext uri="{FF2B5EF4-FFF2-40B4-BE49-F238E27FC236}">
              <a16:creationId xmlns:a16="http://schemas.microsoft.com/office/drawing/2014/main" id="{80B7DF53-DFAB-40D7-81E4-5BA33D38DE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29" name="AutoShape 1" descr="Vista previa de toda la pantalla">
          <a:extLst>
            <a:ext uri="{FF2B5EF4-FFF2-40B4-BE49-F238E27FC236}">
              <a16:creationId xmlns:a16="http://schemas.microsoft.com/office/drawing/2014/main" id="{98FE87DD-18EE-430C-A8A9-A362F958D2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0" name="AutoShape 1" descr="Vista previa de toda la pantalla">
          <a:extLst>
            <a:ext uri="{FF2B5EF4-FFF2-40B4-BE49-F238E27FC236}">
              <a16:creationId xmlns:a16="http://schemas.microsoft.com/office/drawing/2014/main" id="{3ED51C8C-45EA-495B-AF2B-5C1C65D314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1" name="AutoShape 1" descr="Vista previa de toda la pantalla">
          <a:extLst>
            <a:ext uri="{FF2B5EF4-FFF2-40B4-BE49-F238E27FC236}">
              <a16:creationId xmlns:a16="http://schemas.microsoft.com/office/drawing/2014/main" id="{FA650AF2-5971-4B0A-8A4F-44AFF7BB9E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2" name="AutoShape 1" descr="Vista previa de toda la pantalla">
          <a:extLst>
            <a:ext uri="{FF2B5EF4-FFF2-40B4-BE49-F238E27FC236}">
              <a16:creationId xmlns:a16="http://schemas.microsoft.com/office/drawing/2014/main" id="{74842AED-1585-484C-99D8-1AF252E1D8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3" name="AutoShape 1" descr="Vista previa de toda la pantalla">
          <a:extLst>
            <a:ext uri="{FF2B5EF4-FFF2-40B4-BE49-F238E27FC236}">
              <a16:creationId xmlns:a16="http://schemas.microsoft.com/office/drawing/2014/main" id="{A6D3C9B6-91D7-458A-962A-43817B7A8F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4" name="AutoShape 1" descr="Vista previa de toda la pantalla">
          <a:extLst>
            <a:ext uri="{FF2B5EF4-FFF2-40B4-BE49-F238E27FC236}">
              <a16:creationId xmlns:a16="http://schemas.microsoft.com/office/drawing/2014/main" id="{EF90E223-0696-465C-816E-502D813335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5" name="AutoShape 1" descr="Vista previa de toda la pantalla">
          <a:extLst>
            <a:ext uri="{FF2B5EF4-FFF2-40B4-BE49-F238E27FC236}">
              <a16:creationId xmlns:a16="http://schemas.microsoft.com/office/drawing/2014/main" id="{521485D7-19B8-4651-9C12-D2F7008DCC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6" name="AutoShape 1" descr="Vista previa de toda la pantalla">
          <a:extLst>
            <a:ext uri="{FF2B5EF4-FFF2-40B4-BE49-F238E27FC236}">
              <a16:creationId xmlns:a16="http://schemas.microsoft.com/office/drawing/2014/main" id="{F5962638-E06E-4EC1-8C1D-4AFCB7B7FF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7" name="AutoShape 1" descr="Vista previa de toda la pantalla">
          <a:extLst>
            <a:ext uri="{FF2B5EF4-FFF2-40B4-BE49-F238E27FC236}">
              <a16:creationId xmlns:a16="http://schemas.microsoft.com/office/drawing/2014/main" id="{6CCC53C9-B59D-46BA-A586-D8FE79317C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8" name="AutoShape 1" descr="Vista previa de toda la pantalla">
          <a:extLst>
            <a:ext uri="{FF2B5EF4-FFF2-40B4-BE49-F238E27FC236}">
              <a16:creationId xmlns:a16="http://schemas.microsoft.com/office/drawing/2014/main" id="{10263523-7D9F-4B83-877E-5A0452FE78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39" name="AutoShape 1" descr="Vista previa de toda la pantalla">
          <a:extLst>
            <a:ext uri="{FF2B5EF4-FFF2-40B4-BE49-F238E27FC236}">
              <a16:creationId xmlns:a16="http://schemas.microsoft.com/office/drawing/2014/main" id="{35B2B564-E5CE-44DB-8D8C-3FA5F16785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0" name="AutoShape 1" descr="Vista previa de toda la pantalla">
          <a:extLst>
            <a:ext uri="{FF2B5EF4-FFF2-40B4-BE49-F238E27FC236}">
              <a16:creationId xmlns:a16="http://schemas.microsoft.com/office/drawing/2014/main" id="{19D761AF-D964-4F5A-B0CF-E0D14054E0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1" name="AutoShape 1" descr="Vista previa de toda la pantalla">
          <a:extLst>
            <a:ext uri="{FF2B5EF4-FFF2-40B4-BE49-F238E27FC236}">
              <a16:creationId xmlns:a16="http://schemas.microsoft.com/office/drawing/2014/main" id="{2335A298-7EB8-464F-888A-7BC3341693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2" name="AutoShape 1" descr="Vista previa de toda la pantalla">
          <a:extLst>
            <a:ext uri="{FF2B5EF4-FFF2-40B4-BE49-F238E27FC236}">
              <a16:creationId xmlns:a16="http://schemas.microsoft.com/office/drawing/2014/main" id="{FCCE9AD7-A272-4A6D-84E7-29EC7883F4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3" name="AutoShape 1" descr="Vista previa de toda la pantalla">
          <a:extLst>
            <a:ext uri="{FF2B5EF4-FFF2-40B4-BE49-F238E27FC236}">
              <a16:creationId xmlns:a16="http://schemas.microsoft.com/office/drawing/2014/main" id="{AF0B31BE-697C-454C-AAC1-A130AEBAED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4" name="AutoShape 1" descr="Vista previa de toda la pantalla">
          <a:extLst>
            <a:ext uri="{FF2B5EF4-FFF2-40B4-BE49-F238E27FC236}">
              <a16:creationId xmlns:a16="http://schemas.microsoft.com/office/drawing/2014/main" id="{2BFAB659-1A43-4999-9D01-97C1C362C3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5" name="AutoShape 1" descr="Vista previa de toda la pantalla">
          <a:extLst>
            <a:ext uri="{FF2B5EF4-FFF2-40B4-BE49-F238E27FC236}">
              <a16:creationId xmlns:a16="http://schemas.microsoft.com/office/drawing/2014/main" id="{DB344425-4287-449F-A508-0E6EA5BBA5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6" name="AutoShape 1" descr="Vista previa de toda la pantalla">
          <a:extLst>
            <a:ext uri="{FF2B5EF4-FFF2-40B4-BE49-F238E27FC236}">
              <a16:creationId xmlns:a16="http://schemas.microsoft.com/office/drawing/2014/main" id="{369FE099-E8CD-462B-A464-2C9F99FC90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7" name="AutoShape 1" descr="Vista previa de toda la pantalla">
          <a:extLst>
            <a:ext uri="{FF2B5EF4-FFF2-40B4-BE49-F238E27FC236}">
              <a16:creationId xmlns:a16="http://schemas.microsoft.com/office/drawing/2014/main" id="{EC914E54-A361-4860-AF2D-4E48969E57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8" name="AutoShape 1" descr="Vista previa de toda la pantalla">
          <a:extLst>
            <a:ext uri="{FF2B5EF4-FFF2-40B4-BE49-F238E27FC236}">
              <a16:creationId xmlns:a16="http://schemas.microsoft.com/office/drawing/2014/main" id="{325E1B33-1453-4CEB-A07C-FBDECBBED2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49" name="AutoShape 1" descr="Vista previa de toda la pantalla">
          <a:extLst>
            <a:ext uri="{FF2B5EF4-FFF2-40B4-BE49-F238E27FC236}">
              <a16:creationId xmlns:a16="http://schemas.microsoft.com/office/drawing/2014/main" id="{204C36D3-DEA0-4D84-A3AD-F135FBE1AB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0" name="AutoShape 1" descr="Vista previa de toda la pantalla">
          <a:extLst>
            <a:ext uri="{FF2B5EF4-FFF2-40B4-BE49-F238E27FC236}">
              <a16:creationId xmlns:a16="http://schemas.microsoft.com/office/drawing/2014/main" id="{887E3562-B2EA-40D1-9373-6DF0D21EE7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1" name="AutoShape 1" descr="Vista previa de toda la pantalla">
          <a:extLst>
            <a:ext uri="{FF2B5EF4-FFF2-40B4-BE49-F238E27FC236}">
              <a16:creationId xmlns:a16="http://schemas.microsoft.com/office/drawing/2014/main" id="{ED88D0B6-F7D4-4474-8D90-110FF6A019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2" name="AutoShape 1" descr="Vista previa de toda la pantalla">
          <a:extLst>
            <a:ext uri="{FF2B5EF4-FFF2-40B4-BE49-F238E27FC236}">
              <a16:creationId xmlns:a16="http://schemas.microsoft.com/office/drawing/2014/main" id="{4DC5253C-AAF3-4D4A-8FD6-A274795C1F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3" name="AutoShape 1" descr="Vista previa de toda la pantalla">
          <a:extLst>
            <a:ext uri="{FF2B5EF4-FFF2-40B4-BE49-F238E27FC236}">
              <a16:creationId xmlns:a16="http://schemas.microsoft.com/office/drawing/2014/main" id="{B0FFBB8F-FF41-4239-9A6E-3AF8614FAA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4" name="AutoShape 1" descr="Vista previa de toda la pantalla">
          <a:extLst>
            <a:ext uri="{FF2B5EF4-FFF2-40B4-BE49-F238E27FC236}">
              <a16:creationId xmlns:a16="http://schemas.microsoft.com/office/drawing/2014/main" id="{D20F8256-8EC3-4C81-928B-BDF27630DF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5" name="AutoShape 1" descr="Vista previa de toda la pantalla">
          <a:extLst>
            <a:ext uri="{FF2B5EF4-FFF2-40B4-BE49-F238E27FC236}">
              <a16:creationId xmlns:a16="http://schemas.microsoft.com/office/drawing/2014/main" id="{770147C9-03AE-42FB-BA2B-0C8A7EF246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6" name="AutoShape 1" descr="Vista previa de toda la pantalla">
          <a:extLst>
            <a:ext uri="{FF2B5EF4-FFF2-40B4-BE49-F238E27FC236}">
              <a16:creationId xmlns:a16="http://schemas.microsoft.com/office/drawing/2014/main" id="{E57F380F-822C-453C-B341-F6E9C3F2C6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7" name="AutoShape 1" descr="Vista previa de toda la pantalla">
          <a:extLst>
            <a:ext uri="{FF2B5EF4-FFF2-40B4-BE49-F238E27FC236}">
              <a16:creationId xmlns:a16="http://schemas.microsoft.com/office/drawing/2014/main" id="{F66B84ED-B398-46C8-B2BA-CADB7D17E0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8" name="AutoShape 1" descr="Vista previa de toda la pantalla">
          <a:extLst>
            <a:ext uri="{FF2B5EF4-FFF2-40B4-BE49-F238E27FC236}">
              <a16:creationId xmlns:a16="http://schemas.microsoft.com/office/drawing/2014/main" id="{C53FE010-FBF1-47DE-9438-2106D3C61F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59" name="AutoShape 1" descr="Vista previa de toda la pantalla">
          <a:extLst>
            <a:ext uri="{FF2B5EF4-FFF2-40B4-BE49-F238E27FC236}">
              <a16:creationId xmlns:a16="http://schemas.microsoft.com/office/drawing/2014/main" id="{88B01820-7FAD-41E9-8273-5576E3366B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0" name="AutoShape 1" descr="Vista previa de toda la pantalla">
          <a:extLst>
            <a:ext uri="{FF2B5EF4-FFF2-40B4-BE49-F238E27FC236}">
              <a16:creationId xmlns:a16="http://schemas.microsoft.com/office/drawing/2014/main" id="{B7B6EA01-3B5A-4BBF-96D8-A18D9A18C0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1" name="AutoShape 1" descr="Vista previa de toda la pantalla">
          <a:extLst>
            <a:ext uri="{FF2B5EF4-FFF2-40B4-BE49-F238E27FC236}">
              <a16:creationId xmlns:a16="http://schemas.microsoft.com/office/drawing/2014/main" id="{3D28B62D-651F-4E0F-9FB4-BF76BD8E1C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2" name="AutoShape 1" descr="Vista previa de toda la pantalla">
          <a:extLst>
            <a:ext uri="{FF2B5EF4-FFF2-40B4-BE49-F238E27FC236}">
              <a16:creationId xmlns:a16="http://schemas.microsoft.com/office/drawing/2014/main" id="{A5545E95-FE28-4B71-868F-D116066C8E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3" name="AutoShape 1" descr="Vista previa de toda la pantalla">
          <a:extLst>
            <a:ext uri="{FF2B5EF4-FFF2-40B4-BE49-F238E27FC236}">
              <a16:creationId xmlns:a16="http://schemas.microsoft.com/office/drawing/2014/main" id="{5D0ECE3E-C888-40E0-A2D1-763C83AA40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4" name="AutoShape 1" descr="Vista previa de toda la pantalla">
          <a:extLst>
            <a:ext uri="{FF2B5EF4-FFF2-40B4-BE49-F238E27FC236}">
              <a16:creationId xmlns:a16="http://schemas.microsoft.com/office/drawing/2014/main" id="{0CE52EF4-7ABF-4C6D-AF55-28705EEF5C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5" name="AutoShape 1" descr="Vista previa de toda la pantalla">
          <a:extLst>
            <a:ext uri="{FF2B5EF4-FFF2-40B4-BE49-F238E27FC236}">
              <a16:creationId xmlns:a16="http://schemas.microsoft.com/office/drawing/2014/main" id="{455E1EAC-88E9-42EC-BB07-8711156805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6" name="AutoShape 1" descr="Vista previa de toda la pantalla">
          <a:extLst>
            <a:ext uri="{FF2B5EF4-FFF2-40B4-BE49-F238E27FC236}">
              <a16:creationId xmlns:a16="http://schemas.microsoft.com/office/drawing/2014/main" id="{DFD81473-448D-42BF-9A42-A82CE58B13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7" name="AutoShape 1" descr="Vista previa de toda la pantalla">
          <a:extLst>
            <a:ext uri="{FF2B5EF4-FFF2-40B4-BE49-F238E27FC236}">
              <a16:creationId xmlns:a16="http://schemas.microsoft.com/office/drawing/2014/main" id="{8455DC7A-E109-456D-A18E-BE8214D2F4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8" name="AutoShape 1" descr="Vista previa de toda la pantalla">
          <a:extLst>
            <a:ext uri="{FF2B5EF4-FFF2-40B4-BE49-F238E27FC236}">
              <a16:creationId xmlns:a16="http://schemas.microsoft.com/office/drawing/2014/main" id="{BF95F523-79FD-4F6E-A6A4-E6133D4142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69" name="AutoShape 1" descr="Vista previa de toda la pantalla">
          <a:extLst>
            <a:ext uri="{FF2B5EF4-FFF2-40B4-BE49-F238E27FC236}">
              <a16:creationId xmlns:a16="http://schemas.microsoft.com/office/drawing/2014/main" id="{C1B22B10-76C8-4F3A-A0FC-50044C3DA8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0" name="AutoShape 1" descr="Vista previa de toda la pantalla">
          <a:extLst>
            <a:ext uri="{FF2B5EF4-FFF2-40B4-BE49-F238E27FC236}">
              <a16:creationId xmlns:a16="http://schemas.microsoft.com/office/drawing/2014/main" id="{BD5E2233-130F-4C3F-9F33-4B264B57C4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1" name="AutoShape 1" descr="Vista previa de toda la pantalla">
          <a:extLst>
            <a:ext uri="{FF2B5EF4-FFF2-40B4-BE49-F238E27FC236}">
              <a16:creationId xmlns:a16="http://schemas.microsoft.com/office/drawing/2014/main" id="{366735AD-1E3C-4344-A9D0-B97159E8F4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2" name="AutoShape 1" descr="Vista previa de toda la pantalla">
          <a:extLst>
            <a:ext uri="{FF2B5EF4-FFF2-40B4-BE49-F238E27FC236}">
              <a16:creationId xmlns:a16="http://schemas.microsoft.com/office/drawing/2014/main" id="{EF291A34-EF4F-42FA-96B4-95DB0EA8C8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3" name="AutoShape 1" descr="Vista previa de toda la pantalla">
          <a:extLst>
            <a:ext uri="{FF2B5EF4-FFF2-40B4-BE49-F238E27FC236}">
              <a16:creationId xmlns:a16="http://schemas.microsoft.com/office/drawing/2014/main" id="{0A960CF8-8A6A-4561-856D-4C3C1C38AE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4" name="AutoShape 1" descr="Vista previa de toda la pantalla">
          <a:extLst>
            <a:ext uri="{FF2B5EF4-FFF2-40B4-BE49-F238E27FC236}">
              <a16:creationId xmlns:a16="http://schemas.microsoft.com/office/drawing/2014/main" id="{7ED92361-2C1A-49F4-8807-2BF7EC2420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5" name="AutoShape 1" descr="Vista previa de toda la pantalla">
          <a:extLst>
            <a:ext uri="{FF2B5EF4-FFF2-40B4-BE49-F238E27FC236}">
              <a16:creationId xmlns:a16="http://schemas.microsoft.com/office/drawing/2014/main" id="{4BD470E9-0B47-4CE1-845C-00EC7F406B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6" name="AutoShape 1" descr="Vista previa de toda la pantalla">
          <a:extLst>
            <a:ext uri="{FF2B5EF4-FFF2-40B4-BE49-F238E27FC236}">
              <a16:creationId xmlns:a16="http://schemas.microsoft.com/office/drawing/2014/main" id="{AB8ABA89-BF2E-4E54-A885-4E8E6F00B8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7" name="AutoShape 1" descr="Vista previa de toda la pantalla">
          <a:extLst>
            <a:ext uri="{FF2B5EF4-FFF2-40B4-BE49-F238E27FC236}">
              <a16:creationId xmlns:a16="http://schemas.microsoft.com/office/drawing/2014/main" id="{8CE6573A-FD96-4D2D-976B-03C0BC1994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8" name="AutoShape 1" descr="Vista previa de toda la pantalla">
          <a:extLst>
            <a:ext uri="{FF2B5EF4-FFF2-40B4-BE49-F238E27FC236}">
              <a16:creationId xmlns:a16="http://schemas.microsoft.com/office/drawing/2014/main" id="{AEFB756C-C481-45E3-B2EA-7B6F2F6B83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79" name="AutoShape 1" descr="Vista previa de toda la pantalla">
          <a:extLst>
            <a:ext uri="{FF2B5EF4-FFF2-40B4-BE49-F238E27FC236}">
              <a16:creationId xmlns:a16="http://schemas.microsoft.com/office/drawing/2014/main" id="{05075914-4BDF-4E15-AA9B-A6205C3B79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0" name="AutoShape 1" descr="Vista previa de toda la pantalla">
          <a:extLst>
            <a:ext uri="{FF2B5EF4-FFF2-40B4-BE49-F238E27FC236}">
              <a16:creationId xmlns:a16="http://schemas.microsoft.com/office/drawing/2014/main" id="{C975B28C-8DA1-4B34-984A-6DDA9340FB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1" name="AutoShape 1" descr="Vista previa de toda la pantalla">
          <a:extLst>
            <a:ext uri="{FF2B5EF4-FFF2-40B4-BE49-F238E27FC236}">
              <a16:creationId xmlns:a16="http://schemas.microsoft.com/office/drawing/2014/main" id="{1AB57D88-D205-42BE-992B-50FF932E0A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2" name="AutoShape 1" descr="Vista previa de toda la pantalla">
          <a:extLst>
            <a:ext uri="{FF2B5EF4-FFF2-40B4-BE49-F238E27FC236}">
              <a16:creationId xmlns:a16="http://schemas.microsoft.com/office/drawing/2014/main" id="{4E536A90-EB26-4CC8-9223-DEDF8A3BDE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3" name="AutoShape 1" descr="Vista previa de toda la pantalla">
          <a:extLst>
            <a:ext uri="{FF2B5EF4-FFF2-40B4-BE49-F238E27FC236}">
              <a16:creationId xmlns:a16="http://schemas.microsoft.com/office/drawing/2014/main" id="{E5D0E708-B796-469B-A6BC-B2316C0C66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4" name="AutoShape 1" descr="Vista previa de toda la pantalla">
          <a:extLst>
            <a:ext uri="{FF2B5EF4-FFF2-40B4-BE49-F238E27FC236}">
              <a16:creationId xmlns:a16="http://schemas.microsoft.com/office/drawing/2014/main" id="{6E10F1F3-AC98-42A2-87D1-C612BE796E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5" name="AutoShape 1" descr="Vista previa de toda la pantalla">
          <a:extLst>
            <a:ext uri="{FF2B5EF4-FFF2-40B4-BE49-F238E27FC236}">
              <a16:creationId xmlns:a16="http://schemas.microsoft.com/office/drawing/2014/main" id="{5397A67E-2A6E-4F3C-94B5-1922C7373E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6" name="AutoShape 1" descr="Vista previa de toda la pantalla">
          <a:extLst>
            <a:ext uri="{FF2B5EF4-FFF2-40B4-BE49-F238E27FC236}">
              <a16:creationId xmlns:a16="http://schemas.microsoft.com/office/drawing/2014/main" id="{548A4EC7-C75B-41D6-A0C9-E392777522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7" name="AutoShape 1" descr="Vista previa de toda la pantalla">
          <a:extLst>
            <a:ext uri="{FF2B5EF4-FFF2-40B4-BE49-F238E27FC236}">
              <a16:creationId xmlns:a16="http://schemas.microsoft.com/office/drawing/2014/main" id="{F7EA4545-E32C-4C42-BC8D-46C9D91587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8" name="AutoShape 1" descr="Vista previa de toda la pantalla">
          <a:extLst>
            <a:ext uri="{FF2B5EF4-FFF2-40B4-BE49-F238E27FC236}">
              <a16:creationId xmlns:a16="http://schemas.microsoft.com/office/drawing/2014/main" id="{ACF39F3D-607E-459A-8654-281059341E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89" name="AutoShape 1" descr="Vista previa de toda la pantalla">
          <a:extLst>
            <a:ext uri="{FF2B5EF4-FFF2-40B4-BE49-F238E27FC236}">
              <a16:creationId xmlns:a16="http://schemas.microsoft.com/office/drawing/2014/main" id="{6C3861CD-4CE9-4843-83F7-5707985618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0" name="AutoShape 1" descr="Vista previa de toda la pantalla">
          <a:extLst>
            <a:ext uri="{FF2B5EF4-FFF2-40B4-BE49-F238E27FC236}">
              <a16:creationId xmlns:a16="http://schemas.microsoft.com/office/drawing/2014/main" id="{DC92704E-AF77-4848-A32F-DD6B6BD2A0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1" name="AutoShape 1" descr="Vista previa de toda la pantalla">
          <a:extLst>
            <a:ext uri="{FF2B5EF4-FFF2-40B4-BE49-F238E27FC236}">
              <a16:creationId xmlns:a16="http://schemas.microsoft.com/office/drawing/2014/main" id="{55129833-19BA-49C6-B29D-FAAC61023B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2" name="AutoShape 1" descr="Vista previa de toda la pantalla">
          <a:extLst>
            <a:ext uri="{FF2B5EF4-FFF2-40B4-BE49-F238E27FC236}">
              <a16:creationId xmlns:a16="http://schemas.microsoft.com/office/drawing/2014/main" id="{612E7980-1444-44FA-8924-952981489C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3" name="AutoShape 1" descr="Vista previa de toda la pantalla">
          <a:extLst>
            <a:ext uri="{FF2B5EF4-FFF2-40B4-BE49-F238E27FC236}">
              <a16:creationId xmlns:a16="http://schemas.microsoft.com/office/drawing/2014/main" id="{24976B39-74C2-4B01-B7A7-F696729223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4" name="AutoShape 1" descr="Vista previa de toda la pantalla">
          <a:extLst>
            <a:ext uri="{FF2B5EF4-FFF2-40B4-BE49-F238E27FC236}">
              <a16:creationId xmlns:a16="http://schemas.microsoft.com/office/drawing/2014/main" id="{E19CD64D-28E3-40BA-8219-8DC02479ED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5" name="AutoShape 1" descr="Vista previa de toda la pantalla">
          <a:extLst>
            <a:ext uri="{FF2B5EF4-FFF2-40B4-BE49-F238E27FC236}">
              <a16:creationId xmlns:a16="http://schemas.microsoft.com/office/drawing/2014/main" id="{A8AE913C-42E5-4C48-AB72-832DBA1B4A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6" name="AutoShape 1" descr="Vista previa de toda la pantalla">
          <a:extLst>
            <a:ext uri="{FF2B5EF4-FFF2-40B4-BE49-F238E27FC236}">
              <a16:creationId xmlns:a16="http://schemas.microsoft.com/office/drawing/2014/main" id="{1E801B06-EFC5-4B59-8B7C-2102D88DC8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7" name="AutoShape 1" descr="Vista previa de toda la pantalla">
          <a:extLst>
            <a:ext uri="{FF2B5EF4-FFF2-40B4-BE49-F238E27FC236}">
              <a16:creationId xmlns:a16="http://schemas.microsoft.com/office/drawing/2014/main" id="{EA6FF4A0-A787-4FC9-B916-0778810243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8" name="AutoShape 1" descr="Vista previa de toda la pantalla">
          <a:extLst>
            <a:ext uri="{FF2B5EF4-FFF2-40B4-BE49-F238E27FC236}">
              <a16:creationId xmlns:a16="http://schemas.microsoft.com/office/drawing/2014/main" id="{2BC9A272-DF85-4291-B853-D5A9619DE6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599" name="AutoShape 1" descr="Vista previa de toda la pantalla">
          <a:extLst>
            <a:ext uri="{FF2B5EF4-FFF2-40B4-BE49-F238E27FC236}">
              <a16:creationId xmlns:a16="http://schemas.microsoft.com/office/drawing/2014/main" id="{90B60F0A-B8ED-4D68-B32D-34DF444F08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0" name="AutoShape 1" descr="Vista previa de toda la pantalla">
          <a:extLst>
            <a:ext uri="{FF2B5EF4-FFF2-40B4-BE49-F238E27FC236}">
              <a16:creationId xmlns:a16="http://schemas.microsoft.com/office/drawing/2014/main" id="{F5D4309E-94AA-48E4-A5A9-BA74F9C800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1" name="AutoShape 1" descr="Vista previa de toda la pantalla">
          <a:extLst>
            <a:ext uri="{FF2B5EF4-FFF2-40B4-BE49-F238E27FC236}">
              <a16:creationId xmlns:a16="http://schemas.microsoft.com/office/drawing/2014/main" id="{BB4C4655-9D91-4777-96CD-BC2112C782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2" name="AutoShape 1" descr="Vista previa de toda la pantalla">
          <a:extLst>
            <a:ext uri="{FF2B5EF4-FFF2-40B4-BE49-F238E27FC236}">
              <a16:creationId xmlns:a16="http://schemas.microsoft.com/office/drawing/2014/main" id="{764A76BA-A0CC-43D2-BEEC-796F2EC9DD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3" name="AutoShape 1" descr="Vista previa de toda la pantalla">
          <a:extLst>
            <a:ext uri="{FF2B5EF4-FFF2-40B4-BE49-F238E27FC236}">
              <a16:creationId xmlns:a16="http://schemas.microsoft.com/office/drawing/2014/main" id="{808C0655-801F-4BF1-9731-54EEE313D8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4" name="AutoShape 1" descr="Vista previa de toda la pantalla">
          <a:extLst>
            <a:ext uri="{FF2B5EF4-FFF2-40B4-BE49-F238E27FC236}">
              <a16:creationId xmlns:a16="http://schemas.microsoft.com/office/drawing/2014/main" id="{9BAF33FD-443F-44F4-A9F9-3454678D28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5" name="AutoShape 1" descr="Vista previa de toda la pantalla">
          <a:extLst>
            <a:ext uri="{FF2B5EF4-FFF2-40B4-BE49-F238E27FC236}">
              <a16:creationId xmlns:a16="http://schemas.microsoft.com/office/drawing/2014/main" id="{2563E983-A771-4264-98B5-C408967504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6" name="AutoShape 1" descr="Vista previa de toda la pantalla">
          <a:extLst>
            <a:ext uri="{FF2B5EF4-FFF2-40B4-BE49-F238E27FC236}">
              <a16:creationId xmlns:a16="http://schemas.microsoft.com/office/drawing/2014/main" id="{0AD9E04F-668C-4CC1-A70E-5A50B74167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7" name="AutoShape 1" descr="Vista previa de toda la pantalla">
          <a:extLst>
            <a:ext uri="{FF2B5EF4-FFF2-40B4-BE49-F238E27FC236}">
              <a16:creationId xmlns:a16="http://schemas.microsoft.com/office/drawing/2014/main" id="{0A5D2C67-4FFC-4FD3-AD75-309AD2BBFD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8" name="AutoShape 1" descr="Vista previa de toda la pantalla">
          <a:extLst>
            <a:ext uri="{FF2B5EF4-FFF2-40B4-BE49-F238E27FC236}">
              <a16:creationId xmlns:a16="http://schemas.microsoft.com/office/drawing/2014/main" id="{159C25E1-9604-4698-B428-64F65B0418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09" name="AutoShape 1" descr="Vista previa de toda la pantalla">
          <a:extLst>
            <a:ext uri="{FF2B5EF4-FFF2-40B4-BE49-F238E27FC236}">
              <a16:creationId xmlns:a16="http://schemas.microsoft.com/office/drawing/2014/main" id="{2A001ECA-9AE7-4B8E-AE87-4241DDDDB1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0" name="AutoShape 1" descr="Vista previa de toda la pantalla">
          <a:extLst>
            <a:ext uri="{FF2B5EF4-FFF2-40B4-BE49-F238E27FC236}">
              <a16:creationId xmlns:a16="http://schemas.microsoft.com/office/drawing/2014/main" id="{6DC79322-3610-43D7-A2A7-387CD8B9BF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1" name="AutoShape 1" descr="Vista previa de toda la pantalla">
          <a:extLst>
            <a:ext uri="{FF2B5EF4-FFF2-40B4-BE49-F238E27FC236}">
              <a16:creationId xmlns:a16="http://schemas.microsoft.com/office/drawing/2014/main" id="{F95B94E9-AE92-4CA2-A403-D64C61CBA6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2" name="AutoShape 1" descr="Vista previa de toda la pantalla">
          <a:extLst>
            <a:ext uri="{FF2B5EF4-FFF2-40B4-BE49-F238E27FC236}">
              <a16:creationId xmlns:a16="http://schemas.microsoft.com/office/drawing/2014/main" id="{85F5CB52-5C42-4618-86C3-EE80CF5573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3" name="AutoShape 1" descr="Vista previa de toda la pantalla">
          <a:extLst>
            <a:ext uri="{FF2B5EF4-FFF2-40B4-BE49-F238E27FC236}">
              <a16:creationId xmlns:a16="http://schemas.microsoft.com/office/drawing/2014/main" id="{DEC15EF9-0C79-464C-9CE2-2CE725F47F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4" name="AutoShape 1" descr="Vista previa de toda la pantalla">
          <a:extLst>
            <a:ext uri="{FF2B5EF4-FFF2-40B4-BE49-F238E27FC236}">
              <a16:creationId xmlns:a16="http://schemas.microsoft.com/office/drawing/2014/main" id="{98F8D554-9D39-4F95-9B1C-009042F24B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5" name="AutoShape 1" descr="Vista previa de toda la pantalla">
          <a:extLst>
            <a:ext uri="{FF2B5EF4-FFF2-40B4-BE49-F238E27FC236}">
              <a16:creationId xmlns:a16="http://schemas.microsoft.com/office/drawing/2014/main" id="{0D738B85-B6C6-4DF4-93DB-A16AA2ED7E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6" name="AutoShape 1" descr="Vista previa de toda la pantalla">
          <a:extLst>
            <a:ext uri="{FF2B5EF4-FFF2-40B4-BE49-F238E27FC236}">
              <a16:creationId xmlns:a16="http://schemas.microsoft.com/office/drawing/2014/main" id="{68F1911F-02A7-4D33-BCC6-9B0303F614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7" name="AutoShape 1" descr="Vista previa de toda la pantalla">
          <a:extLst>
            <a:ext uri="{FF2B5EF4-FFF2-40B4-BE49-F238E27FC236}">
              <a16:creationId xmlns:a16="http://schemas.microsoft.com/office/drawing/2014/main" id="{725573B2-E07B-40CE-B81E-8665749F83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8" name="AutoShape 1" descr="Vista previa de toda la pantalla">
          <a:extLst>
            <a:ext uri="{FF2B5EF4-FFF2-40B4-BE49-F238E27FC236}">
              <a16:creationId xmlns:a16="http://schemas.microsoft.com/office/drawing/2014/main" id="{EBCB1FE9-8B50-44B7-B169-5772FFAAF0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19" name="AutoShape 1" descr="Vista previa de toda la pantalla">
          <a:extLst>
            <a:ext uri="{FF2B5EF4-FFF2-40B4-BE49-F238E27FC236}">
              <a16:creationId xmlns:a16="http://schemas.microsoft.com/office/drawing/2014/main" id="{41F8A967-D006-4087-8006-9BAE158F64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0" name="AutoShape 1" descr="Vista previa de toda la pantalla">
          <a:extLst>
            <a:ext uri="{FF2B5EF4-FFF2-40B4-BE49-F238E27FC236}">
              <a16:creationId xmlns:a16="http://schemas.microsoft.com/office/drawing/2014/main" id="{9DA3DED6-6F4F-4572-8E3B-02A209E340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1" name="AutoShape 1" descr="Vista previa de toda la pantalla">
          <a:extLst>
            <a:ext uri="{FF2B5EF4-FFF2-40B4-BE49-F238E27FC236}">
              <a16:creationId xmlns:a16="http://schemas.microsoft.com/office/drawing/2014/main" id="{814B9F98-1F2F-4AD1-A4A3-2DF10D8E05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2" name="AutoShape 1" descr="Vista previa de toda la pantalla">
          <a:extLst>
            <a:ext uri="{FF2B5EF4-FFF2-40B4-BE49-F238E27FC236}">
              <a16:creationId xmlns:a16="http://schemas.microsoft.com/office/drawing/2014/main" id="{34B9EF93-7B7E-49BB-B875-F4E1F15DC4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3" name="AutoShape 1" descr="Vista previa de toda la pantalla">
          <a:extLst>
            <a:ext uri="{FF2B5EF4-FFF2-40B4-BE49-F238E27FC236}">
              <a16:creationId xmlns:a16="http://schemas.microsoft.com/office/drawing/2014/main" id="{2B9101AE-4355-4558-B6D7-0C6E322D89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4" name="AutoShape 1" descr="Vista previa de toda la pantalla">
          <a:extLst>
            <a:ext uri="{FF2B5EF4-FFF2-40B4-BE49-F238E27FC236}">
              <a16:creationId xmlns:a16="http://schemas.microsoft.com/office/drawing/2014/main" id="{C1A969BA-14D1-4DA6-84D4-9FBCB082D7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5" name="AutoShape 1" descr="Vista previa de toda la pantalla">
          <a:extLst>
            <a:ext uri="{FF2B5EF4-FFF2-40B4-BE49-F238E27FC236}">
              <a16:creationId xmlns:a16="http://schemas.microsoft.com/office/drawing/2014/main" id="{F3CED52C-476E-4B8D-8C25-2D85C536B1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6" name="AutoShape 1" descr="Vista previa de toda la pantalla">
          <a:extLst>
            <a:ext uri="{FF2B5EF4-FFF2-40B4-BE49-F238E27FC236}">
              <a16:creationId xmlns:a16="http://schemas.microsoft.com/office/drawing/2014/main" id="{9285FFBC-92E4-4347-90D2-8ECF59EE3A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7" name="AutoShape 1" descr="Vista previa de toda la pantalla">
          <a:extLst>
            <a:ext uri="{FF2B5EF4-FFF2-40B4-BE49-F238E27FC236}">
              <a16:creationId xmlns:a16="http://schemas.microsoft.com/office/drawing/2014/main" id="{769E2685-2F4F-45FA-A5C2-3C8E2333FC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8" name="AutoShape 1" descr="Vista previa de toda la pantalla">
          <a:extLst>
            <a:ext uri="{FF2B5EF4-FFF2-40B4-BE49-F238E27FC236}">
              <a16:creationId xmlns:a16="http://schemas.microsoft.com/office/drawing/2014/main" id="{5492C829-AF79-44C3-8D01-AF33498E51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29" name="AutoShape 1" descr="Vista previa de toda la pantalla">
          <a:extLst>
            <a:ext uri="{FF2B5EF4-FFF2-40B4-BE49-F238E27FC236}">
              <a16:creationId xmlns:a16="http://schemas.microsoft.com/office/drawing/2014/main" id="{3F41CE12-F710-4B7F-9525-9236090B53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0" name="AutoShape 1" descr="Vista previa de toda la pantalla">
          <a:extLst>
            <a:ext uri="{FF2B5EF4-FFF2-40B4-BE49-F238E27FC236}">
              <a16:creationId xmlns:a16="http://schemas.microsoft.com/office/drawing/2014/main" id="{F8FB9EA6-0B72-439A-A522-DD8EEC64CB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1" name="AutoShape 1" descr="Vista previa de toda la pantalla">
          <a:extLst>
            <a:ext uri="{FF2B5EF4-FFF2-40B4-BE49-F238E27FC236}">
              <a16:creationId xmlns:a16="http://schemas.microsoft.com/office/drawing/2014/main" id="{971818FA-C4F5-4A1F-B6A2-EDB480472E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2" name="AutoShape 1" descr="Vista previa de toda la pantalla">
          <a:extLst>
            <a:ext uri="{FF2B5EF4-FFF2-40B4-BE49-F238E27FC236}">
              <a16:creationId xmlns:a16="http://schemas.microsoft.com/office/drawing/2014/main" id="{B496DD1F-2188-4084-878E-ECFE8DA54D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3" name="AutoShape 1" descr="Vista previa de toda la pantalla">
          <a:extLst>
            <a:ext uri="{FF2B5EF4-FFF2-40B4-BE49-F238E27FC236}">
              <a16:creationId xmlns:a16="http://schemas.microsoft.com/office/drawing/2014/main" id="{6D58F29A-0864-400C-B677-DA3FD8DB93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4" name="AutoShape 1" descr="Vista previa de toda la pantalla">
          <a:extLst>
            <a:ext uri="{FF2B5EF4-FFF2-40B4-BE49-F238E27FC236}">
              <a16:creationId xmlns:a16="http://schemas.microsoft.com/office/drawing/2014/main" id="{D5674A2A-C005-46C2-BA0C-2F43C85AC6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5" name="AutoShape 1" descr="Vista previa de toda la pantalla">
          <a:extLst>
            <a:ext uri="{FF2B5EF4-FFF2-40B4-BE49-F238E27FC236}">
              <a16:creationId xmlns:a16="http://schemas.microsoft.com/office/drawing/2014/main" id="{A64FF3D2-29F2-459B-9BD1-0775B701E2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6" name="AutoShape 1" descr="Vista previa de toda la pantalla">
          <a:extLst>
            <a:ext uri="{FF2B5EF4-FFF2-40B4-BE49-F238E27FC236}">
              <a16:creationId xmlns:a16="http://schemas.microsoft.com/office/drawing/2014/main" id="{B7301A2E-40B3-4FCF-BF0E-FB31DA03C4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7" name="AutoShape 1" descr="Vista previa de toda la pantalla">
          <a:extLst>
            <a:ext uri="{FF2B5EF4-FFF2-40B4-BE49-F238E27FC236}">
              <a16:creationId xmlns:a16="http://schemas.microsoft.com/office/drawing/2014/main" id="{A5846FDC-8725-4E5B-AC1A-4BC2A351BF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8" name="AutoShape 1" descr="Vista previa de toda la pantalla">
          <a:extLst>
            <a:ext uri="{FF2B5EF4-FFF2-40B4-BE49-F238E27FC236}">
              <a16:creationId xmlns:a16="http://schemas.microsoft.com/office/drawing/2014/main" id="{9A2AF712-9DBF-4AA4-BBBE-5D06D15CB7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39" name="AutoShape 1" descr="Vista previa de toda la pantalla">
          <a:extLst>
            <a:ext uri="{FF2B5EF4-FFF2-40B4-BE49-F238E27FC236}">
              <a16:creationId xmlns:a16="http://schemas.microsoft.com/office/drawing/2014/main" id="{739FF75E-CD31-4F40-846B-9E607FB9D0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0" name="AutoShape 1" descr="Vista previa de toda la pantalla">
          <a:extLst>
            <a:ext uri="{FF2B5EF4-FFF2-40B4-BE49-F238E27FC236}">
              <a16:creationId xmlns:a16="http://schemas.microsoft.com/office/drawing/2014/main" id="{CE285327-5B1A-4DEF-906D-49A5EC89B8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1" name="AutoShape 1" descr="Vista previa de toda la pantalla">
          <a:extLst>
            <a:ext uri="{FF2B5EF4-FFF2-40B4-BE49-F238E27FC236}">
              <a16:creationId xmlns:a16="http://schemas.microsoft.com/office/drawing/2014/main" id="{783F0CA2-10C3-46C0-AC50-394F52D088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2" name="AutoShape 1" descr="Vista previa de toda la pantalla">
          <a:extLst>
            <a:ext uri="{FF2B5EF4-FFF2-40B4-BE49-F238E27FC236}">
              <a16:creationId xmlns:a16="http://schemas.microsoft.com/office/drawing/2014/main" id="{6F8BB75F-49FB-4B6A-A155-5928524DAF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3" name="AutoShape 1" descr="Vista previa de toda la pantalla">
          <a:extLst>
            <a:ext uri="{FF2B5EF4-FFF2-40B4-BE49-F238E27FC236}">
              <a16:creationId xmlns:a16="http://schemas.microsoft.com/office/drawing/2014/main" id="{00C486B9-0249-4720-8FB5-46F70D848B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4" name="AutoShape 1" descr="Vista previa de toda la pantalla">
          <a:extLst>
            <a:ext uri="{FF2B5EF4-FFF2-40B4-BE49-F238E27FC236}">
              <a16:creationId xmlns:a16="http://schemas.microsoft.com/office/drawing/2014/main" id="{3DE0FEBE-1150-4654-97E1-AA45F2ACEE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5" name="AutoShape 1" descr="Vista previa de toda la pantalla">
          <a:extLst>
            <a:ext uri="{FF2B5EF4-FFF2-40B4-BE49-F238E27FC236}">
              <a16:creationId xmlns:a16="http://schemas.microsoft.com/office/drawing/2014/main" id="{21DE7872-FFEC-460F-B331-E5DBE02E0B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6" name="AutoShape 1" descr="Vista previa de toda la pantalla">
          <a:extLst>
            <a:ext uri="{FF2B5EF4-FFF2-40B4-BE49-F238E27FC236}">
              <a16:creationId xmlns:a16="http://schemas.microsoft.com/office/drawing/2014/main" id="{1D32019B-339B-4C6D-B97F-DD8BE79DE9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7" name="AutoShape 1" descr="Vista previa de toda la pantalla">
          <a:extLst>
            <a:ext uri="{FF2B5EF4-FFF2-40B4-BE49-F238E27FC236}">
              <a16:creationId xmlns:a16="http://schemas.microsoft.com/office/drawing/2014/main" id="{332DBB96-4ED5-4F3D-8E34-FB08335945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8" name="AutoShape 1" descr="Vista previa de toda la pantalla">
          <a:extLst>
            <a:ext uri="{FF2B5EF4-FFF2-40B4-BE49-F238E27FC236}">
              <a16:creationId xmlns:a16="http://schemas.microsoft.com/office/drawing/2014/main" id="{C35C7CF7-AD7B-4097-8BEB-E6F144EBC6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49" name="AutoShape 1" descr="Vista previa de toda la pantalla">
          <a:extLst>
            <a:ext uri="{FF2B5EF4-FFF2-40B4-BE49-F238E27FC236}">
              <a16:creationId xmlns:a16="http://schemas.microsoft.com/office/drawing/2014/main" id="{EED25E82-4D83-4FF0-934A-7CF4818AC9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0" name="AutoShape 1" descr="Vista previa de toda la pantalla">
          <a:extLst>
            <a:ext uri="{FF2B5EF4-FFF2-40B4-BE49-F238E27FC236}">
              <a16:creationId xmlns:a16="http://schemas.microsoft.com/office/drawing/2014/main" id="{A8E90D44-02AD-48F3-87D4-374F632AEF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1" name="AutoShape 1" descr="Vista previa de toda la pantalla">
          <a:extLst>
            <a:ext uri="{FF2B5EF4-FFF2-40B4-BE49-F238E27FC236}">
              <a16:creationId xmlns:a16="http://schemas.microsoft.com/office/drawing/2014/main" id="{E47594E7-5E6C-425F-83B0-F4F55BA7B7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2" name="AutoShape 1" descr="Vista previa de toda la pantalla">
          <a:extLst>
            <a:ext uri="{FF2B5EF4-FFF2-40B4-BE49-F238E27FC236}">
              <a16:creationId xmlns:a16="http://schemas.microsoft.com/office/drawing/2014/main" id="{55E240C9-5CD2-4D9C-B175-C884E6AFF8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3" name="AutoShape 1" descr="Vista previa de toda la pantalla">
          <a:extLst>
            <a:ext uri="{FF2B5EF4-FFF2-40B4-BE49-F238E27FC236}">
              <a16:creationId xmlns:a16="http://schemas.microsoft.com/office/drawing/2014/main" id="{CAC65311-375B-4CEE-92FC-30C695A844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4" name="AutoShape 1" descr="Vista previa de toda la pantalla">
          <a:extLst>
            <a:ext uri="{FF2B5EF4-FFF2-40B4-BE49-F238E27FC236}">
              <a16:creationId xmlns:a16="http://schemas.microsoft.com/office/drawing/2014/main" id="{23A249F7-B707-4385-B4FE-6ACF3A202D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5" name="AutoShape 1" descr="Vista previa de toda la pantalla">
          <a:extLst>
            <a:ext uri="{FF2B5EF4-FFF2-40B4-BE49-F238E27FC236}">
              <a16:creationId xmlns:a16="http://schemas.microsoft.com/office/drawing/2014/main" id="{2C35EE2C-DC6F-4720-9550-F4B66363CD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6" name="AutoShape 1" descr="Vista previa de toda la pantalla">
          <a:extLst>
            <a:ext uri="{FF2B5EF4-FFF2-40B4-BE49-F238E27FC236}">
              <a16:creationId xmlns:a16="http://schemas.microsoft.com/office/drawing/2014/main" id="{627F05D5-EA3D-49BC-87E5-28A6E7C12E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7" name="AutoShape 1" descr="Vista previa de toda la pantalla">
          <a:extLst>
            <a:ext uri="{FF2B5EF4-FFF2-40B4-BE49-F238E27FC236}">
              <a16:creationId xmlns:a16="http://schemas.microsoft.com/office/drawing/2014/main" id="{2511D251-40F7-4F6E-8BC5-09266A695B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8" name="AutoShape 1" descr="Vista previa de toda la pantalla">
          <a:extLst>
            <a:ext uri="{FF2B5EF4-FFF2-40B4-BE49-F238E27FC236}">
              <a16:creationId xmlns:a16="http://schemas.microsoft.com/office/drawing/2014/main" id="{AE59BD04-4386-4F02-B500-3ADEB1636D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59" name="AutoShape 1" descr="Vista previa de toda la pantalla">
          <a:extLst>
            <a:ext uri="{FF2B5EF4-FFF2-40B4-BE49-F238E27FC236}">
              <a16:creationId xmlns:a16="http://schemas.microsoft.com/office/drawing/2014/main" id="{F0A490EE-E96B-421D-84D7-4A29BDF8ED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0" name="AutoShape 1" descr="Vista previa de toda la pantalla">
          <a:extLst>
            <a:ext uri="{FF2B5EF4-FFF2-40B4-BE49-F238E27FC236}">
              <a16:creationId xmlns:a16="http://schemas.microsoft.com/office/drawing/2014/main" id="{B7B96B8F-10DB-409D-AEC7-9464FCDAA1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1" name="AutoShape 1" descr="Vista previa de toda la pantalla">
          <a:extLst>
            <a:ext uri="{FF2B5EF4-FFF2-40B4-BE49-F238E27FC236}">
              <a16:creationId xmlns:a16="http://schemas.microsoft.com/office/drawing/2014/main" id="{FCF992BC-9D5B-4833-B07F-4AB3BA75E9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2" name="AutoShape 1" descr="Vista previa de toda la pantalla">
          <a:extLst>
            <a:ext uri="{FF2B5EF4-FFF2-40B4-BE49-F238E27FC236}">
              <a16:creationId xmlns:a16="http://schemas.microsoft.com/office/drawing/2014/main" id="{4813FE25-F5CB-4D9E-AF2B-48300CF435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3" name="AutoShape 1" descr="Vista previa de toda la pantalla">
          <a:extLst>
            <a:ext uri="{FF2B5EF4-FFF2-40B4-BE49-F238E27FC236}">
              <a16:creationId xmlns:a16="http://schemas.microsoft.com/office/drawing/2014/main" id="{5A5D1BCC-06B0-49C6-B3C4-13EA04C183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4" name="AutoShape 1" descr="Vista previa de toda la pantalla">
          <a:extLst>
            <a:ext uri="{FF2B5EF4-FFF2-40B4-BE49-F238E27FC236}">
              <a16:creationId xmlns:a16="http://schemas.microsoft.com/office/drawing/2014/main" id="{25D0C79E-BDED-43A3-A593-F228E2C10E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5" name="AutoShape 1" descr="Vista previa de toda la pantalla">
          <a:extLst>
            <a:ext uri="{FF2B5EF4-FFF2-40B4-BE49-F238E27FC236}">
              <a16:creationId xmlns:a16="http://schemas.microsoft.com/office/drawing/2014/main" id="{F8D96BE9-1348-4940-99EE-3DC1A770C2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6" name="AutoShape 1" descr="Vista previa de toda la pantalla">
          <a:extLst>
            <a:ext uri="{FF2B5EF4-FFF2-40B4-BE49-F238E27FC236}">
              <a16:creationId xmlns:a16="http://schemas.microsoft.com/office/drawing/2014/main" id="{5CA27FC7-0FC0-4955-A9E3-54B5ED1FF9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7" name="AutoShape 1" descr="Vista previa de toda la pantalla">
          <a:extLst>
            <a:ext uri="{FF2B5EF4-FFF2-40B4-BE49-F238E27FC236}">
              <a16:creationId xmlns:a16="http://schemas.microsoft.com/office/drawing/2014/main" id="{085E6340-20BF-4494-BCD5-125D247CCD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8" name="AutoShape 1" descr="Vista previa de toda la pantalla">
          <a:extLst>
            <a:ext uri="{FF2B5EF4-FFF2-40B4-BE49-F238E27FC236}">
              <a16:creationId xmlns:a16="http://schemas.microsoft.com/office/drawing/2014/main" id="{47A93340-D71B-44FB-ACF6-7E925768A0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69" name="AutoShape 1" descr="Vista previa de toda la pantalla">
          <a:extLst>
            <a:ext uri="{FF2B5EF4-FFF2-40B4-BE49-F238E27FC236}">
              <a16:creationId xmlns:a16="http://schemas.microsoft.com/office/drawing/2014/main" id="{46402752-CB3E-4495-8D0E-B06B22EEFC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0" name="AutoShape 1" descr="Vista previa de toda la pantalla">
          <a:extLst>
            <a:ext uri="{FF2B5EF4-FFF2-40B4-BE49-F238E27FC236}">
              <a16:creationId xmlns:a16="http://schemas.microsoft.com/office/drawing/2014/main" id="{A53DFEA5-54F6-4CAF-80DC-8EFE871973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1" name="AutoShape 1" descr="Vista previa de toda la pantalla">
          <a:extLst>
            <a:ext uri="{FF2B5EF4-FFF2-40B4-BE49-F238E27FC236}">
              <a16:creationId xmlns:a16="http://schemas.microsoft.com/office/drawing/2014/main" id="{88E8B194-3452-47C5-A747-BAC681C09E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2" name="AutoShape 1" descr="Vista previa de toda la pantalla">
          <a:extLst>
            <a:ext uri="{FF2B5EF4-FFF2-40B4-BE49-F238E27FC236}">
              <a16:creationId xmlns:a16="http://schemas.microsoft.com/office/drawing/2014/main" id="{29AF8FBA-0545-47CD-BF50-424204FE75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3" name="AutoShape 1" descr="Vista previa de toda la pantalla">
          <a:extLst>
            <a:ext uri="{FF2B5EF4-FFF2-40B4-BE49-F238E27FC236}">
              <a16:creationId xmlns:a16="http://schemas.microsoft.com/office/drawing/2014/main" id="{C5D1A4EB-EB4D-4C86-B830-43EE2ABAD0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4" name="AutoShape 1" descr="Vista previa de toda la pantalla">
          <a:extLst>
            <a:ext uri="{FF2B5EF4-FFF2-40B4-BE49-F238E27FC236}">
              <a16:creationId xmlns:a16="http://schemas.microsoft.com/office/drawing/2014/main" id="{95F081D4-4203-4A96-8DCF-B6DE7AB4F4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5" name="AutoShape 1" descr="Vista previa de toda la pantalla">
          <a:extLst>
            <a:ext uri="{FF2B5EF4-FFF2-40B4-BE49-F238E27FC236}">
              <a16:creationId xmlns:a16="http://schemas.microsoft.com/office/drawing/2014/main" id="{87C61301-5D92-4DAA-BE52-B246042604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6" name="AutoShape 1" descr="Vista previa de toda la pantalla">
          <a:extLst>
            <a:ext uri="{FF2B5EF4-FFF2-40B4-BE49-F238E27FC236}">
              <a16:creationId xmlns:a16="http://schemas.microsoft.com/office/drawing/2014/main" id="{A0F31D87-F25E-4EF7-8576-77192D66C3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7" name="AutoShape 1" descr="Vista previa de toda la pantalla">
          <a:extLst>
            <a:ext uri="{FF2B5EF4-FFF2-40B4-BE49-F238E27FC236}">
              <a16:creationId xmlns:a16="http://schemas.microsoft.com/office/drawing/2014/main" id="{724427CD-9522-44A8-B9D1-E4C0DE209F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8" name="AutoShape 1" descr="Vista previa de toda la pantalla">
          <a:extLst>
            <a:ext uri="{FF2B5EF4-FFF2-40B4-BE49-F238E27FC236}">
              <a16:creationId xmlns:a16="http://schemas.microsoft.com/office/drawing/2014/main" id="{191F1208-96BB-4977-8676-09C08B6A29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79" name="AutoShape 1" descr="Vista previa de toda la pantalla">
          <a:extLst>
            <a:ext uri="{FF2B5EF4-FFF2-40B4-BE49-F238E27FC236}">
              <a16:creationId xmlns:a16="http://schemas.microsoft.com/office/drawing/2014/main" id="{77C0276C-34CC-412D-B381-9F2CBCE7E5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0" name="AutoShape 1" descr="Vista previa de toda la pantalla">
          <a:extLst>
            <a:ext uri="{FF2B5EF4-FFF2-40B4-BE49-F238E27FC236}">
              <a16:creationId xmlns:a16="http://schemas.microsoft.com/office/drawing/2014/main" id="{9420A6D9-041F-4D5F-B5DE-9B1C5164CC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1" name="AutoShape 1" descr="Vista previa de toda la pantalla">
          <a:extLst>
            <a:ext uri="{FF2B5EF4-FFF2-40B4-BE49-F238E27FC236}">
              <a16:creationId xmlns:a16="http://schemas.microsoft.com/office/drawing/2014/main" id="{692C8BA5-4C4A-4F23-B81D-926651ACAA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2" name="AutoShape 1" descr="Vista previa de toda la pantalla">
          <a:extLst>
            <a:ext uri="{FF2B5EF4-FFF2-40B4-BE49-F238E27FC236}">
              <a16:creationId xmlns:a16="http://schemas.microsoft.com/office/drawing/2014/main" id="{A39189F8-292B-421F-8A6C-145EE32F72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3" name="AutoShape 1" descr="Vista previa de toda la pantalla">
          <a:extLst>
            <a:ext uri="{FF2B5EF4-FFF2-40B4-BE49-F238E27FC236}">
              <a16:creationId xmlns:a16="http://schemas.microsoft.com/office/drawing/2014/main" id="{19D05D2F-3958-4886-A9BB-15F9D60073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4" name="AutoShape 1" descr="Vista previa de toda la pantalla">
          <a:extLst>
            <a:ext uri="{FF2B5EF4-FFF2-40B4-BE49-F238E27FC236}">
              <a16:creationId xmlns:a16="http://schemas.microsoft.com/office/drawing/2014/main" id="{3599C000-F734-4778-8850-F0A9372231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5" name="AutoShape 1" descr="Vista previa de toda la pantalla">
          <a:extLst>
            <a:ext uri="{FF2B5EF4-FFF2-40B4-BE49-F238E27FC236}">
              <a16:creationId xmlns:a16="http://schemas.microsoft.com/office/drawing/2014/main" id="{78B792DA-7E3F-4FFD-BCB2-9F1DE7EFB4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6" name="AutoShape 1" descr="Vista previa de toda la pantalla">
          <a:extLst>
            <a:ext uri="{FF2B5EF4-FFF2-40B4-BE49-F238E27FC236}">
              <a16:creationId xmlns:a16="http://schemas.microsoft.com/office/drawing/2014/main" id="{9B399092-82B1-4437-A7D9-94D6A0E4FB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7" name="AutoShape 1" descr="Vista previa de toda la pantalla">
          <a:extLst>
            <a:ext uri="{FF2B5EF4-FFF2-40B4-BE49-F238E27FC236}">
              <a16:creationId xmlns:a16="http://schemas.microsoft.com/office/drawing/2014/main" id="{74BF9EB9-B674-4E21-BF7A-AF88581FE9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8" name="AutoShape 1" descr="Vista previa de toda la pantalla">
          <a:extLst>
            <a:ext uri="{FF2B5EF4-FFF2-40B4-BE49-F238E27FC236}">
              <a16:creationId xmlns:a16="http://schemas.microsoft.com/office/drawing/2014/main" id="{217B1EEF-9844-42AE-B4A6-62F17AA28A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89" name="AutoShape 1" descr="Vista previa de toda la pantalla">
          <a:extLst>
            <a:ext uri="{FF2B5EF4-FFF2-40B4-BE49-F238E27FC236}">
              <a16:creationId xmlns:a16="http://schemas.microsoft.com/office/drawing/2014/main" id="{E2704036-6999-4DB7-A821-353CBDFEFB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0" name="AutoShape 1" descr="Vista previa de toda la pantalla">
          <a:extLst>
            <a:ext uri="{FF2B5EF4-FFF2-40B4-BE49-F238E27FC236}">
              <a16:creationId xmlns:a16="http://schemas.microsoft.com/office/drawing/2014/main" id="{32C5D5B8-3D2A-4A88-BEDA-F12F438460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1" name="AutoShape 1" descr="Vista previa de toda la pantalla">
          <a:extLst>
            <a:ext uri="{FF2B5EF4-FFF2-40B4-BE49-F238E27FC236}">
              <a16:creationId xmlns:a16="http://schemas.microsoft.com/office/drawing/2014/main" id="{E9B6F934-7B23-417E-BC15-A34DF2B315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2" name="AutoShape 1" descr="Vista previa de toda la pantalla">
          <a:extLst>
            <a:ext uri="{FF2B5EF4-FFF2-40B4-BE49-F238E27FC236}">
              <a16:creationId xmlns:a16="http://schemas.microsoft.com/office/drawing/2014/main" id="{E75E34D0-7139-4536-A6B6-D23274A99F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3" name="AutoShape 1" descr="Vista previa de toda la pantalla">
          <a:extLst>
            <a:ext uri="{FF2B5EF4-FFF2-40B4-BE49-F238E27FC236}">
              <a16:creationId xmlns:a16="http://schemas.microsoft.com/office/drawing/2014/main" id="{86ADDDD9-4EC9-4F5E-BEE4-7786B846C9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4" name="AutoShape 1" descr="Vista previa de toda la pantalla">
          <a:extLst>
            <a:ext uri="{FF2B5EF4-FFF2-40B4-BE49-F238E27FC236}">
              <a16:creationId xmlns:a16="http://schemas.microsoft.com/office/drawing/2014/main" id="{5AAEDC85-1D51-427E-B86B-19215E7D12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5" name="AutoShape 1" descr="Vista previa de toda la pantalla">
          <a:extLst>
            <a:ext uri="{FF2B5EF4-FFF2-40B4-BE49-F238E27FC236}">
              <a16:creationId xmlns:a16="http://schemas.microsoft.com/office/drawing/2014/main" id="{A8076B2E-6A90-408B-A1D0-5DB924367B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6" name="AutoShape 1" descr="Vista previa de toda la pantalla">
          <a:extLst>
            <a:ext uri="{FF2B5EF4-FFF2-40B4-BE49-F238E27FC236}">
              <a16:creationId xmlns:a16="http://schemas.microsoft.com/office/drawing/2014/main" id="{8E1EDA11-BB7C-4443-B0BA-EB55686B1F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7" name="AutoShape 1" descr="Vista previa de toda la pantalla">
          <a:extLst>
            <a:ext uri="{FF2B5EF4-FFF2-40B4-BE49-F238E27FC236}">
              <a16:creationId xmlns:a16="http://schemas.microsoft.com/office/drawing/2014/main" id="{18A3EDE3-07D0-468F-AFCE-5EF3814632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8" name="AutoShape 1" descr="Vista previa de toda la pantalla">
          <a:extLst>
            <a:ext uri="{FF2B5EF4-FFF2-40B4-BE49-F238E27FC236}">
              <a16:creationId xmlns:a16="http://schemas.microsoft.com/office/drawing/2014/main" id="{D8445E2D-2674-4D5A-870B-A6EB35E9A6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699" name="AutoShape 1" descr="Vista previa de toda la pantalla">
          <a:extLst>
            <a:ext uri="{FF2B5EF4-FFF2-40B4-BE49-F238E27FC236}">
              <a16:creationId xmlns:a16="http://schemas.microsoft.com/office/drawing/2014/main" id="{8C3C4006-280B-4C77-AF5A-9CBFEFF927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0" name="AutoShape 1" descr="Vista previa de toda la pantalla">
          <a:extLst>
            <a:ext uri="{FF2B5EF4-FFF2-40B4-BE49-F238E27FC236}">
              <a16:creationId xmlns:a16="http://schemas.microsoft.com/office/drawing/2014/main" id="{A7E1E050-5C3D-49CB-85AF-8E59707A77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1" name="AutoShape 1" descr="Vista previa de toda la pantalla">
          <a:extLst>
            <a:ext uri="{FF2B5EF4-FFF2-40B4-BE49-F238E27FC236}">
              <a16:creationId xmlns:a16="http://schemas.microsoft.com/office/drawing/2014/main" id="{2D308EB0-0207-49E3-86D6-52887AC4BC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2" name="AutoShape 1" descr="Vista previa de toda la pantalla">
          <a:extLst>
            <a:ext uri="{FF2B5EF4-FFF2-40B4-BE49-F238E27FC236}">
              <a16:creationId xmlns:a16="http://schemas.microsoft.com/office/drawing/2014/main" id="{BC7DABA3-F8B5-4C2A-BC5F-B0EB580C09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3" name="AutoShape 1" descr="Vista previa de toda la pantalla">
          <a:extLst>
            <a:ext uri="{FF2B5EF4-FFF2-40B4-BE49-F238E27FC236}">
              <a16:creationId xmlns:a16="http://schemas.microsoft.com/office/drawing/2014/main" id="{EAA2827F-E544-43CF-BC31-87D850843F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4" name="AutoShape 1" descr="Vista previa de toda la pantalla">
          <a:extLst>
            <a:ext uri="{FF2B5EF4-FFF2-40B4-BE49-F238E27FC236}">
              <a16:creationId xmlns:a16="http://schemas.microsoft.com/office/drawing/2014/main" id="{679745E7-D043-48FF-B508-757353C08E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5" name="AutoShape 1" descr="Vista previa de toda la pantalla">
          <a:extLst>
            <a:ext uri="{FF2B5EF4-FFF2-40B4-BE49-F238E27FC236}">
              <a16:creationId xmlns:a16="http://schemas.microsoft.com/office/drawing/2014/main" id="{F329FA73-20A3-42B3-A0E4-E498B09707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6" name="AutoShape 1" descr="Vista previa de toda la pantalla">
          <a:extLst>
            <a:ext uri="{FF2B5EF4-FFF2-40B4-BE49-F238E27FC236}">
              <a16:creationId xmlns:a16="http://schemas.microsoft.com/office/drawing/2014/main" id="{C501069D-C258-41B2-8EF4-45A1DAD7E4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7" name="AutoShape 1" descr="Vista previa de toda la pantalla">
          <a:extLst>
            <a:ext uri="{FF2B5EF4-FFF2-40B4-BE49-F238E27FC236}">
              <a16:creationId xmlns:a16="http://schemas.microsoft.com/office/drawing/2014/main" id="{457DDA39-416E-4183-B577-2F52C42EC8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8" name="AutoShape 1" descr="Vista previa de toda la pantalla">
          <a:extLst>
            <a:ext uri="{FF2B5EF4-FFF2-40B4-BE49-F238E27FC236}">
              <a16:creationId xmlns:a16="http://schemas.microsoft.com/office/drawing/2014/main" id="{0816593A-B675-43BA-BCD2-A784A5F016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09" name="AutoShape 1" descr="Vista previa de toda la pantalla">
          <a:extLst>
            <a:ext uri="{FF2B5EF4-FFF2-40B4-BE49-F238E27FC236}">
              <a16:creationId xmlns:a16="http://schemas.microsoft.com/office/drawing/2014/main" id="{F0567553-65E5-439C-9FD7-6F13F617F5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0" name="AutoShape 1" descr="Vista previa de toda la pantalla">
          <a:extLst>
            <a:ext uri="{FF2B5EF4-FFF2-40B4-BE49-F238E27FC236}">
              <a16:creationId xmlns:a16="http://schemas.microsoft.com/office/drawing/2014/main" id="{60C9CC17-E40E-44AF-B671-03710443DA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1" name="AutoShape 1" descr="Vista previa de toda la pantalla">
          <a:extLst>
            <a:ext uri="{FF2B5EF4-FFF2-40B4-BE49-F238E27FC236}">
              <a16:creationId xmlns:a16="http://schemas.microsoft.com/office/drawing/2014/main" id="{94429BD4-2A79-4D93-B315-30ED073F0A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2" name="AutoShape 1" descr="Vista previa de toda la pantalla">
          <a:extLst>
            <a:ext uri="{FF2B5EF4-FFF2-40B4-BE49-F238E27FC236}">
              <a16:creationId xmlns:a16="http://schemas.microsoft.com/office/drawing/2014/main" id="{0D8E37FE-45B2-4143-9151-01D20C5AE8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3" name="AutoShape 1" descr="Vista previa de toda la pantalla">
          <a:extLst>
            <a:ext uri="{FF2B5EF4-FFF2-40B4-BE49-F238E27FC236}">
              <a16:creationId xmlns:a16="http://schemas.microsoft.com/office/drawing/2014/main" id="{649BA39E-0DEF-4F0A-9CB0-5202F18F62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4" name="AutoShape 1" descr="Vista previa de toda la pantalla">
          <a:extLst>
            <a:ext uri="{FF2B5EF4-FFF2-40B4-BE49-F238E27FC236}">
              <a16:creationId xmlns:a16="http://schemas.microsoft.com/office/drawing/2014/main" id="{2034577A-90AB-424D-ADFD-862C056249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5" name="AutoShape 1" descr="Vista previa de toda la pantalla">
          <a:extLst>
            <a:ext uri="{FF2B5EF4-FFF2-40B4-BE49-F238E27FC236}">
              <a16:creationId xmlns:a16="http://schemas.microsoft.com/office/drawing/2014/main" id="{2BCDF3ED-1076-4349-B93D-EFF6C524E1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6" name="AutoShape 1" descr="Vista previa de toda la pantalla">
          <a:extLst>
            <a:ext uri="{FF2B5EF4-FFF2-40B4-BE49-F238E27FC236}">
              <a16:creationId xmlns:a16="http://schemas.microsoft.com/office/drawing/2014/main" id="{57AC9FAF-7E60-4BE2-AA70-CA31021FA5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7" name="AutoShape 1" descr="Vista previa de toda la pantalla">
          <a:extLst>
            <a:ext uri="{FF2B5EF4-FFF2-40B4-BE49-F238E27FC236}">
              <a16:creationId xmlns:a16="http://schemas.microsoft.com/office/drawing/2014/main" id="{586A7B3A-026F-40EF-BEFF-A30140A68D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8" name="AutoShape 1" descr="Vista previa de toda la pantalla">
          <a:extLst>
            <a:ext uri="{FF2B5EF4-FFF2-40B4-BE49-F238E27FC236}">
              <a16:creationId xmlns:a16="http://schemas.microsoft.com/office/drawing/2014/main" id="{3F57CC2A-2B3A-4104-B8BF-52CDBBF7E5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19" name="AutoShape 1" descr="Vista previa de toda la pantalla">
          <a:extLst>
            <a:ext uri="{FF2B5EF4-FFF2-40B4-BE49-F238E27FC236}">
              <a16:creationId xmlns:a16="http://schemas.microsoft.com/office/drawing/2014/main" id="{C3E0F991-0813-49DE-B157-FE196DAAB3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0" name="AutoShape 1" descr="Vista previa de toda la pantalla">
          <a:extLst>
            <a:ext uri="{FF2B5EF4-FFF2-40B4-BE49-F238E27FC236}">
              <a16:creationId xmlns:a16="http://schemas.microsoft.com/office/drawing/2014/main" id="{7AADA78C-B752-4A0E-8135-10DC65DF8B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1" name="AutoShape 1" descr="Vista previa de toda la pantalla">
          <a:extLst>
            <a:ext uri="{FF2B5EF4-FFF2-40B4-BE49-F238E27FC236}">
              <a16:creationId xmlns:a16="http://schemas.microsoft.com/office/drawing/2014/main" id="{7CFE0B9E-71D3-4109-A1A8-BDC319869D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2" name="AutoShape 1" descr="Vista previa de toda la pantalla">
          <a:extLst>
            <a:ext uri="{FF2B5EF4-FFF2-40B4-BE49-F238E27FC236}">
              <a16:creationId xmlns:a16="http://schemas.microsoft.com/office/drawing/2014/main" id="{CD109962-4FC4-4914-A0D8-CCC1C9874F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3" name="AutoShape 1" descr="Vista previa de toda la pantalla">
          <a:extLst>
            <a:ext uri="{FF2B5EF4-FFF2-40B4-BE49-F238E27FC236}">
              <a16:creationId xmlns:a16="http://schemas.microsoft.com/office/drawing/2014/main" id="{1B1F60D9-3729-492D-B8FF-4E4A3775D2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4" name="AutoShape 1" descr="Vista previa de toda la pantalla">
          <a:extLst>
            <a:ext uri="{FF2B5EF4-FFF2-40B4-BE49-F238E27FC236}">
              <a16:creationId xmlns:a16="http://schemas.microsoft.com/office/drawing/2014/main" id="{22EB5939-BDEC-4207-9BD1-8D93C57083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5" name="AutoShape 1" descr="Vista previa de toda la pantalla">
          <a:extLst>
            <a:ext uri="{FF2B5EF4-FFF2-40B4-BE49-F238E27FC236}">
              <a16:creationId xmlns:a16="http://schemas.microsoft.com/office/drawing/2014/main" id="{E829F8D8-117F-4451-AF11-34217720C6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6" name="AutoShape 1" descr="Vista previa de toda la pantalla">
          <a:extLst>
            <a:ext uri="{FF2B5EF4-FFF2-40B4-BE49-F238E27FC236}">
              <a16:creationId xmlns:a16="http://schemas.microsoft.com/office/drawing/2014/main" id="{0584714D-2B6C-424C-9848-804DE9C5B1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7" name="AutoShape 1" descr="Vista previa de toda la pantalla">
          <a:extLst>
            <a:ext uri="{FF2B5EF4-FFF2-40B4-BE49-F238E27FC236}">
              <a16:creationId xmlns:a16="http://schemas.microsoft.com/office/drawing/2014/main" id="{D1CEED2E-FF0B-4271-841D-CB8AD806F2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8" name="AutoShape 1" descr="Vista previa de toda la pantalla">
          <a:extLst>
            <a:ext uri="{FF2B5EF4-FFF2-40B4-BE49-F238E27FC236}">
              <a16:creationId xmlns:a16="http://schemas.microsoft.com/office/drawing/2014/main" id="{8804C284-D18A-4518-8434-BE75C0C513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29" name="AutoShape 1" descr="Vista previa de toda la pantalla">
          <a:extLst>
            <a:ext uri="{FF2B5EF4-FFF2-40B4-BE49-F238E27FC236}">
              <a16:creationId xmlns:a16="http://schemas.microsoft.com/office/drawing/2014/main" id="{3FBFE0AD-EA81-48B6-BDDD-237E7A6AB3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0" name="AutoShape 1" descr="Vista previa de toda la pantalla">
          <a:extLst>
            <a:ext uri="{FF2B5EF4-FFF2-40B4-BE49-F238E27FC236}">
              <a16:creationId xmlns:a16="http://schemas.microsoft.com/office/drawing/2014/main" id="{43C971DB-C10C-4E67-A587-19BEDC76D6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1" name="AutoShape 1" descr="Vista previa de toda la pantalla">
          <a:extLst>
            <a:ext uri="{FF2B5EF4-FFF2-40B4-BE49-F238E27FC236}">
              <a16:creationId xmlns:a16="http://schemas.microsoft.com/office/drawing/2014/main" id="{9A3A313A-68FE-4890-9534-05C8064D7F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2" name="AutoShape 1" descr="Vista previa de toda la pantalla">
          <a:extLst>
            <a:ext uri="{FF2B5EF4-FFF2-40B4-BE49-F238E27FC236}">
              <a16:creationId xmlns:a16="http://schemas.microsoft.com/office/drawing/2014/main" id="{307F1FC6-F7EC-435F-B744-313BE8CA4D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3" name="AutoShape 1" descr="Vista previa de toda la pantalla">
          <a:extLst>
            <a:ext uri="{FF2B5EF4-FFF2-40B4-BE49-F238E27FC236}">
              <a16:creationId xmlns:a16="http://schemas.microsoft.com/office/drawing/2014/main" id="{0B39F42B-E1FE-4A07-A498-C9F54ED7A0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4" name="AutoShape 1" descr="Vista previa de toda la pantalla">
          <a:extLst>
            <a:ext uri="{FF2B5EF4-FFF2-40B4-BE49-F238E27FC236}">
              <a16:creationId xmlns:a16="http://schemas.microsoft.com/office/drawing/2014/main" id="{D400A009-8EEB-4491-9ED1-5975301096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5" name="AutoShape 1" descr="Vista previa de toda la pantalla">
          <a:extLst>
            <a:ext uri="{FF2B5EF4-FFF2-40B4-BE49-F238E27FC236}">
              <a16:creationId xmlns:a16="http://schemas.microsoft.com/office/drawing/2014/main" id="{F67AE107-C396-4530-84DA-F2DAB9475B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6" name="AutoShape 1" descr="Vista previa de toda la pantalla">
          <a:extLst>
            <a:ext uri="{FF2B5EF4-FFF2-40B4-BE49-F238E27FC236}">
              <a16:creationId xmlns:a16="http://schemas.microsoft.com/office/drawing/2014/main" id="{510E98B3-ECAA-4B16-9192-299180E35D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7" name="AutoShape 1" descr="Vista previa de toda la pantalla">
          <a:extLst>
            <a:ext uri="{FF2B5EF4-FFF2-40B4-BE49-F238E27FC236}">
              <a16:creationId xmlns:a16="http://schemas.microsoft.com/office/drawing/2014/main" id="{D1D53BF6-E4D3-4EB7-B764-7058E83044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8" name="AutoShape 1" descr="Vista previa de toda la pantalla">
          <a:extLst>
            <a:ext uri="{FF2B5EF4-FFF2-40B4-BE49-F238E27FC236}">
              <a16:creationId xmlns:a16="http://schemas.microsoft.com/office/drawing/2014/main" id="{92954AF7-82C5-4CF7-BFFD-9448F69543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39" name="AutoShape 1" descr="Vista previa de toda la pantalla">
          <a:extLst>
            <a:ext uri="{FF2B5EF4-FFF2-40B4-BE49-F238E27FC236}">
              <a16:creationId xmlns:a16="http://schemas.microsoft.com/office/drawing/2014/main" id="{82756F2C-5B18-44C4-B762-B65F86EEED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0" name="AutoShape 1" descr="Vista previa de toda la pantalla">
          <a:extLst>
            <a:ext uri="{FF2B5EF4-FFF2-40B4-BE49-F238E27FC236}">
              <a16:creationId xmlns:a16="http://schemas.microsoft.com/office/drawing/2014/main" id="{B62F04D1-F94A-4182-ACD9-B23803EA11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1" name="AutoShape 1" descr="Vista previa de toda la pantalla">
          <a:extLst>
            <a:ext uri="{FF2B5EF4-FFF2-40B4-BE49-F238E27FC236}">
              <a16:creationId xmlns:a16="http://schemas.microsoft.com/office/drawing/2014/main" id="{8EB1AE31-2024-4294-8E9C-AB5B43C999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2" name="AutoShape 1" descr="Vista previa de toda la pantalla">
          <a:extLst>
            <a:ext uri="{FF2B5EF4-FFF2-40B4-BE49-F238E27FC236}">
              <a16:creationId xmlns:a16="http://schemas.microsoft.com/office/drawing/2014/main" id="{0E204048-FAD1-4CE6-A846-E2A8E9FA36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3" name="AutoShape 1" descr="Vista previa de toda la pantalla">
          <a:extLst>
            <a:ext uri="{FF2B5EF4-FFF2-40B4-BE49-F238E27FC236}">
              <a16:creationId xmlns:a16="http://schemas.microsoft.com/office/drawing/2014/main" id="{C313E273-0CD2-453E-A134-0D7899E72D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4" name="AutoShape 1" descr="Vista previa de toda la pantalla">
          <a:extLst>
            <a:ext uri="{FF2B5EF4-FFF2-40B4-BE49-F238E27FC236}">
              <a16:creationId xmlns:a16="http://schemas.microsoft.com/office/drawing/2014/main" id="{72CCA93B-BEF6-4E4F-BF4D-37DF3B454D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5" name="AutoShape 1" descr="Vista previa de toda la pantalla">
          <a:extLst>
            <a:ext uri="{FF2B5EF4-FFF2-40B4-BE49-F238E27FC236}">
              <a16:creationId xmlns:a16="http://schemas.microsoft.com/office/drawing/2014/main" id="{4FFEDF60-B365-4AE9-8733-AB4FBC6086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6" name="AutoShape 1" descr="Vista previa de toda la pantalla">
          <a:extLst>
            <a:ext uri="{FF2B5EF4-FFF2-40B4-BE49-F238E27FC236}">
              <a16:creationId xmlns:a16="http://schemas.microsoft.com/office/drawing/2014/main" id="{43D0357A-DCAA-4452-BAB0-05EDCC999D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7" name="AutoShape 1" descr="Vista previa de toda la pantalla">
          <a:extLst>
            <a:ext uri="{FF2B5EF4-FFF2-40B4-BE49-F238E27FC236}">
              <a16:creationId xmlns:a16="http://schemas.microsoft.com/office/drawing/2014/main" id="{13CE6F80-4276-4DB3-881B-2C59E8D82A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8" name="AutoShape 1" descr="Vista previa de toda la pantalla">
          <a:extLst>
            <a:ext uri="{FF2B5EF4-FFF2-40B4-BE49-F238E27FC236}">
              <a16:creationId xmlns:a16="http://schemas.microsoft.com/office/drawing/2014/main" id="{F4100183-F12D-4817-82C8-8DC1DCF986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49" name="AutoShape 1" descr="Vista previa de toda la pantalla">
          <a:extLst>
            <a:ext uri="{FF2B5EF4-FFF2-40B4-BE49-F238E27FC236}">
              <a16:creationId xmlns:a16="http://schemas.microsoft.com/office/drawing/2014/main" id="{0CE79189-1155-4262-ABE2-0B4529CDB1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0" name="AutoShape 1" descr="Vista previa de toda la pantalla">
          <a:extLst>
            <a:ext uri="{FF2B5EF4-FFF2-40B4-BE49-F238E27FC236}">
              <a16:creationId xmlns:a16="http://schemas.microsoft.com/office/drawing/2014/main" id="{9A0C285A-DC6F-4859-B895-5094FA925C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1" name="AutoShape 1" descr="Vista previa de toda la pantalla">
          <a:extLst>
            <a:ext uri="{FF2B5EF4-FFF2-40B4-BE49-F238E27FC236}">
              <a16:creationId xmlns:a16="http://schemas.microsoft.com/office/drawing/2014/main" id="{9F97B0B6-C27B-487A-AE52-6D84C50F27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2" name="AutoShape 1" descr="Vista previa de toda la pantalla">
          <a:extLst>
            <a:ext uri="{FF2B5EF4-FFF2-40B4-BE49-F238E27FC236}">
              <a16:creationId xmlns:a16="http://schemas.microsoft.com/office/drawing/2014/main" id="{23493C34-B3B8-4665-B0E5-D9C76CFA15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3" name="AutoShape 1" descr="Vista previa de toda la pantalla">
          <a:extLst>
            <a:ext uri="{FF2B5EF4-FFF2-40B4-BE49-F238E27FC236}">
              <a16:creationId xmlns:a16="http://schemas.microsoft.com/office/drawing/2014/main" id="{B101BD7B-5851-4E0F-B6AA-F8DA1F7222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4" name="AutoShape 1" descr="Vista previa de toda la pantalla">
          <a:extLst>
            <a:ext uri="{FF2B5EF4-FFF2-40B4-BE49-F238E27FC236}">
              <a16:creationId xmlns:a16="http://schemas.microsoft.com/office/drawing/2014/main" id="{8CD3BCE7-7034-4DEC-8AC0-437B0D8C48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5" name="AutoShape 1" descr="Vista previa de toda la pantalla">
          <a:extLst>
            <a:ext uri="{FF2B5EF4-FFF2-40B4-BE49-F238E27FC236}">
              <a16:creationId xmlns:a16="http://schemas.microsoft.com/office/drawing/2014/main" id="{24534DB3-8094-49C0-8020-48DA99E133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6" name="AutoShape 1" descr="Vista previa de toda la pantalla">
          <a:extLst>
            <a:ext uri="{FF2B5EF4-FFF2-40B4-BE49-F238E27FC236}">
              <a16:creationId xmlns:a16="http://schemas.microsoft.com/office/drawing/2014/main" id="{54BA2B1E-FDE1-46EE-BEE1-D1F01B7C2E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7" name="AutoShape 1" descr="Vista previa de toda la pantalla">
          <a:extLst>
            <a:ext uri="{FF2B5EF4-FFF2-40B4-BE49-F238E27FC236}">
              <a16:creationId xmlns:a16="http://schemas.microsoft.com/office/drawing/2014/main" id="{E4F690BE-C21E-4FA2-8637-39BF37BF50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8" name="AutoShape 1" descr="Vista previa de toda la pantalla">
          <a:extLst>
            <a:ext uri="{FF2B5EF4-FFF2-40B4-BE49-F238E27FC236}">
              <a16:creationId xmlns:a16="http://schemas.microsoft.com/office/drawing/2014/main" id="{4E30E80F-E224-4B0B-B779-01C65CC4A7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59" name="AutoShape 1" descr="Vista previa de toda la pantalla">
          <a:extLst>
            <a:ext uri="{FF2B5EF4-FFF2-40B4-BE49-F238E27FC236}">
              <a16:creationId xmlns:a16="http://schemas.microsoft.com/office/drawing/2014/main" id="{9D22A881-3375-4418-877E-2D2270A7C2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0" name="AutoShape 1" descr="Vista previa de toda la pantalla">
          <a:extLst>
            <a:ext uri="{FF2B5EF4-FFF2-40B4-BE49-F238E27FC236}">
              <a16:creationId xmlns:a16="http://schemas.microsoft.com/office/drawing/2014/main" id="{4DBD2770-8AC7-4880-9D69-D63CC226B6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1" name="AutoShape 1" descr="Vista previa de toda la pantalla">
          <a:extLst>
            <a:ext uri="{FF2B5EF4-FFF2-40B4-BE49-F238E27FC236}">
              <a16:creationId xmlns:a16="http://schemas.microsoft.com/office/drawing/2014/main" id="{7AFE1723-5A0C-4A4B-BC94-910BCC0D71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2" name="AutoShape 1" descr="Vista previa de toda la pantalla">
          <a:extLst>
            <a:ext uri="{FF2B5EF4-FFF2-40B4-BE49-F238E27FC236}">
              <a16:creationId xmlns:a16="http://schemas.microsoft.com/office/drawing/2014/main" id="{C86A3F35-7608-4E8B-A0C0-34F6C823EC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3" name="AutoShape 1" descr="Vista previa de toda la pantalla">
          <a:extLst>
            <a:ext uri="{FF2B5EF4-FFF2-40B4-BE49-F238E27FC236}">
              <a16:creationId xmlns:a16="http://schemas.microsoft.com/office/drawing/2014/main" id="{DE584194-7960-4501-98C9-D83A7C5587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4" name="AutoShape 1" descr="Vista previa de toda la pantalla">
          <a:extLst>
            <a:ext uri="{FF2B5EF4-FFF2-40B4-BE49-F238E27FC236}">
              <a16:creationId xmlns:a16="http://schemas.microsoft.com/office/drawing/2014/main" id="{809FEB73-9837-4D31-A081-4BE3C58D12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5" name="AutoShape 1" descr="Vista previa de toda la pantalla">
          <a:extLst>
            <a:ext uri="{FF2B5EF4-FFF2-40B4-BE49-F238E27FC236}">
              <a16:creationId xmlns:a16="http://schemas.microsoft.com/office/drawing/2014/main" id="{F0E71026-8311-49E7-B70A-9D091ABB01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6" name="AutoShape 1" descr="Vista previa de toda la pantalla">
          <a:extLst>
            <a:ext uri="{FF2B5EF4-FFF2-40B4-BE49-F238E27FC236}">
              <a16:creationId xmlns:a16="http://schemas.microsoft.com/office/drawing/2014/main" id="{ED4C6746-3D47-404D-A2E3-3FBF79A5DB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7" name="AutoShape 1" descr="Vista previa de toda la pantalla">
          <a:extLst>
            <a:ext uri="{FF2B5EF4-FFF2-40B4-BE49-F238E27FC236}">
              <a16:creationId xmlns:a16="http://schemas.microsoft.com/office/drawing/2014/main" id="{2B266173-495F-4FC6-AAE7-D1FA2F1B67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8" name="AutoShape 1" descr="Vista previa de toda la pantalla">
          <a:extLst>
            <a:ext uri="{FF2B5EF4-FFF2-40B4-BE49-F238E27FC236}">
              <a16:creationId xmlns:a16="http://schemas.microsoft.com/office/drawing/2014/main" id="{2DF90AA2-6DD7-4BB2-AEB9-298FFD674D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69" name="AutoShape 1" descr="Vista previa de toda la pantalla">
          <a:extLst>
            <a:ext uri="{FF2B5EF4-FFF2-40B4-BE49-F238E27FC236}">
              <a16:creationId xmlns:a16="http://schemas.microsoft.com/office/drawing/2014/main" id="{F284ED8D-700A-4153-B620-0AAE452D54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0" name="AutoShape 1" descr="Vista previa de toda la pantalla">
          <a:extLst>
            <a:ext uri="{FF2B5EF4-FFF2-40B4-BE49-F238E27FC236}">
              <a16:creationId xmlns:a16="http://schemas.microsoft.com/office/drawing/2014/main" id="{31CEA666-8142-4E2D-A105-CB5D48AF5D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1" name="AutoShape 1" descr="Vista previa de toda la pantalla">
          <a:extLst>
            <a:ext uri="{FF2B5EF4-FFF2-40B4-BE49-F238E27FC236}">
              <a16:creationId xmlns:a16="http://schemas.microsoft.com/office/drawing/2014/main" id="{229A75FA-8160-4D12-B877-2E9C990C21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2" name="AutoShape 1" descr="Vista previa de toda la pantalla">
          <a:extLst>
            <a:ext uri="{FF2B5EF4-FFF2-40B4-BE49-F238E27FC236}">
              <a16:creationId xmlns:a16="http://schemas.microsoft.com/office/drawing/2014/main" id="{4DD9F24B-9FD8-4066-B5B0-B73C7BF8C2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3" name="AutoShape 1" descr="Vista previa de toda la pantalla">
          <a:extLst>
            <a:ext uri="{FF2B5EF4-FFF2-40B4-BE49-F238E27FC236}">
              <a16:creationId xmlns:a16="http://schemas.microsoft.com/office/drawing/2014/main" id="{2DE28075-CD70-4B1A-869B-3C8283D19D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4" name="AutoShape 1" descr="Vista previa de toda la pantalla">
          <a:extLst>
            <a:ext uri="{FF2B5EF4-FFF2-40B4-BE49-F238E27FC236}">
              <a16:creationId xmlns:a16="http://schemas.microsoft.com/office/drawing/2014/main" id="{151FF857-66E8-477E-BF6E-E7A3280582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5" name="AutoShape 1" descr="Vista previa de toda la pantalla">
          <a:extLst>
            <a:ext uri="{FF2B5EF4-FFF2-40B4-BE49-F238E27FC236}">
              <a16:creationId xmlns:a16="http://schemas.microsoft.com/office/drawing/2014/main" id="{190D333D-FDEA-4B78-98A6-E361EB0DC6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6" name="AutoShape 1" descr="Vista previa de toda la pantalla">
          <a:extLst>
            <a:ext uri="{FF2B5EF4-FFF2-40B4-BE49-F238E27FC236}">
              <a16:creationId xmlns:a16="http://schemas.microsoft.com/office/drawing/2014/main" id="{6FE1AFBB-1E05-435B-B4BC-98712D0F20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7" name="AutoShape 1" descr="Vista previa de toda la pantalla">
          <a:extLst>
            <a:ext uri="{FF2B5EF4-FFF2-40B4-BE49-F238E27FC236}">
              <a16:creationId xmlns:a16="http://schemas.microsoft.com/office/drawing/2014/main" id="{4FBED920-3244-4580-B80F-09E223B7FB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8" name="AutoShape 1" descr="Vista previa de toda la pantalla">
          <a:extLst>
            <a:ext uri="{FF2B5EF4-FFF2-40B4-BE49-F238E27FC236}">
              <a16:creationId xmlns:a16="http://schemas.microsoft.com/office/drawing/2014/main" id="{E53EC54B-A0D3-48A1-B3E6-350B5F770F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79" name="AutoShape 1" descr="Vista previa de toda la pantalla">
          <a:extLst>
            <a:ext uri="{FF2B5EF4-FFF2-40B4-BE49-F238E27FC236}">
              <a16:creationId xmlns:a16="http://schemas.microsoft.com/office/drawing/2014/main" id="{3E3DC74D-C7E9-4133-8665-8B9B0E399D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0" name="AutoShape 1" descr="Vista previa de toda la pantalla">
          <a:extLst>
            <a:ext uri="{FF2B5EF4-FFF2-40B4-BE49-F238E27FC236}">
              <a16:creationId xmlns:a16="http://schemas.microsoft.com/office/drawing/2014/main" id="{2C88EBFB-18BA-46B1-916C-4975DCAFE2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1" name="AutoShape 1" descr="Vista previa de toda la pantalla">
          <a:extLst>
            <a:ext uri="{FF2B5EF4-FFF2-40B4-BE49-F238E27FC236}">
              <a16:creationId xmlns:a16="http://schemas.microsoft.com/office/drawing/2014/main" id="{B82F772A-72CF-4DC9-95A4-A31AE4CA10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2" name="AutoShape 1" descr="Vista previa de toda la pantalla">
          <a:extLst>
            <a:ext uri="{FF2B5EF4-FFF2-40B4-BE49-F238E27FC236}">
              <a16:creationId xmlns:a16="http://schemas.microsoft.com/office/drawing/2014/main" id="{C8DCD709-07DE-4182-873E-87CC5D5D68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3" name="AutoShape 1" descr="Vista previa de toda la pantalla">
          <a:extLst>
            <a:ext uri="{FF2B5EF4-FFF2-40B4-BE49-F238E27FC236}">
              <a16:creationId xmlns:a16="http://schemas.microsoft.com/office/drawing/2014/main" id="{58DF691A-08C5-44B6-BE7D-B389B1717D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4" name="AutoShape 1" descr="Vista previa de toda la pantalla">
          <a:extLst>
            <a:ext uri="{FF2B5EF4-FFF2-40B4-BE49-F238E27FC236}">
              <a16:creationId xmlns:a16="http://schemas.microsoft.com/office/drawing/2014/main" id="{74E2DC6D-01BC-4590-8EA8-F3D5136BC3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5" name="AutoShape 1" descr="Vista previa de toda la pantalla">
          <a:extLst>
            <a:ext uri="{FF2B5EF4-FFF2-40B4-BE49-F238E27FC236}">
              <a16:creationId xmlns:a16="http://schemas.microsoft.com/office/drawing/2014/main" id="{34DF78EC-BCBC-44AB-8049-F48EA4640A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6" name="AutoShape 1" descr="Vista previa de toda la pantalla">
          <a:extLst>
            <a:ext uri="{FF2B5EF4-FFF2-40B4-BE49-F238E27FC236}">
              <a16:creationId xmlns:a16="http://schemas.microsoft.com/office/drawing/2014/main" id="{FFD61E4A-3BE7-4C01-B78A-44A7EC66B1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7" name="AutoShape 1" descr="Vista previa de toda la pantalla">
          <a:extLst>
            <a:ext uri="{FF2B5EF4-FFF2-40B4-BE49-F238E27FC236}">
              <a16:creationId xmlns:a16="http://schemas.microsoft.com/office/drawing/2014/main" id="{4ED06DB8-BAC2-413D-B37C-B3AD0E3179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8" name="AutoShape 1" descr="Vista previa de toda la pantalla">
          <a:extLst>
            <a:ext uri="{FF2B5EF4-FFF2-40B4-BE49-F238E27FC236}">
              <a16:creationId xmlns:a16="http://schemas.microsoft.com/office/drawing/2014/main" id="{7C6AE3FC-D242-48E8-A4C4-C57FE1A800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89" name="AutoShape 1" descr="Vista previa de toda la pantalla">
          <a:extLst>
            <a:ext uri="{FF2B5EF4-FFF2-40B4-BE49-F238E27FC236}">
              <a16:creationId xmlns:a16="http://schemas.microsoft.com/office/drawing/2014/main" id="{B0CA109E-FD23-4AD6-A3C7-E295C45791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0" name="AutoShape 1" descr="Vista previa de toda la pantalla">
          <a:extLst>
            <a:ext uri="{FF2B5EF4-FFF2-40B4-BE49-F238E27FC236}">
              <a16:creationId xmlns:a16="http://schemas.microsoft.com/office/drawing/2014/main" id="{4F98BC9B-7C82-48A4-B55D-D93B75D0E6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1" name="AutoShape 1" descr="Vista previa de toda la pantalla">
          <a:extLst>
            <a:ext uri="{FF2B5EF4-FFF2-40B4-BE49-F238E27FC236}">
              <a16:creationId xmlns:a16="http://schemas.microsoft.com/office/drawing/2014/main" id="{81FADCDC-A3CF-444C-99E8-725C530B56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2" name="AutoShape 1" descr="Vista previa de toda la pantalla">
          <a:extLst>
            <a:ext uri="{FF2B5EF4-FFF2-40B4-BE49-F238E27FC236}">
              <a16:creationId xmlns:a16="http://schemas.microsoft.com/office/drawing/2014/main" id="{67094B8E-5270-4B37-8707-DF3BC0BDEE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3" name="AutoShape 1" descr="Vista previa de toda la pantalla">
          <a:extLst>
            <a:ext uri="{FF2B5EF4-FFF2-40B4-BE49-F238E27FC236}">
              <a16:creationId xmlns:a16="http://schemas.microsoft.com/office/drawing/2014/main" id="{CC54C7D1-2BE4-4AF8-ACF3-81AE2653F5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4" name="AutoShape 1" descr="Vista previa de toda la pantalla">
          <a:extLst>
            <a:ext uri="{FF2B5EF4-FFF2-40B4-BE49-F238E27FC236}">
              <a16:creationId xmlns:a16="http://schemas.microsoft.com/office/drawing/2014/main" id="{4BE93BDF-E113-491F-914D-5FA7551F7B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5" name="AutoShape 1" descr="Vista previa de toda la pantalla">
          <a:extLst>
            <a:ext uri="{FF2B5EF4-FFF2-40B4-BE49-F238E27FC236}">
              <a16:creationId xmlns:a16="http://schemas.microsoft.com/office/drawing/2014/main" id="{F2EFF703-68C5-475B-827A-AEC795F19A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6" name="AutoShape 1" descr="Vista previa de toda la pantalla">
          <a:extLst>
            <a:ext uri="{FF2B5EF4-FFF2-40B4-BE49-F238E27FC236}">
              <a16:creationId xmlns:a16="http://schemas.microsoft.com/office/drawing/2014/main" id="{78547DE2-535B-4311-AC6E-0721FBC2D7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7" name="AutoShape 1" descr="Vista previa de toda la pantalla">
          <a:extLst>
            <a:ext uri="{FF2B5EF4-FFF2-40B4-BE49-F238E27FC236}">
              <a16:creationId xmlns:a16="http://schemas.microsoft.com/office/drawing/2014/main" id="{1424612D-01FE-464F-ABD6-8CAC2A4B64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8" name="AutoShape 1" descr="Vista previa de toda la pantalla">
          <a:extLst>
            <a:ext uri="{FF2B5EF4-FFF2-40B4-BE49-F238E27FC236}">
              <a16:creationId xmlns:a16="http://schemas.microsoft.com/office/drawing/2014/main" id="{A35B612B-9692-478A-B07F-17BF6A03D7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799" name="AutoShape 1" descr="Vista previa de toda la pantalla">
          <a:extLst>
            <a:ext uri="{FF2B5EF4-FFF2-40B4-BE49-F238E27FC236}">
              <a16:creationId xmlns:a16="http://schemas.microsoft.com/office/drawing/2014/main" id="{4093B270-F525-4490-895C-7747EB22D1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0" name="AutoShape 1" descr="Vista previa de toda la pantalla">
          <a:extLst>
            <a:ext uri="{FF2B5EF4-FFF2-40B4-BE49-F238E27FC236}">
              <a16:creationId xmlns:a16="http://schemas.microsoft.com/office/drawing/2014/main" id="{A4E0012B-05BF-4C2A-BD07-9CFA21A455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1" name="AutoShape 1" descr="Vista previa de toda la pantalla">
          <a:extLst>
            <a:ext uri="{FF2B5EF4-FFF2-40B4-BE49-F238E27FC236}">
              <a16:creationId xmlns:a16="http://schemas.microsoft.com/office/drawing/2014/main" id="{238E6C51-A347-4A72-A221-C117A7574A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2" name="AutoShape 1" descr="Vista previa de toda la pantalla">
          <a:extLst>
            <a:ext uri="{FF2B5EF4-FFF2-40B4-BE49-F238E27FC236}">
              <a16:creationId xmlns:a16="http://schemas.microsoft.com/office/drawing/2014/main" id="{429617E5-9FF2-494C-BEDF-21917028A4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3" name="AutoShape 1" descr="Vista previa de toda la pantalla">
          <a:extLst>
            <a:ext uri="{FF2B5EF4-FFF2-40B4-BE49-F238E27FC236}">
              <a16:creationId xmlns:a16="http://schemas.microsoft.com/office/drawing/2014/main" id="{E0AE2F4C-D3AE-49F0-8894-17A9E1059D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4" name="AutoShape 1" descr="Vista previa de toda la pantalla">
          <a:extLst>
            <a:ext uri="{FF2B5EF4-FFF2-40B4-BE49-F238E27FC236}">
              <a16:creationId xmlns:a16="http://schemas.microsoft.com/office/drawing/2014/main" id="{25C2869E-DE27-43C6-AC9C-43FE0F1DE2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5" name="AutoShape 1" descr="Vista previa de toda la pantalla">
          <a:extLst>
            <a:ext uri="{FF2B5EF4-FFF2-40B4-BE49-F238E27FC236}">
              <a16:creationId xmlns:a16="http://schemas.microsoft.com/office/drawing/2014/main" id="{DEFB7092-8035-489C-A2C5-936AA4D8EF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6" name="AutoShape 1" descr="Vista previa de toda la pantalla">
          <a:extLst>
            <a:ext uri="{FF2B5EF4-FFF2-40B4-BE49-F238E27FC236}">
              <a16:creationId xmlns:a16="http://schemas.microsoft.com/office/drawing/2014/main" id="{18D6A192-0814-4432-AAAD-49CCAEA7BD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7" name="AutoShape 1" descr="Vista previa de toda la pantalla">
          <a:extLst>
            <a:ext uri="{FF2B5EF4-FFF2-40B4-BE49-F238E27FC236}">
              <a16:creationId xmlns:a16="http://schemas.microsoft.com/office/drawing/2014/main" id="{F7FDAFEF-DEBF-4DD4-BC9C-C30DE96211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8" name="AutoShape 1" descr="Vista previa de toda la pantalla">
          <a:extLst>
            <a:ext uri="{FF2B5EF4-FFF2-40B4-BE49-F238E27FC236}">
              <a16:creationId xmlns:a16="http://schemas.microsoft.com/office/drawing/2014/main" id="{1406C124-A9B0-4A75-A0E9-7B4666A8D1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09" name="AutoShape 1" descr="Vista previa de toda la pantalla">
          <a:extLst>
            <a:ext uri="{FF2B5EF4-FFF2-40B4-BE49-F238E27FC236}">
              <a16:creationId xmlns:a16="http://schemas.microsoft.com/office/drawing/2014/main" id="{868BCEF8-9973-4D18-A4FC-1F486E2F61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0" name="AutoShape 1" descr="Vista previa de toda la pantalla">
          <a:extLst>
            <a:ext uri="{FF2B5EF4-FFF2-40B4-BE49-F238E27FC236}">
              <a16:creationId xmlns:a16="http://schemas.microsoft.com/office/drawing/2014/main" id="{870D0184-58F9-4910-9FFD-3D51C328D4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1" name="AutoShape 1" descr="Vista previa de toda la pantalla">
          <a:extLst>
            <a:ext uri="{FF2B5EF4-FFF2-40B4-BE49-F238E27FC236}">
              <a16:creationId xmlns:a16="http://schemas.microsoft.com/office/drawing/2014/main" id="{FD533222-A251-41BE-8E55-9C8A3976BE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2" name="AutoShape 1" descr="Vista previa de toda la pantalla">
          <a:extLst>
            <a:ext uri="{FF2B5EF4-FFF2-40B4-BE49-F238E27FC236}">
              <a16:creationId xmlns:a16="http://schemas.microsoft.com/office/drawing/2014/main" id="{45CF575F-DDBE-4CB9-B9BF-893AD0AEB8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3" name="AutoShape 1" descr="Vista previa de toda la pantalla">
          <a:extLst>
            <a:ext uri="{FF2B5EF4-FFF2-40B4-BE49-F238E27FC236}">
              <a16:creationId xmlns:a16="http://schemas.microsoft.com/office/drawing/2014/main" id="{741FEA13-A24A-4807-AC68-94BFAFC0FF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4" name="AutoShape 1" descr="Vista previa de toda la pantalla">
          <a:extLst>
            <a:ext uri="{FF2B5EF4-FFF2-40B4-BE49-F238E27FC236}">
              <a16:creationId xmlns:a16="http://schemas.microsoft.com/office/drawing/2014/main" id="{AFF60CDC-5737-4054-B1B1-1C3D8ACD19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5" name="AutoShape 1" descr="Vista previa de toda la pantalla">
          <a:extLst>
            <a:ext uri="{FF2B5EF4-FFF2-40B4-BE49-F238E27FC236}">
              <a16:creationId xmlns:a16="http://schemas.microsoft.com/office/drawing/2014/main" id="{8FD63EAF-F951-4167-A638-7C35A67908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6" name="AutoShape 1" descr="Vista previa de toda la pantalla">
          <a:extLst>
            <a:ext uri="{FF2B5EF4-FFF2-40B4-BE49-F238E27FC236}">
              <a16:creationId xmlns:a16="http://schemas.microsoft.com/office/drawing/2014/main" id="{C416AE10-EF5C-4787-BE81-00CCC8E374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7" name="AutoShape 1" descr="Vista previa de toda la pantalla">
          <a:extLst>
            <a:ext uri="{FF2B5EF4-FFF2-40B4-BE49-F238E27FC236}">
              <a16:creationId xmlns:a16="http://schemas.microsoft.com/office/drawing/2014/main" id="{697C89D6-BBFD-461E-8C11-FEB5F3D175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8" name="AutoShape 1" descr="Vista previa de toda la pantalla">
          <a:extLst>
            <a:ext uri="{FF2B5EF4-FFF2-40B4-BE49-F238E27FC236}">
              <a16:creationId xmlns:a16="http://schemas.microsoft.com/office/drawing/2014/main" id="{713346B7-C7B7-4BD3-8EE3-2F46732CE8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19" name="AutoShape 1" descr="Vista previa de toda la pantalla">
          <a:extLst>
            <a:ext uri="{FF2B5EF4-FFF2-40B4-BE49-F238E27FC236}">
              <a16:creationId xmlns:a16="http://schemas.microsoft.com/office/drawing/2014/main" id="{88878D80-D04F-4DBF-8A06-B0E8B1C259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0" name="AutoShape 1" descr="Vista previa de toda la pantalla">
          <a:extLst>
            <a:ext uri="{FF2B5EF4-FFF2-40B4-BE49-F238E27FC236}">
              <a16:creationId xmlns:a16="http://schemas.microsoft.com/office/drawing/2014/main" id="{91598C5D-044A-4D3B-9C09-AE31B99D1D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1" name="AutoShape 1" descr="Vista previa de toda la pantalla">
          <a:extLst>
            <a:ext uri="{FF2B5EF4-FFF2-40B4-BE49-F238E27FC236}">
              <a16:creationId xmlns:a16="http://schemas.microsoft.com/office/drawing/2014/main" id="{35710EC8-2669-4249-9556-3EDAF4BFAF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2" name="AutoShape 1" descr="Vista previa de toda la pantalla">
          <a:extLst>
            <a:ext uri="{FF2B5EF4-FFF2-40B4-BE49-F238E27FC236}">
              <a16:creationId xmlns:a16="http://schemas.microsoft.com/office/drawing/2014/main" id="{74817D0B-2112-4ED8-A1E4-0C83366914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3" name="AutoShape 1" descr="Vista previa de toda la pantalla">
          <a:extLst>
            <a:ext uri="{FF2B5EF4-FFF2-40B4-BE49-F238E27FC236}">
              <a16:creationId xmlns:a16="http://schemas.microsoft.com/office/drawing/2014/main" id="{6B3D923A-FC87-479C-8926-53D109B5C7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4" name="AutoShape 1" descr="Vista previa de toda la pantalla">
          <a:extLst>
            <a:ext uri="{FF2B5EF4-FFF2-40B4-BE49-F238E27FC236}">
              <a16:creationId xmlns:a16="http://schemas.microsoft.com/office/drawing/2014/main" id="{1808414E-7D2C-49AE-B4F7-7D6120DB88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5" name="AutoShape 1" descr="Vista previa de toda la pantalla">
          <a:extLst>
            <a:ext uri="{FF2B5EF4-FFF2-40B4-BE49-F238E27FC236}">
              <a16:creationId xmlns:a16="http://schemas.microsoft.com/office/drawing/2014/main" id="{29D28958-F988-4DE9-9E5E-AF0524EB1B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6" name="AutoShape 1" descr="Vista previa de toda la pantalla">
          <a:extLst>
            <a:ext uri="{FF2B5EF4-FFF2-40B4-BE49-F238E27FC236}">
              <a16:creationId xmlns:a16="http://schemas.microsoft.com/office/drawing/2014/main" id="{E0766D87-A2E8-468A-B8CC-FFBEDA6B2E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7" name="AutoShape 1" descr="Vista previa de toda la pantalla">
          <a:extLst>
            <a:ext uri="{FF2B5EF4-FFF2-40B4-BE49-F238E27FC236}">
              <a16:creationId xmlns:a16="http://schemas.microsoft.com/office/drawing/2014/main" id="{7E62F963-12A4-443E-821D-D8678FB8B4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8" name="AutoShape 1" descr="Vista previa de toda la pantalla">
          <a:extLst>
            <a:ext uri="{FF2B5EF4-FFF2-40B4-BE49-F238E27FC236}">
              <a16:creationId xmlns:a16="http://schemas.microsoft.com/office/drawing/2014/main" id="{506D8A7C-AC7E-4F74-83B4-283001A373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29" name="AutoShape 1" descr="Vista previa de toda la pantalla">
          <a:extLst>
            <a:ext uri="{FF2B5EF4-FFF2-40B4-BE49-F238E27FC236}">
              <a16:creationId xmlns:a16="http://schemas.microsoft.com/office/drawing/2014/main" id="{220CDE0C-0F25-4AD6-ACDE-6D829B7E28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0" name="AutoShape 1" descr="Vista previa de toda la pantalla">
          <a:extLst>
            <a:ext uri="{FF2B5EF4-FFF2-40B4-BE49-F238E27FC236}">
              <a16:creationId xmlns:a16="http://schemas.microsoft.com/office/drawing/2014/main" id="{AFD1E4AD-634F-4C84-8381-972E4E661D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1" name="AutoShape 1" descr="Vista previa de toda la pantalla">
          <a:extLst>
            <a:ext uri="{FF2B5EF4-FFF2-40B4-BE49-F238E27FC236}">
              <a16:creationId xmlns:a16="http://schemas.microsoft.com/office/drawing/2014/main" id="{24CCC788-2215-4DB5-B45E-971FF26F74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2" name="AutoShape 1" descr="Vista previa de toda la pantalla">
          <a:extLst>
            <a:ext uri="{FF2B5EF4-FFF2-40B4-BE49-F238E27FC236}">
              <a16:creationId xmlns:a16="http://schemas.microsoft.com/office/drawing/2014/main" id="{5C408F9A-BFB5-4734-8F07-E94F182E18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3" name="AutoShape 1" descr="Vista previa de toda la pantalla">
          <a:extLst>
            <a:ext uri="{FF2B5EF4-FFF2-40B4-BE49-F238E27FC236}">
              <a16:creationId xmlns:a16="http://schemas.microsoft.com/office/drawing/2014/main" id="{3B733A23-B765-43AB-9A9E-FB278A305F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4" name="AutoShape 1" descr="Vista previa de toda la pantalla">
          <a:extLst>
            <a:ext uri="{FF2B5EF4-FFF2-40B4-BE49-F238E27FC236}">
              <a16:creationId xmlns:a16="http://schemas.microsoft.com/office/drawing/2014/main" id="{8756133F-4573-40AE-97CF-8AF2004780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5" name="AutoShape 1" descr="Vista previa de toda la pantalla">
          <a:extLst>
            <a:ext uri="{FF2B5EF4-FFF2-40B4-BE49-F238E27FC236}">
              <a16:creationId xmlns:a16="http://schemas.microsoft.com/office/drawing/2014/main" id="{B458396D-E340-4128-87D0-C4654D9ADC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6" name="AutoShape 1" descr="Vista previa de toda la pantalla">
          <a:extLst>
            <a:ext uri="{FF2B5EF4-FFF2-40B4-BE49-F238E27FC236}">
              <a16:creationId xmlns:a16="http://schemas.microsoft.com/office/drawing/2014/main" id="{0B8499B2-2AEB-4CB7-B6E1-53BC7E6714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7" name="AutoShape 1" descr="Vista previa de toda la pantalla">
          <a:extLst>
            <a:ext uri="{FF2B5EF4-FFF2-40B4-BE49-F238E27FC236}">
              <a16:creationId xmlns:a16="http://schemas.microsoft.com/office/drawing/2014/main" id="{2FAB69B5-D349-45D7-BA82-1DBAB7FF1C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8" name="AutoShape 1" descr="Vista previa de toda la pantalla">
          <a:extLst>
            <a:ext uri="{FF2B5EF4-FFF2-40B4-BE49-F238E27FC236}">
              <a16:creationId xmlns:a16="http://schemas.microsoft.com/office/drawing/2014/main" id="{023466A1-FB98-4C53-AF14-9330BC86D2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39" name="AutoShape 1" descr="Vista previa de toda la pantalla">
          <a:extLst>
            <a:ext uri="{FF2B5EF4-FFF2-40B4-BE49-F238E27FC236}">
              <a16:creationId xmlns:a16="http://schemas.microsoft.com/office/drawing/2014/main" id="{24805754-2CFE-4BA4-95CC-2316D4A6DF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0" name="AutoShape 1" descr="Vista previa de toda la pantalla">
          <a:extLst>
            <a:ext uri="{FF2B5EF4-FFF2-40B4-BE49-F238E27FC236}">
              <a16:creationId xmlns:a16="http://schemas.microsoft.com/office/drawing/2014/main" id="{153E4DB7-4F03-4D72-A690-5FCCFC69D0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1" name="AutoShape 1" descr="Vista previa de toda la pantalla">
          <a:extLst>
            <a:ext uri="{FF2B5EF4-FFF2-40B4-BE49-F238E27FC236}">
              <a16:creationId xmlns:a16="http://schemas.microsoft.com/office/drawing/2014/main" id="{670151B5-50DB-4FF2-B5BC-552AE7E2E9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2" name="AutoShape 1" descr="Vista previa de toda la pantalla">
          <a:extLst>
            <a:ext uri="{FF2B5EF4-FFF2-40B4-BE49-F238E27FC236}">
              <a16:creationId xmlns:a16="http://schemas.microsoft.com/office/drawing/2014/main" id="{95DC9A1A-6327-4C4E-8FFF-1E23C836F9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3" name="AutoShape 1" descr="Vista previa de toda la pantalla">
          <a:extLst>
            <a:ext uri="{FF2B5EF4-FFF2-40B4-BE49-F238E27FC236}">
              <a16:creationId xmlns:a16="http://schemas.microsoft.com/office/drawing/2014/main" id="{65C01D48-5523-4457-8B8D-38CBE4549D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4" name="AutoShape 1" descr="Vista previa de toda la pantalla">
          <a:extLst>
            <a:ext uri="{FF2B5EF4-FFF2-40B4-BE49-F238E27FC236}">
              <a16:creationId xmlns:a16="http://schemas.microsoft.com/office/drawing/2014/main" id="{87A37887-7F93-4622-AF0F-C6DC0E0619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5" name="AutoShape 1" descr="Vista previa de toda la pantalla">
          <a:extLst>
            <a:ext uri="{FF2B5EF4-FFF2-40B4-BE49-F238E27FC236}">
              <a16:creationId xmlns:a16="http://schemas.microsoft.com/office/drawing/2014/main" id="{F2E7DEAD-C689-486F-82EE-4238049D23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6" name="AutoShape 1" descr="Vista previa de toda la pantalla">
          <a:extLst>
            <a:ext uri="{FF2B5EF4-FFF2-40B4-BE49-F238E27FC236}">
              <a16:creationId xmlns:a16="http://schemas.microsoft.com/office/drawing/2014/main" id="{78404BE8-EDFC-46D9-AAFA-E34BEC70EA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7" name="AutoShape 1" descr="Vista previa de toda la pantalla">
          <a:extLst>
            <a:ext uri="{FF2B5EF4-FFF2-40B4-BE49-F238E27FC236}">
              <a16:creationId xmlns:a16="http://schemas.microsoft.com/office/drawing/2014/main" id="{E12CDCD0-EC95-42C7-B63F-20166374E3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8" name="AutoShape 1" descr="Vista previa de toda la pantalla">
          <a:extLst>
            <a:ext uri="{FF2B5EF4-FFF2-40B4-BE49-F238E27FC236}">
              <a16:creationId xmlns:a16="http://schemas.microsoft.com/office/drawing/2014/main" id="{7432D83D-8666-4C11-89A4-FF36777C89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49" name="AutoShape 1" descr="Vista previa de toda la pantalla">
          <a:extLst>
            <a:ext uri="{FF2B5EF4-FFF2-40B4-BE49-F238E27FC236}">
              <a16:creationId xmlns:a16="http://schemas.microsoft.com/office/drawing/2014/main" id="{313661AE-855A-4E70-A0C5-29D36BE2B8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50" name="AutoShape 1" descr="Vista previa de toda la pantalla">
          <a:extLst>
            <a:ext uri="{FF2B5EF4-FFF2-40B4-BE49-F238E27FC236}">
              <a16:creationId xmlns:a16="http://schemas.microsoft.com/office/drawing/2014/main" id="{27C95358-A51C-457A-A8EB-22CA809DF8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51" name="AutoShape 1" descr="Vista previa de toda la pantalla">
          <a:extLst>
            <a:ext uri="{FF2B5EF4-FFF2-40B4-BE49-F238E27FC236}">
              <a16:creationId xmlns:a16="http://schemas.microsoft.com/office/drawing/2014/main" id="{98C54663-E903-4A14-9788-5B8AA86BEC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52" name="AutoShape 1" descr="Vista previa de toda la pantalla">
          <a:extLst>
            <a:ext uri="{FF2B5EF4-FFF2-40B4-BE49-F238E27FC236}">
              <a16:creationId xmlns:a16="http://schemas.microsoft.com/office/drawing/2014/main" id="{76659060-E00D-4F99-B08B-D9ED823BBC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53" name="AutoShape 1" descr="Vista previa de toda la pantalla">
          <a:extLst>
            <a:ext uri="{FF2B5EF4-FFF2-40B4-BE49-F238E27FC236}">
              <a16:creationId xmlns:a16="http://schemas.microsoft.com/office/drawing/2014/main" id="{143FC33A-EF46-4FFE-B096-3407022032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54" name="AutoShape 1" descr="Vista previa de toda la pantalla">
          <a:extLst>
            <a:ext uri="{FF2B5EF4-FFF2-40B4-BE49-F238E27FC236}">
              <a16:creationId xmlns:a16="http://schemas.microsoft.com/office/drawing/2014/main" id="{AD27AD60-C816-4ACA-898A-F145709167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55" name="AutoShape 1" descr="Vista previa de toda la pantalla">
          <a:extLst>
            <a:ext uri="{FF2B5EF4-FFF2-40B4-BE49-F238E27FC236}">
              <a16:creationId xmlns:a16="http://schemas.microsoft.com/office/drawing/2014/main" id="{B546B257-8105-4CC6-94C3-CB9C90C7E5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56" name="AutoShape 1" descr="Vista previa de toda la pantalla">
          <a:extLst>
            <a:ext uri="{FF2B5EF4-FFF2-40B4-BE49-F238E27FC236}">
              <a16:creationId xmlns:a16="http://schemas.microsoft.com/office/drawing/2014/main" id="{480A2B06-160D-4316-A99D-D9D018539B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57" name="AutoShape 1" descr="Vista previa de toda la pantalla">
          <a:extLst>
            <a:ext uri="{FF2B5EF4-FFF2-40B4-BE49-F238E27FC236}">
              <a16:creationId xmlns:a16="http://schemas.microsoft.com/office/drawing/2014/main" id="{6FFCF4E7-E2C1-4C2E-B2CA-29A0C8D156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3858" name="AutoShape 1" descr="Vista previa de toda la pantalla">
          <a:extLst>
            <a:ext uri="{FF2B5EF4-FFF2-40B4-BE49-F238E27FC236}">
              <a16:creationId xmlns:a16="http://schemas.microsoft.com/office/drawing/2014/main" id="{D3B8F29B-3492-4EB4-BE59-B1C14BE48A61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59" name="AutoShape 1" descr="Vista previa de toda la pantalla">
          <a:extLst>
            <a:ext uri="{FF2B5EF4-FFF2-40B4-BE49-F238E27FC236}">
              <a16:creationId xmlns:a16="http://schemas.microsoft.com/office/drawing/2014/main" id="{2232D3C8-4E45-4266-8B7C-56ADE09C08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0" name="AutoShape 1" descr="Vista previa de toda la pantalla">
          <a:extLst>
            <a:ext uri="{FF2B5EF4-FFF2-40B4-BE49-F238E27FC236}">
              <a16:creationId xmlns:a16="http://schemas.microsoft.com/office/drawing/2014/main" id="{ACDDB976-2802-4DDE-BA6E-9FEF388EDC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1" name="AutoShape 1" descr="Vista previa de toda la pantalla">
          <a:extLst>
            <a:ext uri="{FF2B5EF4-FFF2-40B4-BE49-F238E27FC236}">
              <a16:creationId xmlns:a16="http://schemas.microsoft.com/office/drawing/2014/main" id="{2A97A133-30B3-4ADD-9F75-989553A446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2" name="AutoShape 1" descr="Vista previa de toda la pantalla">
          <a:extLst>
            <a:ext uri="{FF2B5EF4-FFF2-40B4-BE49-F238E27FC236}">
              <a16:creationId xmlns:a16="http://schemas.microsoft.com/office/drawing/2014/main" id="{91DED31F-700C-4AE7-89F8-8F958B6517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3" name="AutoShape 1" descr="Vista previa de toda la pantalla">
          <a:extLst>
            <a:ext uri="{FF2B5EF4-FFF2-40B4-BE49-F238E27FC236}">
              <a16:creationId xmlns:a16="http://schemas.microsoft.com/office/drawing/2014/main" id="{1A77E314-94D5-41E6-89B0-DEB818A0CA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4" name="AutoShape 1" descr="Vista previa de toda la pantalla">
          <a:extLst>
            <a:ext uri="{FF2B5EF4-FFF2-40B4-BE49-F238E27FC236}">
              <a16:creationId xmlns:a16="http://schemas.microsoft.com/office/drawing/2014/main" id="{AF116086-0900-4317-AE63-90798BAB16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5" name="AutoShape 1" descr="Vista previa de toda la pantalla">
          <a:extLst>
            <a:ext uri="{FF2B5EF4-FFF2-40B4-BE49-F238E27FC236}">
              <a16:creationId xmlns:a16="http://schemas.microsoft.com/office/drawing/2014/main" id="{A44392AC-8486-45FC-A8A8-8B3DD0A5D8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6" name="AutoShape 1" descr="Vista previa de toda la pantalla">
          <a:extLst>
            <a:ext uri="{FF2B5EF4-FFF2-40B4-BE49-F238E27FC236}">
              <a16:creationId xmlns:a16="http://schemas.microsoft.com/office/drawing/2014/main" id="{CC2EAC75-8189-4FE9-912C-2189CEBD3A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7" name="AutoShape 1" descr="Vista previa de toda la pantalla">
          <a:extLst>
            <a:ext uri="{FF2B5EF4-FFF2-40B4-BE49-F238E27FC236}">
              <a16:creationId xmlns:a16="http://schemas.microsoft.com/office/drawing/2014/main" id="{A47F9F05-B423-44E7-97CD-C093A52330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8" name="AutoShape 1" descr="Vista previa de toda la pantalla">
          <a:extLst>
            <a:ext uri="{FF2B5EF4-FFF2-40B4-BE49-F238E27FC236}">
              <a16:creationId xmlns:a16="http://schemas.microsoft.com/office/drawing/2014/main" id="{641BCDF5-5002-45C9-8A1C-1AA140506B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69" name="AutoShape 1" descr="Vista previa de toda la pantalla">
          <a:extLst>
            <a:ext uri="{FF2B5EF4-FFF2-40B4-BE49-F238E27FC236}">
              <a16:creationId xmlns:a16="http://schemas.microsoft.com/office/drawing/2014/main" id="{1B4013EB-54A3-4471-A4B9-5554C03819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0" name="AutoShape 1" descr="Vista previa de toda la pantalla">
          <a:extLst>
            <a:ext uri="{FF2B5EF4-FFF2-40B4-BE49-F238E27FC236}">
              <a16:creationId xmlns:a16="http://schemas.microsoft.com/office/drawing/2014/main" id="{7CE50B8D-A106-4919-8190-C01B27E223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1" name="AutoShape 1" descr="Vista previa de toda la pantalla">
          <a:extLst>
            <a:ext uri="{FF2B5EF4-FFF2-40B4-BE49-F238E27FC236}">
              <a16:creationId xmlns:a16="http://schemas.microsoft.com/office/drawing/2014/main" id="{F66C61B2-8432-4699-9E98-6D4E31C4DE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2" name="AutoShape 1" descr="Vista previa de toda la pantalla">
          <a:extLst>
            <a:ext uri="{FF2B5EF4-FFF2-40B4-BE49-F238E27FC236}">
              <a16:creationId xmlns:a16="http://schemas.microsoft.com/office/drawing/2014/main" id="{19DA20BE-F86D-445E-A696-9860FB537E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3" name="AutoShape 1" descr="Vista previa de toda la pantalla">
          <a:extLst>
            <a:ext uri="{FF2B5EF4-FFF2-40B4-BE49-F238E27FC236}">
              <a16:creationId xmlns:a16="http://schemas.microsoft.com/office/drawing/2014/main" id="{69448FB9-3D8E-4E93-ACBF-B8DBF6C062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4" name="AutoShape 1" descr="Vista previa de toda la pantalla">
          <a:extLst>
            <a:ext uri="{FF2B5EF4-FFF2-40B4-BE49-F238E27FC236}">
              <a16:creationId xmlns:a16="http://schemas.microsoft.com/office/drawing/2014/main" id="{FC776E2E-6416-45C2-AC59-ED61452F02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5" name="AutoShape 1" descr="Vista previa de toda la pantalla">
          <a:extLst>
            <a:ext uri="{FF2B5EF4-FFF2-40B4-BE49-F238E27FC236}">
              <a16:creationId xmlns:a16="http://schemas.microsoft.com/office/drawing/2014/main" id="{24829198-2821-44CB-8586-DBE993EFC7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6" name="AutoShape 1" descr="Vista previa de toda la pantalla">
          <a:extLst>
            <a:ext uri="{FF2B5EF4-FFF2-40B4-BE49-F238E27FC236}">
              <a16:creationId xmlns:a16="http://schemas.microsoft.com/office/drawing/2014/main" id="{913EF3B6-F93B-4F52-B272-785C7B7CE6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7" name="AutoShape 1" descr="Vista previa de toda la pantalla">
          <a:extLst>
            <a:ext uri="{FF2B5EF4-FFF2-40B4-BE49-F238E27FC236}">
              <a16:creationId xmlns:a16="http://schemas.microsoft.com/office/drawing/2014/main" id="{A2819568-11C3-4320-A61D-42F95797DC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8" name="AutoShape 1" descr="Vista previa de toda la pantalla">
          <a:extLst>
            <a:ext uri="{FF2B5EF4-FFF2-40B4-BE49-F238E27FC236}">
              <a16:creationId xmlns:a16="http://schemas.microsoft.com/office/drawing/2014/main" id="{A4265F74-A37B-4FBC-AC6B-6071E12FC9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79" name="AutoShape 1" descr="Vista previa de toda la pantalla">
          <a:extLst>
            <a:ext uri="{FF2B5EF4-FFF2-40B4-BE49-F238E27FC236}">
              <a16:creationId xmlns:a16="http://schemas.microsoft.com/office/drawing/2014/main" id="{3B8C6908-D803-41FD-AC1D-ECF6200904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0" name="AutoShape 1" descr="Vista previa de toda la pantalla">
          <a:extLst>
            <a:ext uri="{FF2B5EF4-FFF2-40B4-BE49-F238E27FC236}">
              <a16:creationId xmlns:a16="http://schemas.microsoft.com/office/drawing/2014/main" id="{08B6F421-326F-4E53-A5D8-C9F7BDFBA2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1" name="AutoShape 1" descr="Vista previa de toda la pantalla">
          <a:extLst>
            <a:ext uri="{FF2B5EF4-FFF2-40B4-BE49-F238E27FC236}">
              <a16:creationId xmlns:a16="http://schemas.microsoft.com/office/drawing/2014/main" id="{149FDAD9-BD46-4CB4-8738-5112D58F73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2" name="AutoShape 1" descr="Vista previa de toda la pantalla">
          <a:extLst>
            <a:ext uri="{FF2B5EF4-FFF2-40B4-BE49-F238E27FC236}">
              <a16:creationId xmlns:a16="http://schemas.microsoft.com/office/drawing/2014/main" id="{67CC2A13-C2D8-4F3F-920A-7AA706BED3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3" name="AutoShape 1" descr="Vista previa de toda la pantalla">
          <a:extLst>
            <a:ext uri="{FF2B5EF4-FFF2-40B4-BE49-F238E27FC236}">
              <a16:creationId xmlns:a16="http://schemas.microsoft.com/office/drawing/2014/main" id="{1BB4F30E-1629-4FDB-9D3B-CD7E14200E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4" name="AutoShape 1" descr="Vista previa de toda la pantalla">
          <a:extLst>
            <a:ext uri="{FF2B5EF4-FFF2-40B4-BE49-F238E27FC236}">
              <a16:creationId xmlns:a16="http://schemas.microsoft.com/office/drawing/2014/main" id="{46A9F863-3F27-43D4-BBD3-2FF0A34975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5" name="AutoShape 1" descr="Vista previa de toda la pantalla">
          <a:extLst>
            <a:ext uri="{FF2B5EF4-FFF2-40B4-BE49-F238E27FC236}">
              <a16:creationId xmlns:a16="http://schemas.microsoft.com/office/drawing/2014/main" id="{6230801A-DA88-450E-BD79-BED88252E5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6" name="AutoShape 1" descr="Vista previa de toda la pantalla">
          <a:extLst>
            <a:ext uri="{FF2B5EF4-FFF2-40B4-BE49-F238E27FC236}">
              <a16:creationId xmlns:a16="http://schemas.microsoft.com/office/drawing/2014/main" id="{39635610-FC2C-486A-B981-9B41835E27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7" name="AutoShape 1" descr="Vista previa de toda la pantalla">
          <a:extLst>
            <a:ext uri="{FF2B5EF4-FFF2-40B4-BE49-F238E27FC236}">
              <a16:creationId xmlns:a16="http://schemas.microsoft.com/office/drawing/2014/main" id="{EC974E33-293B-4452-99A2-15E5B4B5BB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8" name="AutoShape 1" descr="Vista previa de toda la pantalla">
          <a:extLst>
            <a:ext uri="{FF2B5EF4-FFF2-40B4-BE49-F238E27FC236}">
              <a16:creationId xmlns:a16="http://schemas.microsoft.com/office/drawing/2014/main" id="{9E728FBF-E64E-4D3C-9721-BE2F336937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89" name="AutoShape 1" descr="Vista previa de toda la pantalla">
          <a:extLst>
            <a:ext uri="{FF2B5EF4-FFF2-40B4-BE49-F238E27FC236}">
              <a16:creationId xmlns:a16="http://schemas.microsoft.com/office/drawing/2014/main" id="{DF7C233A-998A-4D28-8EFB-1832C5EFEA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0" name="AutoShape 1" descr="Vista previa de toda la pantalla">
          <a:extLst>
            <a:ext uri="{FF2B5EF4-FFF2-40B4-BE49-F238E27FC236}">
              <a16:creationId xmlns:a16="http://schemas.microsoft.com/office/drawing/2014/main" id="{EDAC7C7E-EB1D-46E5-8F9A-CE3C810DD0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1" name="AutoShape 1" descr="Vista previa de toda la pantalla">
          <a:extLst>
            <a:ext uri="{FF2B5EF4-FFF2-40B4-BE49-F238E27FC236}">
              <a16:creationId xmlns:a16="http://schemas.microsoft.com/office/drawing/2014/main" id="{6E486AD2-06CC-4678-8725-31EC615F2E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2" name="AutoShape 1" descr="Vista previa de toda la pantalla">
          <a:extLst>
            <a:ext uri="{FF2B5EF4-FFF2-40B4-BE49-F238E27FC236}">
              <a16:creationId xmlns:a16="http://schemas.microsoft.com/office/drawing/2014/main" id="{65F72C2B-0A72-40EC-8221-EFA1425B4B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3" name="AutoShape 1" descr="Vista previa de toda la pantalla">
          <a:extLst>
            <a:ext uri="{FF2B5EF4-FFF2-40B4-BE49-F238E27FC236}">
              <a16:creationId xmlns:a16="http://schemas.microsoft.com/office/drawing/2014/main" id="{14FC97AD-AB91-46E5-A8D6-6AEB3525AB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4" name="AutoShape 1" descr="Vista previa de toda la pantalla">
          <a:extLst>
            <a:ext uri="{FF2B5EF4-FFF2-40B4-BE49-F238E27FC236}">
              <a16:creationId xmlns:a16="http://schemas.microsoft.com/office/drawing/2014/main" id="{9A08CB77-8B42-4A89-B96B-C2DE8C89AC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5" name="AutoShape 1" descr="Vista previa de toda la pantalla">
          <a:extLst>
            <a:ext uri="{FF2B5EF4-FFF2-40B4-BE49-F238E27FC236}">
              <a16:creationId xmlns:a16="http://schemas.microsoft.com/office/drawing/2014/main" id="{7E134E4B-F16F-4234-B542-1DE192A0DE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6" name="AutoShape 1" descr="Vista previa de toda la pantalla">
          <a:extLst>
            <a:ext uri="{FF2B5EF4-FFF2-40B4-BE49-F238E27FC236}">
              <a16:creationId xmlns:a16="http://schemas.microsoft.com/office/drawing/2014/main" id="{88895E04-CF35-4ECE-8D6A-E61EBC9723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7" name="AutoShape 1" descr="Vista previa de toda la pantalla">
          <a:extLst>
            <a:ext uri="{FF2B5EF4-FFF2-40B4-BE49-F238E27FC236}">
              <a16:creationId xmlns:a16="http://schemas.microsoft.com/office/drawing/2014/main" id="{78221FF1-0BC6-468F-A8E1-48EC1250DA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8" name="AutoShape 1" descr="Vista previa de toda la pantalla">
          <a:extLst>
            <a:ext uri="{FF2B5EF4-FFF2-40B4-BE49-F238E27FC236}">
              <a16:creationId xmlns:a16="http://schemas.microsoft.com/office/drawing/2014/main" id="{C04D958F-AE4D-4D2E-93E3-BDDF828210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899" name="AutoShape 1" descr="Vista previa de toda la pantalla">
          <a:extLst>
            <a:ext uri="{FF2B5EF4-FFF2-40B4-BE49-F238E27FC236}">
              <a16:creationId xmlns:a16="http://schemas.microsoft.com/office/drawing/2014/main" id="{EC742982-68FF-4188-9722-843B17418F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0" name="AutoShape 1" descr="Vista previa de toda la pantalla">
          <a:extLst>
            <a:ext uri="{FF2B5EF4-FFF2-40B4-BE49-F238E27FC236}">
              <a16:creationId xmlns:a16="http://schemas.microsoft.com/office/drawing/2014/main" id="{ED829199-AF14-4F1E-8ECE-DA64A1B230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1" name="AutoShape 1" descr="Vista previa de toda la pantalla">
          <a:extLst>
            <a:ext uri="{FF2B5EF4-FFF2-40B4-BE49-F238E27FC236}">
              <a16:creationId xmlns:a16="http://schemas.microsoft.com/office/drawing/2014/main" id="{B52BC448-804E-447C-91F6-344563F1A2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2" name="AutoShape 1" descr="Vista previa de toda la pantalla">
          <a:extLst>
            <a:ext uri="{FF2B5EF4-FFF2-40B4-BE49-F238E27FC236}">
              <a16:creationId xmlns:a16="http://schemas.microsoft.com/office/drawing/2014/main" id="{6A650F5E-925D-42A8-B2F1-B5BFD30A61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3" name="AutoShape 1" descr="Vista previa de toda la pantalla">
          <a:extLst>
            <a:ext uri="{FF2B5EF4-FFF2-40B4-BE49-F238E27FC236}">
              <a16:creationId xmlns:a16="http://schemas.microsoft.com/office/drawing/2014/main" id="{018B6162-E2FA-4EB7-A3A9-0B4D230D9C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4" name="AutoShape 1" descr="Vista previa de toda la pantalla">
          <a:extLst>
            <a:ext uri="{FF2B5EF4-FFF2-40B4-BE49-F238E27FC236}">
              <a16:creationId xmlns:a16="http://schemas.microsoft.com/office/drawing/2014/main" id="{43F779FE-7E9A-48EC-9401-FAD48B3E56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5" name="AutoShape 1" descr="Vista previa de toda la pantalla">
          <a:extLst>
            <a:ext uri="{FF2B5EF4-FFF2-40B4-BE49-F238E27FC236}">
              <a16:creationId xmlns:a16="http://schemas.microsoft.com/office/drawing/2014/main" id="{93DCC48C-84B5-45EC-9D94-D6BA49A8D0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6" name="AutoShape 1" descr="Vista previa de toda la pantalla">
          <a:extLst>
            <a:ext uri="{FF2B5EF4-FFF2-40B4-BE49-F238E27FC236}">
              <a16:creationId xmlns:a16="http://schemas.microsoft.com/office/drawing/2014/main" id="{00EB7580-5958-47C9-80A5-3F16E10CA3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7" name="AutoShape 1" descr="Vista previa de toda la pantalla">
          <a:extLst>
            <a:ext uri="{FF2B5EF4-FFF2-40B4-BE49-F238E27FC236}">
              <a16:creationId xmlns:a16="http://schemas.microsoft.com/office/drawing/2014/main" id="{A7C92359-168B-497D-AEBF-5F41AC44A3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8" name="AutoShape 1" descr="Vista previa de toda la pantalla">
          <a:extLst>
            <a:ext uri="{FF2B5EF4-FFF2-40B4-BE49-F238E27FC236}">
              <a16:creationId xmlns:a16="http://schemas.microsoft.com/office/drawing/2014/main" id="{454774EF-E454-41E5-8A5F-38D7FA14FF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09" name="AutoShape 1" descr="Vista previa de toda la pantalla">
          <a:extLst>
            <a:ext uri="{FF2B5EF4-FFF2-40B4-BE49-F238E27FC236}">
              <a16:creationId xmlns:a16="http://schemas.microsoft.com/office/drawing/2014/main" id="{E3BC90FD-650B-4893-A71D-456838684C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0" name="AutoShape 1" descr="Vista previa de toda la pantalla">
          <a:extLst>
            <a:ext uri="{FF2B5EF4-FFF2-40B4-BE49-F238E27FC236}">
              <a16:creationId xmlns:a16="http://schemas.microsoft.com/office/drawing/2014/main" id="{04506C4C-C5EB-46A7-9362-FDF62911D4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1" name="AutoShape 1" descr="Vista previa de toda la pantalla">
          <a:extLst>
            <a:ext uri="{FF2B5EF4-FFF2-40B4-BE49-F238E27FC236}">
              <a16:creationId xmlns:a16="http://schemas.microsoft.com/office/drawing/2014/main" id="{40893B38-1357-47AE-9363-6D3C66035C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2" name="AutoShape 1" descr="Vista previa de toda la pantalla">
          <a:extLst>
            <a:ext uri="{FF2B5EF4-FFF2-40B4-BE49-F238E27FC236}">
              <a16:creationId xmlns:a16="http://schemas.microsoft.com/office/drawing/2014/main" id="{50542835-7299-4685-A276-08255859E3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3" name="AutoShape 1" descr="Vista previa de toda la pantalla">
          <a:extLst>
            <a:ext uri="{FF2B5EF4-FFF2-40B4-BE49-F238E27FC236}">
              <a16:creationId xmlns:a16="http://schemas.microsoft.com/office/drawing/2014/main" id="{09111443-A1AB-4E42-B7A1-D72FCECFA4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4" name="AutoShape 1" descr="Vista previa de toda la pantalla">
          <a:extLst>
            <a:ext uri="{FF2B5EF4-FFF2-40B4-BE49-F238E27FC236}">
              <a16:creationId xmlns:a16="http://schemas.microsoft.com/office/drawing/2014/main" id="{54A3C5AE-428A-4E36-9DD1-2B2E2BB5DD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5" name="AutoShape 1" descr="Vista previa de toda la pantalla">
          <a:extLst>
            <a:ext uri="{FF2B5EF4-FFF2-40B4-BE49-F238E27FC236}">
              <a16:creationId xmlns:a16="http://schemas.microsoft.com/office/drawing/2014/main" id="{80B3410B-B1A4-4C26-BEBD-E54331FF13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6" name="AutoShape 1" descr="Vista previa de toda la pantalla">
          <a:extLst>
            <a:ext uri="{FF2B5EF4-FFF2-40B4-BE49-F238E27FC236}">
              <a16:creationId xmlns:a16="http://schemas.microsoft.com/office/drawing/2014/main" id="{7A3924F0-6C4D-414D-B0EE-CB552D0E7C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7" name="AutoShape 1" descr="Vista previa de toda la pantalla">
          <a:extLst>
            <a:ext uri="{FF2B5EF4-FFF2-40B4-BE49-F238E27FC236}">
              <a16:creationId xmlns:a16="http://schemas.microsoft.com/office/drawing/2014/main" id="{7CC9C0B1-8C9E-44B2-B501-A7C0DC1902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8" name="AutoShape 1" descr="Vista previa de toda la pantalla">
          <a:extLst>
            <a:ext uri="{FF2B5EF4-FFF2-40B4-BE49-F238E27FC236}">
              <a16:creationId xmlns:a16="http://schemas.microsoft.com/office/drawing/2014/main" id="{580C5B53-3828-4E28-95FD-5C710333E7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19" name="AutoShape 1" descr="Vista previa de toda la pantalla">
          <a:extLst>
            <a:ext uri="{FF2B5EF4-FFF2-40B4-BE49-F238E27FC236}">
              <a16:creationId xmlns:a16="http://schemas.microsoft.com/office/drawing/2014/main" id="{DB625EBF-16C6-48FE-B293-781D8EA255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0" name="AutoShape 1" descr="Vista previa de toda la pantalla">
          <a:extLst>
            <a:ext uri="{FF2B5EF4-FFF2-40B4-BE49-F238E27FC236}">
              <a16:creationId xmlns:a16="http://schemas.microsoft.com/office/drawing/2014/main" id="{22A92CFB-9231-48C0-8D50-8155C1970E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1" name="AutoShape 1" descr="Vista previa de toda la pantalla">
          <a:extLst>
            <a:ext uri="{FF2B5EF4-FFF2-40B4-BE49-F238E27FC236}">
              <a16:creationId xmlns:a16="http://schemas.microsoft.com/office/drawing/2014/main" id="{374FCE50-8380-4B3B-B867-65A97F98C3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2" name="AutoShape 1" descr="Vista previa de toda la pantalla">
          <a:extLst>
            <a:ext uri="{FF2B5EF4-FFF2-40B4-BE49-F238E27FC236}">
              <a16:creationId xmlns:a16="http://schemas.microsoft.com/office/drawing/2014/main" id="{9F7B96E4-7E5C-4A59-B3E3-956C774F54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3" name="AutoShape 1" descr="Vista previa de toda la pantalla">
          <a:extLst>
            <a:ext uri="{FF2B5EF4-FFF2-40B4-BE49-F238E27FC236}">
              <a16:creationId xmlns:a16="http://schemas.microsoft.com/office/drawing/2014/main" id="{7D84D8A4-8982-46E5-BEA5-FDF1253614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4" name="AutoShape 1" descr="Vista previa de toda la pantalla">
          <a:extLst>
            <a:ext uri="{FF2B5EF4-FFF2-40B4-BE49-F238E27FC236}">
              <a16:creationId xmlns:a16="http://schemas.microsoft.com/office/drawing/2014/main" id="{D91CB841-1AAB-4F89-A5A6-3431669EEA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5" name="AutoShape 1" descr="Vista previa de toda la pantalla">
          <a:extLst>
            <a:ext uri="{FF2B5EF4-FFF2-40B4-BE49-F238E27FC236}">
              <a16:creationId xmlns:a16="http://schemas.microsoft.com/office/drawing/2014/main" id="{2F62DAD9-1415-469A-B1D4-65D47F1D4B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6" name="AutoShape 1" descr="Vista previa de toda la pantalla">
          <a:extLst>
            <a:ext uri="{FF2B5EF4-FFF2-40B4-BE49-F238E27FC236}">
              <a16:creationId xmlns:a16="http://schemas.microsoft.com/office/drawing/2014/main" id="{473CDE85-F73F-4259-AE8E-369E89D517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7" name="AutoShape 1" descr="Vista previa de toda la pantalla">
          <a:extLst>
            <a:ext uri="{FF2B5EF4-FFF2-40B4-BE49-F238E27FC236}">
              <a16:creationId xmlns:a16="http://schemas.microsoft.com/office/drawing/2014/main" id="{C8B590BA-86D2-48B3-928B-141620F09A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8" name="AutoShape 1" descr="Vista previa de toda la pantalla">
          <a:extLst>
            <a:ext uri="{FF2B5EF4-FFF2-40B4-BE49-F238E27FC236}">
              <a16:creationId xmlns:a16="http://schemas.microsoft.com/office/drawing/2014/main" id="{20295090-4927-4191-BCDE-591C56F0C0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29" name="AutoShape 1" descr="Vista previa de toda la pantalla">
          <a:extLst>
            <a:ext uri="{FF2B5EF4-FFF2-40B4-BE49-F238E27FC236}">
              <a16:creationId xmlns:a16="http://schemas.microsoft.com/office/drawing/2014/main" id="{783893FF-DB18-4C81-85D4-2B316A237C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0" name="AutoShape 1" descr="Vista previa de toda la pantalla">
          <a:extLst>
            <a:ext uri="{FF2B5EF4-FFF2-40B4-BE49-F238E27FC236}">
              <a16:creationId xmlns:a16="http://schemas.microsoft.com/office/drawing/2014/main" id="{3E59F55F-3CE1-4240-9FEB-BA0472419B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1" name="AutoShape 1" descr="Vista previa de toda la pantalla">
          <a:extLst>
            <a:ext uri="{FF2B5EF4-FFF2-40B4-BE49-F238E27FC236}">
              <a16:creationId xmlns:a16="http://schemas.microsoft.com/office/drawing/2014/main" id="{453BF7C4-98ED-4BFD-95CC-41370CE349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2" name="AutoShape 1" descr="Vista previa de toda la pantalla">
          <a:extLst>
            <a:ext uri="{FF2B5EF4-FFF2-40B4-BE49-F238E27FC236}">
              <a16:creationId xmlns:a16="http://schemas.microsoft.com/office/drawing/2014/main" id="{D98D6D79-5881-45D1-8078-B17BF22B96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3" name="AutoShape 1" descr="Vista previa de toda la pantalla">
          <a:extLst>
            <a:ext uri="{FF2B5EF4-FFF2-40B4-BE49-F238E27FC236}">
              <a16:creationId xmlns:a16="http://schemas.microsoft.com/office/drawing/2014/main" id="{448AB43E-CE91-413D-ABE8-18D4287F69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4" name="AutoShape 1" descr="Vista previa de toda la pantalla">
          <a:extLst>
            <a:ext uri="{FF2B5EF4-FFF2-40B4-BE49-F238E27FC236}">
              <a16:creationId xmlns:a16="http://schemas.microsoft.com/office/drawing/2014/main" id="{96FD94BE-3901-4273-AA51-D5DA77E45E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5" name="AutoShape 1" descr="Vista previa de toda la pantalla">
          <a:extLst>
            <a:ext uri="{FF2B5EF4-FFF2-40B4-BE49-F238E27FC236}">
              <a16:creationId xmlns:a16="http://schemas.microsoft.com/office/drawing/2014/main" id="{E9038E2C-F7ED-4F83-BCDB-DB6F73D844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6" name="AutoShape 1" descr="Vista previa de toda la pantalla">
          <a:extLst>
            <a:ext uri="{FF2B5EF4-FFF2-40B4-BE49-F238E27FC236}">
              <a16:creationId xmlns:a16="http://schemas.microsoft.com/office/drawing/2014/main" id="{914DC393-F58A-4EC3-8A49-8593E0A798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7" name="AutoShape 1" descr="Vista previa de toda la pantalla">
          <a:extLst>
            <a:ext uri="{FF2B5EF4-FFF2-40B4-BE49-F238E27FC236}">
              <a16:creationId xmlns:a16="http://schemas.microsoft.com/office/drawing/2014/main" id="{84D6F614-204D-427D-B7E6-2F7C2024F3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8" name="AutoShape 1" descr="Vista previa de toda la pantalla">
          <a:extLst>
            <a:ext uri="{FF2B5EF4-FFF2-40B4-BE49-F238E27FC236}">
              <a16:creationId xmlns:a16="http://schemas.microsoft.com/office/drawing/2014/main" id="{95F93A3A-E986-4F1E-A3C9-6E5EC4E245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39" name="AutoShape 1" descr="Vista previa de toda la pantalla">
          <a:extLst>
            <a:ext uri="{FF2B5EF4-FFF2-40B4-BE49-F238E27FC236}">
              <a16:creationId xmlns:a16="http://schemas.microsoft.com/office/drawing/2014/main" id="{0241192D-0182-4D0D-88A0-3B1603D1E9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0" name="AutoShape 1" descr="Vista previa de toda la pantalla">
          <a:extLst>
            <a:ext uri="{FF2B5EF4-FFF2-40B4-BE49-F238E27FC236}">
              <a16:creationId xmlns:a16="http://schemas.microsoft.com/office/drawing/2014/main" id="{924F592C-2A3A-4D08-A4EB-A8B8D0392F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1" name="AutoShape 1" descr="Vista previa de toda la pantalla">
          <a:extLst>
            <a:ext uri="{FF2B5EF4-FFF2-40B4-BE49-F238E27FC236}">
              <a16:creationId xmlns:a16="http://schemas.microsoft.com/office/drawing/2014/main" id="{9585DDDB-2ADC-4D41-AE68-016EE8192A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2" name="AutoShape 1" descr="Vista previa de toda la pantalla">
          <a:extLst>
            <a:ext uri="{FF2B5EF4-FFF2-40B4-BE49-F238E27FC236}">
              <a16:creationId xmlns:a16="http://schemas.microsoft.com/office/drawing/2014/main" id="{BAC0EDF0-E173-4ACC-B5BD-7943259F00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3" name="AutoShape 1" descr="Vista previa de toda la pantalla">
          <a:extLst>
            <a:ext uri="{FF2B5EF4-FFF2-40B4-BE49-F238E27FC236}">
              <a16:creationId xmlns:a16="http://schemas.microsoft.com/office/drawing/2014/main" id="{FA41B16B-FCE1-4518-A83E-A93E310714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4" name="AutoShape 1" descr="Vista previa de toda la pantalla">
          <a:extLst>
            <a:ext uri="{FF2B5EF4-FFF2-40B4-BE49-F238E27FC236}">
              <a16:creationId xmlns:a16="http://schemas.microsoft.com/office/drawing/2014/main" id="{469E9313-ADA3-4803-9F40-B632759590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5" name="AutoShape 1" descr="Vista previa de toda la pantalla">
          <a:extLst>
            <a:ext uri="{FF2B5EF4-FFF2-40B4-BE49-F238E27FC236}">
              <a16:creationId xmlns:a16="http://schemas.microsoft.com/office/drawing/2014/main" id="{78FD2936-2111-4220-9AFD-1A39BDCD69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6" name="AutoShape 1" descr="Vista previa de toda la pantalla">
          <a:extLst>
            <a:ext uri="{FF2B5EF4-FFF2-40B4-BE49-F238E27FC236}">
              <a16:creationId xmlns:a16="http://schemas.microsoft.com/office/drawing/2014/main" id="{DDB0B863-97D3-4711-BB80-78D2CEABAB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7" name="AutoShape 1" descr="Vista previa de toda la pantalla">
          <a:extLst>
            <a:ext uri="{FF2B5EF4-FFF2-40B4-BE49-F238E27FC236}">
              <a16:creationId xmlns:a16="http://schemas.microsoft.com/office/drawing/2014/main" id="{4D383961-FB32-4E18-B59A-E1F71C77DA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8" name="AutoShape 1" descr="Vista previa de toda la pantalla">
          <a:extLst>
            <a:ext uri="{FF2B5EF4-FFF2-40B4-BE49-F238E27FC236}">
              <a16:creationId xmlns:a16="http://schemas.microsoft.com/office/drawing/2014/main" id="{EBAC7BFA-9DD7-49F8-A862-40D478E3E3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49" name="AutoShape 1" descr="Vista previa de toda la pantalla">
          <a:extLst>
            <a:ext uri="{FF2B5EF4-FFF2-40B4-BE49-F238E27FC236}">
              <a16:creationId xmlns:a16="http://schemas.microsoft.com/office/drawing/2014/main" id="{ADD9BED2-5C57-490F-8C8E-7907DBE32D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0" name="AutoShape 1" descr="Vista previa de toda la pantalla">
          <a:extLst>
            <a:ext uri="{FF2B5EF4-FFF2-40B4-BE49-F238E27FC236}">
              <a16:creationId xmlns:a16="http://schemas.microsoft.com/office/drawing/2014/main" id="{C813CE32-1346-4F2A-A0FF-144C6A38AA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1" name="AutoShape 1" descr="Vista previa de toda la pantalla">
          <a:extLst>
            <a:ext uri="{FF2B5EF4-FFF2-40B4-BE49-F238E27FC236}">
              <a16:creationId xmlns:a16="http://schemas.microsoft.com/office/drawing/2014/main" id="{D2587761-10E7-4F0B-B64D-B939E41675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2" name="AutoShape 1" descr="Vista previa de toda la pantalla">
          <a:extLst>
            <a:ext uri="{FF2B5EF4-FFF2-40B4-BE49-F238E27FC236}">
              <a16:creationId xmlns:a16="http://schemas.microsoft.com/office/drawing/2014/main" id="{36036607-587A-437B-A88C-FA0F6EF9A3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3" name="AutoShape 1" descr="Vista previa de toda la pantalla">
          <a:extLst>
            <a:ext uri="{FF2B5EF4-FFF2-40B4-BE49-F238E27FC236}">
              <a16:creationId xmlns:a16="http://schemas.microsoft.com/office/drawing/2014/main" id="{7034CFA2-EBC9-42E0-983F-649F2A89AB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4" name="AutoShape 1" descr="Vista previa de toda la pantalla">
          <a:extLst>
            <a:ext uri="{FF2B5EF4-FFF2-40B4-BE49-F238E27FC236}">
              <a16:creationId xmlns:a16="http://schemas.microsoft.com/office/drawing/2014/main" id="{5DD73007-7A31-4C03-B8A0-CC1579DC7D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5" name="AutoShape 1" descr="Vista previa de toda la pantalla">
          <a:extLst>
            <a:ext uri="{FF2B5EF4-FFF2-40B4-BE49-F238E27FC236}">
              <a16:creationId xmlns:a16="http://schemas.microsoft.com/office/drawing/2014/main" id="{49B81D27-9090-4F10-BF7F-759998C51B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6" name="AutoShape 1" descr="Vista previa de toda la pantalla">
          <a:extLst>
            <a:ext uri="{FF2B5EF4-FFF2-40B4-BE49-F238E27FC236}">
              <a16:creationId xmlns:a16="http://schemas.microsoft.com/office/drawing/2014/main" id="{69EEBBB6-2A30-4E15-84F9-5A1F2E2A2B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7" name="AutoShape 1" descr="Vista previa de toda la pantalla">
          <a:extLst>
            <a:ext uri="{FF2B5EF4-FFF2-40B4-BE49-F238E27FC236}">
              <a16:creationId xmlns:a16="http://schemas.microsoft.com/office/drawing/2014/main" id="{F7A40C11-F665-4461-8CCB-FA81297397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8" name="AutoShape 1" descr="Vista previa de toda la pantalla">
          <a:extLst>
            <a:ext uri="{FF2B5EF4-FFF2-40B4-BE49-F238E27FC236}">
              <a16:creationId xmlns:a16="http://schemas.microsoft.com/office/drawing/2014/main" id="{237C1FCD-0337-47FE-A9B3-DE9E578BDA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59" name="AutoShape 1" descr="Vista previa de toda la pantalla">
          <a:extLst>
            <a:ext uri="{FF2B5EF4-FFF2-40B4-BE49-F238E27FC236}">
              <a16:creationId xmlns:a16="http://schemas.microsoft.com/office/drawing/2014/main" id="{05AD698A-1965-4E16-AEA2-4EC95CCDFD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0" name="AutoShape 1" descr="Vista previa de toda la pantalla">
          <a:extLst>
            <a:ext uri="{FF2B5EF4-FFF2-40B4-BE49-F238E27FC236}">
              <a16:creationId xmlns:a16="http://schemas.microsoft.com/office/drawing/2014/main" id="{5CA8C009-EE70-4DAD-8D41-180FDF789B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1" name="AutoShape 1" descr="Vista previa de toda la pantalla">
          <a:extLst>
            <a:ext uri="{FF2B5EF4-FFF2-40B4-BE49-F238E27FC236}">
              <a16:creationId xmlns:a16="http://schemas.microsoft.com/office/drawing/2014/main" id="{4266C059-8006-4DF5-A059-3213CE7840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2" name="AutoShape 1" descr="Vista previa de toda la pantalla">
          <a:extLst>
            <a:ext uri="{FF2B5EF4-FFF2-40B4-BE49-F238E27FC236}">
              <a16:creationId xmlns:a16="http://schemas.microsoft.com/office/drawing/2014/main" id="{5423A521-1B6B-4C5D-81EE-5212E741B2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3" name="AutoShape 1" descr="Vista previa de toda la pantalla">
          <a:extLst>
            <a:ext uri="{FF2B5EF4-FFF2-40B4-BE49-F238E27FC236}">
              <a16:creationId xmlns:a16="http://schemas.microsoft.com/office/drawing/2014/main" id="{A9F04836-6EA6-4E30-BCB7-E3F0E9EF3A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4" name="AutoShape 1" descr="Vista previa de toda la pantalla">
          <a:extLst>
            <a:ext uri="{FF2B5EF4-FFF2-40B4-BE49-F238E27FC236}">
              <a16:creationId xmlns:a16="http://schemas.microsoft.com/office/drawing/2014/main" id="{1D261B4A-6ED1-4956-9301-5C87DB079D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5" name="AutoShape 1" descr="Vista previa de toda la pantalla">
          <a:extLst>
            <a:ext uri="{FF2B5EF4-FFF2-40B4-BE49-F238E27FC236}">
              <a16:creationId xmlns:a16="http://schemas.microsoft.com/office/drawing/2014/main" id="{71AA2B88-F9CB-4DE1-A92E-4EA28F0286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6" name="AutoShape 1" descr="Vista previa de toda la pantalla">
          <a:extLst>
            <a:ext uri="{FF2B5EF4-FFF2-40B4-BE49-F238E27FC236}">
              <a16:creationId xmlns:a16="http://schemas.microsoft.com/office/drawing/2014/main" id="{D87C7AA5-495E-49F6-ABC8-1D3F918F45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7" name="AutoShape 1" descr="Vista previa de toda la pantalla">
          <a:extLst>
            <a:ext uri="{FF2B5EF4-FFF2-40B4-BE49-F238E27FC236}">
              <a16:creationId xmlns:a16="http://schemas.microsoft.com/office/drawing/2014/main" id="{CFEAA844-97D4-454A-BF22-C612A877BD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8" name="AutoShape 1" descr="Vista previa de toda la pantalla">
          <a:extLst>
            <a:ext uri="{FF2B5EF4-FFF2-40B4-BE49-F238E27FC236}">
              <a16:creationId xmlns:a16="http://schemas.microsoft.com/office/drawing/2014/main" id="{CB0FFE7E-1BEC-47BB-A1B3-6B46716A18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69" name="AutoShape 1" descr="Vista previa de toda la pantalla">
          <a:extLst>
            <a:ext uri="{FF2B5EF4-FFF2-40B4-BE49-F238E27FC236}">
              <a16:creationId xmlns:a16="http://schemas.microsoft.com/office/drawing/2014/main" id="{8B85766D-FA00-49BB-A60E-C87BD03813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0" name="AutoShape 1" descr="Vista previa de toda la pantalla">
          <a:extLst>
            <a:ext uri="{FF2B5EF4-FFF2-40B4-BE49-F238E27FC236}">
              <a16:creationId xmlns:a16="http://schemas.microsoft.com/office/drawing/2014/main" id="{83F9FAB6-69EC-447C-9B8A-ECFD664F52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1" name="AutoShape 1" descr="Vista previa de toda la pantalla">
          <a:extLst>
            <a:ext uri="{FF2B5EF4-FFF2-40B4-BE49-F238E27FC236}">
              <a16:creationId xmlns:a16="http://schemas.microsoft.com/office/drawing/2014/main" id="{6FAE1D2F-0D49-4637-B785-F01FC64503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2" name="AutoShape 1" descr="Vista previa de toda la pantalla">
          <a:extLst>
            <a:ext uri="{FF2B5EF4-FFF2-40B4-BE49-F238E27FC236}">
              <a16:creationId xmlns:a16="http://schemas.microsoft.com/office/drawing/2014/main" id="{9BA55906-AF09-4D0B-BED1-83AEA4170D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3" name="AutoShape 1" descr="Vista previa de toda la pantalla">
          <a:extLst>
            <a:ext uri="{FF2B5EF4-FFF2-40B4-BE49-F238E27FC236}">
              <a16:creationId xmlns:a16="http://schemas.microsoft.com/office/drawing/2014/main" id="{981A280F-283A-4A77-ADC5-9C552F7CE7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4" name="AutoShape 1" descr="Vista previa de toda la pantalla">
          <a:extLst>
            <a:ext uri="{FF2B5EF4-FFF2-40B4-BE49-F238E27FC236}">
              <a16:creationId xmlns:a16="http://schemas.microsoft.com/office/drawing/2014/main" id="{93E3D84A-54EC-49CE-B7CC-3796F718B3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5" name="AutoShape 1" descr="Vista previa de toda la pantalla">
          <a:extLst>
            <a:ext uri="{FF2B5EF4-FFF2-40B4-BE49-F238E27FC236}">
              <a16:creationId xmlns:a16="http://schemas.microsoft.com/office/drawing/2014/main" id="{BAD9A690-9FD3-4C1E-AA36-4ED2F63860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6" name="AutoShape 1" descr="Vista previa de toda la pantalla">
          <a:extLst>
            <a:ext uri="{FF2B5EF4-FFF2-40B4-BE49-F238E27FC236}">
              <a16:creationId xmlns:a16="http://schemas.microsoft.com/office/drawing/2014/main" id="{C95EB624-9FEB-41F9-8885-9C5E39F8D6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7" name="AutoShape 1" descr="Vista previa de toda la pantalla">
          <a:extLst>
            <a:ext uri="{FF2B5EF4-FFF2-40B4-BE49-F238E27FC236}">
              <a16:creationId xmlns:a16="http://schemas.microsoft.com/office/drawing/2014/main" id="{BE0B449A-9A3F-4289-A746-9F15D5F344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8" name="AutoShape 1" descr="Vista previa de toda la pantalla">
          <a:extLst>
            <a:ext uri="{FF2B5EF4-FFF2-40B4-BE49-F238E27FC236}">
              <a16:creationId xmlns:a16="http://schemas.microsoft.com/office/drawing/2014/main" id="{0FD48479-EF62-4625-81F6-6514EF189F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79" name="AutoShape 1" descr="Vista previa de toda la pantalla">
          <a:extLst>
            <a:ext uri="{FF2B5EF4-FFF2-40B4-BE49-F238E27FC236}">
              <a16:creationId xmlns:a16="http://schemas.microsoft.com/office/drawing/2014/main" id="{A6DD45C0-E5E7-4C6B-A913-B694C98716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0" name="AutoShape 1" descr="Vista previa de toda la pantalla">
          <a:extLst>
            <a:ext uri="{FF2B5EF4-FFF2-40B4-BE49-F238E27FC236}">
              <a16:creationId xmlns:a16="http://schemas.microsoft.com/office/drawing/2014/main" id="{407F58FF-B83D-4061-AB3F-186BB913B5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1" name="AutoShape 1" descr="Vista previa de toda la pantalla">
          <a:extLst>
            <a:ext uri="{FF2B5EF4-FFF2-40B4-BE49-F238E27FC236}">
              <a16:creationId xmlns:a16="http://schemas.microsoft.com/office/drawing/2014/main" id="{2C6E900B-15A4-4960-9BB6-11B188C452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2" name="AutoShape 1" descr="Vista previa de toda la pantalla">
          <a:extLst>
            <a:ext uri="{FF2B5EF4-FFF2-40B4-BE49-F238E27FC236}">
              <a16:creationId xmlns:a16="http://schemas.microsoft.com/office/drawing/2014/main" id="{97BD015A-BC77-434F-8FE8-A3869AA0FE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3" name="AutoShape 1" descr="Vista previa de toda la pantalla">
          <a:extLst>
            <a:ext uri="{FF2B5EF4-FFF2-40B4-BE49-F238E27FC236}">
              <a16:creationId xmlns:a16="http://schemas.microsoft.com/office/drawing/2014/main" id="{84C8A098-FEF7-418B-8496-2A0F3A0A70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4" name="AutoShape 1" descr="Vista previa de toda la pantalla">
          <a:extLst>
            <a:ext uri="{FF2B5EF4-FFF2-40B4-BE49-F238E27FC236}">
              <a16:creationId xmlns:a16="http://schemas.microsoft.com/office/drawing/2014/main" id="{A325F743-1CC8-4A44-A2A2-169E195F9D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5" name="AutoShape 1" descr="Vista previa de toda la pantalla">
          <a:extLst>
            <a:ext uri="{FF2B5EF4-FFF2-40B4-BE49-F238E27FC236}">
              <a16:creationId xmlns:a16="http://schemas.microsoft.com/office/drawing/2014/main" id="{D671EB29-2EBB-48DA-86DD-F4335B5864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6" name="AutoShape 1" descr="Vista previa de toda la pantalla">
          <a:extLst>
            <a:ext uri="{FF2B5EF4-FFF2-40B4-BE49-F238E27FC236}">
              <a16:creationId xmlns:a16="http://schemas.microsoft.com/office/drawing/2014/main" id="{5CF8BAC4-4106-4BBE-9ABE-FB2358F24B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7" name="AutoShape 1" descr="Vista previa de toda la pantalla">
          <a:extLst>
            <a:ext uri="{FF2B5EF4-FFF2-40B4-BE49-F238E27FC236}">
              <a16:creationId xmlns:a16="http://schemas.microsoft.com/office/drawing/2014/main" id="{689A3970-DA40-48D8-B7F6-0FF3C59949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8" name="AutoShape 1" descr="Vista previa de toda la pantalla">
          <a:extLst>
            <a:ext uri="{FF2B5EF4-FFF2-40B4-BE49-F238E27FC236}">
              <a16:creationId xmlns:a16="http://schemas.microsoft.com/office/drawing/2014/main" id="{956BD48B-3A60-4531-98B4-968EA9BC32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89" name="AutoShape 1" descr="Vista previa de toda la pantalla">
          <a:extLst>
            <a:ext uri="{FF2B5EF4-FFF2-40B4-BE49-F238E27FC236}">
              <a16:creationId xmlns:a16="http://schemas.microsoft.com/office/drawing/2014/main" id="{DDCB7A8C-4077-4509-932D-2B54FF1D6D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0" name="AutoShape 1" descr="Vista previa de toda la pantalla">
          <a:extLst>
            <a:ext uri="{FF2B5EF4-FFF2-40B4-BE49-F238E27FC236}">
              <a16:creationId xmlns:a16="http://schemas.microsoft.com/office/drawing/2014/main" id="{2E64B42B-E959-4615-8C4F-02CA696AC6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1" name="AutoShape 1" descr="Vista previa de toda la pantalla">
          <a:extLst>
            <a:ext uri="{FF2B5EF4-FFF2-40B4-BE49-F238E27FC236}">
              <a16:creationId xmlns:a16="http://schemas.microsoft.com/office/drawing/2014/main" id="{D0DBC9C6-12ED-4F99-BB26-85A5690426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2" name="AutoShape 1" descr="Vista previa de toda la pantalla">
          <a:extLst>
            <a:ext uri="{FF2B5EF4-FFF2-40B4-BE49-F238E27FC236}">
              <a16:creationId xmlns:a16="http://schemas.microsoft.com/office/drawing/2014/main" id="{F1018FEF-79E2-48F4-8DFE-0D9DA35EC7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3" name="AutoShape 1" descr="Vista previa de toda la pantalla">
          <a:extLst>
            <a:ext uri="{FF2B5EF4-FFF2-40B4-BE49-F238E27FC236}">
              <a16:creationId xmlns:a16="http://schemas.microsoft.com/office/drawing/2014/main" id="{45435308-E6E5-4481-A3EE-8FCA401302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4" name="AutoShape 1" descr="Vista previa de toda la pantalla">
          <a:extLst>
            <a:ext uri="{FF2B5EF4-FFF2-40B4-BE49-F238E27FC236}">
              <a16:creationId xmlns:a16="http://schemas.microsoft.com/office/drawing/2014/main" id="{4A4E4353-A5E7-404A-9BF9-A3215DF000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5" name="AutoShape 1" descr="Vista previa de toda la pantalla">
          <a:extLst>
            <a:ext uri="{FF2B5EF4-FFF2-40B4-BE49-F238E27FC236}">
              <a16:creationId xmlns:a16="http://schemas.microsoft.com/office/drawing/2014/main" id="{BC0C5122-A9CE-48D6-91DE-35812F08CC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6" name="AutoShape 1" descr="Vista previa de toda la pantalla">
          <a:extLst>
            <a:ext uri="{FF2B5EF4-FFF2-40B4-BE49-F238E27FC236}">
              <a16:creationId xmlns:a16="http://schemas.microsoft.com/office/drawing/2014/main" id="{26EDF70E-67A2-4E45-BD52-7601438EC3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7" name="AutoShape 1" descr="Vista previa de toda la pantalla">
          <a:extLst>
            <a:ext uri="{FF2B5EF4-FFF2-40B4-BE49-F238E27FC236}">
              <a16:creationId xmlns:a16="http://schemas.microsoft.com/office/drawing/2014/main" id="{74E0DBCC-D081-4863-BA9B-1C63891C46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8" name="AutoShape 1" descr="Vista previa de toda la pantalla">
          <a:extLst>
            <a:ext uri="{FF2B5EF4-FFF2-40B4-BE49-F238E27FC236}">
              <a16:creationId xmlns:a16="http://schemas.microsoft.com/office/drawing/2014/main" id="{7F856ADB-EF88-477A-AB31-501BC3FA6D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3999" name="AutoShape 1" descr="Vista previa de toda la pantalla">
          <a:extLst>
            <a:ext uri="{FF2B5EF4-FFF2-40B4-BE49-F238E27FC236}">
              <a16:creationId xmlns:a16="http://schemas.microsoft.com/office/drawing/2014/main" id="{6C907250-6DA2-42EB-96DD-D9B903E31E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0" name="AutoShape 1" descr="Vista previa de toda la pantalla">
          <a:extLst>
            <a:ext uri="{FF2B5EF4-FFF2-40B4-BE49-F238E27FC236}">
              <a16:creationId xmlns:a16="http://schemas.microsoft.com/office/drawing/2014/main" id="{2C3AA809-B056-4F77-B23F-CEFBE05114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1" name="AutoShape 1" descr="Vista previa de toda la pantalla">
          <a:extLst>
            <a:ext uri="{FF2B5EF4-FFF2-40B4-BE49-F238E27FC236}">
              <a16:creationId xmlns:a16="http://schemas.microsoft.com/office/drawing/2014/main" id="{98C086FA-B237-4972-A003-10F2B807AB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2" name="AutoShape 1" descr="Vista previa de toda la pantalla">
          <a:extLst>
            <a:ext uri="{FF2B5EF4-FFF2-40B4-BE49-F238E27FC236}">
              <a16:creationId xmlns:a16="http://schemas.microsoft.com/office/drawing/2014/main" id="{C2C888FC-44A6-4038-9E29-769BE8AAB0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3" name="AutoShape 1" descr="Vista previa de toda la pantalla">
          <a:extLst>
            <a:ext uri="{FF2B5EF4-FFF2-40B4-BE49-F238E27FC236}">
              <a16:creationId xmlns:a16="http://schemas.microsoft.com/office/drawing/2014/main" id="{211AB2E2-9090-4199-9F31-12245125A7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4" name="AutoShape 1" descr="Vista previa de toda la pantalla">
          <a:extLst>
            <a:ext uri="{FF2B5EF4-FFF2-40B4-BE49-F238E27FC236}">
              <a16:creationId xmlns:a16="http://schemas.microsoft.com/office/drawing/2014/main" id="{F4D0AB90-BFDC-437C-98DA-FF4B54B11C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5" name="AutoShape 1" descr="Vista previa de toda la pantalla">
          <a:extLst>
            <a:ext uri="{FF2B5EF4-FFF2-40B4-BE49-F238E27FC236}">
              <a16:creationId xmlns:a16="http://schemas.microsoft.com/office/drawing/2014/main" id="{95DDA9EE-85FE-4842-9994-6FE8A3046E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6" name="AutoShape 1" descr="Vista previa de toda la pantalla">
          <a:extLst>
            <a:ext uri="{FF2B5EF4-FFF2-40B4-BE49-F238E27FC236}">
              <a16:creationId xmlns:a16="http://schemas.microsoft.com/office/drawing/2014/main" id="{89F5F471-D2EC-4240-A1BC-E2670D6979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7" name="AutoShape 1" descr="Vista previa de toda la pantalla">
          <a:extLst>
            <a:ext uri="{FF2B5EF4-FFF2-40B4-BE49-F238E27FC236}">
              <a16:creationId xmlns:a16="http://schemas.microsoft.com/office/drawing/2014/main" id="{07C13F27-6772-4E33-8657-E60CFF4C76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8" name="AutoShape 1" descr="Vista previa de toda la pantalla">
          <a:extLst>
            <a:ext uri="{FF2B5EF4-FFF2-40B4-BE49-F238E27FC236}">
              <a16:creationId xmlns:a16="http://schemas.microsoft.com/office/drawing/2014/main" id="{D1D7C10A-E1F7-4B9A-9E6F-E1E8A81682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09" name="AutoShape 1" descr="Vista previa de toda la pantalla">
          <a:extLst>
            <a:ext uri="{FF2B5EF4-FFF2-40B4-BE49-F238E27FC236}">
              <a16:creationId xmlns:a16="http://schemas.microsoft.com/office/drawing/2014/main" id="{CB2814B7-D68C-45E9-B118-9177E2E5D1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0" name="AutoShape 1" descr="Vista previa de toda la pantalla">
          <a:extLst>
            <a:ext uri="{FF2B5EF4-FFF2-40B4-BE49-F238E27FC236}">
              <a16:creationId xmlns:a16="http://schemas.microsoft.com/office/drawing/2014/main" id="{245A3FF8-EA4F-470E-97D3-A2A06D7B1D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1" name="AutoShape 1" descr="Vista previa de toda la pantalla">
          <a:extLst>
            <a:ext uri="{FF2B5EF4-FFF2-40B4-BE49-F238E27FC236}">
              <a16:creationId xmlns:a16="http://schemas.microsoft.com/office/drawing/2014/main" id="{4FA26CB8-7CB3-4513-A065-55FA02DEB4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2" name="AutoShape 1" descr="Vista previa de toda la pantalla">
          <a:extLst>
            <a:ext uri="{FF2B5EF4-FFF2-40B4-BE49-F238E27FC236}">
              <a16:creationId xmlns:a16="http://schemas.microsoft.com/office/drawing/2014/main" id="{5E091C4A-199C-4CDD-89FD-D0908D4234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3" name="AutoShape 1" descr="Vista previa de toda la pantalla">
          <a:extLst>
            <a:ext uri="{FF2B5EF4-FFF2-40B4-BE49-F238E27FC236}">
              <a16:creationId xmlns:a16="http://schemas.microsoft.com/office/drawing/2014/main" id="{4D4C6FBA-4263-489E-A311-1B1CBDC346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4" name="AutoShape 1" descr="Vista previa de toda la pantalla">
          <a:extLst>
            <a:ext uri="{FF2B5EF4-FFF2-40B4-BE49-F238E27FC236}">
              <a16:creationId xmlns:a16="http://schemas.microsoft.com/office/drawing/2014/main" id="{41D0048E-CBF6-4000-8210-FED7885395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5" name="AutoShape 1" descr="Vista previa de toda la pantalla">
          <a:extLst>
            <a:ext uri="{FF2B5EF4-FFF2-40B4-BE49-F238E27FC236}">
              <a16:creationId xmlns:a16="http://schemas.microsoft.com/office/drawing/2014/main" id="{96A57019-EF79-4852-8EA3-4AC2052E43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6" name="AutoShape 1" descr="Vista previa de toda la pantalla">
          <a:extLst>
            <a:ext uri="{FF2B5EF4-FFF2-40B4-BE49-F238E27FC236}">
              <a16:creationId xmlns:a16="http://schemas.microsoft.com/office/drawing/2014/main" id="{0125B50F-0D0C-4A78-B99F-4F33C060E4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7" name="AutoShape 1" descr="Vista previa de toda la pantalla">
          <a:extLst>
            <a:ext uri="{FF2B5EF4-FFF2-40B4-BE49-F238E27FC236}">
              <a16:creationId xmlns:a16="http://schemas.microsoft.com/office/drawing/2014/main" id="{7575058D-24A3-4B33-A551-AF5C528FA0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8" name="AutoShape 1" descr="Vista previa de toda la pantalla">
          <a:extLst>
            <a:ext uri="{FF2B5EF4-FFF2-40B4-BE49-F238E27FC236}">
              <a16:creationId xmlns:a16="http://schemas.microsoft.com/office/drawing/2014/main" id="{9E37A418-EED5-44C2-BE0A-F14F025A6A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19" name="AutoShape 1" descr="Vista previa de toda la pantalla">
          <a:extLst>
            <a:ext uri="{FF2B5EF4-FFF2-40B4-BE49-F238E27FC236}">
              <a16:creationId xmlns:a16="http://schemas.microsoft.com/office/drawing/2014/main" id="{B1D9651E-AF9C-4CF5-A5CE-64A0BC429E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20" name="AutoShape 1" descr="Vista previa de toda la pantalla">
          <a:extLst>
            <a:ext uri="{FF2B5EF4-FFF2-40B4-BE49-F238E27FC236}">
              <a16:creationId xmlns:a16="http://schemas.microsoft.com/office/drawing/2014/main" id="{BAC0FF64-0F50-4BAF-A3F2-D022064114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21" name="AutoShape 1" descr="Vista previa de toda la pantalla">
          <a:extLst>
            <a:ext uri="{FF2B5EF4-FFF2-40B4-BE49-F238E27FC236}">
              <a16:creationId xmlns:a16="http://schemas.microsoft.com/office/drawing/2014/main" id="{F5DD7931-85FF-40A8-BE6D-04DEFA5578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22" name="AutoShape 1" descr="Vista previa de toda la pantalla">
          <a:extLst>
            <a:ext uri="{FF2B5EF4-FFF2-40B4-BE49-F238E27FC236}">
              <a16:creationId xmlns:a16="http://schemas.microsoft.com/office/drawing/2014/main" id="{95A0266B-C1DD-43B8-A0F1-1EE6A9F591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23" name="AutoShape 1" descr="Vista previa de toda la pantalla">
          <a:extLst>
            <a:ext uri="{FF2B5EF4-FFF2-40B4-BE49-F238E27FC236}">
              <a16:creationId xmlns:a16="http://schemas.microsoft.com/office/drawing/2014/main" id="{33329461-935C-4595-89E1-B767E5B3BD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24" name="AutoShape 1" descr="Vista previa de toda la pantalla">
          <a:extLst>
            <a:ext uri="{FF2B5EF4-FFF2-40B4-BE49-F238E27FC236}">
              <a16:creationId xmlns:a16="http://schemas.microsoft.com/office/drawing/2014/main" id="{727B586D-C6E4-4EDC-8FFC-B84150CFAB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25" name="AutoShape 1" descr="Vista previa de toda la pantalla">
          <a:extLst>
            <a:ext uri="{FF2B5EF4-FFF2-40B4-BE49-F238E27FC236}">
              <a16:creationId xmlns:a16="http://schemas.microsoft.com/office/drawing/2014/main" id="{9B7ECDF9-9CEC-400B-A8E2-B69DDA0F31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26" name="AutoShape 1" descr="Vista previa de toda la pantalla">
          <a:extLst>
            <a:ext uri="{FF2B5EF4-FFF2-40B4-BE49-F238E27FC236}">
              <a16:creationId xmlns:a16="http://schemas.microsoft.com/office/drawing/2014/main" id="{D4C8C688-9330-44FA-BFF0-81F1A958BD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4027" name="AutoShape 1" descr="Vista previa de toda la pantalla">
          <a:extLst>
            <a:ext uri="{FF2B5EF4-FFF2-40B4-BE49-F238E27FC236}">
              <a16:creationId xmlns:a16="http://schemas.microsoft.com/office/drawing/2014/main" id="{A93C216A-C377-4D8E-97A2-E5D4FE0CD917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28" name="AutoShape 1" descr="Vista previa de toda la pantalla">
          <a:extLst>
            <a:ext uri="{FF2B5EF4-FFF2-40B4-BE49-F238E27FC236}">
              <a16:creationId xmlns:a16="http://schemas.microsoft.com/office/drawing/2014/main" id="{936464DC-58C0-4505-8E46-95DF2002C8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29" name="AutoShape 1" descr="Vista previa de toda la pantalla">
          <a:extLst>
            <a:ext uri="{FF2B5EF4-FFF2-40B4-BE49-F238E27FC236}">
              <a16:creationId xmlns:a16="http://schemas.microsoft.com/office/drawing/2014/main" id="{DFE1677F-54AD-44F1-8411-529C0B7406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0" name="AutoShape 1" descr="Vista previa de toda la pantalla">
          <a:extLst>
            <a:ext uri="{FF2B5EF4-FFF2-40B4-BE49-F238E27FC236}">
              <a16:creationId xmlns:a16="http://schemas.microsoft.com/office/drawing/2014/main" id="{66B2D25F-EBDE-4DB7-8D3B-9534A48E32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1" name="AutoShape 1" descr="Vista previa de toda la pantalla">
          <a:extLst>
            <a:ext uri="{FF2B5EF4-FFF2-40B4-BE49-F238E27FC236}">
              <a16:creationId xmlns:a16="http://schemas.microsoft.com/office/drawing/2014/main" id="{CCA56AE2-4683-426F-BAB4-A5CABAD704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2" name="AutoShape 1" descr="Vista previa de toda la pantalla">
          <a:extLst>
            <a:ext uri="{FF2B5EF4-FFF2-40B4-BE49-F238E27FC236}">
              <a16:creationId xmlns:a16="http://schemas.microsoft.com/office/drawing/2014/main" id="{79E5F2E3-E01A-4A5A-B372-74DA944E73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3" name="AutoShape 1" descr="Vista previa de toda la pantalla">
          <a:extLst>
            <a:ext uri="{FF2B5EF4-FFF2-40B4-BE49-F238E27FC236}">
              <a16:creationId xmlns:a16="http://schemas.microsoft.com/office/drawing/2014/main" id="{A772F05F-E26E-4986-B6D8-203D35BC27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4" name="AutoShape 1" descr="Vista previa de toda la pantalla">
          <a:extLst>
            <a:ext uri="{FF2B5EF4-FFF2-40B4-BE49-F238E27FC236}">
              <a16:creationId xmlns:a16="http://schemas.microsoft.com/office/drawing/2014/main" id="{043FD33D-6001-4A93-9EB2-92EFD1D4D3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5" name="AutoShape 1" descr="Vista previa de toda la pantalla">
          <a:extLst>
            <a:ext uri="{FF2B5EF4-FFF2-40B4-BE49-F238E27FC236}">
              <a16:creationId xmlns:a16="http://schemas.microsoft.com/office/drawing/2014/main" id="{9158D8BD-8CAD-4438-9CEB-F5DA678179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6" name="AutoShape 1" descr="Vista previa de toda la pantalla">
          <a:extLst>
            <a:ext uri="{FF2B5EF4-FFF2-40B4-BE49-F238E27FC236}">
              <a16:creationId xmlns:a16="http://schemas.microsoft.com/office/drawing/2014/main" id="{D9A64CAF-6999-4693-9BAF-44554FA69D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7" name="AutoShape 1" descr="Vista previa de toda la pantalla">
          <a:extLst>
            <a:ext uri="{FF2B5EF4-FFF2-40B4-BE49-F238E27FC236}">
              <a16:creationId xmlns:a16="http://schemas.microsoft.com/office/drawing/2014/main" id="{DA9C967F-C732-4DF1-8CD8-35A04527A0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8" name="AutoShape 1" descr="Vista previa de toda la pantalla">
          <a:extLst>
            <a:ext uri="{FF2B5EF4-FFF2-40B4-BE49-F238E27FC236}">
              <a16:creationId xmlns:a16="http://schemas.microsoft.com/office/drawing/2014/main" id="{F9EFB8F8-1084-41BE-8AA6-714348FDE1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39" name="AutoShape 1" descr="Vista previa de toda la pantalla">
          <a:extLst>
            <a:ext uri="{FF2B5EF4-FFF2-40B4-BE49-F238E27FC236}">
              <a16:creationId xmlns:a16="http://schemas.microsoft.com/office/drawing/2014/main" id="{5C33D467-5799-4960-A067-022FA72136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0" name="AutoShape 1" descr="Vista previa de toda la pantalla">
          <a:extLst>
            <a:ext uri="{FF2B5EF4-FFF2-40B4-BE49-F238E27FC236}">
              <a16:creationId xmlns:a16="http://schemas.microsoft.com/office/drawing/2014/main" id="{B93348B6-34E1-410E-A6BF-3D01193951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1" name="AutoShape 1" descr="Vista previa de toda la pantalla">
          <a:extLst>
            <a:ext uri="{FF2B5EF4-FFF2-40B4-BE49-F238E27FC236}">
              <a16:creationId xmlns:a16="http://schemas.microsoft.com/office/drawing/2014/main" id="{F86643CD-6DC2-4DF0-B43B-5819F5C1F9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2" name="AutoShape 1" descr="Vista previa de toda la pantalla">
          <a:extLst>
            <a:ext uri="{FF2B5EF4-FFF2-40B4-BE49-F238E27FC236}">
              <a16:creationId xmlns:a16="http://schemas.microsoft.com/office/drawing/2014/main" id="{BD3C7138-C6CC-46CB-B35F-E12B4687D6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3" name="AutoShape 1" descr="Vista previa de toda la pantalla">
          <a:extLst>
            <a:ext uri="{FF2B5EF4-FFF2-40B4-BE49-F238E27FC236}">
              <a16:creationId xmlns:a16="http://schemas.microsoft.com/office/drawing/2014/main" id="{4FBEE63A-D83D-4974-8FBA-976DC7A1EC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4" name="AutoShape 1" descr="Vista previa de toda la pantalla">
          <a:extLst>
            <a:ext uri="{FF2B5EF4-FFF2-40B4-BE49-F238E27FC236}">
              <a16:creationId xmlns:a16="http://schemas.microsoft.com/office/drawing/2014/main" id="{9CD86C6B-BF03-48F0-BAA4-41C31FA2D3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5" name="AutoShape 1" descr="Vista previa de toda la pantalla">
          <a:extLst>
            <a:ext uri="{FF2B5EF4-FFF2-40B4-BE49-F238E27FC236}">
              <a16:creationId xmlns:a16="http://schemas.microsoft.com/office/drawing/2014/main" id="{23F841AC-D57E-4E68-980B-683839F4C1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6" name="AutoShape 1" descr="Vista previa de toda la pantalla">
          <a:extLst>
            <a:ext uri="{FF2B5EF4-FFF2-40B4-BE49-F238E27FC236}">
              <a16:creationId xmlns:a16="http://schemas.microsoft.com/office/drawing/2014/main" id="{A3CA5E93-50B6-44D6-8075-9C45AF0263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7" name="AutoShape 1" descr="Vista previa de toda la pantalla">
          <a:extLst>
            <a:ext uri="{FF2B5EF4-FFF2-40B4-BE49-F238E27FC236}">
              <a16:creationId xmlns:a16="http://schemas.microsoft.com/office/drawing/2014/main" id="{F06F9124-D4B8-4675-BB50-D5FA6E5528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8" name="AutoShape 1" descr="Vista previa de toda la pantalla">
          <a:extLst>
            <a:ext uri="{FF2B5EF4-FFF2-40B4-BE49-F238E27FC236}">
              <a16:creationId xmlns:a16="http://schemas.microsoft.com/office/drawing/2014/main" id="{8433B5E0-F36C-4A88-82FB-29671274B9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49" name="AutoShape 1" descr="Vista previa de toda la pantalla">
          <a:extLst>
            <a:ext uri="{FF2B5EF4-FFF2-40B4-BE49-F238E27FC236}">
              <a16:creationId xmlns:a16="http://schemas.microsoft.com/office/drawing/2014/main" id="{057F115A-0311-4BC7-B330-D2B0DBDDB3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0" name="AutoShape 1" descr="Vista previa de toda la pantalla">
          <a:extLst>
            <a:ext uri="{FF2B5EF4-FFF2-40B4-BE49-F238E27FC236}">
              <a16:creationId xmlns:a16="http://schemas.microsoft.com/office/drawing/2014/main" id="{E28C64D4-FDFC-4479-A209-03737889ED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1" name="AutoShape 1" descr="Vista previa de toda la pantalla">
          <a:extLst>
            <a:ext uri="{FF2B5EF4-FFF2-40B4-BE49-F238E27FC236}">
              <a16:creationId xmlns:a16="http://schemas.microsoft.com/office/drawing/2014/main" id="{05E76458-7A73-4B9A-A50F-1FF02C91AC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2" name="AutoShape 1" descr="Vista previa de toda la pantalla">
          <a:extLst>
            <a:ext uri="{FF2B5EF4-FFF2-40B4-BE49-F238E27FC236}">
              <a16:creationId xmlns:a16="http://schemas.microsoft.com/office/drawing/2014/main" id="{13E17F33-F4BD-4DE3-A47B-6EEC523AD7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3" name="AutoShape 1" descr="Vista previa de toda la pantalla">
          <a:extLst>
            <a:ext uri="{FF2B5EF4-FFF2-40B4-BE49-F238E27FC236}">
              <a16:creationId xmlns:a16="http://schemas.microsoft.com/office/drawing/2014/main" id="{6C0565D6-E08B-46FD-A7AA-8B996EDE78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4" name="AutoShape 1" descr="Vista previa de toda la pantalla">
          <a:extLst>
            <a:ext uri="{FF2B5EF4-FFF2-40B4-BE49-F238E27FC236}">
              <a16:creationId xmlns:a16="http://schemas.microsoft.com/office/drawing/2014/main" id="{B48D4716-3F35-4B50-9202-1C32C5D631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5" name="AutoShape 1" descr="Vista previa de toda la pantalla">
          <a:extLst>
            <a:ext uri="{FF2B5EF4-FFF2-40B4-BE49-F238E27FC236}">
              <a16:creationId xmlns:a16="http://schemas.microsoft.com/office/drawing/2014/main" id="{D1A39729-A706-432D-8280-77D1AEAEA1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6" name="AutoShape 1" descr="Vista previa de toda la pantalla">
          <a:extLst>
            <a:ext uri="{FF2B5EF4-FFF2-40B4-BE49-F238E27FC236}">
              <a16:creationId xmlns:a16="http://schemas.microsoft.com/office/drawing/2014/main" id="{BF7F38D5-758D-405F-9741-D0D8852C64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7" name="AutoShape 1" descr="Vista previa de toda la pantalla">
          <a:extLst>
            <a:ext uri="{FF2B5EF4-FFF2-40B4-BE49-F238E27FC236}">
              <a16:creationId xmlns:a16="http://schemas.microsoft.com/office/drawing/2014/main" id="{936E3254-B8FB-4AFA-A38F-A36D77FD08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8" name="AutoShape 1" descr="Vista previa de toda la pantalla">
          <a:extLst>
            <a:ext uri="{FF2B5EF4-FFF2-40B4-BE49-F238E27FC236}">
              <a16:creationId xmlns:a16="http://schemas.microsoft.com/office/drawing/2014/main" id="{27AD4857-4187-4132-A311-E296DE4869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59" name="AutoShape 1" descr="Vista previa de toda la pantalla">
          <a:extLst>
            <a:ext uri="{FF2B5EF4-FFF2-40B4-BE49-F238E27FC236}">
              <a16:creationId xmlns:a16="http://schemas.microsoft.com/office/drawing/2014/main" id="{BEB2EFF6-3903-4EAA-A575-EE4C817F3B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0" name="AutoShape 1" descr="Vista previa de toda la pantalla">
          <a:extLst>
            <a:ext uri="{FF2B5EF4-FFF2-40B4-BE49-F238E27FC236}">
              <a16:creationId xmlns:a16="http://schemas.microsoft.com/office/drawing/2014/main" id="{DED3E2E6-7B9C-4EE9-94CE-98478FD474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1" name="AutoShape 1" descr="Vista previa de toda la pantalla">
          <a:extLst>
            <a:ext uri="{FF2B5EF4-FFF2-40B4-BE49-F238E27FC236}">
              <a16:creationId xmlns:a16="http://schemas.microsoft.com/office/drawing/2014/main" id="{23394418-E6C0-4AF3-9A63-31F5F3F887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2" name="AutoShape 1" descr="Vista previa de toda la pantalla">
          <a:extLst>
            <a:ext uri="{FF2B5EF4-FFF2-40B4-BE49-F238E27FC236}">
              <a16:creationId xmlns:a16="http://schemas.microsoft.com/office/drawing/2014/main" id="{DC39702A-9569-4828-AF85-917445C301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3" name="AutoShape 1" descr="Vista previa de toda la pantalla">
          <a:extLst>
            <a:ext uri="{FF2B5EF4-FFF2-40B4-BE49-F238E27FC236}">
              <a16:creationId xmlns:a16="http://schemas.microsoft.com/office/drawing/2014/main" id="{D4245C73-9A4C-4020-AC06-D3877D4863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4" name="AutoShape 1" descr="Vista previa de toda la pantalla">
          <a:extLst>
            <a:ext uri="{FF2B5EF4-FFF2-40B4-BE49-F238E27FC236}">
              <a16:creationId xmlns:a16="http://schemas.microsoft.com/office/drawing/2014/main" id="{8D097BA9-EF95-4F9D-BE49-427F089338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5" name="AutoShape 1" descr="Vista previa de toda la pantalla">
          <a:extLst>
            <a:ext uri="{FF2B5EF4-FFF2-40B4-BE49-F238E27FC236}">
              <a16:creationId xmlns:a16="http://schemas.microsoft.com/office/drawing/2014/main" id="{47815223-AA77-4534-B9F8-22FCA89EEA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6" name="AutoShape 1" descr="Vista previa de toda la pantalla">
          <a:extLst>
            <a:ext uri="{FF2B5EF4-FFF2-40B4-BE49-F238E27FC236}">
              <a16:creationId xmlns:a16="http://schemas.microsoft.com/office/drawing/2014/main" id="{58D91BC3-D8F1-4660-953D-1DAAB042A4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7" name="AutoShape 1" descr="Vista previa de toda la pantalla">
          <a:extLst>
            <a:ext uri="{FF2B5EF4-FFF2-40B4-BE49-F238E27FC236}">
              <a16:creationId xmlns:a16="http://schemas.microsoft.com/office/drawing/2014/main" id="{E507CAEA-75E2-4476-AE72-1927F07896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8" name="AutoShape 1" descr="Vista previa de toda la pantalla">
          <a:extLst>
            <a:ext uri="{FF2B5EF4-FFF2-40B4-BE49-F238E27FC236}">
              <a16:creationId xmlns:a16="http://schemas.microsoft.com/office/drawing/2014/main" id="{3A667C63-34B1-4AC6-9DD2-DC55CB3253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69" name="AutoShape 1" descr="Vista previa de toda la pantalla">
          <a:extLst>
            <a:ext uri="{FF2B5EF4-FFF2-40B4-BE49-F238E27FC236}">
              <a16:creationId xmlns:a16="http://schemas.microsoft.com/office/drawing/2014/main" id="{83AF7BFD-D025-4B63-BF79-6D27E46FAD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0" name="AutoShape 1" descr="Vista previa de toda la pantalla">
          <a:extLst>
            <a:ext uri="{FF2B5EF4-FFF2-40B4-BE49-F238E27FC236}">
              <a16:creationId xmlns:a16="http://schemas.microsoft.com/office/drawing/2014/main" id="{13E4B1F8-247A-4904-B912-C5F87276B8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1" name="AutoShape 1" descr="Vista previa de toda la pantalla">
          <a:extLst>
            <a:ext uri="{FF2B5EF4-FFF2-40B4-BE49-F238E27FC236}">
              <a16:creationId xmlns:a16="http://schemas.microsoft.com/office/drawing/2014/main" id="{0D767E78-870F-436E-94F6-C2468F1B11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2" name="AutoShape 1" descr="Vista previa de toda la pantalla">
          <a:extLst>
            <a:ext uri="{FF2B5EF4-FFF2-40B4-BE49-F238E27FC236}">
              <a16:creationId xmlns:a16="http://schemas.microsoft.com/office/drawing/2014/main" id="{5BBDF9EB-AAD1-4F6B-B198-0D6721259A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3" name="AutoShape 1" descr="Vista previa de toda la pantalla">
          <a:extLst>
            <a:ext uri="{FF2B5EF4-FFF2-40B4-BE49-F238E27FC236}">
              <a16:creationId xmlns:a16="http://schemas.microsoft.com/office/drawing/2014/main" id="{99DC1C3D-9826-4227-978D-C9C7C7DB1B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4" name="AutoShape 1" descr="Vista previa de toda la pantalla">
          <a:extLst>
            <a:ext uri="{FF2B5EF4-FFF2-40B4-BE49-F238E27FC236}">
              <a16:creationId xmlns:a16="http://schemas.microsoft.com/office/drawing/2014/main" id="{02109A73-6964-4C43-9D7C-DCEBC9A1F7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5" name="AutoShape 1" descr="Vista previa de toda la pantalla">
          <a:extLst>
            <a:ext uri="{FF2B5EF4-FFF2-40B4-BE49-F238E27FC236}">
              <a16:creationId xmlns:a16="http://schemas.microsoft.com/office/drawing/2014/main" id="{4DEEBE10-3297-4AEA-A7A4-6705EB3FF8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6" name="AutoShape 1" descr="Vista previa de toda la pantalla">
          <a:extLst>
            <a:ext uri="{FF2B5EF4-FFF2-40B4-BE49-F238E27FC236}">
              <a16:creationId xmlns:a16="http://schemas.microsoft.com/office/drawing/2014/main" id="{3A07A7F8-03D9-4270-83AE-B60B59014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7" name="AutoShape 1" descr="Vista previa de toda la pantalla">
          <a:extLst>
            <a:ext uri="{FF2B5EF4-FFF2-40B4-BE49-F238E27FC236}">
              <a16:creationId xmlns:a16="http://schemas.microsoft.com/office/drawing/2014/main" id="{E8DCA633-81CE-44F4-A045-6E178F5189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8" name="AutoShape 1" descr="Vista previa de toda la pantalla">
          <a:extLst>
            <a:ext uri="{FF2B5EF4-FFF2-40B4-BE49-F238E27FC236}">
              <a16:creationId xmlns:a16="http://schemas.microsoft.com/office/drawing/2014/main" id="{6B9E2DF0-26E0-47EC-A862-9FD47FA5FD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79" name="AutoShape 1" descr="Vista previa de toda la pantalla">
          <a:extLst>
            <a:ext uri="{FF2B5EF4-FFF2-40B4-BE49-F238E27FC236}">
              <a16:creationId xmlns:a16="http://schemas.microsoft.com/office/drawing/2014/main" id="{2E4541D5-509B-4CDC-A398-CE19745D31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0" name="AutoShape 1" descr="Vista previa de toda la pantalla">
          <a:extLst>
            <a:ext uri="{FF2B5EF4-FFF2-40B4-BE49-F238E27FC236}">
              <a16:creationId xmlns:a16="http://schemas.microsoft.com/office/drawing/2014/main" id="{84D3A678-E690-49C1-B3A2-4A8F8F94F7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1" name="AutoShape 1" descr="Vista previa de toda la pantalla">
          <a:extLst>
            <a:ext uri="{FF2B5EF4-FFF2-40B4-BE49-F238E27FC236}">
              <a16:creationId xmlns:a16="http://schemas.microsoft.com/office/drawing/2014/main" id="{F767517B-DD64-4857-B52A-4530E686DF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2" name="AutoShape 1" descr="Vista previa de toda la pantalla">
          <a:extLst>
            <a:ext uri="{FF2B5EF4-FFF2-40B4-BE49-F238E27FC236}">
              <a16:creationId xmlns:a16="http://schemas.microsoft.com/office/drawing/2014/main" id="{1FB5B3ED-9D6A-44AB-82E8-2A4701B488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3" name="AutoShape 1" descr="Vista previa de toda la pantalla">
          <a:extLst>
            <a:ext uri="{FF2B5EF4-FFF2-40B4-BE49-F238E27FC236}">
              <a16:creationId xmlns:a16="http://schemas.microsoft.com/office/drawing/2014/main" id="{71E22827-9C1E-44BC-B689-70F335AB62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4" name="AutoShape 1" descr="Vista previa de toda la pantalla">
          <a:extLst>
            <a:ext uri="{FF2B5EF4-FFF2-40B4-BE49-F238E27FC236}">
              <a16:creationId xmlns:a16="http://schemas.microsoft.com/office/drawing/2014/main" id="{5B4EB6C8-2075-4ABD-85B3-50F2FC9FCD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5" name="AutoShape 1" descr="Vista previa de toda la pantalla">
          <a:extLst>
            <a:ext uri="{FF2B5EF4-FFF2-40B4-BE49-F238E27FC236}">
              <a16:creationId xmlns:a16="http://schemas.microsoft.com/office/drawing/2014/main" id="{4021A762-8434-4DAD-8BC5-4B386047B6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6" name="AutoShape 1" descr="Vista previa de toda la pantalla">
          <a:extLst>
            <a:ext uri="{FF2B5EF4-FFF2-40B4-BE49-F238E27FC236}">
              <a16:creationId xmlns:a16="http://schemas.microsoft.com/office/drawing/2014/main" id="{CCD08870-4BF9-44F8-A2E5-178FBF13C6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7" name="AutoShape 1" descr="Vista previa de toda la pantalla">
          <a:extLst>
            <a:ext uri="{FF2B5EF4-FFF2-40B4-BE49-F238E27FC236}">
              <a16:creationId xmlns:a16="http://schemas.microsoft.com/office/drawing/2014/main" id="{3C094D90-0725-41AA-8967-7E94C7E62E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8" name="AutoShape 1" descr="Vista previa de toda la pantalla">
          <a:extLst>
            <a:ext uri="{FF2B5EF4-FFF2-40B4-BE49-F238E27FC236}">
              <a16:creationId xmlns:a16="http://schemas.microsoft.com/office/drawing/2014/main" id="{BA8196C6-1CEB-4321-ACA8-E3B6A12DF0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89" name="AutoShape 1" descr="Vista previa de toda la pantalla">
          <a:extLst>
            <a:ext uri="{FF2B5EF4-FFF2-40B4-BE49-F238E27FC236}">
              <a16:creationId xmlns:a16="http://schemas.microsoft.com/office/drawing/2014/main" id="{73095DC4-8B19-4CD3-9DAC-046CDDF145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0" name="AutoShape 1" descr="Vista previa de toda la pantalla">
          <a:extLst>
            <a:ext uri="{FF2B5EF4-FFF2-40B4-BE49-F238E27FC236}">
              <a16:creationId xmlns:a16="http://schemas.microsoft.com/office/drawing/2014/main" id="{CABDB5DB-ECBB-4D35-8407-FD740ACA30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1" name="AutoShape 1" descr="Vista previa de toda la pantalla">
          <a:extLst>
            <a:ext uri="{FF2B5EF4-FFF2-40B4-BE49-F238E27FC236}">
              <a16:creationId xmlns:a16="http://schemas.microsoft.com/office/drawing/2014/main" id="{49DE0F84-1608-4992-AAC6-CA1F9C6DF1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2" name="AutoShape 1" descr="Vista previa de toda la pantalla">
          <a:extLst>
            <a:ext uri="{FF2B5EF4-FFF2-40B4-BE49-F238E27FC236}">
              <a16:creationId xmlns:a16="http://schemas.microsoft.com/office/drawing/2014/main" id="{5DB1BF0F-C1A3-48B3-8EBA-4C9D942B41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3" name="AutoShape 1" descr="Vista previa de toda la pantalla">
          <a:extLst>
            <a:ext uri="{FF2B5EF4-FFF2-40B4-BE49-F238E27FC236}">
              <a16:creationId xmlns:a16="http://schemas.microsoft.com/office/drawing/2014/main" id="{8007A1C8-B9D6-401D-82DF-C71D389752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4" name="AutoShape 1" descr="Vista previa de toda la pantalla">
          <a:extLst>
            <a:ext uri="{FF2B5EF4-FFF2-40B4-BE49-F238E27FC236}">
              <a16:creationId xmlns:a16="http://schemas.microsoft.com/office/drawing/2014/main" id="{519F0A54-C284-473B-B650-D1BA68E6A8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5" name="AutoShape 1" descr="Vista previa de toda la pantalla">
          <a:extLst>
            <a:ext uri="{FF2B5EF4-FFF2-40B4-BE49-F238E27FC236}">
              <a16:creationId xmlns:a16="http://schemas.microsoft.com/office/drawing/2014/main" id="{4F993DDC-E31E-46DC-8A7E-940F0C080B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6" name="AutoShape 1" descr="Vista previa de toda la pantalla">
          <a:extLst>
            <a:ext uri="{FF2B5EF4-FFF2-40B4-BE49-F238E27FC236}">
              <a16:creationId xmlns:a16="http://schemas.microsoft.com/office/drawing/2014/main" id="{B019B1C8-FAB6-4C9D-9DE6-55C5BC4265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7" name="AutoShape 1" descr="Vista previa de toda la pantalla">
          <a:extLst>
            <a:ext uri="{FF2B5EF4-FFF2-40B4-BE49-F238E27FC236}">
              <a16:creationId xmlns:a16="http://schemas.microsoft.com/office/drawing/2014/main" id="{76C6BC42-3492-4D32-9883-8F94996F30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8" name="AutoShape 1" descr="Vista previa de toda la pantalla">
          <a:extLst>
            <a:ext uri="{FF2B5EF4-FFF2-40B4-BE49-F238E27FC236}">
              <a16:creationId xmlns:a16="http://schemas.microsoft.com/office/drawing/2014/main" id="{580C54CB-0BB8-4603-A594-86FFE40116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099" name="AutoShape 1" descr="Vista previa de toda la pantalla">
          <a:extLst>
            <a:ext uri="{FF2B5EF4-FFF2-40B4-BE49-F238E27FC236}">
              <a16:creationId xmlns:a16="http://schemas.microsoft.com/office/drawing/2014/main" id="{527DE59F-DE71-462D-862A-BB7F4CFB74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0" name="AutoShape 1" descr="Vista previa de toda la pantalla">
          <a:extLst>
            <a:ext uri="{FF2B5EF4-FFF2-40B4-BE49-F238E27FC236}">
              <a16:creationId xmlns:a16="http://schemas.microsoft.com/office/drawing/2014/main" id="{A27FE1CE-E0BA-4ACA-84CD-C4A133A6C2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1" name="AutoShape 1" descr="Vista previa de toda la pantalla">
          <a:extLst>
            <a:ext uri="{FF2B5EF4-FFF2-40B4-BE49-F238E27FC236}">
              <a16:creationId xmlns:a16="http://schemas.microsoft.com/office/drawing/2014/main" id="{2A64D651-0C40-41B4-A292-79484FC6DC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2" name="AutoShape 1" descr="Vista previa de toda la pantalla">
          <a:extLst>
            <a:ext uri="{FF2B5EF4-FFF2-40B4-BE49-F238E27FC236}">
              <a16:creationId xmlns:a16="http://schemas.microsoft.com/office/drawing/2014/main" id="{6C7FA045-CB40-44F0-9095-CD005A8658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3" name="AutoShape 1" descr="Vista previa de toda la pantalla">
          <a:extLst>
            <a:ext uri="{FF2B5EF4-FFF2-40B4-BE49-F238E27FC236}">
              <a16:creationId xmlns:a16="http://schemas.microsoft.com/office/drawing/2014/main" id="{17DA32A9-A725-48A8-8D6A-D8EACF3E34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4" name="AutoShape 1" descr="Vista previa de toda la pantalla">
          <a:extLst>
            <a:ext uri="{FF2B5EF4-FFF2-40B4-BE49-F238E27FC236}">
              <a16:creationId xmlns:a16="http://schemas.microsoft.com/office/drawing/2014/main" id="{25D99014-C558-499F-A789-FFA7B2847B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5" name="AutoShape 1" descr="Vista previa de toda la pantalla">
          <a:extLst>
            <a:ext uri="{FF2B5EF4-FFF2-40B4-BE49-F238E27FC236}">
              <a16:creationId xmlns:a16="http://schemas.microsoft.com/office/drawing/2014/main" id="{1B539D18-CF81-479D-BD06-A04DBB2851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6" name="AutoShape 1" descr="Vista previa de toda la pantalla">
          <a:extLst>
            <a:ext uri="{FF2B5EF4-FFF2-40B4-BE49-F238E27FC236}">
              <a16:creationId xmlns:a16="http://schemas.microsoft.com/office/drawing/2014/main" id="{D4E6CB52-8BD3-44B0-BFE8-0055968E35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7" name="AutoShape 1" descr="Vista previa de toda la pantalla">
          <a:extLst>
            <a:ext uri="{FF2B5EF4-FFF2-40B4-BE49-F238E27FC236}">
              <a16:creationId xmlns:a16="http://schemas.microsoft.com/office/drawing/2014/main" id="{E789293A-C9BD-46AB-BF54-655510AD87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8" name="AutoShape 1" descr="Vista previa de toda la pantalla">
          <a:extLst>
            <a:ext uri="{FF2B5EF4-FFF2-40B4-BE49-F238E27FC236}">
              <a16:creationId xmlns:a16="http://schemas.microsoft.com/office/drawing/2014/main" id="{94C0754E-3B98-4963-BEFF-BE0F205D10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09" name="AutoShape 1" descr="Vista previa de toda la pantalla">
          <a:extLst>
            <a:ext uri="{FF2B5EF4-FFF2-40B4-BE49-F238E27FC236}">
              <a16:creationId xmlns:a16="http://schemas.microsoft.com/office/drawing/2014/main" id="{E9B9C1D1-7E95-4EB3-8252-8571B67360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0" name="AutoShape 1" descr="Vista previa de toda la pantalla">
          <a:extLst>
            <a:ext uri="{FF2B5EF4-FFF2-40B4-BE49-F238E27FC236}">
              <a16:creationId xmlns:a16="http://schemas.microsoft.com/office/drawing/2014/main" id="{E8B1C11E-DF7D-4F13-8A70-0FA26F7D17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1" name="AutoShape 1" descr="Vista previa de toda la pantalla">
          <a:extLst>
            <a:ext uri="{FF2B5EF4-FFF2-40B4-BE49-F238E27FC236}">
              <a16:creationId xmlns:a16="http://schemas.microsoft.com/office/drawing/2014/main" id="{6D41771E-7347-4394-9E86-470F623EED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2" name="AutoShape 1" descr="Vista previa de toda la pantalla">
          <a:extLst>
            <a:ext uri="{FF2B5EF4-FFF2-40B4-BE49-F238E27FC236}">
              <a16:creationId xmlns:a16="http://schemas.microsoft.com/office/drawing/2014/main" id="{F822877C-E382-41A2-B697-790516F6AC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3" name="AutoShape 1" descr="Vista previa de toda la pantalla">
          <a:extLst>
            <a:ext uri="{FF2B5EF4-FFF2-40B4-BE49-F238E27FC236}">
              <a16:creationId xmlns:a16="http://schemas.microsoft.com/office/drawing/2014/main" id="{4A14ADFE-BA72-4449-965B-5E63007460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4" name="AutoShape 1" descr="Vista previa de toda la pantalla">
          <a:extLst>
            <a:ext uri="{FF2B5EF4-FFF2-40B4-BE49-F238E27FC236}">
              <a16:creationId xmlns:a16="http://schemas.microsoft.com/office/drawing/2014/main" id="{DCF4A379-C487-4E2B-BBB3-9D0E6D9C84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5" name="AutoShape 1" descr="Vista previa de toda la pantalla">
          <a:extLst>
            <a:ext uri="{FF2B5EF4-FFF2-40B4-BE49-F238E27FC236}">
              <a16:creationId xmlns:a16="http://schemas.microsoft.com/office/drawing/2014/main" id="{3FABE189-4839-4C3A-80B0-E07EE8DF7C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6" name="AutoShape 1" descr="Vista previa de toda la pantalla">
          <a:extLst>
            <a:ext uri="{FF2B5EF4-FFF2-40B4-BE49-F238E27FC236}">
              <a16:creationId xmlns:a16="http://schemas.microsoft.com/office/drawing/2014/main" id="{BEC95AE9-BEFA-4201-B619-C2AD6B5443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7" name="AutoShape 1" descr="Vista previa de toda la pantalla">
          <a:extLst>
            <a:ext uri="{FF2B5EF4-FFF2-40B4-BE49-F238E27FC236}">
              <a16:creationId xmlns:a16="http://schemas.microsoft.com/office/drawing/2014/main" id="{11D294DC-F43C-458D-8F50-E5BD9BB1F1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8" name="AutoShape 1" descr="Vista previa de toda la pantalla">
          <a:extLst>
            <a:ext uri="{FF2B5EF4-FFF2-40B4-BE49-F238E27FC236}">
              <a16:creationId xmlns:a16="http://schemas.microsoft.com/office/drawing/2014/main" id="{480CEAAB-034A-4ADA-BE98-360FE41164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19" name="AutoShape 1" descr="Vista previa de toda la pantalla">
          <a:extLst>
            <a:ext uri="{FF2B5EF4-FFF2-40B4-BE49-F238E27FC236}">
              <a16:creationId xmlns:a16="http://schemas.microsoft.com/office/drawing/2014/main" id="{66B07EC1-DB8F-401C-B9A0-5747FD40FB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0" name="AutoShape 1" descr="Vista previa de toda la pantalla">
          <a:extLst>
            <a:ext uri="{FF2B5EF4-FFF2-40B4-BE49-F238E27FC236}">
              <a16:creationId xmlns:a16="http://schemas.microsoft.com/office/drawing/2014/main" id="{7BB32A3A-5E8E-4264-AD1E-7F1FA48B49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1" name="AutoShape 1" descr="Vista previa de toda la pantalla">
          <a:extLst>
            <a:ext uri="{FF2B5EF4-FFF2-40B4-BE49-F238E27FC236}">
              <a16:creationId xmlns:a16="http://schemas.microsoft.com/office/drawing/2014/main" id="{B4E7018B-45D3-4984-ACC0-970263C1F6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2" name="AutoShape 1" descr="Vista previa de toda la pantalla">
          <a:extLst>
            <a:ext uri="{FF2B5EF4-FFF2-40B4-BE49-F238E27FC236}">
              <a16:creationId xmlns:a16="http://schemas.microsoft.com/office/drawing/2014/main" id="{025C2AA6-71F9-4B08-953C-7D6D9C38AB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3" name="AutoShape 1" descr="Vista previa de toda la pantalla">
          <a:extLst>
            <a:ext uri="{FF2B5EF4-FFF2-40B4-BE49-F238E27FC236}">
              <a16:creationId xmlns:a16="http://schemas.microsoft.com/office/drawing/2014/main" id="{826BD83D-B1CF-4945-9B58-7945547ADC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4" name="AutoShape 1" descr="Vista previa de toda la pantalla">
          <a:extLst>
            <a:ext uri="{FF2B5EF4-FFF2-40B4-BE49-F238E27FC236}">
              <a16:creationId xmlns:a16="http://schemas.microsoft.com/office/drawing/2014/main" id="{5959247C-6339-4FFA-9400-D36270908D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5" name="AutoShape 1" descr="Vista previa de toda la pantalla">
          <a:extLst>
            <a:ext uri="{FF2B5EF4-FFF2-40B4-BE49-F238E27FC236}">
              <a16:creationId xmlns:a16="http://schemas.microsoft.com/office/drawing/2014/main" id="{4F70BC53-0672-4184-AE3C-8B9B48232E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6" name="AutoShape 1" descr="Vista previa de toda la pantalla">
          <a:extLst>
            <a:ext uri="{FF2B5EF4-FFF2-40B4-BE49-F238E27FC236}">
              <a16:creationId xmlns:a16="http://schemas.microsoft.com/office/drawing/2014/main" id="{CAE542CA-6ED0-4B73-B014-6FF63BD372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7" name="AutoShape 1" descr="Vista previa de toda la pantalla">
          <a:extLst>
            <a:ext uri="{FF2B5EF4-FFF2-40B4-BE49-F238E27FC236}">
              <a16:creationId xmlns:a16="http://schemas.microsoft.com/office/drawing/2014/main" id="{364DF8AC-8981-4004-8B44-39BA3824B0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8" name="AutoShape 1" descr="Vista previa de toda la pantalla">
          <a:extLst>
            <a:ext uri="{FF2B5EF4-FFF2-40B4-BE49-F238E27FC236}">
              <a16:creationId xmlns:a16="http://schemas.microsoft.com/office/drawing/2014/main" id="{345C98EF-19CB-49B3-83F9-A10FF0C59B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29" name="AutoShape 1" descr="Vista previa de toda la pantalla">
          <a:extLst>
            <a:ext uri="{FF2B5EF4-FFF2-40B4-BE49-F238E27FC236}">
              <a16:creationId xmlns:a16="http://schemas.microsoft.com/office/drawing/2014/main" id="{A901C9A5-6FE1-49CC-9336-9D89DFDD9A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0" name="AutoShape 1" descr="Vista previa de toda la pantalla">
          <a:extLst>
            <a:ext uri="{FF2B5EF4-FFF2-40B4-BE49-F238E27FC236}">
              <a16:creationId xmlns:a16="http://schemas.microsoft.com/office/drawing/2014/main" id="{01185502-BC75-41BD-9D68-462309657A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1" name="AutoShape 1" descr="Vista previa de toda la pantalla">
          <a:extLst>
            <a:ext uri="{FF2B5EF4-FFF2-40B4-BE49-F238E27FC236}">
              <a16:creationId xmlns:a16="http://schemas.microsoft.com/office/drawing/2014/main" id="{7F3BB9F3-FDDF-457A-9C2C-45D883A113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2" name="AutoShape 1" descr="Vista previa de toda la pantalla">
          <a:extLst>
            <a:ext uri="{FF2B5EF4-FFF2-40B4-BE49-F238E27FC236}">
              <a16:creationId xmlns:a16="http://schemas.microsoft.com/office/drawing/2014/main" id="{75D2086E-7D27-4A4E-A8AC-BC7F346658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3" name="AutoShape 1" descr="Vista previa de toda la pantalla">
          <a:extLst>
            <a:ext uri="{FF2B5EF4-FFF2-40B4-BE49-F238E27FC236}">
              <a16:creationId xmlns:a16="http://schemas.microsoft.com/office/drawing/2014/main" id="{0F5494CC-1E75-4E56-AB9B-DDBD1FFF92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4" name="AutoShape 1" descr="Vista previa de toda la pantalla">
          <a:extLst>
            <a:ext uri="{FF2B5EF4-FFF2-40B4-BE49-F238E27FC236}">
              <a16:creationId xmlns:a16="http://schemas.microsoft.com/office/drawing/2014/main" id="{73498883-8B8C-466A-93D2-2DFC557A58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5" name="AutoShape 1" descr="Vista previa de toda la pantalla">
          <a:extLst>
            <a:ext uri="{FF2B5EF4-FFF2-40B4-BE49-F238E27FC236}">
              <a16:creationId xmlns:a16="http://schemas.microsoft.com/office/drawing/2014/main" id="{53287874-D615-4B63-ABBB-7F096E0445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6" name="AutoShape 1" descr="Vista previa de toda la pantalla">
          <a:extLst>
            <a:ext uri="{FF2B5EF4-FFF2-40B4-BE49-F238E27FC236}">
              <a16:creationId xmlns:a16="http://schemas.microsoft.com/office/drawing/2014/main" id="{2E533EDD-8C71-4516-B7C9-66A7DC0A92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7" name="AutoShape 1" descr="Vista previa de toda la pantalla">
          <a:extLst>
            <a:ext uri="{FF2B5EF4-FFF2-40B4-BE49-F238E27FC236}">
              <a16:creationId xmlns:a16="http://schemas.microsoft.com/office/drawing/2014/main" id="{2B5EA5A0-EA51-4526-90C2-985FBB1270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8" name="AutoShape 1" descr="Vista previa de toda la pantalla">
          <a:extLst>
            <a:ext uri="{FF2B5EF4-FFF2-40B4-BE49-F238E27FC236}">
              <a16:creationId xmlns:a16="http://schemas.microsoft.com/office/drawing/2014/main" id="{684D5665-76A7-4E84-B12F-15F2262431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39" name="AutoShape 1" descr="Vista previa de toda la pantalla">
          <a:extLst>
            <a:ext uri="{FF2B5EF4-FFF2-40B4-BE49-F238E27FC236}">
              <a16:creationId xmlns:a16="http://schemas.microsoft.com/office/drawing/2014/main" id="{5E5619B7-8195-486F-9728-D74F80DFDB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0" name="AutoShape 1" descr="Vista previa de toda la pantalla">
          <a:extLst>
            <a:ext uri="{FF2B5EF4-FFF2-40B4-BE49-F238E27FC236}">
              <a16:creationId xmlns:a16="http://schemas.microsoft.com/office/drawing/2014/main" id="{F912726E-1CB7-4E16-B074-449F0BF5B2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1" name="AutoShape 1" descr="Vista previa de toda la pantalla">
          <a:extLst>
            <a:ext uri="{FF2B5EF4-FFF2-40B4-BE49-F238E27FC236}">
              <a16:creationId xmlns:a16="http://schemas.microsoft.com/office/drawing/2014/main" id="{44557C74-C1BD-4806-9B7A-5490934EE6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2" name="AutoShape 1" descr="Vista previa de toda la pantalla">
          <a:extLst>
            <a:ext uri="{FF2B5EF4-FFF2-40B4-BE49-F238E27FC236}">
              <a16:creationId xmlns:a16="http://schemas.microsoft.com/office/drawing/2014/main" id="{AC225D88-14CF-4D24-AB79-112C5FF899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3" name="AutoShape 1" descr="Vista previa de toda la pantalla">
          <a:extLst>
            <a:ext uri="{FF2B5EF4-FFF2-40B4-BE49-F238E27FC236}">
              <a16:creationId xmlns:a16="http://schemas.microsoft.com/office/drawing/2014/main" id="{B8E684A6-78AB-4A4F-BF95-657628E6A1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4" name="AutoShape 1" descr="Vista previa de toda la pantalla">
          <a:extLst>
            <a:ext uri="{FF2B5EF4-FFF2-40B4-BE49-F238E27FC236}">
              <a16:creationId xmlns:a16="http://schemas.microsoft.com/office/drawing/2014/main" id="{050B2F56-3B00-4530-AD82-C9031D74C6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5" name="AutoShape 1" descr="Vista previa de toda la pantalla">
          <a:extLst>
            <a:ext uri="{FF2B5EF4-FFF2-40B4-BE49-F238E27FC236}">
              <a16:creationId xmlns:a16="http://schemas.microsoft.com/office/drawing/2014/main" id="{17632891-96CB-462B-A5F9-189BA5D4C9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6" name="AutoShape 1" descr="Vista previa de toda la pantalla">
          <a:extLst>
            <a:ext uri="{FF2B5EF4-FFF2-40B4-BE49-F238E27FC236}">
              <a16:creationId xmlns:a16="http://schemas.microsoft.com/office/drawing/2014/main" id="{0E23F049-8695-4B9E-877A-34C1EE25BA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7" name="AutoShape 1" descr="Vista previa de toda la pantalla">
          <a:extLst>
            <a:ext uri="{FF2B5EF4-FFF2-40B4-BE49-F238E27FC236}">
              <a16:creationId xmlns:a16="http://schemas.microsoft.com/office/drawing/2014/main" id="{C3346540-A38E-4295-ADC6-5F6F3061D1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8" name="AutoShape 1" descr="Vista previa de toda la pantalla">
          <a:extLst>
            <a:ext uri="{FF2B5EF4-FFF2-40B4-BE49-F238E27FC236}">
              <a16:creationId xmlns:a16="http://schemas.microsoft.com/office/drawing/2014/main" id="{FDD4471A-3A84-41A2-AD23-5E0D2A0B24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49" name="AutoShape 1" descr="Vista previa de toda la pantalla">
          <a:extLst>
            <a:ext uri="{FF2B5EF4-FFF2-40B4-BE49-F238E27FC236}">
              <a16:creationId xmlns:a16="http://schemas.microsoft.com/office/drawing/2014/main" id="{5239176A-89F3-40EE-B2B4-54DC532C74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0" name="AutoShape 1" descr="Vista previa de toda la pantalla">
          <a:extLst>
            <a:ext uri="{FF2B5EF4-FFF2-40B4-BE49-F238E27FC236}">
              <a16:creationId xmlns:a16="http://schemas.microsoft.com/office/drawing/2014/main" id="{99FA3D84-7FB9-49AD-A993-E4953D8BEA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1" name="AutoShape 1" descr="Vista previa de toda la pantalla">
          <a:extLst>
            <a:ext uri="{FF2B5EF4-FFF2-40B4-BE49-F238E27FC236}">
              <a16:creationId xmlns:a16="http://schemas.microsoft.com/office/drawing/2014/main" id="{7F4166FB-0D9C-4B0A-89DA-7FA9C381F1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2" name="AutoShape 1" descr="Vista previa de toda la pantalla">
          <a:extLst>
            <a:ext uri="{FF2B5EF4-FFF2-40B4-BE49-F238E27FC236}">
              <a16:creationId xmlns:a16="http://schemas.microsoft.com/office/drawing/2014/main" id="{A0440490-7E6C-44AA-A867-BE3349E0F8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3" name="AutoShape 1" descr="Vista previa de toda la pantalla">
          <a:extLst>
            <a:ext uri="{FF2B5EF4-FFF2-40B4-BE49-F238E27FC236}">
              <a16:creationId xmlns:a16="http://schemas.microsoft.com/office/drawing/2014/main" id="{D3F79CC6-A9FE-418B-8D15-D9AAD6CC0F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4" name="AutoShape 1" descr="Vista previa de toda la pantalla">
          <a:extLst>
            <a:ext uri="{FF2B5EF4-FFF2-40B4-BE49-F238E27FC236}">
              <a16:creationId xmlns:a16="http://schemas.microsoft.com/office/drawing/2014/main" id="{757F785E-BDF2-4C40-B178-088A181853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5" name="AutoShape 1" descr="Vista previa de toda la pantalla">
          <a:extLst>
            <a:ext uri="{FF2B5EF4-FFF2-40B4-BE49-F238E27FC236}">
              <a16:creationId xmlns:a16="http://schemas.microsoft.com/office/drawing/2014/main" id="{44B24A4C-0C22-4830-8B65-B8C4DE86FC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6" name="AutoShape 1" descr="Vista previa de toda la pantalla">
          <a:extLst>
            <a:ext uri="{FF2B5EF4-FFF2-40B4-BE49-F238E27FC236}">
              <a16:creationId xmlns:a16="http://schemas.microsoft.com/office/drawing/2014/main" id="{44F97524-C7CF-4FAB-AA41-F7C30A4253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7" name="AutoShape 1" descr="Vista previa de toda la pantalla">
          <a:extLst>
            <a:ext uri="{FF2B5EF4-FFF2-40B4-BE49-F238E27FC236}">
              <a16:creationId xmlns:a16="http://schemas.microsoft.com/office/drawing/2014/main" id="{06C7D909-F6C2-4C13-B491-3CE77B6B20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8" name="AutoShape 1" descr="Vista previa de toda la pantalla">
          <a:extLst>
            <a:ext uri="{FF2B5EF4-FFF2-40B4-BE49-F238E27FC236}">
              <a16:creationId xmlns:a16="http://schemas.microsoft.com/office/drawing/2014/main" id="{F43A9ABA-3F04-48DF-8062-8E47196433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59" name="AutoShape 1" descr="Vista previa de toda la pantalla">
          <a:extLst>
            <a:ext uri="{FF2B5EF4-FFF2-40B4-BE49-F238E27FC236}">
              <a16:creationId xmlns:a16="http://schemas.microsoft.com/office/drawing/2014/main" id="{0BDFB58E-BD16-42C9-8DD3-7DB7F742CC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0" name="AutoShape 1" descr="Vista previa de toda la pantalla">
          <a:extLst>
            <a:ext uri="{FF2B5EF4-FFF2-40B4-BE49-F238E27FC236}">
              <a16:creationId xmlns:a16="http://schemas.microsoft.com/office/drawing/2014/main" id="{ABE60CDC-A6F3-4290-B0AA-960B4E9A15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1" name="AutoShape 1" descr="Vista previa de toda la pantalla">
          <a:extLst>
            <a:ext uri="{FF2B5EF4-FFF2-40B4-BE49-F238E27FC236}">
              <a16:creationId xmlns:a16="http://schemas.microsoft.com/office/drawing/2014/main" id="{5BBFD530-AE03-4FC0-975D-AFCE242EF3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2" name="AutoShape 1" descr="Vista previa de toda la pantalla">
          <a:extLst>
            <a:ext uri="{FF2B5EF4-FFF2-40B4-BE49-F238E27FC236}">
              <a16:creationId xmlns:a16="http://schemas.microsoft.com/office/drawing/2014/main" id="{C78F416E-8B28-48AD-A6D4-674CEAF8F7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3" name="AutoShape 1" descr="Vista previa de toda la pantalla">
          <a:extLst>
            <a:ext uri="{FF2B5EF4-FFF2-40B4-BE49-F238E27FC236}">
              <a16:creationId xmlns:a16="http://schemas.microsoft.com/office/drawing/2014/main" id="{D642F652-6172-4EA6-B265-68E095CE10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4" name="AutoShape 1" descr="Vista previa de toda la pantalla">
          <a:extLst>
            <a:ext uri="{FF2B5EF4-FFF2-40B4-BE49-F238E27FC236}">
              <a16:creationId xmlns:a16="http://schemas.microsoft.com/office/drawing/2014/main" id="{4E8C97DD-EF62-41F7-B2EA-21BABDDAB9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5" name="AutoShape 1" descr="Vista previa de toda la pantalla">
          <a:extLst>
            <a:ext uri="{FF2B5EF4-FFF2-40B4-BE49-F238E27FC236}">
              <a16:creationId xmlns:a16="http://schemas.microsoft.com/office/drawing/2014/main" id="{970A97CF-667B-4E1E-B253-B5FE0CF950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6" name="AutoShape 1" descr="Vista previa de toda la pantalla">
          <a:extLst>
            <a:ext uri="{FF2B5EF4-FFF2-40B4-BE49-F238E27FC236}">
              <a16:creationId xmlns:a16="http://schemas.microsoft.com/office/drawing/2014/main" id="{CC821AAF-B4D6-42F4-AC50-DDE730DB85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7" name="AutoShape 1" descr="Vista previa de toda la pantalla">
          <a:extLst>
            <a:ext uri="{FF2B5EF4-FFF2-40B4-BE49-F238E27FC236}">
              <a16:creationId xmlns:a16="http://schemas.microsoft.com/office/drawing/2014/main" id="{2D2B9F08-BA03-480D-8B07-2D7C8D4E3B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8" name="AutoShape 1" descr="Vista previa de toda la pantalla">
          <a:extLst>
            <a:ext uri="{FF2B5EF4-FFF2-40B4-BE49-F238E27FC236}">
              <a16:creationId xmlns:a16="http://schemas.microsoft.com/office/drawing/2014/main" id="{8F92B142-B6CA-4CAC-864D-DCDC6871F8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69" name="AutoShape 1" descr="Vista previa de toda la pantalla">
          <a:extLst>
            <a:ext uri="{FF2B5EF4-FFF2-40B4-BE49-F238E27FC236}">
              <a16:creationId xmlns:a16="http://schemas.microsoft.com/office/drawing/2014/main" id="{DB2A70E4-7376-456E-9912-3E758CAFE2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0" name="AutoShape 1" descr="Vista previa de toda la pantalla">
          <a:extLst>
            <a:ext uri="{FF2B5EF4-FFF2-40B4-BE49-F238E27FC236}">
              <a16:creationId xmlns:a16="http://schemas.microsoft.com/office/drawing/2014/main" id="{795EC9BC-0AC0-44FB-BBE2-5B39D94F7C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1" name="AutoShape 1" descr="Vista previa de toda la pantalla">
          <a:extLst>
            <a:ext uri="{FF2B5EF4-FFF2-40B4-BE49-F238E27FC236}">
              <a16:creationId xmlns:a16="http://schemas.microsoft.com/office/drawing/2014/main" id="{D13F3142-1859-40B3-BBB4-4B62A2B225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2" name="AutoShape 1" descr="Vista previa de toda la pantalla">
          <a:extLst>
            <a:ext uri="{FF2B5EF4-FFF2-40B4-BE49-F238E27FC236}">
              <a16:creationId xmlns:a16="http://schemas.microsoft.com/office/drawing/2014/main" id="{49DF91A1-47B4-4766-A712-B798617164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3" name="AutoShape 1" descr="Vista previa de toda la pantalla">
          <a:extLst>
            <a:ext uri="{FF2B5EF4-FFF2-40B4-BE49-F238E27FC236}">
              <a16:creationId xmlns:a16="http://schemas.microsoft.com/office/drawing/2014/main" id="{6B74BB59-064B-4F5A-9CB0-850CE02AA2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4" name="AutoShape 1" descr="Vista previa de toda la pantalla">
          <a:extLst>
            <a:ext uri="{FF2B5EF4-FFF2-40B4-BE49-F238E27FC236}">
              <a16:creationId xmlns:a16="http://schemas.microsoft.com/office/drawing/2014/main" id="{DCCF4377-2609-49DA-9C09-6D5DC1F910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5" name="AutoShape 1" descr="Vista previa de toda la pantalla">
          <a:extLst>
            <a:ext uri="{FF2B5EF4-FFF2-40B4-BE49-F238E27FC236}">
              <a16:creationId xmlns:a16="http://schemas.microsoft.com/office/drawing/2014/main" id="{8EDF26DE-2269-4056-867E-74F4DD3010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6" name="AutoShape 1" descr="Vista previa de toda la pantalla">
          <a:extLst>
            <a:ext uri="{FF2B5EF4-FFF2-40B4-BE49-F238E27FC236}">
              <a16:creationId xmlns:a16="http://schemas.microsoft.com/office/drawing/2014/main" id="{FCB40CF2-A7F0-4EC7-A3E9-000802B27A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7" name="AutoShape 1" descr="Vista previa de toda la pantalla">
          <a:extLst>
            <a:ext uri="{FF2B5EF4-FFF2-40B4-BE49-F238E27FC236}">
              <a16:creationId xmlns:a16="http://schemas.microsoft.com/office/drawing/2014/main" id="{1B38078D-4C9E-4762-B613-40840FCA41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8" name="AutoShape 1" descr="Vista previa de toda la pantalla">
          <a:extLst>
            <a:ext uri="{FF2B5EF4-FFF2-40B4-BE49-F238E27FC236}">
              <a16:creationId xmlns:a16="http://schemas.microsoft.com/office/drawing/2014/main" id="{714B19F7-BF3B-4DEC-99E6-BC30279634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79" name="AutoShape 1" descr="Vista previa de toda la pantalla">
          <a:extLst>
            <a:ext uri="{FF2B5EF4-FFF2-40B4-BE49-F238E27FC236}">
              <a16:creationId xmlns:a16="http://schemas.microsoft.com/office/drawing/2014/main" id="{0FDDF535-FAA1-48AA-A5D4-66810BC73D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0" name="AutoShape 1" descr="Vista previa de toda la pantalla">
          <a:extLst>
            <a:ext uri="{FF2B5EF4-FFF2-40B4-BE49-F238E27FC236}">
              <a16:creationId xmlns:a16="http://schemas.microsoft.com/office/drawing/2014/main" id="{F7064110-DDC0-4DE4-9627-6C98BC9DFD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1" name="AutoShape 1" descr="Vista previa de toda la pantalla">
          <a:extLst>
            <a:ext uri="{FF2B5EF4-FFF2-40B4-BE49-F238E27FC236}">
              <a16:creationId xmlns:a16="http://schemas.microsoft.com/office/drawing/2014/main" id="{AEF1A26B-84C4-4F96-A135-7D9AAACAF8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2" name="AutoShape 1" descr="Vista previa de toda la pantalla">
          <a:extLst>
            <a:ext uri="{FF2B5EF4-FFF2-40B4-BE49-F238E27FC236}">
              <a16:creationId xmlns:a16="http://schemas.microsoft.com/office/drawing/2014/main" id="{EBB34703-69E5-4899-A35B-CA38955E27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3" name="AutoShape 1" descr="Vista previa de toda la pantalla">
          <a:extLst>
            <a:ext uri="{FF2B5EF4-FFF2-40B4-BE49-F238E27FC236}">
              <a16:creationId xmlns:a16="http://schemas.microsoft.com/office/drawing/2014/main" id="{71CFB783-097F-4C4A-939F-0B033DF240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4" name="AutoShape 1" descr="Vista previa de toda la pantalla">
          <a:extLst>
            <a:ext uri="{FF2B5EF4-FFF2-40B4-BE49-F238E27FC236}">
              <a16:creationId xmlns:a16="http://schemas.microsoft.com/office/drawing/2014/main" id="{DA609A5D-10A8-441D-93D0-840C025439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5" name="AutoShape 1" descr="Vista previa de toda la pantalla">
          <a:extLst>
            <a:ext uri="{FF2B5EF4-FFF2-40B4-BE49-F238E27FC236}">
              <a16:creationId xmlns:a16="http://schemas.microsoft.com/office/drawing/2014/main" id="{08E1535F-92D0-4C4A-97FC-36BBC960E8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6" name="AutoShape 1" descr="Vista previa de toda la pantalla">
          <a:extLst>
            <a:ext uri="{FF2B5EF4-FFF2-40B4-BE49-F238E27FC236}">
              <a16:creationId xmlns:a16="http://schemas.microsoft.com/office/drawing/2014/main" id="{BFB4FFCC-1DA5-42A5-8625-9E6FD25ECB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7" name="AutoShape 1" descr="Vista previa de toda la pantalla">
          <a:extLst>
            <a:ext uri="{FF2B5EF4-FFF2-40B4-BE49-F238E27FC236}">
              <a16:creationId xmlns:a16="http://schemas.microsoft.com/office/drawing/2014/main" id="{5350F3F0-7C13-42DE-A372-B0D39157DE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8" name="AutoShape 1" descr="Vista previa de toda la pantalla">
          <a:extLst>
            <a:ext uri="{FF2B5EF4-FFF2-40B4-BE49-F238E27FC236}">
              <a16:creationId xmlns:a16="http://schemas.microsoft.com/office/drawing/2014/main" id="{C05C80E9-686E-46D6-AD8B-204792745C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89" name="AutoShape 1" descr="Vista previa de toda la pantalla">
          <a:extLst>
            <a:ext uri="{FF2B5EF4-FFF2-40B4-BE49-F238E27FC236}">
              <a16:creationId xmlns:a16="http://schemas.microsoft.com/office/drawing/2014/main" id="{B0D40C30-B39B-4E0A-AFBD-3ECB9DAB97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90" name="AutoShape 1" descr="Vista previa de toda la pantalla">
          <a:extLst>
            <a:ext uri="{FF2B5EF4-FFF2-40B4-BE49-F238E27FC236}">
              <a16:creationId xmlns:a16="http://schemas.microsoft.com/office/drawing/2014/main" id="{558B706A-A345-4B45-BC31-04BCEDB4D6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91" name="AutoShape 1" descr="Vista previa de toda la pantalla">
          <a:extLst>
            <a:ext uri="{FF2B5EF4-FFF2-40B4-BE49-F238E27FC236}">
              <a16:creationId xmlns:a16="http://schemas.microsoft.com/office/drawing/2014/main" id="{3D51843E-B39C-4267-AE58-8A035916E5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92" name="AutoShape 1" descr="Vista previa de toda la pantalla">
          <a:extLst>
            <a:ext uri="{FF2B5EF4-FFF2-40B4-BE49-F238E27FC236}">
              <a16:creationId xmlns:a16="http://schemas.microsoft.com/office/drawing/2014/main" id="{ECE68918-8B98-4CE3-8D05-6448E3EFBC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93" name="AutoShape 1" descr="Vista previa de toda la pantalla">
          <a:extLst>
            <a:ext uri="{FF2B5EF4-FFF2-40B4-BE49-F238E27FC236}">
              <a16:creationId xmlns:a16="http://schemas.microsoft.com/office/drawing/2014/main" id="{D8ABBCCA-2A17-4B11-9414-3C7A499ED0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94" name="AutoShape 1" descr="Vista previa de toda la pantalla">
          <a:extLst>
            <a:ext uri="{FF2B5EF4-FFF2-40B4-BE49-F238E27FC236}">
              <a16:creationId xmlns:a16="http://schemas.microsoft.com/office/drawing/2014/main" id="{877768CB-F468-4029-B0EE-62B1DACE63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95" name="AutoShape 1" descr="Vista previa de toda la pantalla">
          <a:extLst>
            <a:ext uri="{FF2B5EF4-FFF2-40B4-BE49-F238E27FC236}">
              <a16:creationId xmlns:a16="http://schemas.microsoft.com/office/drawing/2014/main" id="{0D7EDB82-C9A7-4D14-98F4-DAF6B3EAB3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4196" name="AutoShape 1" descr="Vista previa de toda la pantalla">
          <a:extLst>
            <a:ext uri="{FF2B5EF4-FFF2-40B4-BE49-F238E27FC236}">
              <a16:creationId xmlns:a16="http://schemas.microsoft.com/office/drawing/2014/main" id="{6A3CBCDC-4924-45C2-87B2-4AC867B286F4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97" name="AutoShape 1" descr="Vista previa de toda la pantalla">
          <a:extLst>
            <a:ext uri="{FF2B5EF4-FFF2-40B4-BE49-F238E27FC236}">
              <a16:creationId xmlns:a16="http://schemas.microsoft.com/office/drawing/2014/main" id="{DE322CC9-6D26-4B20-8460-BA3D3B3293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98" name="AutoShape 1" descr="Vista previa de toda la pantalla">
          <a:extLst>
            <a:ext uri="{FF2B5EF4-FFF2-40B4-BE49-F238E27FC236}">
              <a16:creationId xmlns:a16="http://schemas.microsoft.com/office/drawing/2014/main" id="{EFEF4E33-E6CB-4C98-A348-A142AEF320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199" name="AutoShape 1" descr="Vista previa de toda la pantalla">
          <a:extLst>
            <a:ext uri="{FF2B5EF4-FFF2-40B4-BE49-F238E27FC236}">
              <a16:creationId xmlns:a16="http://schemas.microsoft.com/office/drawing/2014/main" id="{9DA39D7C-1209-43F7-B540-636AFB18BA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0" name="AutoShape 1" descr="Vista previa de toda la pantalla">
          <a:extLst>
            <a:ext uri="{FF2B5EF4-FFF2-40B4-BE49-F238E27FC236}">
              <a16:creationId xmlns:a16="http://schemas.microsoft.com/office/drawing/2014/main" id="{C3A462B1-E392-4E77-8DAD-B39050DBB3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1" name="AutoShape 1" descr="Vista previa de toda la pantalla">
          <a:extLst>
            <a:ext uri="{FF2B5EF4-FFF2-40B4-BE49-F238E27FC236}">
              <a16:creationId xmlns:a16="http://schemas.microsoft.com/office/drawing/2014/main" id="{D2EB32F5-7020-4CAE-B473-88077D739E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2" name="AutoShape 1" descr="Vista previa de toda la pantalla">
          <a:extLst>
            <a:ext uri="{FF2B5EF4-FFF2-40B4-BE49-F238E27FC236}">
              <a16:creationId xmlns:a16="http://schemas.microsoft.com/office/drawing/2014/main" id="{A27A2DA8-FCFD-488C-8F32-916DEBE1E9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3" name="AutoShape 1" descr="Vista previa de toda la pantalla">
          <a:extLst>
            <a:ext uri="{FF2B5EF4-FFF2-40B4-BE49-F238E27FC236}">
              <a16:creationId xmlns:a16="http://schemas.microsoft.com/office/drawing/2014/main" id="{DED0D37C-1245-4A53-8E06-989839D08A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4" name="AutoShape 1" descr="Vista previa de toda la pantalla">
          <a:extLst>
            <a:ext uri="{FF2B5EF4-FFF2-40B4-BE49-F238E27FC236}">
              <a16:creationId xmlns:a16="http://schemas.microsoft.com/office/drawing/2014/main" id="{4C8B6BB6-FC8B-4464-BE76-65627329F4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5" name="AutoShape 1" descr="Vista previa de toda la pantalla">
          <a:extLst>
            <a:ext uri="{FF2B5EF4-FFF2-40B4-BE49-F238E27FC236}">
              <a16:creationId xmlns:a16="http://schemas.microsoft.com/office/drawing/2014/main" id="{F03C40ED-BF15-4483-87C6-604506063E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6" name="AutoShape 1" descr="Vista previa de toda la pantalla">
          <a:extLst>
            <a:ext uri="{FF2B5EF4-FFF2-40B4-BE49-F238E27FC236}">
              <a16:creationId xmlns:a16="http://schemas.microsoft.com/office/drawing/2014/main" id="{DB502D86-9030-4CCD-ADDF-736CECB028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7" name="AutoShape 1" descr="Vista previa de toda la pantalla">
          <a:extLst>
            <a:ext uri="{FF2B5EF4-FFF2-40B4-BE49-F238E27FC236}">
              <a16:creationId xmlns:a16="http://schemas.microsoft.com/office/drawing/2014/main" id="{A1643CD0-C8F5-4F3D-A232-6EDC830D1D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8" name="AutoShape 1" descr="Vista previa de toda la pantalla">
          <a:extLst>
            <a:ext uri="{FF2B5EF4-FFF2-40B4-BE49-F238E27FC236}">
              <a16:creationId xmlns:a16="http://schemas.microsoft.com/office/drawing/2014/main" id="{5711BD9E-70F4-4186-9242-DE54C273F5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09" name="AutoShape 1" descr="Vista previa de toda la pantalla">
          <a:extLst>
            <a:ext uri="{FF2B5EF4-FFF2-40B4-BE49-F238E27FC236}">
              <a16:creationId xmlns:a16="http://schemas.microsoft.com/office/drawing/2014/main" id="{949CCA1A-50A7-4991-AF5B-A5F552AEF3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0" name="AutoShape 1" descr="Vista previa de toda la pantalla">
          <a:extLst>
            <a:ext uri="{FF2B5EF4-FFF2-40B4-BE49-F238E27FC236}">
              <a16:creationId xmlns:a16="http://schemas.microsoft.com/office/drawing/2014/main" id="{D57B87F2-B246-4B06-8C6C-0253BA94B7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1" name="AutoShape 1" descr="Vista previa de toda la pantalla">
          <a:extLst>
            <a:ext uri="{FF2B5EF4-FFF2-40B4-BE49-F238E27FC236}">
              <a16:creationId xmlns:a16="http://schemas.microsoft.com/office/drawing/2014/main" id="{A2D7DF27-A7D7-4066-B15E-76F6C7776B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2" name="AutoShape 1" descr="Vista previa de toda la pantalla">
          <a:extLst>
            <a:ext uri="{FF2B5EF4-FFF2-40B4-BE49-F238E27FC236}">
              <a16:creationId xmlns:a16="http://schemas.microsoft.com/office/drawing/2014/main" id="{C01145D8-7874-449A-8516-1BD896BE51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3" name="AutoShape 1" descr="Vista previa de toda la pantalla">
          <a:extLst>
            <a:ext uri="{FF2B5EF4-FFF2-40B4-BE49-F238E27FC236}">
              <a16:creationId xmlns:a16="http://schemas.microsoft.com/office/drawing/2014/main" id="{4C9509F4-2225-402C-9BC9-44465A77A8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4" name="AutoShape 1" descr="Vista previa de toda la pantalla">
          <a:extLst>
            <a:ext uri="{FF2B5EF4-FFF2-40B4-BE49-F238E27FC236}">
              <a16:creationId xmlns:a16="http://schemas.microsoft.com/office/drawing/2014/main" id="{ACFC84E6-DC0A-4E1F-8DCC-24AF1939D1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5" name="AutoShape 1" descr="Vista previa de toda la pantalla">
          <a:extLst>
            <a:ext uri="{FF2B5EF4-FFF2-40B4-BE49-F238E27FC236}">
              <a16:creationId xmlns:a16="http://schemas.microsoft.com/office/drawing/2014/main" id="{CBDDE83B-195A-47ED-A4D9-525E9070F5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6" name="AutoShape 1" descr="Vista previa de toda la pantalla">
          <a:extLst>
            <a:ext uri="{FF2B5EF4-FFF2-40B4-BE49-F238E27FC236}">
              <a16:creationId xmlns:a16="http://schemas.microsoft.com/office/drawing/2014/main" id="{9ADC3BEE-D4F1-4C66-A143-1C8698AFD8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7" name="AutoShape 1" descr="Vista previa de toda la pantalla">
          <a:extLst>
            <a:ext uri="{FF2B5EF4-FFF2-40B4-BE49-F238E27FC236}">
              <a16:creationId xmlns:a16="http://schemas.microsoft.com/office/drawing/2014/main" id="{2121EE38-38E3-4DEC-AF03-D04CABF309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8" name="AutoShape 1" descr="Vista previa de toda la pantalla">
          <a:extLst>
            <a:ext uri="{FF2B5EF4-FFF2-40B4-BE49-F238E27FC236}">
              <a16:creationId xmlns:a16="http://schemas.microsoft.com/office/drawing/2014/main" id="{B47055CD-E55D-4C01-8674-9F2DBB7E13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19" name="AutoShape 1" descr="Vista previa de toda la pantalla">
          <a:extLst>
            <a:ext uri="{FF2B5EF4-FFF2-40B4-BE49-F238E27FC236}">
              <a16:creationId xmlns:a16="http://schemas.microsoft.com/office/drawing/2014/main" id="{D22A77FF-EE1B-43DE-81D3-DC6EE4C995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0" name="AutoShape 1" descr="Vista previa de toda la pantalla">
          <a:extLst>
            <a:ext uri="{FF2B5EF4-FFF2-40B4-BE49-F238E27FC236}">
              <a16:creationId xmlns:a16="http://schemas.microsoft.com/office/drawing/2014/main" id="{AF0CFB72-D92A-4AFD-A9A7-23A917C8D2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1" name="AutoShape 1" descr="Vista previa de toda la pantalla">
          <a:extLst>
            <a:ext uri="{FF2B5EF4-FFF2-40B4-BE49-F238E27FC236}">
              <a16:creationId xmlns:a16="http://schemas.microsoft.com/office/drawing/2014/main" id="{6B97BDAD-BB67-4884-B4C6-312D88CD2F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2" name="AutoShape 1" descr="Vista previa de toda la pantalla">
          <a:extLst>
            <a:ext uri="{FF2B5EF4-FFF2-40B4-BE49-F238E27FC236}">
              <a16:creationId xmlns:a16="http://schemas.microsoft.com/office/drawing/2014/main" id="{12368640-C441-4435-A1BD-D3B23E332E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3" name="AutoShape 1" descr="Vista previa de toda la pantalla">
          <a:extLst>
            <a:ext uri="{FF2B5EF4-FFF2-40B4-BE49-F238E27FC236}">
              <a16:creationId xmlns:a16="http://schemas.microsoft.com/office/drawing/2014/main" id="{6584E2FA-5DFF-4893-949B-4524ED399F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4" name="AutoShape 1" descr="Vista previa de toda la pantalla">
          <a:extLst>
            <a:ext uri="{FF2B5EF4-FFF2-40B4-BE49-F238E27FC236}">
              <a16:creationId xmlns:a16="http://schemas.microsoft.com/office/drawing/2014/main" id="{8280B223-0C98-469F-B39A-92DB513827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5" name="AutoShape 1" descr="Vista previa de toda la pantalla">
          <a:extLst>
            <a:ext uri="{FF2B5EF4-FFF2-40B4-BE49-F238E27FC236}">
              <a16:creationId xmlns:a16="http://schemas.microsoft.com/office/drawing/2014/main" id="{AAD5DB82-7D8C-4B59-B852-997ED9889B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6" name="AutoShape 1" descr="Vista previa de toda la pantalla">
          <a:extLst>
            <a:ext uri="{FF2B5EF4-FFF2-40B4-BE49-F238E27FC236}">
              <a16:creationId xmlns:a16="http://schemas.microsoft.com/office/drawing/2014/main" id="{A321AD3A-3FAC-4C61-BB5A-95D6CA04CC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7" name="AutoShape 1" descr="Vista previa de toda la pantalla">
          <a:extLst>
            <a:ext uri="{FF2B5EF4-FFF2-40B4-BE49-F238E27FC236}">
              <a16:creationId xmlns:a16="http://schemas.microsoft.com/office/drawing/2014/main" id="{DD64A907-6099-48D1-A130-C4B11FA14D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8" name="AutoShape 1" descr="Vista previa de toda la pantalla">
          <a:extLst>
            <a:ext uri="{FF2B5EF4-FFF2-40B4-BE49-F238E27FC236}">
              <a16:creationId xmlns:a16="http://schemas.microsoft.com/office/drawing/2014/main" id="{A2A0B901-4B9E-4FBC-9DA4-946D9082FE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29" name="AutoShape 1" descr="Vista previa de toda la pantalla">
          <a:extLst>
            <a:ext uri="{FF2B5EF4-FFF2-40B4-BE49-F238E27FC236}">
              <a16:creationId xmlns:a16="http://schemas.microsoft.com/office/drawing/2014/main" id="{2E8D6FD3-AA4E-479E-8C40-BB4D2B4219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0" name="AutoShape 1" descr="Vista previa de toda la pantalla">
          <a:extLst>
            <a:ext uri="{FF2B5EF4-FFF2-40B4-BE49-F238E27FC236}">
              <a16:creationId xmlns:a16="http://schemas.microsoft.com/office/drawing/2014/main" id="{15C0D9CB-0ADC-46BF-88CE-0732C1AF20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1" name="AutoShape 1" descr="Vista previa de toda la pantalla">
          <a:extLst>
            <a:ext uri="{FF2B5EF4-FFF2-40B4-BE49-F238E27FC236}">
              <a16:creationId xmlns:a16="http://schemas.microsoft.com/office/drawing/2014/main" id="{36B1D75D-616A-421B-AFFB-B42E647007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2" name="AutoShape 1" descr="Vista previa de toda la pantalla">
          <a:extLst>
            <a:ext uri="{FF2B5EF4-FFF2-40B4-BE49-F238E27FC236}">
              <a16:creationId xmlns:a16="http://schemas.microsoft.com/office/drawing/2014/main" id="{19D193DB-5260-42DC-B6A8-9DD4208A44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3" name="AutoShape 1" descr="Vista previa de toda la pantalla">
          <a:extLst>
            <a:ext uri="{FF2B5EF4-FFF2-40B4-BE49-F238E27FC236}">
              <a16:creationId xmlns:a16="http://schemas.microsoft.com/office/drawing/2014/main" id="{6C12720A-93F1-4371-A9AE-3663400F97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4" name="AutoShape 1" descr="Vista previa de toda la pantalla">
          <a:extLst>
            <a:ext uri="{FF2B5EF4-FFF2-40B4-BE49-F238E27FC236}">
              <a16:creationId xmlns:a16="http://schemas.microsoft.com/office/drawing/2014/main" id="{A750C8A0-D256-4EDC-B247-75833C5440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5" name="AutoShape 1" descr="Vista previa de toda la pantalla">
          <a:extLst>
            <a:ext uri="{FF2B5EF4-FFF2-40B4-BE49-F238E27FC236}">
              <a16:creationId xmlns:a16="http://schemas.microsoft.com/office/drawing/2014/main" id="{0A80951C-5E8B-4128-90E3-AE9E353634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6" name="AutoShape 1" descr="Vista previa de toda la pantalla">
          <a:extLst>
            <a:ext uri="{FF2B5EF4-FFF2-40B4-BE49-F238E27FC236}">
              <a16:creationId xmlns:a16="http://schemas.microsoft.com/office/drawing/2014/main" id="{F3CB6A3D-921D-4531-A376-0D1DE265B4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7" name="AutoShape 1" descr="Vista previa de toda la pantalla">
          <a:extLst>
            <a:ext uri="{FF2B5EF4-FFF2-40B4-BE49-F238E27FC236}">
              <a16:creationId xmlns:a16="http://schemas.microsoft.com/office/drawing/2014/main" id="{FF6560FA-7B3C-43E4-8F6B-7DBEEADF93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8" name="AutoShape 1" descr="Vista previa de toda la pantalla">
          <a:extLst>
            <a:ext uri="{FF2B5EF4-FFF2-40B4-BE49-F238E27FC236}">
              <a16:creationId xmlns:a16="http://schemas.microsoft.com/office/drawing/2014/main" id="{84791B71-3D2A-4FAF-879A-758196F50E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39" name="AutoShape 1" descr="Vista previa de toda la pantalla">
          <a:extLst>
            <a:ext uri="{FF2B5EF4-FFF2-40B4-BE49-F238E27FC236}">
              <a16:creationId xmlns:a16="http://schemas.microsoft.com/office/drawing/2014/main" id="{3AF4F4F3-355C-483C-A44C-79750A0F41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0" name="AutoShape 1" descr="Vista previa de toda la pantalla">
          <a:extLst>
            <a:ext uri="{FF2B5EF4-FFF2-40B4-BE49-F238E27FC236}">
              <a16:creationId xmlns:a16="http://schemas.microsoft.com/office/drawing/2014/main" id="{F4E5712C-C694-4356-911A-7D6F12122D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1" name="AutoShape 1" descr="Vista previa de toda la pantalla">
          <a:extLst>
            <a:ext uri="{FF2B5EF4-FFF2-40B4-BE49-F238E27FC236}">
              <a16:creationId xmlns:a16="http://schemas.microsoft.com/office/drawing/2014/main" id="{A5ADE5E8-D5C2-4F96-879E-114233C69F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2" name="AutoShape 1" descr="Vista previa de toda la pantalla">
          <a:extLst>
            <a:ext uri="{FF2B5EF4-FFF2-40B4-BE49-F238E27FC236}">
              <a16:creationId xmlns:a16="http://schemas.microsoft.com/office/drawing/2014/main" id="{081DB944-CBDB-4460-AD73-F612C8A0A8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3" name="AutoShape 1" descr="Vista previa de toda la pantalla">
          <a:extLst>
            <a:ext uri="{FF2B5EF4-FFF2-40B4-BE49-F238E27FC236}">
              <a16:creationId xmlns:a16="http://schemas.microsoft.com/office/drawing/2014/main" id="{C82FB38D-B393-4414-87F2-2AF5DBD674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4" name="AutoShape 1" descr="Vista previa de toda la pantalla">
          <a:extLst>
            <a:ext uri="{FF2B5EF4-FFF2-40B4-BE49-F238E27FC236}">
              <a16:creationId xmlns:a16="http://schemas.microsoft.com/office/drawing/2014/main" id="{B4A568A7-BEAA-47BB-B724-72664F4539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5" name="AutoShape 1" descr="Vista previa de toda la pantalla">
          <a:extLst>
            <a:ext uri="{FF2B5EF4-FFF2-40B4-BE49-F238E27FC236}">
              <a16:creationId xmlns:a16="http://schemas.microsoft.com/office/drawing/2014/main" id="{22BA382A-AEFC-4DA4-A9CC-7C75F2FD0F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6" name="AutoShape 1" descr="Vista previa de toda la pantalla">
          <a:extLst>
            <a:ext uri="{FF2B5EF4-FFF2-40B4-BE49-F238E27FC236}">
              <a16:creationId xmlns:a16="http://schemas.microsoft.com/office/drawing/2014/main" id="{88646724-6DB7-4229-9EEB-855ABFAB72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7" name="AutoShape 1" descr="Vista previa de toda la pantalla">
          <a:extLst>
            <a:ext uri="{FF2B5EF4-FFF2-40B4-BE49-F238E27FC236}">
              <a16:creationId xmlns:a16="http://schemas.microsoft.com/office/drawing/2014/main" id="{F095F8B1-18C6-4536-BFDC-8029DBF059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8" name="AutoShape 1" descr="Vista previa de toda la pantalla">
          <a:extLst>
            <a:ext uri="{FF2B5EF4-FFF2-40B4-BE49-F238E27FC236}">
              <a16:creationId xmlns:a16="http://schemas.microsoft.com/office/drawing/2014/main" id="{CE26F155-F548-4609-8232-0590E681EB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49" name="AutoShape 1" descr="Vista previa de toda la pantalla">
          <a:extLst>
            <a:ext uri="{FF2B5EF4-FFF2-40B4-BE49-F238E27FC236}">
              <a16:creationId xmlns:a16="http://schemas.microsoft.com/office/drawing/2014/main" id="{54C9FCD9-4226-4ABB-A68D-EEB0884218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0" name="AutoShape 1" descr="Vista previa de toda la pantalla">
          <a:extLst>
            <a:ext uri="{FF2B5EF4-FFF2-40B4-BE49-F238E27FC236}">
              <a16:creationId xmlns:a16="http://schemas.microsoft.com/office/drawing/2014/main" id="{0CB0ADF2-AAA0-41C2-B66F-C564FF1100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1" name="AutoShape 1" descr="Vista previa de toda la pantalla">
          <a:extLst>
            <a:ext uri="{FF2B5EF4-FFF2-40B4-BE49-F238E27FC236}">
              <a16:creationId xmlns:a16="http://schemas.microsoft.com/office/drawing/2014/main" id="{50A6C6D8-7BB7-430A-99FC-5CF37DC375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2" name="AutoShape 1" descr="Vista previa de toda la pantalla">
          <a:extLst>
            <a:ext uri="{FF2B5EF4-FFF2-40B4-BE49-F238E27FC236}">
              <a16:creationId xmlns:a16="http://schemas.microsoft.com/office/drawing/2014/main" id="{D789FA6A-78D1-423C-8003-FF2EC5AB50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3" name="AutoShape 1" descr="Vista previa de toda la pantalla">
          <a:extLst>
            <a:ext uri="{FF2B5EF4-FFF2-40B4-BE49-F238E27FC236}">
              <a16:creationId xmlns:a16="http://schemas.microsoft.com/office/drawing/2014/main" id="{15F1579B-B57B-4F70-8DF4-B7F251230A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4" name="AutoShape 1" descr="Vista previa de toda la pantalla">
          <a:extLst>
            <a:ext uri="{FF2B5EF4-FFF2-40B4-BE49-F238E27FC236}">
              <a16:creationId xmlns:a16="http://schemas.microsoft.com/office/drawing/2014/main" id="{04A6D23B-D60F-40AD-8A51-6464A4133C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5" name="AutoShape 1" descr="Vista previa de toda la pantalla">
          <a:extLst>
            <a:ext uri="{FF2B5EF4-FFF2-40B4-BE49-F238E27FC236}">
              <a16:creationId xmlns:a16="http://schemas.microsoft.com/office/drawing/2014/main" id="{BF7A5019-9AF2-45D5-9920-9D26734BEB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6" name="AutoShape 1" descr="Vista previa de toda la pantalla">
          <a:extLst>
            <a:ext uri="{FF2B5EF4-FFF2-40B4-BE49-F238E27FC236}">
              <a16:creationId xmlns:a16="http://schemas.microsoft.com/office/drawing/2014/main" id="{920E98EF-5550-454A-AFC4-C0CD90A785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7" name="AutoShape 1" descr="Vista previa de toda la pantalla">
          <a:extLst>
            <a:ext uri="{FF2B5EF4-FFF2-40B4-BE49-F238E27FC236}">
              <a16:creationId xmlns:a16="http://schemas.microsoft.com/office/drawing/2014/main" id="{1B0CB099-6C10-4660-9DA9-EBB31E188C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8" name="AutoShape 1" descr="Vista previa de toda la pantalla">
          <a:extLst>
            <a:ext uri="{FF2B5EF4-FFF2-40B4-BE49-F238E27FC236}">
              <a16:creationId xmlns:a16="http://schemas.microsoft.com/office/drawing/2014/main" id="{4E02A683-B34B-4164-9E13-60F9B39060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59" name="AutoShape 1" descr="Vista previa de toda la pantalla">
          <a:extLst>
            <a:ext uri="{FF2B5EF4-FFF2-40B4-BE49-F238E27FC236}">
              <a16:creationId xmlns:a16="http://schemas.microsoft.com/office/drawing/2014/main" id="{BB7A56D4-593F-491F-93BA-F0D7F119E8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0" name="AutoShape 1" descr="Vista previa de toda la pantalla">
          <a:extLst>
            <a:ext uri="{FF2B5EF4-FFF2-40B4-BE49-F238E27FC236}">
              <a16:creationId xmlns:a16="http://schemas.microsoft.com/office/drawing/2014/main" id="{DC0DB806-3AE1-4E3D-8F69-1E9E49F83E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1" name="AutoShape 1" descr="Vista previa de toda la pantalla">
          <a:extLst>
            <a:ext uri="{FF2B5EF4-FFF2-40B4-BE49-F238E27FC236}">
              <a16:creationId xmlns:a16="http://schemas.microsoft.com/office/drawing/2014/main" id="{5F9F5F5F-7AC8-43F7-9973-BC451C82CF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2" name="AutoShape 1" descr="Vista previa de toda la pantalla">
          <a:extLst>
            <a:ext uri="{FF2B5EF4-FFF2-40B4-BE49-F238E27FC236}">
              <a16:creationId xmlns:a16="http://schemas.microsoft.com/office/drawing/2014/main" id="{4E98E8F0-55DE-4968-8A2C-14E9BA8318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3" name="AutoShape 1" descr="Vista previa de toda la pantalla">
          <a:extLst>
            <a:ext uri="{FF2B5EF4-FFF2-40B4-BE49-F238E27FC236}">
              <a16:creationId xmlns:a16="http://schemas.microsoft.com/office/drawing/2014/main" id="{3CA6C5DC-9E30-4582-A92B-3FFEDCAE7E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4" name="AutoShape 1" descr="Vista previa de toda la pantalla">
          <a:extLst>
            <a:ext uri="{FF2B5EF4-FFF2-40B4-BE49-F238E27FC236}">
              <a16:creationId xmlns:a16="http://schemas.microsoft.com/office/drawing/2014/main" id="{234E73A3-8ADC-48BF-91BC-22282D5242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5" name="AutoShape 1" descr="Vista previa de toda la pantalla">
          <a:extLst>
            <a:ext uri="{FF2B5EF4-FFF2-40B4-BE49-F238E27FC236}">
              <a16:creationId xmlns:a16="http://schemas.microsoft.com/office/drawing/2014/main" id="{8A7FE236-7217-454C-98E0-7550996325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6" name="AutoShape 1" descr="Vista previa de toda la pantalla">
          <a:extLst>
            <a:ext uri="{FF2B5EF4-FFF2-40B4-BE49-F238E27FC236}">
              <a16:creationId xmlns:a16="http://schemas.microsoft.com/office/drawing/2014/main" id="{BEB6DF99-FE60-4117-937D-86135C1DD1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7" name="AutoShape 1" descr="Vista previa de toda la pantalla">
          <a:extLst>
            <a:ext uri="{FF2B5EF4-FFF2-40B4-BE49-F238E27FC236}">
              <a16:creationId xmlns:a16="http://schemas.microsoft.com/office/drawing/2014/main" id="{597F9D58-369B-4875-AFDD-DF250E5E02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8" name="AutoShape 1" descr="Vista previa de toda la pantalla">
          <a:extLst>
            <a:ext uri="{FF2B5EF4-FFF2-40B4-BE49-F238E27FC236}">
              <a16:creationId xmlns:a16="http://schemas.microsoft.com/office/drawing/2014/main" id="{02C8209A-0E55-499A-9654-3FAD029440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69" name="AutoShape 1" descr="Vista previa de toda la pantalla">
          <a:extLst>
            <a:ext uri="{FF2B5EF4-FFF2-40B4-BE49-F238E27FC236}">
              <a16:creationId xmlns:a16="http://schemas.microsoft.com/office/drawing/2014/main" id="{72E75F65-1E31-4F3D-88B9-3233529A55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0" name="AutoShape 1" descr="Vista previa de toda la pantalla">
          <a:extLst>
            <a:ext uri="{FF2B5EF4-FFF2-40B4-BE49-F238E27FC236}">
              <a16:creationId xmlns:a16="http://schemas.microsoft.com/office/drawing/2014/main" id="{B0EADAE1-BDF1-458A-91C2-6D52EFEA26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1" name="AutoShape 1" descr="Vista previa de toda la pantalla">
          <a:extLst>
            <a:ext uri="{FF2B5EF4-FFF2-40B4-BE49-F238E27FC236}">
              <a16:creationId xmlns:a16="http://schemas.microsoft.com/office/drawing/2014/main" id="{622E977F-4ACF-49C1-B6D3-9106F72780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2" name="AutoShape 1" descr="Vista previa de toda la pantalla">
          <a:extLst>
            <a:ext uri="{FF2B5EF4-FFF2-40B4-BE49-F238E27FC236}">
              <a16:creationId xmlns:a16="http://schemas.microsoft.com/office/drawing/2014/main" id="{44E67319-84C8-46F0-A368-D959385868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3" name="AutoShape 1" descr="Vista previa de toda la pantalla">
          <a:extLst>
            <a:ext uri="{FF2B5EF4-FFF2-40B4-BE49-F238E27FC236}">
              <a16:creationId xmlns:a16="http://schemas.microsoft.com/office/drawing/2014/main" id="{C699EAE8-4C9E-4856-80B1-22A2780D36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4" name="AutoShape 1" descr="Vista previa de toda la pantalla">
          <a:extLst>
            <a:ext uri="{FF2B5EF4-FFF2-40B4-BE49-F238E27FC236}">
              <a16:creationId xmlns:a16="http://schemas.microsoft.com/office/drawing/2014/main" id="{2180C5AD-8316-4E6A-9CD0-E56C80F2C4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5" name="AutoShape 1" descr="Vista previa de toda la pantalla">
          <a:extLst>
            <a:ext uri="{FF2B5EF4-FFF2-40B4-BE49-F238E27FC236}">
              <a16:creationId xmlns:a16="http://schemas.microsoft.com/office/drawing/2014/main" id="{CD63181F-1C37-4591-8932-E096655D4D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6" name="AutoShape 1" descr="Vista previa de toda la pantalla">
          <a:extLst>
            <a:ext uri="{FF2B5EF4-FFF2-40B4-BE49-F238E27FC236}">
              <a16:creationId xmlns:a16="http://schemas.microsoft.com/office/drawing/2014/main" id="{E3E0000D-1164-4B90-9656-780793C40A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7" name="AutoShape 1" descr="Vista previa de toda la pantalla">
          <a:extLst>
            <a:ext uri="{FF2B5EF4-FFF2-40B4-BE49-F238E27FC236}">
              <a16:creationId xmlns:a16="http://schemas.microsoft.com/office/drawing/2014/main" id="{A63633E6-6EF2-4F6E-AE66-C1F2F3414F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8" name="AutoShape 1" descr="Vista previa de toda la pantalla">
          <a:extLst>
            <a:ext uri="{FF2B5EF4-FFF2-40B4-BE49-F238E27FC236}">
              <a16:creationId xmlns:a16="http://schemas.microsoft.com/office/drawing/2014/main" id="{362CC214-455E-4FFD-9282-D63652D435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79" name="AutoShape 1" descr="Vista previa de toda la pantalla">
          <a:extLst>
            <a:ext uri="{FF2B5EF4-FFF2-40B4-BE49-F238E27FC236}">
              <a16:creationId xmlns:a16="http://schemas.microsoft.com/office/drawing/2014/main" id="{9DAB9D02-7E8D-4A92-9FB3-61D74471E4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0" name="AutoShape 1" descr="Vista previa de toda la pantalla">
          <a:extLst>
            <a:ext uri="{FF2B5EF4-FFF2-40B4-BE49-F238E27FC236}">
              <a16:creationId xmlns:a16="http://schemas.microsoft.com/office/drawing/2014/main" id="{E74F6D7D-01CB-4FCF-9716-7069EBB5F7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1" name="AutoShape 1" descr="Vista previa de toda la pantalla">
          <a:extLst>
            <a:ext uri="{FF2B5EF4-FFF2-40B4-BE49-F238E27FC236}">
              <a16:creationId xmlns:a16="http://schemas.microsoft.com/office/drawing/2014/main" id="{B095A56F-C8E6-44F6-8D85-BA1A150A56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2" name="AutoShape 1" descr="Vista previa de toda la pantalla">
          <a:extLst>
            <a:ext uri="{FF2B5EF4-FFF2-40B4-BE49-F238E27FC236}">
              <a16:creationId xmlns:a16="http://schemas.microsoft.com/office/drawing/2014/main" id="{E0A1DB75-509E-4A17-8DF7-D55ACA03D3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3" name="AutoShape 1" descr="Vista previa de toda la pantalla">
          <a:extLst>
            <a:ext uri="{FF2B5EF4-FFF2-40B4-BE49-F238E27FC236}">
              <a16:creationId xmlns:a16="http://schemas.microsoft.com/office/drawing/2014/main" id="{74D153FE-BE37-4900-8FBF-7D7B339FFD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4" name="AutoShape 1" descr="Vista previa de toda la pantalla">
          <a:extLst>
            <a:ext uri="{FF2B5EF4-FFF2-40B4-BE49-F238E27FC236}">
              <a16:creationId xmlns:a16="http://schemas.microsoft.com/office/drawing/2014/main" id="{126A3E1B-9636-4E0F-AD8A-C1C875797E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5" name="AutoShape 1" descr="Vista previa de toda la pantalla">
          <a:extLst>
            <a:ext uri="{FF2B5EF4-FFF2-40B4-BE49-F238E27FC236}">
              <a16:creationId xmlns:a16="http://schemas.microsoft.com/office/drawing/2014/main" id="{B26CFCD6-5E4D-48A2-A47D-925F2C57C4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6" name="AutoShape 1" descr="Vista previa de toda la pantalla">
          <a:extLst>
            <a:ext uri="{FF2B5EF4-FFF2-40B4-BE49-F238E27FC236}">
              <a16:creationId xmlns:a16="http://schemas.microsoft.com/office/drawing/2014/main" id="{33DFA6AA-5901-435E-9CC0-0CC74063E4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7" name="AutoShape 1" descr="Vista previa de toda la pantalla">
          <a:extLst>
            <a:ext uri="{FF2B5EF4-FFF2-40B4-BE49-F238E27FC236}">
              <a16:creationId xmlns:a16="http://schemas.microsoft.com/office/drawing/2014/main" id="{66753150-7703-446D-A46A-6DC6BB4A37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8" name="AutoShape 1" descr="Vista previa de toda la pantalla">
          <a:extLst>
            <a:ext uri="{FF2B5EF4-FFF2-40B4-BE49-F238E27FC236}">
              <a16:creationId xmlns:a16="http://schemas.microsoft.com/office/drawing/2014/main" id="{75008C10-D0D8-403F-8980-11BC0CC582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89" name="AutoShape 1" descr="Vista previa de toda la pantalla">
          <a:extLst>
            <a:ext uri="{FF2B5EF4-FFF2-40B4-BE49-F238E27FC236}">
              <a16:creationId xmlns:a16="http://schemas.microsoft.com/office/drawing/2014/main" id="{CA62F813-11CB-45A9-B147-077813D197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0" name="AutoShape 1" descr="Vista previa de toda la pantalla">
          <a:extLst>
            <a:ext uri="{FF2B5EF4-FFF2-40B4-BE49-F238E27FC236}">
              <a16:creationId xmlns:a16="http://schemas.microsoft.com/office/drawing/2014/main" id="{206C8286-F2C0-4E0E-89F0-0FB87A8A60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1" name="AutoShape 1" descr="Vista previa de toda la pantalla">
          <a:extLst>
            <a:ext uri="{FF2B5EF4-FFF2-40B4-BE49-F238E27FC236}">
              <a16:creationId xmlns:a16="http://schemas.microsoft.com/office/drawing/2014/main" id="{D73318E4-BA11-4722-9EB6-01238FE981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2" name="AutoShape 1" descr="Vista previa de toda la pantalla">
          <a:extLst>
            <a:ext uri="{FF2B5EF4-FFF2-40B4-BE49-F238E27FC236}">
              <a16:creationId xmlns:a16="http://schemas.microsoft.com/office/drawing/2014/main" id="{6014E25D-0209-4580-916B-90A668F7ED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3" name="AutoShape 1" descr="Vista previa de toda la pantalla">
          <a:extLst>
            <a:ext uri="{FF2B5EF4-FFF2-40B4-BE49-F238E27FC236}">
              <a16:creationId xmlns:a16="http://schemas.microsoft.com/office/drawing/2014/main" id="{3FF5C728-0825-4FA2-B9BD-5D97E91DE3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4" name="AutoShape 1" descr="Vista previa de toda la pantalla">
          <a:extLst>
            <a:ext uri="{FF2B5EF4-FFF2-40B4-BE49-F238E27FC236}">
              <a16:creationId xmlns:a16="http://schemas.microsoft.com/office/drawing/2014/main" id="{1FC56E86-369C-4628-8EF5-0F241B5F5F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5" name="AutoShape 1" descr="Vista previa de toda la pantalla">
          <a:extLst>
            <a:ext uri="{FF2B5EF4-FFF2-40B4-BE49-F238E27FC236}">
              <a16:creationId xmlns:a16="http://schemas.microsoft.com/office/drawing/2014/main" id="{A494FA4D-5BE6-4449-9F67-F8770BC8B4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6" name="AutoShape 1" descr="Vista previa de toda la pantalla">
          <a:extLst>
            <a:ext uri="{FF2B5EF4-FFF2-40B4-BE49-F238E27FC236}">
              <a16:creationId xmlns:a16="http://schemas.microsoft.com/office/drawing/2014/main" id="{7F396C2B-5008-497B-AEFE-6C7A143FFB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7" name="AutoShape 1" descr="Vista previa de toda la pantalla">
          <a:extLst>
            <a:ext uri="{FF2B5EF4-FFF2-40B4-BE49-F238E27FC236}">
              <a16:creationId xmlns:a16="http://schemas.microsoft.com/office/drawing/2014/main" id="{EFA56CC4-9FD6-4DF9-94B0-5E92A82E86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8" name="AutoShape 1" descr="Vista previa de toda la pantalla">
          <a:extLst>
            <a:ext uri="{FF2B5EF4-FFF2-40B4-BE49-F238E27FC236}">
              <a16:creationId xmlns:a16="http://schemas.microsoft.com/office/drawing/2014/main" id="{FAE2BFA6-8994-4665-93A9-965BFEEE81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299" name="AutoShape 1" descr="Vista previa de toda la pantalla">
          <a:extLst>
            <a:ext uri="{FF2B5EF4-FFF2-40B4-BE49-F238E27FC236}">
              <a16:creationId xmlns:a16="http://schemas.microsoft.com/office/drawing/2014/main" id="{35530449-6EAA-4584-9D95-018D2217E1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0" name="AutoShape 1" descr="Vista previa de toda la pantalla">
          <a:extLst>
            <a:ext uri="{FF2B5EF4-FFF2-40B4-BE49-F238E27FC236}">
              <a16:creationId xmlns:a16="http://schemas.microsoft.com/office/drawing/2014/main" id="{E1CD7E69-1481-45D7-BA8A-380C94B018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1" name="AutoShape 1" descr="Vista previa de toda la pantalla">
          <a:extLst>
            <a:ext uri="{FF2B5EF4-FFF2-40B4-BE49-F238E27FC236}">
              <a16:creationId xmlns:a16="http://schemas.microsoft.com/office/drawing/2014/main" id="{0F846534-7436-4BE3-9EF8-D71A1B5C01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2" name="AutoShape 1" descr="Vista previa de toda la pantalla">
          <a:extLst>
            <a:ext uri="{FF2B5EF4-FFF2-40B4-BE49-F238E27FC236}">
              <a16:creationId xmlns:a16="http://schemas.microsoft.com/office/drawing/2014/main" id="{AEFD72F1-E2A3-46F9-A041-F70C2A766A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3" name="AutoShape 1" descr="Vista previa de toda la pantalla">
          <a:extLst>
            <a:ext uri="{FF2B5EF4-FFF2-40B4-BE49-F238E27FC236}">
              <a16:creationId xmlns:a16="http://schemas.microsoft.com/office/drawing/2014/main" id="{88F76BCB-AC2A-4D49-832D-05C242D9AC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4" name="AutoShape 1" descr="Vista previa de toda la pantalla">
          <a:extLst>
            <a:ext uri="{FF2B5EF4-FFF2-40B4-BE49-F238E27FC236}">
              <a16:creationId xmlns:a16="http://schemas.microsoft.com/office/drawing/2014/main" id="{9C83FD2F-115A-42CA-9DBF-DB18690C5F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5" name="AutoShape 1" descr="Vista previa de toda la pantalla">
          <a:extLst>
            <a:ext uri="{FF2B5EF4-FFF2-40B4-BE49-F238E27FC236}">
              <a16:creationId xmlns:a16="http://schemas.microsoft.com/office/drawing/2014/main" id="{AD98DF61-477B-478D-BF7E-FA2CE512FB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6" name="AutoShape 1" descr="Vista previa de toda la pantalla">
          <a:extLst>
            <a:ext uri="{FF2B5EF4-FFF2-40B4-BE49-F238E27FC236}">
              <a16:creationId xmlns:a16="http://schemas.microsoft.com/office/drawing/2014/main" id="{486DF0AD-AB0D-4F31-83F0-027B6861A4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7" name="AutoShape 1" descr="Vista previa de toda la pantalla">
          <a:extLst>
            <a:ext uri="{FF2B5EF4-FFF2-40B4-BE49-F238E27FC236}">
              <a16:creationId xmlns:a16="http://schemas.microsoft.com/office/drawing/2014/main" id="{82AB5533-F2F3-4B7B-97EA-0263DD5464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8" name="AutoShape 1" descr="Vista previa de toda la pantalla">
          <a:extLst>
            <a:ext uri="{FF2B5EF4-FFF2-40B4-BE49-F238E27FC236}">
              <a16:creationId xmlns:a16="http://schemas.microsoft.com/office/drawing/2014/main" id="{1C348AB2-27C5-47DE-9321-A8BE3A9F43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09" name="AutoShape 1" descr="Vista previa de toda la pantalla">
          <a:extLst>
            <a:ext uri="{FF2B5EF4-FFF2-40B4-BE49-F238E27FC236}">
              <a16:creationId xmlns:a16="http://schemas.microsoft.com/office/drawing/2014/main" id="{1F49E304-8EFF-44A6-B300-8E3F90AAEB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0" name="AutoShape 1" descr="Vista previa de toda la pantalla">
          <a:extLst>
            <a:ext uri="{FF2B5EF4-FFF2-40B4-BE49-F238E27FC236}">
              <a16:creationId xmlns:a16="http://schemas.microsoft.com/office/drawing/2014/main" id="{6BF30696-8CC9-4E96-B175-989D90372F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1" name="AutoShape 1" descr="Vista previa de toda la pantalla">
          <a:extLst>
            <a:ext uri="{FF2B5EF4-FFF2-40B4-BE49-F238E27FC236}">
              <a16:creationId xmlns:a16="http://schemas.microsoft.com/office/drawing/2014/main" id="{5ABD1D1D-7A44-419C-A6AA-AEF99E39BE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2" name="AutoShape 1" descr="Vista previa de toda la pantalla">
          <a:extLst>
            <a:ext uri="{FF2B5EF4-FFF2-40B4-BE49-F238E27FC236}">
              <a16:creationId xmlns:a16="http://schemas.microsoft.com/office/drawing/2014/main" id="{584F17FF-AB68-43B6-AD39-CC1092FD61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3" name="AutoShape 1" descr="Vista previa de toda la pantalla">
          <a:extLst>
            <a:ext uri="{FF2B5EF4-FFF2-40B4-BE49-F238E27FC236}">
              <a16:creationId xmlns:a16="http://schemas.microsoft.com/office/drawing/2014/main" id="{01A4CB36-4D08-464C-B2C2-A3D30A7805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4" name="AutoShape 1" descr="Vista previa de toda la pantalla">
          <a:extLst>
            <a:ext uri="{FF2B5EF4-FFF2-40B4-BE49-F238E27FC236}">
              <a16:creationId xmlns:a16="http://schemas.microsoft.com/office/drawing/2014/main" id="{22379CB2-85ED-4EC9-B074-645A0880B6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5" name="AutoShape 1" descr="Vista previa de toda la pantalla">
          <a:extLst>
            <a:ext uri="{FF2B5EF4-FFF2-40B4-BE49-F238E27FC236}">
              <a16:creationId xmlns:a16="http://schemas.microsoft.com/office/drawing/2014/main" id="{9AC22B3C-7755-4F1B-8C2A-03F72C7B02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6" name="AutoShape 1" descr="Vista previa de toda la pantalla">
          <a:extLst>
            <a:ext uri="{FF2B5EF4-FFF2-40B4-BE49-F238E27FC236}">
              <a16:creationId xmlns:a16="http://schemas.microsoft.com/office/drawing/2014/main" id="{97E55F70-957F-4744-A3D2-9A4542FA38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7" name="AutoShape 1" descr="Vista previa de toda la pantalla">
          <a:extLst>
            <a:ext uri="{FF2B5EF4-FFF2-40B4-BE49-F238E27FC236}">
              <a16:creationId xmlns:a16="http://schemas.microsoft.com/office/drawing/2014/main" id="{7FB8513B-63EC-45ED-816E-200F07D808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8" name="AutoShape 1" descr="Vista previa de toda la pantalla">
          <a:extLst>
            <a:ext uri="{FF2B5EF4-FFF2-40B4-BE49-F238E27FC236}">
              <a16:creationId xmlns:a16="http://schemas.microsoft.com/office/drawing/2014/main" id="{6588750A-94D3-49F8-BD42-A039E00A6D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19" name="AutoShape 1" descr="Vista previa de toda la pantalla">
          <a:extLst>
            <a:ext uri="{FF2B5EF4-FFF2-40B4-BE49-F238E27FC236}">
              <a16:creationId xmlns:a16="http://schemas.microsoft.com/office/drawing/2014/main" id="{AA8A7485-F552-448F-A90E-463947FCD9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0" name="AutoShape 1" descr="Vista previa de toda la pantalla">
          <a:extLst>
            <a:ext uri="{FF2B5EF4-FFF2-40B4-BE49-F238E27FC236}">
              <a16:creationId xmlns:a16="http://schemas.microsoft.com/office/drawing/2014/main" id="{3781AE2D-C3FF-4119-8267-1734108D39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1" name="AutoShape 1" descr="Vista previa de toda la pantalla">
          <a:extLst>
            <a:ext uri="{FF2B5EF4-FFF2-40B4-BE49-F238E27FC236}">
              <a16:creationId xmlns:a16="http://schemas.microsoft.com/office/drawing/2014/main" id="{17E43101-E3D7-406A-A0A8-6FD8A2E358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2" name="AutoShape 1" descr="Vista previa de toda la pantalla">
          <a:extLst>
            <a:ext uri="{FF2B5EF4-FFF2-40B4-BE49-F238E27FC236}">
              <a16:creationId xmlns:a16="http://schemas.microsoft.com/office/drawing/2014/main" id="{5BEA7E98-59B5-4B7C-AA72-5942084892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3" name="AutoShape 1" descr="Vista previa de toda la pantalla">
          <a:extLst>
            <a:ext uri="{FF2B5EF4-FFF2-40B4-BE49-F238E27FC236}">
              <a16:creationId xmlns:a16="http://schemas.microsoft.com/office/drawing/2014/main" id="{0B7C280D-3181-4A61-85A9-3E52378B59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4" name="AutoShape 1" descr="Vista previa de toda la pantalla">
          <a:extLst>
            <a:ext uri="{FF2B5EF4-FFF2-40B4-BE49-F238E27FC236}">
              <a16:creationId xmlns:a16="http://schemas.microsoft.com/office/drawing/2014/main" id="{74434BA3-D45F-4224-AE96-F9A3E0CA28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5" name="AutoShape 1" descr="Vista previa de toda la pantalla">
          <a:extLst>
            <a:ext uri="{FF2B5EF4-FFF2-40B4-BE49-F238E27FC236}">
              <a16:creationId xmlns:a16="http://schemas.microsoft.com/office/drawing/2014/main" id="{1CD82E0B-BE06-4031-B8EB-534F53CAB3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6" name="AutoShape 1" descr="Vista previa de toda la pantalla">
          <a:extLst>
            <a:ext uri="{FF2B5EF4-FFF2-40B4-BE49-F238E27FC236}">
              <a16:creationId xmlns:a16="http://schemas.microsoft.com/office/drawing/2014/main" id="{044F0040-708E-4EE0-8A04-70BBB48181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7" name="AutoShape 1" descr="Vista previa de toda la pantalla">
          <a:extLst>
            <a:ext uri="{FF2B5EF4-FFF2-40B4-BE49-F238E27FC236}">
              <a16:creationId xmlns:a16="http://schemas.microsoft.com/office/drawing/2014/main" id="{806386F7-3143-417F-9B8B-6079394FFD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8" name="AutoShape 1" descr="Vista previa de toda la pantalla">
          <a:extLst>
            <a:ext uri="{FF2B5EF4-FFF2-40B4-BE49-F238E27FC236}">
              <a16:creationId xmlns:a16="http://schemas.microsoft.com/office/drawing/2014/main" id="{E1EB4BB9-1FD2-4A87-93B4-712208B7AE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29" name="AutoShape 1" descr="Vista previa de toda la pantalla">
          <a:extLst>
            <a:ext uri="{FF2B5EF4-FFF2-40B4-BE49-F238E27FC236}">
              <a16:creationId xmlns:a16="http://schemas.microsoft.com/office/drawing/2014/main" id="{ADE2BF6D-562F-4941-8A1E-ED7E61D83F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0" name="AutoShape 1" descr="Vista previa de toda la pantalla">
          <a:extLst>
            <a:ext uri="{FF2B5EF4-FFF2-40B4-BE49-F238E27FC236}">
              <a16:creationId xmlns:a16="http://schemas.microsoft.com/office/drawing/2014/main" id="{1A9CD1D8-5414-46D9-BD9E-8D9909115A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1" name="AutoShape 1" descr="Vista previa de toda la pantalla">
          <a:extLst>
            <a:ext uri="{FF2B5EF4-FFF2-40B4-BE49-F238E27FC236}">
              <a16:creationId xmlns:a16="http://schemas.microsoft.com/office/drawing/2014/main" id="{A3265973-3F57-4043-9CC6-B7F8F671ED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2" name="AutoShape 1" descr="Vista previa de toda la pantalla">
          <a:extLst>
            <a:ext uri="{FF2B5EF4-FFF2-40B4-BE49-F238E27FC236}">
              <a16:creationId xmlns:a16="http://schemas.microsoft.com/office/drawing/2014/main" id="{6FCE23F0-728E-45A4-ABA9-ED5B201BC1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3" name="AutoShape 1" descr="Vista previa de toda la pantalla">
          <a:extLst>
            <a:ext uri="{FF2B5EF4-FFF2-40B4-BE49-F238E27FC236}">
              <a16:creationId xmlns:a16="http://schemas.microsoft.com/office/drawing/2014/main" id="{F8A37DC4-F0E3-40BB-81F8-CFCBADC5C3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4" name="AutoShape 1" descr="Vista previa de toda la pantalla">
          <a:extLst>
            <a:ext uri="{FF2B5EF4-FFF2-40B4-BE49-F238E27FC236}">
              <a16:creationId xmlns:a16="http://schemas.microsoft.com/office/drawing/2014/main" id="{65E42E9C-D18A-4908-A471-19BB901F6F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5" name="AutoShape 1" descr="Vista previa de toda la pantalla">
          <a:extLst>
            <a:ext uri="{FF2B5EF4-FFF2-40B4-BE49-F238E27FC236}">
              <a16:creationId xmlns:a16="http://schemas.microsoft.com/office/drawing/2014/main" id="{8EA84186-3463-455A-B27D-6CD50339F5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6" name="AutoShape 1" descr="Vista previa de toda la pantalla">
          <a:extLst>
            <a:ext uri="{FF2B5EF4-FFF2-40B4-BE49-F238E27FC236}">
              <a16:creationId xmlns:a16="http://schemas.microsoft.com/office/drawing/2014/main" id="{91086B00-5C90-4A1F-B97D-B903751AB7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7" name="AutoShape 1" descr="Vista previa de toda la pantalla">
          <a:extLst>
            <a:ext uri="{FF2B5EF4-FFF2-40B4-BE49-F238E27FC236}">
              <a16:creationId xmlns:a16="http://schemas.microsoft.com/office/drawing/2014/main" id="{E0D4F731-1C99-4DA3-93B2-FEB28E4F09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8" name="AutoShape 1" descr="Vista previa de toda la pantalla">
          <a:extLst>
            <a:ext uri="{FF2B5EF4-FFF2-40B4-BE49-F238E27FC236}">
              <a16:creationId xmlns:a16="http://schemas.microsoft.com/office/drawing/2014/main" id="{3C38A232-87D5-42A1-987F-26533E827B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39" name="AutoShape 1" descr="Vista previa de toda la pantalla">
          <a:extLst>
            <a:ext uri="{FF2B5EF4-FFF2-40B4-BE49-F238E27FC236}">
              <a16:creationId xmlns:a16="http://schemas.microsoft.com/office/drawing/2014/main" id="{E557B875-350B-431C-84E7-E8E315CA70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0" name="AutoShape 1" descr="Vista previa de toda la pantalla">
          <a:extLst>
            <a:ext uri="{FF2B5EF4-FFF2-40B4-BE49-F238E27FC236}">
              <a16:creationId xmlns:a16="http://schemas.microsoft.com/office/drawing/2014/main" id="{EA23FE8D-7B07-4BA4-83B2-2A3E026E54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1" name="AutoShape 1" descr="Vista previa de toda la pantalla">
          <a:extLst>
            <a:ext uri="{FF2B5EF4-FFF2-40B4-BE49-F238E27FC236}">
              <a16:creationId xmlns:a16="http://schemas.microsoft.com/office/drawing/2014/main" id="{E96C722F-CE2F-4BD7-8873-6C4F399825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2" name="AutoShape 1" descr="Vista previa de toda la pantalla">
          <a:extLst>
            <a:ext uri="{FF2B5EF4-FFF2-40B4-BE49-F238E27FC236}">
              <a16:creationId xmlns:a16="http://schemas.microsoft.com/office/drawing/2014/main" id="{14E2D398-C414-49A8-AA52-2D88843195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3" name="AutoShape 1" descr="Vista previa de toda la pantalla">
          <a:extLst>
            <a:ext uri="{FF2B5EF4-FFF2-40B4-BE49-F238E27FC236}">
              <a16:creationId xmlns:a16="http://schemas.microsoft.com/office/drawing/2014/main" id="{DE76632C-F29A-4ECF-9AF1-20D6FD9BD3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4" name="AutoShape 1" descr="Vista previa de toda la pantalla">
          <a:extLst>
            <a:ext uri="{FF2B5EF4-FFF2-40B4-BE49-F238E27FC236}">
              <a16:creationId xmlns:a16="http://schemas.microsoft.com/office/drawing/2014/main" id="{0D32AB5E-767B-450F-8BED-CF642848FC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5" name="AutoShape 1" descr="Vista previa de toda la pantalla">
          <a:extLst>
            <a:ext uri="{FF2B5EF4-FFF2-40B4-BE49-F238E27FC236}">
              <a16:creationId xmlns:a16="http://schemas.microsoft.com/office/drawing/2014/main" id="{EF0681DD-2ABF-44E6-B81F-0079EFA986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6" name="AutoShape 1" descr="Vista previa de toda la pantalla">
          <a:extLst>
            <a:ext uri="{FF2B5EF4-FFF2-40B4-BE49-F238E27FC236}">
              <a16:creationId xmlns:a16="http://schemas.microsoft.com/office/drawing/2014/main" id="{0C5968C4-F94B-4FD5-B52F-22624A60A7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7" name="AutoShape 1" descr="Vista previa de toda la pantalla">
          <a:extLst>
            <a:ext uri="{FF2B5EF4-FFF2-40B4-BE49-F238E27FC236}">
              <a16:creationId xmlns:a16="http://schemas.microsoft.com/office/drawing/2014/main" id="{0261CA7F-7820-4FEF-9567-4B863AC8FA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8" name="AutoShape 1" descr="Vista previa de toda la pantalla">
          <a:extLst>
            <a:ext uri="{FF2B5EF4-FFF2-40B4-BE49-F238E27FC236}">
              <a16:creationId xmlns:a16="http://schemas.microsoft.com/office/drawing/2014/main" id="{EFFE24CF-9FC3-49FC-8D06-A82C160057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49" name="AutoShape 1" descr="Vista previa de toda la pantalla">
          <a:extLst>
            <a:ext uri="{FF2B5EF4-FFF2-40B4-BE49-F238E27FC236}">
              <a16:creationId xmlns:a16="http://schemas.microsoft.com/office/drawing/2014/main" id="{936FA603-10EC-4E32-984B-3153C3CD7D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0" name="AutoShape 1" descr="Vista previa de toda la pantalla">
          <a:extLst>
            <a:ext uri="{FF2B5EF4-FFF2-40B4-BE49-F238E27FC236}">
              <a16:creationId xmlns:a16="http://schemas.microsoft.com/office/drawing/2014/main" id="{5C5CF6C1-3D6A-4429-8552-5CAB817B22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1" name="AutoShape 1" descr="Vista previa de toda la pantalla">
          <a:extLst>
            <a:ext uri="{FF2B5EF4-FFF2-40B4-BE49-F238E27FC236}">
              <a16:creationId xmlns:a16="http://schemas.microsoft.com/office/drawing/2014/main" id="{BDAAEE57-9538-48B8-9DAF-B5005FC3D9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2" name="AutoShape 1" descr="Vista previa de toda la pantalla">
          <a:extLst>
            <a:ext uri="{FF2B5EF4-FFF2-40B4-BE49-F238E27FC236}">
              <a16:creationId xmlns:a16="http://schemas.microsoft.com/office/drawing/2014/main" id="{423ED9FC-043D-4F02-A37A-00C54F7E93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3" name="AutoShape 1" descr="Vista previa de toda la pantalla">
          <a:extLst>
            <a:ext uri="{FF2B5EF4-FFF2-40B4-BE49-F238E27FC236}">
              <a16:creationId xmlns:a16="http://schemas.microsoft.com/office/drawing/2014/main" id="{91621769-DD31-433B-B01D-CF142EC779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4" name="AutoShape 1" descr="Vista previa de toda la pantalla">
          <a:extLst>
            <a:ext uri="{FF2B5EF4-FFF2-40B4-BE49-F238E27FC236}">
              <a16:creationId xmlns:a16="http://schemas.microsoft.com/office/drawing/2014/main" id="{91113D04-D568-4480-9F14-04B51720F0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5" name="AutoShape 1" descr="Vista previa de toda la pantalla">
          <a:extLst>
            <a:ext uri="{FF2B5EF4-FFF2-40B4-BE49-F238E27FC236}">
              <a16:creationId xmlns:a16="http://schemas.microsoft.com/office/drawing/2014/main" id="{F1B4CF08-23E9-429F-9B08-8FD66122C5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6" name="AutoShape 1" descr="Vista previa de toda la pantalla">
          <a:extLst>
            <a:ext uri="{FF2B5EF4-FFF2-40B4-BE49-F238E27FC236}">
              <a16:creationId xmlns:a16="http://schemas.microsoft.com/office/drawing/2014/main" id="{CD641BE1-E60A-4BE6-BFF9-76FCC21CE2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7" name="AutoShape 1" descr="Vista previa de toda la pantalla">
          <a:extLst>
            <a:ext uri="{FF2B5EF4-FFF2-40B4-BE49-F238E27FC236}">
              <a16:creationId xmlns:a16="http://schemas.microsoft.com/office/drawing/2014/main" id="{788502AF-9A7C-4A4A-BD3F-D54FB3BD9C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8" name="AutoShape 1" descr="Vista previa de toda la pantalla">
          <a:extLst>
            <a:ext uri="{FF2B5EF4-FFF2-40B4-BE49-F238E27FC236}">
              <a16:creationId xmlns:a16="http://schemas.microsoft.com/office/drawing/2014/main" id="{B30E4F49-7C84-4E3B-AFB5-30063AB67A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59" name="AutoShape 1" descr="Vista previa de toda la pantalla">
          <a:extLst>
            <a:ext uri="{FF2B5EF4-FFF2-40B4-BE49-F238E27FC236}">
              <a16:creationId xmlns:a16="http://schemas.microsoft.com/office/drawing/2014/main" id="{B336398B-B20E-4DC1-967A-5E517A8D64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0" name="AutoShape 1" descr="Vista previa de toda la pantalla">
          <a:extLst>
            <a:ext uri="{FF2B5EF4-FFF2-40B4-BE49-F238E27FC236}">
              <a16:creationId xmlns:a16="http://schemas.microsoft.com/office/drawing/2014/main" id="{64EE806F-4D6D-481F-866A-F47BDC15EC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1" name="AutoShape 1" descr="Vista previa de toda la pantalla">
          <a:extLst>
            <a:ext uri="{FF2B5EF4-FFF2-40B4-BE49-F238E27FC236}">
              <a16:creationId xmlns:a16="http://schemas.microsoft.com/office/drawing/2014/main" id="{C412C6BA-293F-4069-B0B8-39D04BE615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2" name="AutoShape 1" descr="Vista previa de toda la pantalla">
          <a:extLst>
            <a:ext uri="{FF2B5EF4-FFF2-40B4-BE49-F238E27FC236}">
              <a16:creationId xmlns:a16="http://schemas.microsoft.com/office/drawing/2014/main" id="{BBF58EC5-50EB-4DCA-B189-AB0897DF29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3" name="AutoShape 1" descr="Vista previa de toda la pantalla">
          <a:extLst>
            <a:ext uri="{FF2B5EF4-FFF2-40B4-BE49-F238E27FC236}">
              <a16:creationId xmlns:a16="http://schemas.microsoft.com/office/drawing/2014/main" id="{9E4CB1B8-A84F-41E1-9533-C9080EE5AD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4" name="AutoShape 1" descr="Vista previa de toda la pantalla">
          <a:extLst>
            <a:ext uri="{FF2B5EF4-FFF2-40B4-BE49-F238E27FC236}">
              <a16:creationId xmlns:a16="http://schemas.microsoft.com/office/drawing/2014/main" id="{84BA3717-08E6-414E-B058-D0207299DE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5" name="AutoShape 1" descr="Vista previa de toda la pantalla">
          <a:extLst>
            <a:ext uri="{FF2B5EF4-FFF2-40B4-BE49-F238E27FC236}">
              <a16:creationId xmlns:a16="http://schemas.microsoft.com/office/drawing/2014/main" id="{71A7F29A-4FA8-4652-87DC-61C100C776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6" name="AutoShape 1" descr="Vista previa de toda la pantalla">
          <a:extLst>
            <a:ext uri="{FF2B5EF4-FFF2-40B4-BE49-F238E27FC236}">
              <a16:creationId xmlns:a16="http://schemas.microsoft.com/office/drawing/2014/main" id="{285E7B5C-8742-4BFD-8D79-AA9B6C2EE8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7" name="AutoShape 1" descr="Vista previa de toda la pantalla">
          <a:extLst>
            <a:ext uri="{FF2B5EF4-FFF2-40B4-BE49-F238E27FC236}">
              <a16:creationId xmlns:a16="http://schemas.microsoft.com/office/drawing/2014/main" id="{E31FD72B-2248-475A-A589-2246BFBBF8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8" name="AutoShape 1" descr="Vista previa de toda la pantalla">
          <a:extLst>
            <a:ext uri="{FF2B5EF4-FFF2-40B4-BE49-F238E27FC236}">
              <a16:creationId xmlns:a16="http://schemas.microsoft.com/office/drawing/2014/main" id="{FB1BA761-67A6-476C-B37E-D7D397D5CA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69" name="AutoShape 1" descr="Vista previa de toda la pantalla">
          <a:extLst>
            <a:ext uri="{FF2B5EF4-FFF2-40B4-BE49-F238E27FC236}">
              <a16:creationId xmlns:a16="http://schemas.microsoft.com/office/drawing/2014/main" id="{039D19E2-3BAD-491B-AA01-4183AB63D4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70" name="AutoShape 1" descr="Vista previa de toda la pantalla">
          <a:extLst>
            <a:ext uri="{FF2B5EF4-FFF2-40B4-BE49-F238E27FC236}">
              <a16:creationId xmlns:a16="http://schemas.microsoft.com/office/drawing/2014/main" id="{73D52561-E14A-4C8F-9AAF-624929FA0B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71" name="AutoShape 1" descr="Vista previa de toda la pantalla">
          <a:extLst>
            <a:ext uri="{FF2B5EF4-FFF2-40B4-BE49-F238E27FC236}">
              <a16:creationId xmlns:a16="http://schemas.microsoft.com/office/drawing/2014/main" id="{7E3FD30D-7257-4A13-A62E-0341D49253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501854</xdr:colOff>
      <xdr:row>0</xdr:row>
      <xdr:rowOff>174114</xdr:rowOff>
    </xdr:from>
    <xdr:ext cx="304800" cy="302602"/>
    <xdr:sp macro="" textlink="">
      <xdr:nvSpPr>
        <xdr:cNvPr id="4372" name="AutoShape 1" descr="Vista previa de toda la pantalla">
          <a:extLst>
            <a:ext uri="{FF2B5EF4-FFF2-40B4-BE49-F238E27FC236}">
              <a16:creationId xmlns:a16="http://schemas.microsoft.com/office/drawing/2014/main" id="{2A50A66C-3166-4337-9874-0F2EFED7B6ED}"/>
            </a:ext>
          </a:extLst>
        </xdr:cNvPr>
        <xdr:cNvSpPr>
          <a:spLocks noChangeAspect="1" noChangeArrowheads="1"/>
        </xdr:cNvSpPr>
      </xdr:nvSpPr>
      <xdr:spPr bwMode="auto">
        <a:xfrm>
          <a:off x="5454854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73" name="AutoShape 1" descr="Vista previa de toda la pantalla">
          <a:extLst>
            <a:ext uri="{FF2B5EF4-FFF2-40B4-BE49-F238E27FC236}">
              <a16:creationId xmlns:a16="http://schemas.microsoft.com/office/drawing/2014/main" id="{4F638CD1-9E1B-45BC-895A-DD27C1FD21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74" name="AutoShape 1" descr="Vista previa de toda la pantalla">
          <a:extLst>
            <a:ext uri="{FF2B5EF4-FFF2-40B4-BE49-F238E27FC236}">
              <a16:creationId xmlns:a16="http://schemas.microsoft.com/office/drawing/2014/main" id="{5AB0911E-6785-4E4D-863E-F7212C88AE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75" name="AutoShape 1" descr="Vista previa de toda la pantalla">
          <a:extLst>
            <a:ext uri="{FF2B5EF4-FFF2-40B4-BE49-F238E27FC236}">
              <a16:creationId xmlns:a16="http://schemas.microsoft.com/office/drawing/2014/main" id="{11BB384C-B434-4C8C-B37E-1B7D64B071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76" name="AutoShape 1" descr="Vista previa de toda la pantalla">
          <a:extLst>
            <a:ext uri="{FF2B5EF4-FFF2-40B4-BE49-F238E27FC236}">
              <a16:creationId xmlns:a16="http://schemas.microsoft.com/office/drawing/2014/main" id="{CFA058F3-3F65-46DB-B397-2A08C7A075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77" name="AutoShape 1" descr="Vista previa de toda la pantalla">
          <a:extLst>
            <a:ext uri="{FF2B5EF4-FFF2-40B4-BE49-F238E27FC236}">
              <a16:creationId xmlns:a16="http://schemas.microsoft.com/office/drawing/2014/main" id="{F13E1709-7231-4C9A-81FE-229301452C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78" name="AutoShape 1" descr="Vista previa de toda la pantalla">
          <a:extLst>
            <a:ext uri="{FF2B5EF4-FFF2-40B4-BE49-F238E27FC236}">
              <a16:creationId xmlns:a16="http://schemas.microsoft.com/office/drawing/2014/main" id="{0E3A24A5-52B5-469A-92EE-83AD929F46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79" name="AutoShape 1" descr="Vista previa de toda la pantalla">
          <a:extLst>
            <a:ext uri="{FF2B5EF4-FFF2-40B4-BE49-F238E27FC236}">
              <a16:creationId xmlns:a16="http://schemas.microsoft.com/office/drawing/2014/main" id="{2DD6F7C1-2F30-4D57-99A5-C0606A507C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0" name="AutoShape 1" descr="Vista previa de toda la pantalla">
          <a:extLst>
            <a:ext uri="{FF2B5EF4-FFF2-40B4-BE49-F238E27FC236}">
              <a16:creationId xmlns:a16="http://schemas.microsoft.com/office/drawing/2014/main" id="{8ACB879F-8230-4ACE-B753-C277773236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1" name="AutoShape 1" descr="Vista previa de toda la pantalla">
          <a:extLst>
            <a:ext uri="{FF2B5EF4-FFF2-40B4-BE49-F238E27FC236}">
              <a16:creationId xmlns:a16="http://schemas.microsoft.com/office/drawing/2014/main" id="{C8B7E408-9400-4904-92EC-CD129B4BBB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2" name="AutoShape 1" descr="Vista previa de toda la pantalla">
          <a:extLst>
            <a:ext uri="{FF2B5EF4-FFF2-40B4-BE49-F238E27FC236}">
              <a16:creationId xmlns:a16="http://schemas.microsoft.com/office/drawing/2014/main" id="{EC90CAB2-DEDC-4B30-AC1C-186F3AAB98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3" name="AutoShape 1" descr="Vista previa de toda la pantalla">
          <a:extLst>
            <a:ext uri="{FF2B5EF4-FFF2-40B4-BE49-F238E27FC236}">
              <a16:creationId xmlns:a16="http://schemas.microsoft.com/office/drawing/2014/main" id="{300ED51E-5B0F-4112-87E5-1D90A2F35F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4" name="AutoShape 1" descr="Vista previa de toda la pantalla">
          <a:extLst>
            <a:ext uri="{FF2B5EF4-FFF2-40B4-BE49-F238E27FC236}">
              <a16:creationId xmlns:a16="http://schemas.microsoft.com/office/drawing/2014/main" id="{323C6800-0DC1-418B-A847-541DC0E39A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5" name="AutoShape 1" descr="Vista previa de toda la pantalla">
          <a:extLst>
            <a:ext uri="{FF2B5EF4-FFF2-40B4-BE49-F238E27FC236}">
              <a16:creationId xmlns:a16="http://schemas.microsoft.com/office/drawing/2014/main" id="{5A67A1E1-A544-4A19-9C79-EB2474D808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6" name="AutoShape 1" descr="Vista previa de toda la pantalla">
          <a:extLst>
            <a:ext uri="{FF2B5EF4-FFF2-40B4-BE49-F238E27FC236}">
              <a16:creationId xmlns:a16="http://schemas.microsoft.com/office/drawing/2014/main" id="{EC182E4A-4773-44FB-A9A2-4BC19A36A8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7" name="AutoShape 1" descr="Vista previa de toda la pantalla">
          <a:extLst>
            <a:ext uri="{FF2B5EF4-FFF2-40B4-BE49-F238E27FC236}">
              <a16:creationId xmlns:a16="http://schemas.microsoft.com/office/drawing/2014/main" id="{A515E7F1-964B-4433-AA1A-57829D1D17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8" name="AutoShape 1" descr="Vista previa de toda la pantalla">
          <a:extLst>
            <a:ext uri="{FF2B5EF4-FFF2-40B4-BE49-F238E27FC236}">
              <a16:creationId xmlns:a16="http://schemas.microsoft.com/office/drawing/2014/main" id="{4C9682FB-1566-4DE6-80DD-F6310F638C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89" name="AutoShape 1" descr="Vista previa de toda la pantalla">
          <a:extLst>
            <a:ext uri="{FF2B5EF4-FFF2-40B4-BE49-F238E27FC236}">
              <a16:creationId xmlns:a16="http://schemas.microsoft.com/office/drawing/2014/main" id="{91D3279A-37B9-4755-B4CC-FE1C1E9729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0" name="AutoShape 1" descr="Vista previa de toda la pantalla">
          <a:extLst>
            <a:ext uri="{FF2B5EF4-FFF2-40B4-BE49-F238E27FC236}">
              <a16:creationId xmlns:a16="http://schemas.microsoft.com/office/drawing/2014/main" id="{8209DAB0-7486-4EAD-87FB-3D5C640515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1" name="AutoShape 1" descr="Vista previa de toda la pantalla">
          <a:extLst>
            <a:ext uri="{FF2B5EF4-FFF2-40B4-BE49-F238E27FC236}">
              <a16:creationId xmlns:a16="http://schemas.microsoft.com/office/drawing/2014/main" id="{B29E68E1-E75A-497B-A00E-0177AAACAB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2" name="AutoShape 1" descr="Vista previa de toda la pantalla">
          <a:extLst>
            <a:ext uri="{FF2B5EF4-FFF2-40B4-BE49-F238E27FC236}">
              <a16:creationId xmlns:a16="http://schemas.microsoft.com/office/drawing/2014/main" id="{549740A6-A554-424C-A54A-916AEC7F79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3" name="AutoShape 1" descr="Vista previa de toda la pantalla">
          <a:extLst>
            <a:ext uri="{FF2B5EF4-FFF2-40B4-BE49-F238E27FC236}">
              <a16:creationId xmlns:a16="http://schemas.microsoft.com/office/drawing/2014/main" id="{57DD247D-1B15-433D-9C51-C1AE576EF0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4" name="AutoShape 1" descr="Vista previa de toda la pantalla">
          <a:extLst>
            <a:ext uri="{FF2B5EF4-FFF2-40B4-BE49-F238E27FC236}">
              <a16:creationId xmlns:a16="http://schemas.microsoft.com/office/drawing/2014/main" id="{52C4098C-B249-4B63-A1E4-75009FF9C8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5" name="AutoShape 1" descr="Vista previa de toda la pantalla">
          <a:extLst>
            <a:ext uri="{FF2B5EF4-FFF2-40B4-BE49-F238E27FC236}">
              <a16:creationId xmlns:a16="http://schemas.microsoft.com/office/drawing/2014/main" id="{EAD61762-5D60-4C3D-9BC6-8B893A366D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6" name="AutoShape 1" descr="Vista previa de toda la pantalla">
          <a:extLst>
            <a:ext uri="{FF2B5EF4-FFF2-40B4-BE49-F238E27FC236}">
              <a16:creationId xmlns:a16="http://schemas.microsoft.com/office/drawing/2014/main" id="{4A617E0A-D3EC-4961-A066-EF8582A695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7" name="AutoShape 1" descr="Vista previa de toda la pantalla">
          <a:extLst>
            <a:ext uri="{FF2B5EF4-FFF2-40B4-BE49-F238E27FC236}">
              <a16:creationId xmlns:a16="http://schemas.microsoft.com/office/drawing/2014/main" id="{485DFE61-7BCA-44E6-9AD9-7BA29A76E9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8" name="AutoShape 1" descr="Vista previa de toda la pantalla">
          <a:extLst>
            <a:ext uri="{FF2B5EF4-FFF2-40B4-BE49-F238E27FC236}">
              <a16:creationId xmlns:a16="http://schemas.microsoft.com/office/drawing/2014/main" id="{DBA027C6-095A-4D20-865E-8D41EF8AEA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399" name="AutoShape 1" descr="Vista previa de toda la pantalla">
          <a:extLst>
            <a:ext uri="{FF2B5EF4-FFF2-40B4-BE49-F238E27FC236}">
              <a16:creationId xmlns:a16="http://schemas.microsoft.com/office/drawing/2014/main" id="{CD18E42A-0D41-47E0-A21A-2410F2FE5E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0" name="AutoShape 1" descr="Vista previa de toda la pantalla">
          <a:extLst>
            <a:ext uri="{FF2B5EF4-FFF2-40B4-BE49-F238E27FC236}">
              <a16:creationId xmlns:a16="http://schemas.microsoft.com/office/drawing/2014/main" id="{16132B04-CC87-4C47-952E-DE266D2557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1" name="AutoShape 1" descr="Vista previa de toda la pantalla">
          <a:extLst>
            <a:ext uri="{FF2B5EF4-FFF2-40B4-BE49-F238E27FC236}">
              <a16:creationId xmlns:a16="http://schemas.microsoft.com/office/drawing/2014/main" id="{80749089-D5C1-498B-BF89-822CB896A6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2" name="AutoShape 1" descr="Vista previa de toda la pantalla">
          <a:extLst>
            <a:ext uri="{FF2B5EF4-FFF2-40B4-BE49-F238E27FC236}">
              <a16:creationId xmlns:a16="http://schemas.microsoft.com/office/drawing/2014/main" id="{D0126CB5-7D80-407D-B2CE-A112434A45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3" name="AutoShape 1" descr="Vista previa de toda la pantalla">
          <a:extLst>
            <a:ext uri="{FF2B5EF4-FFF2-40B4-BE49-F238E27FC236}">
              <a16:creationId xmlns:a16="http://schemas.microsoft.com/office/drawing/2014/main" id="{AE7B35F2-CEE4-4B8D-BEE3-846D18B6F8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4" name="AutoShape 1" descr="Vista previa de toda la pantalla">
          <a:extLst>
            <a:ext uri="{FF2B5EF4-FFF2-40B4-BE49-F238E27FC236}">
              <a16:creationId xmlns:a16="http://schemas.microsoft.com/office/drawing/2014/main" id="{1F6FAFFF-A78E-4AEA-9812-7EB9026DF3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5" name="AutoShape 1" descr="Vista previa de toda la pantalla">
          <a:extLst>
            <a:ext uri="{FF2B5EF4-FFF2-40B4-BE49-F238E27FC236}">
              <a16:creationId xmlns:a16="http://schemas.microsoft.com/office/drawing/2014/main" id="{CF22FD96-28F5-48A1-8B4C-EC2417683B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6" name="AutoShape 1" descr="Vista previa de toda la pantalla">
          <a:extLst>
            <a:ext uri="{FF2B5EF4-FFF2-40B4-BE49-F238E27FC236}">
              <a16:creationId xmlns:a16="http://schemas.microsoft.com/office/drawing/2014/main" id="{172BC8AB-9BEB-4430-AF3E-6C94EA90B5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7" name="AutoShape 1" descr="Vista previa de toda la pantalla">
          <a:extLst>
            <a:ext uri="{FF2B5EF4-FFF2-40B4-BE49-F238E27FC236}">
              <a16:creationId xmlns:a16="http://schemas.microsoft.com/office/drawing/2014/main" id="{C1DF7397-5F50-4321-B8DB-554832BCEA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8" name="AutoShape 1" descr="Vista previa de toda la pantalla">
          <a:extLst>
            <a:ext uri="{FF2B5EF4-FFF2-40B4-BE49-F238E27FC236}">
              <a16:creationId xmlns:a16="http://schemas.microsoft.com/office/drawing/2014/main" id="{C97C75A1-12E0-43A0-8A8E-0693DF73A9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09" name="AutoShape 1" descr="Vista previa de toda la pantalla">
          <a:extLst>
            <a:ext uri="{FF2B5EF4-FFF2-40B4-BE49-F238E27FC236}">
              <a16:creationId xmlns:a16="http://schemas.microsoft.com/office/drawing/2014/main" id="{F806D459-518F-4485-82B6-496A0260D2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0" name="AutoShape 1" descr="Vista previa de toda la pantalla">
          <a:extLst>
            <a:ext uri="{FF2B5EF4-FFF2-40B4-BE49-F238E27FC236}">
              <a16:creationId xmlns:a16="http://schemas.microsoft.com/office/drawing/2014/main" id="{A9656A74-08C3-4C71-984B-18D59BAED7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1" name="AutoShape 1" descr="Vista previa de toda la pantalla">
          <a:extLst>
            <a:ext uri="{FF2B5EF4-FFF2-40B4-BE49-F238E27FC236}">
              <a16:creationId xmlns:a16="http://schemas.microsoft.com/office/drawing/2014/main" id="{C5D5A944-9267-4349-9933-481FC2836B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2" name="AutoShape 1" descr="Vista previa de toda la pantalla">
          <a:extLst>
            <a:ext uri="{FF2B5EF4-FFF2-40B4-BE49-F238E27FC236}">
              <a16:creationId xmlns:a16="http://schemas.microsoft.com/office/drawing/2014/main" id="{28D8A2E0-2FEF-44CB-9188-94F05BB36A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3" name="AutoShape 1" descr="Vista previa de toda la pantalla">
          <a:extLst>
            <a:ext uri="{FF2B5EF4-FFF2-40B4-BE49-F238E27FC236}">
              <a16:creationId xmlns:a16="http://schemas.microsoft.com/office/drawing/2014/main" id="{F23145C8-3A75-4057-BFE2-2F3F769B71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4" name="AutoShape 1" descr="Vista previa de toda la pantalla">
          <a:extLst>
            <a:ext uri="{FF2B5EF4-FFF2-40B4-BE49-F238E27FC236}">
              <a16:creationId xmlns:a16="http://schemas.microsoft.com/office/drawing/2014/main" id="{192117D0-975D-4746-A20C-F15E3F9FE4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5" name="AutoShape 1" descr="Vista previa de toda la pantalla">
          <a:extLst>
            <a:ext uri="{FF2B5EF4-FFF2-40B4-BE49-F238E27FC236}">
              <a16:creationId xmlns:a16="http://schemas.microsoft.com/office/drawing/2014/main" id="{3530F29B-1F9F-4459-B50D-D842688222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6" name="AutoShape 1" descr="Vista previa de toda la pantalla">
          <a:extLst>
            <a:ext uri="{FF2B5EF4-FFF2-40B4-BE49-F238E27FC236}">
              <a16:creationId xmlns:a16="http://schemas.microsoft.com/office/drawing/2014/main" id="{CB56F095-97D1-4AA3-9F67-1396117615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7" name="AutoShape 1" descr="Vista previa de toda la pantalla">
          <a:extLst>
            <a:ext uri="{FF2B5EF4-FFF2-40B4-BE49-F238E27FC236}">
              <a16:creationId xmlns:a16="http://schemas.microsoft.com/office/drawing/2014/main" id="{7E590FFD-6203-449F-A426-563914089F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8" name="AutoShape 1" descr="Vista previa de toda la pantalla">
          <a:extLst>
            <a:ext uri="{FF2B5EF4-FFF2-40B4-BE49-F238E27FC236}">
              <a16:creationId xmlns:a16="http://schemas.microsoft.com/office/drawing/2014/main" id="{1F7E936A-E939-45C1-B964-B3F939DFF8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19" name="AutoShape 1" descr="Vista previa de toda la pantalla">
          <a:extLst>
            <a:ext uri="{FF2B5EF4-FFF2-40B4-BE49-F238E27FC236}">
              <a16:creationId xmlns:a16="http://schemas.microsoft.com/office/drawing/2014/main" id="{F9948795-3204-4BF1-BF7B-11E1DC8FA5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0" name="AutoShape 1" descr="Vista previa de toda la pantalla">
          <a:extLst>
            <a:ext uri="{FF2B5EF4-FFF2-40B4-BE49-F238E27FC236}">
              <a16:creationId xmlns:a16="http://schemas.microsoft.com/office/drawing/2014/main" id="{3DC1BB2F-72C8-471E-AE62-60885497D2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1" name="AutoShape 1" descr="Vista previa de toda la pantalla">
          <a:extLst>
            <a:ext uri="{FF2B5EF4-FFF2-40B4-BE49-F238E27FC236}">
              <a16:creationId xmlns:a16="http://schemas.microsoft.com/office/drawing/2014/main" id="{FF7CC132-6F6E-4A14-82B8-8EED3AD5BB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2" name="AutoShape 1" descr="Vista previa de toda la pantalla">
          <a:extLst>
            <a:ext uri="{FF2B5EF4-FFF2-40B4-BE49-F238E27FC236}">
              <a16:creationId xmlns:a16="http://schemas.microsoft.com/office/drawing/2014/main" id="{4A5415A0-28C4-4FBF-84B2-1ECD1ACC6D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3" name="AutoShape 1" descr="Vista previa de toda la pantalla">
          <a:extLst>
            <a:ext uri="{FF2B5EF4-FFF2-40B4-BE49-F238E27FC236}">
              <a16:creationId xmlns:a16="http://schemas.microsoft.com/office/drawing/2014/main" id="{54513316-04E8-417F-8C6A-FFAAC9F85C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4" name="AutoShape 1" descr="Vista previa de toda la pantalla">
          <a:extLst>
            <a:ext uri="{FF2B5EF4-FFF2-40B4-BE49-F238E27FC236}">
              <a16:creationId xmlns:a16="http://schemas.microsoft.com/office/drawing/2014/main" id="{2AC6D65B-43D9-49D6-83E3-C65810872F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5" name="AutoShape 1" descr="Vista previa de toda la pantalla">
          <a:extLst>
            <a:ext uri="{FF2B5EF4-FFF2-40B4-BE49-F238E27FC236}">
              <a16:creationId xmlns:a16="http://schemas.microsoft.com/office/drawing/2014/main" id="{0FF0764B-6BE4-4E15-B9DE-3685A31005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6" name="AutoShape 1" descr="Vista previa de toda la pantalla">
          <a:extLst>
            <a:ext uri="{FF2B5EF4-FFF2-40B4-BE49-F238E27FC236}">
              <a16:creationId xmlns:a16="http://schemas.microsoft.com/office/drawing/2014/main" id="{1488B330-66F9-42DC-B80D-5468D1040E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7" name="AutoShape 1" descr="Vista previa de toda la pantalla">
          <a:extLst>
            <a:ext uri="{FF2B5EF4-FFF2-40B4-BE49-F238E27FC236}">
              <a16:creationId xmlns:a16="http://schemas.microsoft.com/office/drawing/2014/main" id="{67038B1A-0170-4E88-9D62-DDC00E2A2C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8" name="AutoShape 1" descr="Vista previa de toda la pantalla">
          <a:extLst>
            <a:ext uri="{FF2B5EF4-FFF2-40B4-BE49-F238E27FC236}">
              <a16:creationId xmlns:a16="http://schemas.microsoft.com/office/drawing/2014/main" id="{FD1BA429-B8F2-4D2D-940F-977C6A929A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29" name="AutoShape 1" descr="Vista previa de toda la pantalla">
          <a:extLst>
            <a:ext uri="{FF2B5EF4-FFF2-40B4-BE49-F238E27FC236}">
              <a16:creationId xmlns:a16="http://schemas.microsoft.com/office/drawing/2014/main" id="{7D134503-D0BA-4B50-9C48-6E15F94736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0" name="AutoShape 1" descr="Vista previa de toda la pantalla">
          <a:extLst>
            <a:ext uri="{FF2B5EF4-FFF2-40B4-BE49-F238E27FC236}">
              <a16:creationId xmlns:a16="http://schemas.microsoft.com/office/drawing/2014/main" id="{E7C71E3B-B661-4262-A038-80D1BCDEE3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1" name="AutoShape 1" descr="Vista previa de toda la pantalla">
          <a:extLst>
            <a:ext uri="{FF2B5EF4-FFF2-40B4-BE49-F238E27FC236}">
              <a16:creationId xmlns:a16="http://schemas.microsoft.com/office/drawing/2014/main" id="{DE55DB53-53A1-4140-A0A2-2CA6D07E73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2" name="AutoShape 1" descr="Vista previa de toda la pantalla">
          <a:extLst>
            <a:ext uri="{FF2B5EF4-FFF2-40B4-BE49-F238E27FC236}">
              <a16:creationId xmlns:a16="http://schemas.microsoft.com/office/drawing/2014/main" id="{0A65FD1F-2D44-4E50-803E-2E69AD8E53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3" name="AutoShape 1" descr="Vista previa de toda la pantalla">
          <a:extLst>
            <a:ext uri="{FF2B5EF4-FFF2-40B4-BE49-F238E27FC236}">
              <a16:creationId xmlns:a16="http://schemas.microsoft.com/office/drawing/2014/main" id="{5471E39F-940B-4314-A730-DC3C7C1DB6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4" name="AutoShape 1" descr="Vista previa de toda la pantalla">
          <a:extLst>
            <a:ext uri="{FF2B5EF4-FFF2-40B4-BE49-F238E27FC236}">
              <a16:creationId xmlns:a16="http://schemas.microsoft.com/office/drawing/2014/main" id="{064A67C5-2D20-4CD3-9A99-B432C444E9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5" name="AutoShape 1" descr="Vista previa de toda la pantalla">
          <a:extLst>
            <a:ext uri="{FF2B5EF4-FFF2-40B4-BE49-F238E27FC236}">
              <a16:creationId xmlns:a16="http://schemas.microsoft.com/office/drawing/2014/main" id="{1B004C88-4651-481D-A620-0933DE4066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6" name="AutoShape 1" descr="Vista previa de toda la pantalla">
          <a:extLst>
            <a:ext uri="{FF2B5EF4-FFF2-40B4-BE49-F238E27FC236}">
              <a16:creationId xmlns:a16="http://schemas.microsoft.com/office/drawing/2014/main" id="{31E00F77-046C-4866-9970-B8CA08AA95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7" name="AutoShape 1" descr="Vista previa de toda la pantalla">
          <a:extLst>
            <a:ext uri="{FF2B5EF4-FFF2-40B4-BE49-F238E27FC236}">
              <a16:creationId xmlns:a16="http://schemas.microsoft.com/office/drawing/2014/main" id="{6C545932-41C3-44EB-B178-EA882D938E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8" name="AutoShape 1" descr="Vista previa de toda la pantalla">
          <a:extLst>
            <a:ext uri="{FF2B5EF4-FFF2-40B4-BE49-F238E27FC236}">
              <a16:creationId xmlns:a16="http://schemas.microsoft.com/office/drawing/2014/main" id="{CC72B86E-4963-4B43-92A5-E7AD17ED0E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39" name="AutoShape 1" descr="Vista previa de toda la pantalla">
          <a:extLst>
            <a:ext uri="{FF2B5EF4-FFF2-40B4-BE49-F238E27FC236}">
              <a16:creationId xmlns:a16="http://schemas.microsoft.com/office/drawing/2014/main" id="{3169A91C-B792-4B7C-8E14-741B50E013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0" name="AutoShape 1" descr="Vista previa de toda la pantalla">
          <a:extLst>
            <a:ext uri="{FF2B5EF4-FFF2-40B4-BE49-F238E27FC236}">
              <a16:creationId xmlns:a16="http://schemas.microsoft.com/office/drawing/2014/main" id="{88315041-9624-4054-BB6A-6746DA98B0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1" name="AutoShape 1" descr="Vista previa de toda la pantalla">
          <a:extLst>
            <a:ext uri="{FF2B5EF4-FFF2-40B4-BE49-F238E27FC236}">
              <a16:creationId xmlns:a16="http://schemas.microsoft.com/office/drawing/2014/main" id="{11C38279-A49A-49FA-9E0D-6004333DF6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2" name="AutoShape 1" descr="Vista previa de toda la pantalla">
          <a:extLst>
            <a:ext uri="{FF2B5EF4-FFF2-40B4-BE49-F238E27FC236}">
              <a16:creationId xmlns:a16="http://schemas.microsoft.com/office/drawing/2014/main" id="{0F357F35-07E8-40A2-B75E-B032527AA4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3" name="AutoShape 1" descr="Vista previa de toda la pantalla">
          <a:extLst>
            <a:ext uri="{FF2B5EF4-FFF2-40B4-BE49-F238E27FC236}">
              <a16:creationId xmlns:a16="http://schemas.microsoft.com/office/drawing/2014/main" id="{585F8AA5-CE0B-46FC-82EB-B7778903D4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4" name="AutoShape 1" descr="Vista previa de toda la pantalla">
          <a:extLst>
            <a:ext uri="{FF2B5EF4-FFF2-40B4-BE49-F238E27FC236}">
              <a16:creationId xmlns:a16="http://schemas.microsoft.com/office/drawing/2014/main" id="{363A6DAE-F3CF-499C-A8BA-85D000C359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5" name="AutoShape 1" descr="Vista previa de toda la pantalla">
          <a:extLst>
            <a:ext uri="{FF2B5EF4-FFF2-40B4-BE49-F238E27FC236}">
              <a16:creationId xmlns:a16="http://schemas.microsoft.com/office/drawing/2014/main" id="{7D3D6A50-1B61-48AF-A9DF-1D4C00734B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6" name="AutoShape 1" descr="Vista previa de toda la pantalla">
          <a:extLst>
            <a:ext uri="{FF2B5EF4-FFF2-40B4-BE49-F238E27FC236}">
              <a16:creationId xmlns:a16="http://schemas.microsoft.com/office/drawing/2014/main" id="{1CE5EE2B-0C42-4B81-ACA1-3D7A0D8EBB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7" name="AutoShape 1" descr="Vista previa de toda la pantalla">
          <a:extLst>
            <a:ext uri="{FF2B5EF4-FFF2-40B4-BE49-F238E27FC236}">
              <a16:creationId xmlns:a16="http://schemas.microsoft.com/office/drawing/2014/main" id="{D6375988-3405-4EE9-BF76-1915E20157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8" name="AutoShape 1" descr="Vista previa de toda la pantalla">
          <a:extLst>
            <a:ext uri="{FF2B5EF4-FFF2-40B4-BE49-F238E27FC236}">
              <a16:creationId xmlns:a16="http://schemas.microsoft.com/office/drawing/2014/main" id="{6EF93F4D-CA03-4481-969C-9BEA591C9E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49" name="AutoShape 1" descr="Vista previa de toda la pantalla">
          <a:extLst>
            <a:ext uri="{FF2B5EF4-FFF2-40B4-BE49-F238E27FC236}">
              <a16:creationId xmlns:a16="http://schemas.microsoft.com/office/drawing/2014/main" id="{89CBAE87-A24B-4564-9E8B-BD8FDC746B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0" name="AutoShape 1" descr="Vista previa de toda la pantalla">
          <a:extLst>
            <a:ext uri="{FF2B5EF4-FFF2-40B4-BE49-F238E27FC236}">
              <a16:creationId xmlns:a16="http://schemas.microsoft.com/office/drawing/2014/main" id="{BC253A8E-3E58-420A-91DF-54629A9029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1" name="AutoShape 1" descr="Vista previa de toda la pantalla">
          <a:extLst>
            <a:ext uri="{FF2B5EF4-FFF2-40B4-BE49-F238E27FC236}">
              <a16:creationId xmlns:a16="http://schemas.microsoft.com/office/drawing/2014/main" id="{62810E3F-7F60-4895-A54B-FD088F2D47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2" name="AutoShape 1" descr="Vista previa de toda la pantalla">
          <a:extLst>
            <a:ext uri="{FF2B5EF4-FFF2-40B4-BE49-F238E27FC236}">
              <a16:creationId xmlns:a16="http://schemas.microsoft.com/office/drawing/2014/main" id="{5E2A5236-CCD7-4C29-9FE1-5E2DC077A8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3" name="AutoShape 1" descr="Vista previa de toda la pantalla">
          <a:extLst>
            <a:ext uri="{FF2B5EF4-FFF2-40B4-BE49-F238E27FC236}">
              <a16:creationId xmlns:a16="http://schemas.microsoft.com/office/drawing/2014/main" id="{B8394B9D-68FB-4D5F-A5A2-D16E7971DE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4" name="AutoShape 1" descr="Vista previa de toda la pantalla">
          <a:extLst>
            <a:ext uri="{FF2B5EF4-FFF2-40B4-BE49-F238E27FC236}">
              <a16:creationId xmlns:a16="http://schemas.microsoft.com/office/drawing/2014/main" id="{56CC6D7C-C6CC-45FE-9D78-26C0AF9C7C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5" name="AutoShape 1" descr="Vista previa de toda la pantalla">
          <a:extLst>
            <a:ext uri="{FF2B5EF4-FFF2-40B4-BE49-F238E27FC236}">
              <a16:creationId xmlns:a16="http://schemas.microsoft.com/office/drawing/2014/main" id="{1013D704-94A7-489A-860A-A9A889EDA9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6" name="AutoShape 1" descr="Vista previa de toda la pantalla">
          <a:extLst>
            <a:ext uri="{FF2B5EF4-FFF2-40B4-BE49-F238E27FC236}">
              <a16:creationId xmlns:a16="http://schemas.microsoft.com/office/drawing/2014/main" id="{6AEFDD9C-2F81-4A63-884C-286671286F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7" name="AutoShape 1" descr="Vista previa de toda la pantalla">
          <a:extLst>
            <a:ext uri="{FF2B5EF4-FFF2-40B4-BE49-F238E27FC236}">
              <a16:creationId xmlns:a16="http://schemas.microsoft.com/office/drawing/2014/main" id="{819EBC88-B14E-47ED-88AD-4C205B9463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8" name="AutoShape 1" descr="Vista previa de toda la pantalla">
          <a:extLst>
            <a:ext uri="{FF2B5EF4-FFF2-40B4-BE49-F238E27FC236}">
              <a16:creationId xmlns:a16="http://schemas.microsoft.com/office/drawing/2014/main" id="{D327A655-40B7-4AB0-85BA-CB8490BFD4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59" name="AutoShape 1" descr="Vista previa de toda la pantalla">
          <a:extLst>
            <a:ext uri="{FF2B5EF4-FFF2-40B4-BE49-F238E27FC236}">
              <a16:creationId xmlns:a16="http://schemas.microsoft.com/office/drawing/2014/main" id="{ADB59BB4-3B6B-45EB-AAD7-598E7EAA04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0" name="AutoShape 1" descr="Vista previa de toda la pantalla">
          <a:extLst>
            <a:ext uri="{FF2B5EF4-FFF2-40B4-BE49-F238E27FC236}">
              <a16:creationId xmlns:a16="http://schemas.microsoft.com/office/drawing/2014/main" id="{828CCB3E-D962-424E-98C4-AF17492363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1" name="AutoShape 1" descr="Vista previa de toda la pantalla">
          <a:extLst>
            <a:ext uri="{FF2B5EF4-FFF2-40B4-BE49-F238E27FC236}">
              <a16:creationId xmlns:a16="http://schemas.microsoft.com/office/drawing/2014/main" id="{ACB1DC23-B64A-4D02-A56F-F434C2F984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2" name="AutoShape 1" descr="Vista previa de toda la pantalla">
          <a:extLst>
            <a:ext uri="{FF2B5EF4-FFF2-40B4-BE49-F238E27FC236}">
              <a16:creationId xmlns:a16="http://schemas.microsoft.com/office/drawing/2014/main" id="{3B58931F-3FFC-4E19-85AB-889CBEE13C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3" name="AutoShape 1" descr="Vista previa de toda la pantalla">
          <a:extLst>
            <a:ext uri="{FF2B5EF4-FFF2-40B4-BE49-F238E27FC236}">
              <a16:creationId xmlns:a16="http://schemas.microsoft.com/office/drawing/2014/main" id="{94E8ADE5-CE78-4D68-8F7A-018D9A7FA2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4" name="AutoShape 1" descr="Vista previa de toda la pantalla">
          <a:extLst>
            <a:ext uri="{FF2B5EF4-FFF2-40B4-BE49-F238E27FC236}">
              <a16:creationId xmlns:a16="http://schemas.microsoft.com/office/drawing/2014/main" id="{586A1CC9-9B60-4F3A-8A08-223CD2D4CD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5" name="AutoShape 1" descr="Vista previa de toda la pantalla">
          <a:extLst>
            <a:ext uri="{FF2B5EF4-FFF2-40B4-BE49-F238E27FC236}">
              <a16:creationId xmlns:a16="http://schemas.microsoft.com/office/drawing/2014/main" id="{4BDCDED4-82EB-4E15-8968-F0D0BEE8C3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6" name="AutoShape 1" descr="Vista previa de toda la pantalla">
          <a:extLst>
            <a:ext uri="{FF2B5EF4-FFF2-40B4-BE49-F238E27FC236}">
              <a16:creationId xmlns:a16="http://schemas.microsoft.com/office/drawing/2014/main" id="{0693424F-7523-4984-B539-F0FDB2741C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7" name="AutoShape 1" descr="Vista previa de toda la pantalla">
          <a:extLst>
            <a:ext uri="{FF2B5EF4-FFF2-40B4-BE49-F238E27FC236}">
              <a16:creationId xmlns:a16="http://schemas.microsoft.com/office/drawing/2014/main" id="{44F61619-9E29-47A7-99BC-34B3FBC69E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8" name="AutoShape 1" descr="Vista previa de toda la pantalla">
          <a:extLst>
            <a:ext uri="{FF2B5EF4-FFF2-40B4-BE49-F238E27FC236}">
              <a16:creationId xmlns:a16="http://schemas.microsoft.com/office/drawing/2014/main" id="{51EC5022-42D8-4FB9-8B0C-4002A77B46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69" name="AutoShape 1" descr="Vista previa de toda la pantalla">
          <a:extLst>
            <a:ext uri="{FF2B5EF4-FFF2-40B4-BE49-F238E27FC236}">
              <a16:creationId xmlns:a16="http://schemas.microsoft.com/office/drawing/2014/main" id="{657FB278-9A60-4FE5-9DE9-2179A2F47A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0" name="AutoShape 1" descr="Vista previa de toda la pantalla">
          <a:extLst>
            <a:ext uri="{FF2B5EF4-FFF2-40B4-BE49-F238E27FC236}">
              <a16:creationId xmlns:a16="http://schemas.microsoft.com/office/drawing/2014/main" id="{57DEE954-3B09-4B06-ABD8-87B02CF703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1" name="AutoShape 1" descr="Vista previa de toda la pantalla">
          <a:extLst>
            <a:ext uri="{FF2B5EF4-FFF2-40B4-BE49-F238E27FC236}">
              <a16:creationId xmlns:a16="http://schemas.microsoft.com/office/drawing/2014/main" id="{495792FD-5D16-4C70-A0B9-700EF2055A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2" name="AutoShape 1" descr="Vista previa de toda la pantalla">
          <a:extLst>
            <a:ext uri="{FF2B5EF4-FFF2-40B4-BE49-F238E27FC236}">
              <a16:creationId xmlns:a16="http://schemas.microsoft.com/office/drawing/2014/main" id="{B208B706-7D0D-49DF-9166-0E0EF50E06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3" name="AutoShape 1" descr="Vista previa de toda la pantalla">
          <a:extLst>
            <a:ext uri="{FF2B5EF4-FFF2-40B4-BE49-F238E27FC236}">
              <a16:creationId xmlns:a16="http://schemas.microsoft.com/office/drawing/2014/main" id="{E9FE1AFF-B187-4D45-B0B3-C4F9844054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4" name="AutoShape 1" descr="Vista previa de toda la pantalla">
          <a:extLst>
            <a:ext uri="{FF2B5EF4-FFF2-40B4-BE49-F238E27FC236}">
              <a16:creationId xmlns:a16="http://schemas.microsoft.com/office/drawing/2014/main" id="{33635F9B-663F-44AE-85C1-A0AAC35308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5" name="AutoShape 1" descr="Vista previa de toda la pantalla">
          <a:extLst>
            <a:ext uri="{FF2B5EF4-FFF2-40B4-BE49-F238E27FC236}">
              <a16:creationId xmlns:a16="http://schemas.microsoft.com/office/drawing/2014/main" id="{ACF57EEF-1D68-415B-9AB8-EA10A055B1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6" name="AutoShape 1" descr="Vista previa de toda la pantalla">
          <a:extLst>
            <a:ext uri="{FF2B5EF4-FFF2-40B4-BE49-F238E27FC236}">
              <a16:creationId xmlns:a16="http://schemas.microsoft.com/office/drawing/2014/main" id="{0B41949C-CA52-4448-8EA5-5F67E32E6E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7" name="AutoShape 1" descr="Vista previa de toda la pantalla">
          <a:extLst>
            <a:ext uri="{FF2B5EF4-FFF2-40B4-BE49-F238E27FC236}">
              <a16:creationId xmlns:a16="http://schemas.microsoft.com/office/drawing/2014/main" id="{D815857E-43FA-4F7A-B11E-6E7D38F61E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8" name="AutoShape 1" descr="Vista previa de toda la pantalla">
          <a:extLst>
            <a:ext uri="{FF2B5EF4-FFF2-40B4-BE49-F238E27FC236}">
              <a16:creationId xmlns:a16="http://schemas.microsoft.com/office/drawing/2014/main" id="{6AB9B5DF-CACD-452F-94E5-F3A4C5AF9C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79" name="AutoShape 1" descr="Vista previa de toda la pantalla">
          <a:extLst>
            <a:ext uri="{FF2B5EF4-FFF2-40B4-BE49-F238E27FC236}">
              <a16:creationId xmlns:a16="http://schemas.microsoft.com/office/drawing/2014/main" id="{9889E451-93FB-4A4D-B9FD-30838677F5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0" name="AutoShape 1" descr="Vista previa de toda la pantalla">
          <a:extLst>
            <a:ext uri="{FF2B5EF4-FFF2-40B4-BE49-F238E27FC236}">
              <a16:creationId xmlns:a16="http://schemas.microsoft.com/office/drawing/2014/main" id="{69E4E70B-CF1B-47BB-8F09-68D3B26936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1" name="AutoShape 1" descr="Vista previa de toda la pantalla">
          <a:extLst>
            <a:ext uri="{FF2B5EF4-FFF2-40B4-BE49-F238E27FC236}">
              <a16:creationId xmlns:a16="http://schemas.microsoft.com/office/drawing/2014/main" id="{70308499-9528-4E25-98BC-91AE3C5E2B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2" name="AutoShape 1" descr="Vista previa de toda la pantalla">
          <a:extLst>
            <a:ext uri="{FF2B5EF4-FFF2-40B4-BE49-F238E27FC236}">
              <a16:creationId xmlns:a16="http://schemas.microsoft.com/office/drawing/2014/main" id="{093E44F4-D055-420C-83FB-69C75E3501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3" name="AutoShape 1" descr="Vista previa de toda la pantalla">
          <a:extLst>
            <a:ext uri="{FF2B5EF4-FFF2-40B4-BE49-F238E27FC236}">
              <a16:creationId xmlns:a16="http://schemas.microsoft.com/office/drawing/2014/main" id="{FEBB181F-C9B6-4B7E-80BD-F500DAF48D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4" name="AutoShape 1" descr="Vista previa de toda la pantalla">
          <a:extLst>
            <a:ext uri="{FF2B5EF4-FFF2-40B4-BE49-F238E27FC236}">
              <a16:creationId xmlns:a16="http://schemas.microsoft.com/office/drawing/2014/main" id="{66BF17A5-95B2-402F-BA76-7173D25D27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5" name="AutoShape 1" descr="Vista previa de toda la pantalla">
          <a:extLst>
            <a:ext uri="{FF2B5EF4-FFF2-40B4-BE49-F238E27FC236}">
              <a16:creationId xmlns:a16="http://schemas.microsoft.com/office/drawing/2014/main" id="{C4AAC355-F8F9-416D-8C93-E60B0E76EE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6" name="AutoShape 1" descr="Vista previa de toda la pantalla">
          <a:extLst>
            <a:ext uri="{FF2B5EF4-FFF2-40B4-BE49-F238E27FC236}">
              <a16:creationId xmlns:a16="http://schemas.microsoft.com/office/drawing/2014/main" id="{04500CCE-2EDF-49EC-AB5E-4C175F6E8A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7" name="AutoShape 1" descr="Vista previa de toda la pantalla">
          <a:extLst>
            <a:ext uri="{FF2B5EF4-FFF2-40B4-BE49-F238E27FC236}">
              <a16:creationId xmlns:a16="http://schemas.microsoft.com/office/drawing/2014/main" id="{9EA90D41-BBF0-43D7-A32B-7CAE0A3BB6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8" name="AutoShape 1" descr="Vista previa de toda la pantalla">
          <a:extLst>
            <a:ext uri="{FF2B5EF4-FFF2-40B4-BE49-F238E27FC236}">
              <a16:creationId xmlns:a16="http://schemas.microsoft.com/office/drawing/2014/main" id="{9158D328-76D0-4242-ACEF-7ED5A0054D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89" name="AutoShape 1" descr="Vista previa de toda la pantalla">
          <a:extLst>
            <a:ext uri="{FF2B5EF4-FFF2-40B4-BE49-F238E27FC236}">
              <a16:creationId xmlns:a16="http://schemas.microsoft.com/office/drawing/2014/main" id="{B8E38473-FAE2-4DAB-871F-888976182B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0" name="AutoShape 1" descr="Vista previa de toda la pantalla">
          <a:extLst>
            <a:ext uri="{FF2B5EF4-FFF2-40B4-BE49-F238E27FC236}">
              <a16:creationId xmlns:a16="http://schemas.microsoft.com/office/drawing/2014/main" id="{BD167BD7-DFD4-45F1-B0FA-310D9AA1ED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1" name="AutoShape 1" descr="Vista previa de toda la pantalla">
          <a:extLst>
            <a:ext uri="{FF2B5EF4-FFF2-40B4-BE49-F238E27FC236}">
              <a16:creationId xmlns:a16="http://schemas.microsoft.com/office/drawing/2014/main" id="{1F732453-B90F-4000-AEA8-1663448BDA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2" name="AutoShape 1" descr="Vista previa de toda la pantalla">
          <a:extLst>
            <a:ext uri="{FF2B5EF4-FFF2-40B4-BE49-F238E27FC236}">
              <a16:creationId xmlns:a16="http://schemas.microsoft.com/office/drawing/2014/main" id="{511AAB99-679F-43DB-B37B-EA7B84166F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3" name="AutoShape 1" descr="Vista previa de toda la pantalla">
          <a:extLst>
            <a:ext uri="{FF2B5EF4-FFF2-40B4-BE49-F238E27FC236}">
              <a16:creationId xmlns:a16="http://schemas.microsoft.com/office/drawing/2014/main" id="{418BE27E-733F-4BB9-88B6-8FA91877FC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4" name="AutoShape 1" descr="Vista previa de toda la pantalla">
          <a:extLst>
            <a:ext uri="{FF2B5EF4-FFF2-40B4-BE49-F238E27FC236}">
              <a16:creationId xmlns:a16="http://schemas.microsoft.com/office/drawing/2014/main" id="{910BF0BF-7A01-4D4A-97E8-E8FACCB85F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5" name="AutoShape 1" descr="Vista previa de toda la pantalla">
          <a:extLst>
            <a:ext uri="{FF2B5EF4-FFF2-40B4-BE49-F238E27FC236}">
              <a16:creationId xmlns:a16="http://schemas.microsoft.com/office/drawing/2014/main" id="{D9620B51-464D-4FB3-8FB8-564D53BF72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6" name="AutoShape 1" descr="Vista previa de toda la pantalla">
          <a:extLst>
            <a:ext uri="{FF2B5EF4-FFF2-40B4-BE49-F238E27FC236}">
              <a16:creationId xmlns:a16="http://schemas.microsoft.com/office/drawing/2014/main" id="{2C4D720E-5F0C-48A3-B528-098766B817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7" name="AutoShape 1" descr="Vista previa de toda la pantalla">
          <a:extLst>
            <a:ext uri="{FF2B5EF4-FFF2-40B4-BE49-F238E27FC236}">
              <a16:creationId xmlns:a16="http://schemas.microsoft.com/office/drawing/2014/main" id="{4820B270-E038-4550-ACA4-6F807D62DD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8" name="AutoShape 1" descr="Vista previa de toda la pantalla">
          <a:extLst>
            <a:ext uri="{FF2B5EF4-FFF2-40B4-BE49-F238E27FC236}">
              <a16:creationId xmlns:a16="http://schemas.microsoft.com/office/drawing/2014/main" id="{C3EC11A7-E1C3-4158-B293-BA13C21113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499" name="AutoShape 1" descr="Vista previa de toda la pantalla">
          <a:extLst>
            <a:ext uri="{FF2B5EF4-FFF2-40B4-BE49-F238E27FC236}">
              <a16:creationId xmlns:a16="http://schemas.microsoft.com/office/drawing/2014/main" id="{9FC6C882-8EE3-474E-A04E-2D47E7AEDE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0" name="AutoShape 1" descr="Vista previa de toda la pantalla">
          <a:extLst>
            <a:ext uri="{FF2B5EF4-FFF2-40B4-BE49-F238E27FC236}">
              <a16:creationId xmlns:a16="http://schemas.microsoft.com/office/drawing/2014/main" id="{A1CD46A3-9B21-4E86-8E27-80441C89EE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1" name="AutoShape 1" descr="Vista previa de toda la pantalla">
          <a:extLst>
            <a:ext uri="{FF2B5EF4-FFF2-40B4-BE49-F238E27FC236}">
              <a16:creationId xmlns:a16="http://schemas.microsoft.com/office/drawing/2014/main" id="{5801572A-60BB-42F5-8769-941974C4D6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2" name="AutoShape 1" descr="Vista previa de toda la pantalla">
          <a:extLst>
            <a:ext uri="{FF2B5EF4-FFF2-40B4-BE49-F238E27FC236}">
              <a16:creationId xmlns:a16="http://schemas.microsoft.com/office/drawing/2014/main" id="{BDB6880F-08D4-4339-BB98-B1CB58E848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3" name="AutoShape 1" descr="Vista previa de toda la pantalla">
          <a:extLst>
            <a:ext uri="{FF2B5EF4-FFF2-40B4-BE49-F238E27FC236}">
              <a16:creationId xmlns:a16="http://schemas.microsoft.com/office/drawing/2014/main" id="{FDE75E5A-B63D-4626-A2F8-F0B94F35A6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4" name="AutoShape 1" descr="Vista previa de toda la pantalla">
          <a:extLst>
            <a:ext uri="{FF2B5EF4-FFF2-40B4-BE49-F238E27FC236}">
              <a16:creationId xmlns:a16="http://schemas.microsoft.com/office/drawing/2014/main" id="{3C743933-103D-4022-B528-38F5010482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5" name="AutoShape 1" descr="Vista previa de toda la pantalla">
          <a:extLst>
            <a:ext uri="{FF2B5EF4-FFF2-40B4-BE49-F238E27FC236}">
              <a16:creationId xmlns:a16="http://schemas.microsoft.com/office/drawing/2014/main" id="{3AB945DE-66CC-4A40-9EC1-3E31286FC4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6" name="AutoShape 1" descr="Vista previa de toda la pantalla">
          <a:extLst>
            <a:ext uri="{FF2B5EF4-FFF2-40B4-BE49-F238E27FC236}">
              <a16:creationId xmlns:a16="http://schemas.microsoft.com/office/drawing/2014/main" id="{62B2EDC8-A03B-4099-AD2A-13FA06B82B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7" name="AutoShape 1" descr="Vista previa de toda la pantalla">
          <a:extLst>
            <a:ext uri="{FF2B5EF4-FFF2-40B4-BE49-F238E27FC236}">
              <a16:creationId xmlns:a16="http://schemas.microsoft.com/office/drawing/2014/main" id="{2526A3D4-C023-4F80-8917-D63A3333E1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8" name="AutoShape 1" descr="Vista previa de toda la pantalla">
          <a:extLst>
            <a:ext uri="{FF2B5EF4-FFF2-40B4-BE49-F238E27FC236}">
              <a16:creationId xmlns:a16="http://schemas.microsoft.com/office/drawing/2014/main" id="{52351F46-D354-41E6-8E16-58409404BD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09" name="AutoShape 1" descr="Vista previa de toda la pantalla">
          <a:extLst>
            <a:ext uri="{FF2B5EF4-FFF2-40B4-BE49-F238E27FC236}">
              <a16:creationId xmlns:a16="http://schemas.microsoft.com/office/drawing/2014/main" id="{AF9B096C-32F9-4946-B797-AB9B4E20F8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0" name="AutoShape 1" descr="Vista previa de toda la pantalla">
          <a:extLst>
            <a:ext uri="{FF2B5EF4-FFF2-40B4-BE49-F238E27FC236}">
              <a16:creationId xmlns:a16="http://schemas.microsoft.com/office/drawing/2014/main" id="{0D5CB715-28B0-421D-B446-56CB5337EB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1" name="AutoShape 1" descr="Vista previa de toda la pantalla">
          <a:extLst>
            <a:ext uri="{FF2B5EF4-FFF2-40B4-BE49-F238E27FC236}">
              <a16:creationId xmlns:a16="http://schemas.microsoft.com/office/drawing/2014/main" id="{CB3A0A5F-D043-495A-928D-F904065C23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2" name="AutoShape 1" descr="Vista previa de toda la pantalla">
          <a:extLst>
            <a:ext uri="{FF2B5EF4-FFF2-40B4-BE49-F238E27FC236}">
              <a16:creationId xmlns:a16="http://schemas.microsoft.com/office/drawing/2014/main" id="{9DE5F856-8964-4FC7-A257-E06F89070E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3" name="AutoShape 1" descr="Vista previa de toda la pantalla">
          <a:extLst>
            <a:ext uri="{FF2B5EF4-FFF2-40B4-BE49-F238E27FC236}">
              <a16:creationId xmlns:a16="http://schemas.microsoft.com/office/drawing/2014/main" id="{755B3DEA-DAD8-4E90-B256-885444189F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4" name="AutoShape 1" descr="Vista previa de toda la pantalla">
          <a:extLst>
            <a:ext uri="{FF2B5EF4-FFF2-40B4-BE49-F238E27FC236}">
              <a16:creationId xmlns:a16="http://schemas.microsoft.com/office/drawing/2014/main" id="{135D4CC2-1CA5-4818-BA94-61DA59EA99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5" name="AutoShape 1" descr="Vista previa de toda la pantalla">
          <a:extLst>
            <a:ext uri="{FF2B5EF4-FFF2-40B4-BE49-F238E27FC236}">
              <a16:creationId xmlns:a16="http://schemas.microsoft.com/office/drawing/2014/main" id="{F280B359-6A09-4430-9FAA-33F0CE54C5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6" name="AutoShape 1" descr="Vista previa de toda la pantalla">
          <a:extLst>
            <a:ext uri="{FF2B5EF4-FFF2-40B4-BE49-F238E27FC236}">
              <a16:creationId xmlns:a16="http://schemas.microsoft.com/office/drawing/2014/main" id="{45B39CD0-1CDE-4693-840E-C5BE5738D2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7" name="AutoShape 1" descr="Vista previa de toda la pantalla">
          <a:extLst>
            <a:ext uri="{FF2B5EF4-FFF2-40B4-BE49-F238E27FC236}">
              <a16:creationId xmlns:a16="http://schemas.microsoft.com/office/drawing/2014/main" id="{CC97B3CA-C479-4790-9D86-C2D80595B9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8" name="AutoShape 1" descr="Vista previa de toda la pantalla">
          <a:extLst>
            <a:ext uri="{FF2B5EF4-FFF2-40B4-BE49-F238E27FC236}">
              <a16:creationId xmlns:a16="http://schemas.microsoft.com/office/drawing/2014/main" id="{38A88AE6-A6E7-4F9B-BB8E-12BB356AF3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19" name="AutoShape 1" descr="Vista previa de toda la pantalla">
          <a:extLst>
            <a:ext uri="{FF2B5EF4-FFF2-40B4-BE49-F238E27FC236}">
              <a16:creationId xmlns:a16="http://schemas.microsoft.com/office/drawing/2014/main" id="{BCCD3573-AB29-42FD-A11A-C79D9F00C8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0" name="AutoShape 1" descr="Vista previa de toda la pantalla">
          <a:extLst>
            <a:ext uri="{FF2B5EF4-FFF2-40B4-BE49-F238E27FC236}">
              <a16:creationId xmlns:a16="http://schemas.microsoft.com/office/drawing/2014/main" id="{2923F96F-6563-4FFA-A932-191D02B00D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1" name="AutoShape 1" descr="Vista previa de toda la pantalla">
          <a:extLst>
            <a:ext uri="{FF2B5EF4-FFF2-40B4-BE49-F238E27FC236}">
              <a16:creationId xmlns:a16="http://schemas.microsoft.com/office/drawing/2014/main" id="{DA7A6397-0FD3-4256-9BD6-1151E0CA96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2" name="AutoShape 1" descr="Vista previa de toda la pantalla">
          <a:extLst>
            <a:ext uri="{FF2B5EF4-FFF2-40B4-BE49-F238E27FC236}">
              <a16:creationId xmlns:a16="http://schemas.microsoft.com/office/drawing/2014/main" id="{5F0A8EE9-0672-4D45-83D0-C3C09B0B24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3" name="AutoShape 1" descr="Vista previa de toda la pantalla">
          <a:extLst>
            <a:ext uri="{FF2B5EF4-FFF2-40B4-BE49-F238E27FC236}">
              <a16:creationId xmlns:a16="http://schemas.microsoft.com/office/drawing/2014/main" id="{CD896DE4-85EC-46B1-B163-8728245F76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4" name="AutoShape 1" descr="Vista previa de toda la pantalla">
          <a:extLst>
            <a:ext uri="{FF2B5EF4-FFF2-40B4-BE49-F238E27FC236}">
              <a16:creationId xmlns:a16="http://schemas.microsoft.com/office/drawing/2014/main" id="{CE3CF4FC-F1E6-4856-8B5B-6818296874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5" name="AutoShape 1" descr="Vista previa de toda la pantalla">
          <a:extLst>
            <a:ext uri="{FF2B5EF4-FFF2-40B4-BE49-F238E27FC236}">
              <a16:creationId xmlns:a16="http://schemas.microsoft.com/office/drawing/2014/main" id="{125CE1DB-539E-4BDF-AD09-19E92C1301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6" name="AutoShape 1" descr="Vista previa de toda la pantalla">
          <a:extLst>
            <a:ext uri="{FF2B5EF4-FFF2-40B4-BE49-F238E27FC236}">
              <a16:creationId xmlns:a16="http://schemas.microsoft.com/office/drawing/2014/main" id="{8BB332DB-7797-43AA-88E4-4EABEA259F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7" name="AutoShape 1" descr="Vista previa de toda la pantalla">
          <a:extLst>
            <a:ext uri="{FF2B5EF4-FFF2-40B4-BE49-F238E27FC236}">
              <a16:creationId xmlns:a16="http://schemas.microsoft.com/office/drawing/2014/main" id="{2608FF64-7169-44C8-8C13-EEF363BC5C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8" name="AutoShape 1" descr="Vista previa de toda la pantalla">
          <a:extLst>
            <a:ext uri="{FF2B5EF4-FFF2-40B4-BE49-F238E27FC236}">
              <a16:creationId xmlns:a16="http://schemas.microsoft.com/office/drawing/2014/main" id="{7C24BB69-0AAC-47D3-8C7A-CA380AD720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29" name="AutoShape 1" descr="Vista previa de toda la pantalla">
          <a:extLst>
            <a:ext uri="{FF2B5EF4-FFF2-40B4-BE49-F238E27FC236}">
              <a16:creationId xmlns:a16="http://schemas.microsoft.com/office/drawing/2014/main" id="{FAD3070B-26A7-4CA3-8C04-CFED16B7AD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0" name="AutoShape 1" descr="Vista previa de toda la pantalla">
          <a:extLst>
            <a:ext uri="{FF2B5EF4-FFF2-40B4-BE49-F238E27FC236}">
              <a16:creationId xmlns:a16="http://schemas.microsoft.com/office/drawing/2014/main" id="{0D399B73-BE47-4349-BFF5-EDEAA40EF7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1" name="AutoShape 1" descr="Vista previa de toda la pantalla">
          <a:extLst>
            <a:ext uri="{FF2B5EF4-FFF2-40B4-BE49-F238E27FC236}">
              <a16:creationId xmlns:a16="http://schemas.microsoft.com/office/drawing/2014/main" id="{F057FC61-F653-4C2C-A4DD-3118104C3C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2" name="AutoShape 1" descr="Vista previa de toda la pantalla">
          <a:extLst>
            <a:ext uri="{FF2B5EF4-FFF2-40B4-BE49-F238E27FC236}">
              <a16:creationId xmlns:a16="http://schemas.microsoft.com/office/drawing/2014/main" id="{F3481D66-0371-46A4-9063-B3A142567A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3" name="AutoShape 1" descr="Vista previa de toda la pantalla">
          <a:extLst>
            <a:ext uri="{FF2B5EF4-FFF2-40B4-BE49-F238E27FC236}">
              <a16:creationId xmlns:a16="http://schemas.microsoft.com/office/drawing/2014/main" id="{B5918B62-06A1-4501-8842-C337E27379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4" name="AutoShape 1" descr="Vista previa de toda la pantalla">
          <a:extLst>
            <a:ext uri="{FF2B5EF4-FFF2-40B4-BE49-F238E27FC236}">
              <a16:creationId xmlns:a16="http://schemas.microsoft.com/office/drawing/2014/main" id="{FD6B666A-8B78-4C3E-962B-25578C0298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5" name="AutoShape 1" descr="Vista previa de toda la pantalla">
          <a:extLst>
            <a:ext uri="{FF2B5EF4-FFF2-40B4-BE49-F238E27FC236}">
              <a16:creationId xmlns:a16="http://schemas.microsoft.com/office/drawing/2014/main" id="{4EF45795-F447-4F5E-A697-3713CCF136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6" name="AutoShape 1" descr="Vista previa de toda la pantalla">
          <a:extLst>
            <a:ext uri="{FF2B5EF4-FFF2-40B4-BE49-F238E27FC236}">
              <a16:creationId xmlns:a16="http://schemas.microsoft.com/office/drawing/2014/main" id="{622F7B93-7F44-4A0D-9CEE-2D0B9A803D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7" name="AutoShape 1" descr="Vista previa de toda la pantalla">
          <a:extLst>
            <a:ext uri="{FF2B5EF4-FFF2-40B4-BE49-F238E27FC236}">
              <a16:creationId xmlns:a16="http://schemas.microsoft.com/office/drawing/2014/main" id="{C40A9106-5620-4FBF-8439-E9E17D7E5D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8" name="AutoShape 1" descr="Vista previa de toda la pantalla">
          <a:extLst>
            <a:ext uri="{FF2B5EF4-FFF2-40B4-BE49-F238E27FC236}">
              <a16:creationId xmlns:a16="http://schemas.microsoft.com/office/drawing/2014/main" id="{37D9B78A-9F3B-4383-9D5B-6459A12F8C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39" name="AutoShape 1" descr="Vista previa de toda la pantalla">
          <a:extLst>
            <a:ext uri="{FF2B5EF4-FFF2-40B4-BE49-F238E27FC236}">
              <a16:creationId xmlns:a16="http://schemas.microsoft.com/office/drawing/2014/main" id="{AAC29F20-E371-4E1F-A996-8ED6B7A39A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0" name="AutoShape 1" descr="Vista previa de toda la pantalla">
          <a:extLst>
            <a:ext uri="{FF2B5EF4-FFF2-40B4-BE49-F238E27FC236}">
              <a16:creationId xmlns:a16="http://schemas.microsoft.com/office/drawing/2014/main" id="{6EA5EE70-1EBC-473E-90FA-C3F4A6799B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1" name="AutoShape 1" descr="Vista previa de toda la pantalla">
          <a:extLst>
            <a:ext uri="{FF2B5EF4-FFF2-40B4-BE49-F238E27FC236}">
              <a16:creationId xmlns:a16="http://schemas.microsoft.com/office/drawing/2014/main" id="{7F0BB460-3789-45F1-B9F3-03AAB0F50E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2" name="AutoShape 1" descr="Vista previa de toda la pantalla">
          <a:extLst>
            <a:ext uri="{FF2B5EF4-FFF2-40B4-BE49-F238E27FC236}">
              <a16:creationId xmlns:a16="http://schemas.microsoft.com/office/drawing/2014/main" id="{465B896D-E8E2-4D3E-A47F-78C8D3F9D3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3" name="AutoShape 1" descr="Vista previa de toda la pantalla">
          <a:extLst>
            <a:ext uri="{FF2B5EF4-FFF2-40B4-BE49-F238E27FC236}">
              <a16:creationId xmlns:a16="http://schemas.microsoft.com/office/drawing/2014/main" id="{A3DD0E94-3F05-499E-9916-5338A2B018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4" name="AutoShape 1" descr="Vista previa de toda la pantalla">
          <a:extLst>
            <a:ext uri="{FF2B5EF4-FFF2-40B4-BE49-F238E27FC236}">
              <a16:creationId xmlns:a16="http://schemas.microsoft.com/office/drawing/2014/main" id="{70C51CD0-E5FD-4F24-9377-98CD1B36A9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5" name="AutoShape 1" descr="Vista previa de toda la pantalla">
          <a:extLst>
            <a:ext uri="{FF2B5EF4-FFF2-40B4-BE49-F238E27FC236}">
              <a16:creationId xmlns:a16="http://schemas.microsoft.com/office/drawing/2014/main" id="{450A2D9E-7E08-4B52-97CC-3C6536B15E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6" name="AutoShape 1" descr="Vista previa de toda la pantalla">
          <a:extLst>
            <a:ext uri="{FF2B5EF4-FFF2-40B4-BE49-F238E27FC236}">
              <a16:creationId xmlns:a16="http://schemas.microsoft.com/office/drawing/2014/main" id="{29D5C87F-1853-4262-AF0A-689D627ADA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7" name="AutoShape 1" descr="Vista previa de toda la pantalla">
          <a:extLst>
            <a:ext uri="{FF2B5EF4-FFF2-40B4-BE49-F238E27FC236}">
              <a16:creationId xmlns:a16="http://schemas.microsoft.com/office/drawing/2014/main" id="{7C47260E-2E77-41E8-BA75-45A7764A7D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8" name="AutoShape 1" descr="Vista previa de toda la pantalla">
          <a:extLst>
            <a:ext uri="{FF2B5EF4-FFF2-40B4-BE49-F238E27FC236}">
              <a16:creationId xmlns:a16="http://schemas.microsoft.com/office/drawing/2014/main" id="{355AE210-A7F0-48C4-BD4D-674F8E6A70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49" name="AutoShape 1" descr="Vista previa de toda la pantalla">
          <a:extLst>
            <a:ext uri="{FF2B5EF4-FFF2-40B4-BE49-F238E27FC236}">
              <a16:creationId xmlns:a16="http://schemas.microsoft.com/office/drawing/2014/main" id="{3CFCB849-1F32-4DC9-BC78-EFC663C4BA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0" name="AutoShape 1" descr="Vista previa de toda la pantalla">
          <a:extLst>
            <a:ext uri="{FF2B5EF4-FFF2-40B4-BE49-F238E27FC236}">
              <a16:creationId xmlns:a16="http://schemas.microsoft.com/office/drawing/2014/main" id="{0E132828-8BAD-43B8-8408-5683132C9B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1" name="AutoShape 1" descr="Vista previa de toda la pantalla">
          <a:extLst>
            <a:ext uri="{FF2B5EF4-FFF2-40B4-BE49-F238E27FC236}">
              <a16:creationId xmlns:a16="http://schemas.microsoft.com/office/drawing/2014/main" id="{D930C8F0-DA8E-401B-A7DF-250C262269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2" name="AutoShape 1" descr="Vista previa de toda la pantalla">
          <a:extLst>
            <a:ext uri="{FF2B5EF4-FFF2-40B4-BE49-F238E27FC236}">
              <a16:creationId xmlns:a16="http://schemas.microsoft.com/office/drawing/2014/main" id="{88DE9D53-400B-4129-A69F-7B56AA487D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3" name="AutoShape 1" descr="Vista previa de toda la pantalla">
          <a:extLst>
            <a:ext uri="{FF2B5EF4-FFF2-40B4-BE49-F238E27FC236}">
              <a16:creationId xmlns:a16="http://schemas.microsoft.com/office/drawing/2014/main" id="{FC64BFE2-F8D2-4602-9695-210EF3EC1A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4" name="AutoShape 1" descr="Vista previa de toda la pantalla">
          <a:extLst>
            <a:ext uri="{FF2B5EF4-FFF2-40B4-BE49-F238E27FC236}">
              <a16:creationId xmlns:a16="http://schemas.microsoft.com/office/drawing/2014/main" id="{4711FF7E-0487-4C5E-8B29-D08DD7FFA7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5" name="AutoShape 1" descr="Vista previa de toda la pantalla">
          <a:extLst>
            <a:ext uri="{FF2B5EF4-FFF2-40B4-BE49-F238E27FC236}">
              <a16:creationId xmlns:a16="http://schemas.microsoft.com/office/drawing/2014/main" id="{82EFDB2D-4169-41FB-BD61-5160850509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6" name="AutoShape 1" descr="Vista previa de toda la pantalla">
          <a:extLst>
            <a:ext uri="{FF2B5EF4-FFF2-40B4-BE49-F238E27FC236}">
              <a16:creationId xmlns:a16="http://schemas.microsoft.com/office/drawing/2014/main" id="{45FE312C-2088-413B-8497-9A9489A64D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7" name="AutoShape 1" descr="Vista previa de toda la pantalla">
          <a:extLst>
            <a:ext uri="{FF2B5EF4-FFF2-40B4-BE49-F238E27FC236}">
              <a16:creationId xmlns:a16="http://schemas.microsoft.com/office/drawing/2014/main" id="{4CDEDB80-0160-416C-8334-C61D16AD7B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8" name="AutoShape 1" descr="Vista previa de toda la pantalla">
          <a:extLst>
            <a:ext uri="{FF2B5EF4-FFF2-40B4-BE49-F238E27FC236}">
              <a16:creationId xmlns:a16="http://schemas.microsoft.com/office/drawing/2014/main" id="{2B7F73AA-EEDF-4895-8D10-7367FB3CBE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59" name="AutoShape 1" descr="Vista previa de toda la pantalla">
          <a:extLst>
            <a:ext uri="{FF2B5EF4-FFF2-40B4-BE49-F238E27FC236}">
              <a16:creationId xmlns:a16="http://schemas.microsoft.com/office/drawing/2014/main" id="{BDDF0C6C-BB16-47FD-AEA9-7C16E5D7C7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60" name="AutoShape 1" descr="Vista previa de toda la pantalla">
          <a:extLst>
            <a:ext uri="{FF2B5EF4-FFF2-40B4-BE49-F238E27FC236}">
              <a16:creationId xmlns:a16="http://schemas.microsoft.com/office/drawing/2014/main" id="{808FC757-CA0A-4ABB-BF34-6C1E997B02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61" name="AutoShape 1" descr="Vista previa de toda la pantalla">
          <a:extLst>
            <a:ext uri="{FF2B5EF4-FFF2-40B4-BE49-F238E27FC236}">
              <a16:creationId xmlns:a16="http://schemas.microsoft.com/office/drawing/2014/main" id="{BD4D8BC4-0EC3-4E89-A33F-A72EB89786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62" name="AutoShape 1" descr="Vista previa de toda la pantalla">
          <a:extLst>
            <a:ext uri="{FF2B5EF4-FFF2-40B4-BE49-F238E27FC236}">
              <a16:creationId xmlns:a16="http://schemas.microsoft.com/office/drawing/2014/main" id="{34C9AF10-B4C2-40D2-96AA-E31F776D19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4563" name="AutoShape 1" descr="Vista previa de toda la pantalla">
          <a:extLst>
            <a:ext uri="{FF2B5EF4-FFF2-40B4-BE49-F238E27FC236}">
              <a16:creationId xmlns:a16="http://schemas.microsoft.com/office/drawing/2014/main" id="{9896AA3B-EFAE-44F3-AAF6-F1D4FCCF17BC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64" name="AutoShape 1" descr="Vista previa de toda la pantalla">
          <a:extLst>
            <a:ext uri="{FF2B5EF4-FFF2-40B4-BE49-F238E27FC236}">
              <a16:creationId xmlns:a16="http://schemas.microsoft.com/office/drawing/2014/main" id="{882E87AB-9D3B-4CE4-969F-34B05BD7A3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65" name="AutoShape 1" descr="Vista previa de toda la pantalla">
          <a:extLst>
            <a:ext uri="{FF2B5EF4-FFF2-40B4-BE49-F238E27FC236}">
              <a16:creationId xmlns:a16="http://schemas.microsoft.com/office/drawing/2014/main" id="{BEAA67CF-7B31-405F-AE36-BBFB703EDC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66" name="AutoShape 1" descr="Vista previa de toda la pantalla">
          <a:extLst>
            <a:ext uri="{FF2B5EF4-FFF2-40B4-BE49-F238E27FC236}">
              <a16:creationId xmlns:a16="http://schemas.microsoft.com/office/drawing/2014/main" id="{F4D920BF-D9A0-4F6F-B1DF-D270092488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67" name="AutoShape 1" descr="Vista previa de toda la pantalla">
          <a:extLst>
            <a:ext uri="{FF2B5EF4-FFF2-40B4-BE49-F238E27FC236}">
              <a16:creationId xmlns:a16="http://schemas.microsoft.com/office/drawing/2014/main" id="{E5774001-FEA6-4DF5-8949-8AC20B2177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68" name="AutoShape 1" descr="Vista previa de toda la pantalla">
          <a:extLst>
            <a:ext uri="{FF2B5EF4-FFF2-40B4-BE49-F238E27FC236}">
              <a16:creationId xmlns:a16="http://schemas.microsoft.com/office/drawing/2014/main" id="{ED1CDEBF-2780-4CF7-9B0E-E74576F689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69" name="AutoShape 1" descr="Vista previa de toda la pantalla">
          <a:extLst>
            <a:ext uri="{FF2B5EF4-FFF2-40B4-BE49-F238E27FC236}">
              <a16:creationId xmlns:a16="http://schemas.microsoft.com/office/drawing/2014/main" id="{AFDBED4F-E3AD-4F15-A3BB-0A97474598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0" name="AutoShape 1" descr="Vista previa de toda la pantalla">
          <a:extLst>
            <a:ext uri="{FF2B5EF4-FFF2-40B4-BE49-F238E27FC236}">
              <a16:creationId xmlns:a16="http://schemas.microsoft.com/office/drawing/2014/main" id="{931FEE98-F734-4AC5-8306-01F4EE46D8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1" name="AutoShape 1" descr="Vista previa de toda la pantalla">
          <a:extLst>
            <a:ext uri="{FF2B5EF4-FFF2-40B4-BE49-F238E27FC236}">
              <a16:creationId xmlns:a16="http://schemas.microsoft.com/office/drawing/2014/main" id="{E67685B7-4665-45E1-86A8-5979EAC35B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2" name="AutoShape 1" descr="Vista previa de toda la pantalla">
          <a:extLst>
            <a:ext uri="{FF2B5EF4-FFF2-40B4-BE49-F238E27FC236}">
              <a16:creationId xmlns:a16="http://schemas.microsoft.com/office/drawing/2014/main" id="{D94CCB85-511C-4B91-9E99-F8A3B988A0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3" name="AutoShape 1" descr="Vista previa de toda la pantalla">
          <a:extLst>
            <a:ext uri="{FF2B5EF4-FFF2-40B4-BE49-F238E27FC236}">
              <a16:creationId xmlns:a16="http://schemas.microsoft.com/office/drawing/2014/main" id="{2202C839-588E-434C-8417-CD949FAD93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4" name="AutoShape 1" descr="Vista previa de toda la pantalla">
          <a:extLst>
            <a:ext uri="{FF2B5EF4-FFF2-40B4-BE49-F238E27FC236}">
              <a16:creationId xmlns:a16="http://schemas.microsoft.com/office/drawing/2014/main" id="{C29009CC-DAB2-4A5D-8F2A-015CCD685A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5" name="AutoShape 1" descr="Vista previa de toda la pantalla">
          <a:extLst>
            <a:ext uri="{FF2B5EF4-FFF2-40B4-BE49-F238E27FC236}">
              <a16:creationId xmlns:a16="http://schemas.microsoft.com/office/drawing/2014/main" id="{9AC75691-35A9-422E-9F3F-C957C80E26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6" name="AutoShape 1" descr="Vista previa de toda la pantalla">
          <a:extLst>
            <a:ext uri="{FF2B5EF4-FFF2-40B4-BE49-F238E27FC236}">
              <a16:creationId xmlns:a16="http://schemas.microsoft.com/office/drawing/2014/main" id="{62E1041E-3686-4B69-AAA6-42D5B93409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7" name="AutoShape 1" descr="Vista previa de toda la pantalla">
          <a:extLst>
            <a:ext uri="{FF2B5EF4-FFF2-40B4-BE49-F238E27FC236}">
              <a16:creationId xmlns:a16="http://schemas.microsoft.com/office/drawing/2014/main" id="{0AB91A61-7AA3-49BB-9D2C-24F941B5BB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8" name="AutoShape 1" descr="Vista previa de toda la pantalla">
          <a:extLst>
            <a:ext uri="{FF2B5EF4-FFF2-40B4-BE49-F238E27FC236}">
              <a16:creationId xmlns:a16="http://schemas.microsoft.com/office/drawing/2014/main" id="{7DE642D2-2580-4F35-BC93-23A1BE331D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79" name="AutoShape 1" descr="Vista previa de toda la pantalla">
          <a:extLst>
            <a:ext uri="{FF2B5EF4-FFF2-40B4-BE49-F238E27FC236}">
              <a16:creationId xmlns:a16="http://schemas.microsoft.com/office/drawing/2014/main" id="{BACC0428-29C6-4CDA-BAE1-BF4853CF47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0" name="AutoShape 1" descr="Vista previa de toda la pantalla">
          <a:extLst>
            <a:ext uri="{FF2B5EF4-FFF2-40B4-BE49-F238E27FC236}">
              <a16:creationId xmlns:a16="http://schemas.microsoft.com/office/drawing/2014/main" id="{44D33D77-7D88-41AF-8E3F-0687DFB562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1" name="AutoShape 1" descr="Vista previa de toda la pantalla">
          <a:extLst>
            <a:ext uri="{FF2B5EF4-FFF2-40B4-BE49-F238E27FC236}">
              <a16:creationId xmlns:a16="http://schemas.microsoft.com/office/drawing/2014/main" id="{565FD059-0926-497A-99D7-76BDD73C14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2" name="AutoShape 1" descr="Vista previa de toda la pantalla">
          <a:extLst>
            <a:ext uri="{FF2B5EF4-FFF2-40B4-BE49-F238E27FC236}">
              <a16:creationId xmlns:a16="http://schemas.microsoft.com/office/drawing/2014/main" id="{48107030-8F39-4D7A-AF8D-F081BCA537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3" name="AutoShape 1" descr="Vista previa de toda la pantalla">
          <a:extLst>
            <a:ext uri="{FF2B5EF4-FFF2-40B4-BE49-F238E27FC236}">
              <a16:creationId xmlns:a16="http://schemas.microsoft.com/office/drawing/2014/main" id="{1790357E-F18D-49EA-9B84-B30E7DAEDE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4" name="AutoShape 1" descr="Vista previa de toda la pantalla">
          <a:extLst>
            <a:ext uri="{FF2B5EF4-FFF2-40B4-BE49-F238E27FC236}">
              <a16:creationId xmlns:a16="http://schemas.microsoft.com/office/drawing/2014/main" id="{07C49D6A-5088-4E95-B8F4-2F34CC34BC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5" name="AutoShape 1" descr="Vista previa de toda la pantalla">
          <a:extLst>
            <a:ext uri="{FF2B5EF4-FFF2-40B4-BE49-F238E27FC236}">
              <a16:creationId xmlns:a16="http://schemas.microsoft.com/office/drawing/2014/main" id="{02854D2F-45D1-433B-93C2-4649975620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6" name="AutoShape 1" descr="Vista previa de toda la pantalla">
          <a:extLst>
            <a:ext uri="{FF2B5EF4-FFF2-40B4-BE49-F238E27FC236}">
              <a16:creationId xmlns:a16="http://schemas.microsoft.com/office/drawing/2014/main" id="{9550C4EB-D4FB-4248-B078-57B8DDA3C5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7" name="AutoShape 1" descr="Vista previa de toda la pantalla">
          <a:extLst>
            <a:ext uri="{FF2B5EF4-FFF2-40B4-BE49-F238E27FC236}">
              <a16:creationId xmlns:a16="http://schemas.microsoft.com/office/drawing/2014/main" id="{0DAAB057-8F54-4AFC-8805-73F3A5519B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8" name="AutoShape 1" descr="Vista previa de toda la pantalla">
          <a:extLst>
            <a:ext uri="{FF2B5EF4-FFF2-40B4-BE49-F238E27FC236}">
              <a16:creationId xmlns:a16="http://schemas.microsoft.com/office/drawing/2014/main" id="{34C605DB-858A-49DB-B7F1-6B0ABE16DC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89" name="AutoShape 1" descr="Vista previa de toda la pantalla">
          <a:extLst>
            <a:ext uri="{FF2B5EF4-FFF2-40B4-BE49-F238E27FC236}">
              <a16:creationId xmlns:a16="http://schemas.microsoft.com/office/drawing/2014/main" id="{6EB62BFD-C75F-4C71-A224-F55727B4E2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0" name="AutoShape 1" descr="Vista previa de toda la pantalla">
          <a:extLst>
            <a:ext uri="{FF2B5EF4-FFF2-40B4-BE49-F238E27FC236}">
              <a16:creationId xmlns:a16="http://schemas.microsoft.com/office/drawing/2014/main" id="{D363AE92-66FF-477B-B3CC-6A1F243F6E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1" name="AutoShape 1" descr="Vista previa de toda la pantalla">
          <a:extLst>
            <a:ext uri="{FF2B5EF4-FFF2-40B4-BE49-F238E27FC236}">
              <a16:creationId xmlns:a16="http://schemas.microsoft.com/office/drawing/2014/main" id="{21A8FB9E-57EA-44DC-8BF8-68CC32780E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2" name="AutoShape 1" descr="Vista previa de toda la pantalla">
          <a:extLst>
            <a:ext uri="{FF2B5EF4-FFF2-40B4-BE49-F238E27FC236}">
              <a16:creationId xmlns:a16="http://schemas.microsoft.com/office/drawing/2014/main" id="{A26EB7EC-40E1-4A23-80E3-9BEB2A1FBF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3" name="AutoShape 1" descr="Vista previa de toda la pantalla">
          <a:extLst>
            <a:ext uri="{FF2B5EF4-FFF2-40B4-BE49-F238E27FC236}">
              <a16:creationId xmlns:a16="http://schemas.microsoft.com/office/drawing/2014/main" id="{C846B279-54D5-45E1-AAD7-D5ADA03353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4" name="AutoShape 1" descr="Vista previa de toda la pantalla">
          <a:extLst>
            <a:ext uri="{FF2B5EF4-FFF2-40B4-BE49-F238E27FC236}">
              <a16:creationId xmlns:a16="http://schemas.microsoft.com/office/drawing/2014/main" id="{C2716265-27C7-4E2E-8CBC-A3ACBF1E78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5" name="AutoShape 1" descr="Vista previa de toda la pantalla">
          <a:extLst>
            <a:ext uri="{FF2B5EF4-FFF2-40B4-BE49-F238E27FC236}">
              <a16:creationId xmlns:a16="http://schemas.microsoft.com/office/drawing/2014/main" id="{79DB45DE-A65E-4A3F-905C-39B156357B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6" name="AutoShape 1" descr="Vista previa de toda la pantalla">
          <a:extLst>
            <a:ext uri="{FF2B5EF4-FFF2-40B4-BE49-F238E27FC236}">
              <a16:creationId xmlns:a16="http://schemas.microsoft.com/office/drawing/2014/main" id="{DC16E9E9-D865-4792-9C12-79A4E9ECD8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7" name="AutoShape 1" descr="Vista previa de toda la pantalla">
          <a:extLst>
            <a:ext uri="{FF2B5EF4-FFF2-40B4-BE49-F238E27FC236}">
              <a16:creationId xmlns:a16="http://schemas.microsoft.com/office/drawing/2014/main" id="{7942FEF1-027D-4008-BBF3-D2A6BB5B38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8" name="AutoShape 1" descr="Vista previa de toda la pantalla">
          <a:extLst>
            <a:ext uri="{FF2B5EF4-FFF2-40B4-BE49-F238E27FC236}">
              <a16:creationId xmlns:a16="http://schemas.microsoft.com/office/drawing/2014/main" id="{FE48A035-F40F-49FA-B61B-D39ED18E3B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599" name="AutoShape 1" descr="Vista previa de toda la pantalla">
          <a:extLst>
            <a:ext uri="{FF2B5EF4-FFF2-40B4-BE49-F238E27FC236}">
              <a16:creationId xmlns:a16="http://schemas.microsoft.com/office/drawing/2014/main" id="{D23B8786-3FC7-4C55-B964-9D365F7F7F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0" name="AutoShape 1" descr="Vista previa de toda la pantalla">
          <a:extLst>
            <a:ext uri="{FF2B5EF4-FFF2-40B4-BE49-F238E27FC236}">
              <a16:creationId xmlns:a16="http://schemas.microsoft.com/office/drawing/2014/main" id="{43C6B730-C624-4C43-905C-D25A736860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1" name="AutoShape 1" descr="Vista previa de toda la pantalla">
          <a:extLst>
            <a:ext uri="{FF2B5EF4-FFF2-40B4-BE49-F238E27FC236}">
              <a16:creationId xmlns:a16="http://schemas.microsoft.com/office/drawing/2014/main" id="{89019318-1906-4E31-96BA-957B43C6E7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2" name="AutoShape 1" descr="Vista previa de toda la pantalla">
          <a:extLst>
            <a:ext uri="{FF2B5EF4-FFF2-40B4-BE49-F238E27FC236}">
              <a16:creationId xmlns:a16="http://schemas.microsoft.com/office/drawing/2014/main" id="{012AC10D-6093-431C-A9CB-34B4784382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3" name="AutoShape 1" descr="Vista previa de toda la pantalla">
          <a:extLst>
            <a:ext uri="{FF2B5EF4-FFF2-40B4-BE49-F238E27FC236}">
              <a16:creationId xmlns:a16="http://schemas.microsoft.com/office/drawing/2014/main" id="{158CDCB4-6915-4750-9ED2-FAA7F5A180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4" name="AutoShape 1" descr="Vista previa de toda la pantalla">
          <a:extLst>
            <a:ext uri="{FF2B5EF4-FFF2-40B4-BE49-F238E27FC236}">
              <a16:creationId xmlns:a16="http://schemas.microsoft.com/office/drawing/2014/main" id="{46042460-00EB-455A-9B59-52CD5DD14A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5" name="AutoShape 1" descr="Vista previa de toda la pantalla">
          <a:extLst>
            <a:ext uri="{FF2B5EF4-FFF2-40B4-BE49-F238E27FC236}">
              <a16:creationId xmlns:a16="http://schemas.microsoft.com/office/drawing/2014/main" id="{3DA64AAB-75FA-4CC1-823B-80C4D0EF85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6" name="AutoShape 1" descr="Vista previa de toda la pantalla">
          <a:extLst>
            <a:ext uri="{FF2B5EF4-FFF2-40B4-BE49-F238E27FC236}">
              <a16:creationId xmlns:a16="http://schemas.microsoft.com/office/drawing/2014/main" id="{01163010-A767-44A2-BC14-0A59E287D2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7" name="AutoShape 1" descr="Vista previa de toda la pantalla">
          <a:extLst>
            <a:ext uri="{FF2B5EF4-FFF2-40B4-BE49-F238E27FC236}">
              <a16:creationId xmlns:a16="http://schemas.microsoft.com/office/drawing/2014/main" id="{FAD5003A-937A-444E-BAB3-BB652C180F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8" name="AutoShape 1" descr="Vista previa de toda la pantalla">
          <a:extLst>
            <a:ext uri="{FF2B5EF4-FFF2-40B4-BE49-F238E27FC236}">
              <a16:creationId xmlns:a16="http://schemas.microsoft.com/office/drawing/2014/main" id="{96FB281A-DAA2-4DE0-9E87-FCDE5819C6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09" name="AutoShape 1" descr="Vista previa de toda la pantalla">
          <a:extLst>
            <a:ext uri="{FF2B5EF4-FFF2-40B4-BE49-F238E27FC236}">
              <a16:creationId xmlns:a16="http://schemas.microsoft.com/office/drawing/2014/main" id="{C624B1AD-E692-4102-812E-60EC04C079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0" name="AutoShape 1" descr="Vista previa de toda la pantalla">
          <a:extLst>
            <a:ext uri="{FF2B5EF4-FFF2-40B4-BE49-F238E27FC236}">
              <a16:creationId xmlns:a16="http://schemas.microsoft.com/office/drawing/2014/main" id="{235BF03B-7D1B-4798-8B06-3FA3279CB5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1" name="AutoShape 1" descr="Vista previa de toda la pantalla">
          <a:extLst>
            <a:ext uri="{FF2B5EF4-FFF2-40B4-BE49-F238E27FC236}">
              <a16:creationId xmlns:a16="http://schemas.microsoft.com/office/drawing/2014/main" id="{495F87F7-A850-4986-91A6-9E4A3F86FD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2" name="AutoShape 1" descr="Vista previa de toda la pantalla">
          <a:extLst>
            <a:ext uri="{FF2B5EF4-FFF2-40B4-BE49-F238E27FC236}">
              <a16:creationId xmlns:a16="http://schemas.microsoft.com/office/drawing/2014/main" id="{DD3A1E5A-8291-4BB1-8F11-689E6EC2E6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3" name="AutoShape 1" descr="Vista previa de toda la pantalla">
          <a:extLst>
            <a:ext uri="{FF2B5EF4-FFF2-40B4-BE49-F238E27FC236}">
              <a16:creationId xmlns:a16="http://schemas.microsoft.com/office/drawing/2014/main" id="{AC97CC90-F75D-468C-97C6-ED241C0F1D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4" name="AutoShape 1" descr="Vista previa de toda la pantalla">
          <a:extLst>
            <a:ext uri="{FF2B5EF4-FFF2-40B4-BE49-F238E27FC236}">
              <a16:creationId xmlns:a16="http://schemas.microsoft.com/office/drawing/2014/main" id="{B3896877-59B4-4411-82B7-83A37A5790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5" name="AutoShape 1" descr="Vista previa de toda la pantalla">
          <a:extLst>
            <a:ext uri="{FF2B5EF4-FFF2-40B4-BE49-F238E27FC236}">
              <a16:creationId xmlns:a16="http://schemas.microsoft.com/office/drawing/2014/main" id="{C81D1BFC-0C59-49D1-95DD-3C42261D7A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6" name="AutoShape 1" descr="Vista previa de toda la pantalla">
          <a:extLst>
            <a:ext uri="{FF2B5EF4-FFF2-40B4-BE49-F238E27FC236}">
              <a16:creationId xmlns:a16="http://schemas.microsoft.com/office/drawing/2014/main" id="{954F258D-120A-4B79-A855-1E36E826D1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7" name="AutoShape 1" descr="Vista previa de toda la pantalla">
          <a:extLst>
            <a:ext uri="{FF2B5EF4-FFF2-40B4-BE49-F238E27FC236}">
              <a16:creationId xmlns:a16="http://schemas.microsoft.com/office/drawing/2014/main" id="{DA1B5AA0-969A-4FE0-A230-C17DBF3563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8" name="AutoShape 1" descr="Vista previa de toda la pantalla">
          <a:extLst>
            <a:ext uri="{FF2B5EF4-FFF2-40B4-BE49-F238E27FC236}">
              <a16:creationId xmlns:a16="http://schemas.microsoft.com/office/drawing/2014/main" id="{E1A8DC1D-6A04-40E5-8A4B-EDB3DB0DBF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19" name="AutoShape 1" descr="Vista previa de toda la pantalla">
          <a:extLst>
            <a:ext uri="{FF2B5EF4-FFF2-40B4-BE49-F238E27FC236}">
              <a16:creationId xmlns:a16="http://schemas.microsoft.com/office/drawing/2014/main" id="{372BC0E5-5726-4546-B5A6-95C5164DC2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0" name="AutoShape 1" descr="Vista previa de toda la pantalla">
          <a:extLst>
            <a:ext uri="{FF2B5EF4-FFF2-40B4-BE49-F238E27FC236}">
              <a16:creationId xmlns:a16="http://schemas.microsoft.com/office/drawing/2014/main" id="{A3494744-28B9-4773-9E22-C115D24AAC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1" name="AutoShape 1" descr="Vista previa de toda la pantalla">
          <a:extLst>
            <a:ext uri="{FF2B5EF4-FFF2-40B4-BE49-F238E27FC236}">
              <a16:creationId xmlns:a16="http://schemas.microsoft.com/office/drawing/2014/main" id="{CFBC74B9-21C2-488B-A9E1-6D123A7457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2" name="AutoShape 1" descr="Vista previa de toda la pantalla">
          <a:extLst>
            <a:ext uri="{FF2B5EF4-FFF2-40B4-BE49-F238E27FC236}">
              <a16:creationId xmlns:a16="http://schemas.microsoft.com/office/drawing/2014/main" id="{FA9DA2AD-B2FD-4F1E-BE38-F75608B9DA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3" name="AutoShape 1" descr="Vista previa de toda la pantalla">
          <a:extLst>
            <a:ext uri="{FF2B5EF4-FFF2-40B4-BE49-F238E27FC236}">
              <a16:creationId xmlns:a16="http://schemas.microsoft.com/office/drawing/2014/main" id="{0DD265C4-11DE-4F20-A4F7-11DE69D900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4" name="AutoShape 1" descr="Vista previa de toda la pantalla">
          <a:extLst>
            <a:ext uri="{FF2B5EF4-FFF2-40B4-BE49-F238E27FC236}">
              <a16:creationId xmlns:a16="http://schemas.microsoft.com/office/drawing/2014/main" id="{F53A7FD8-8FA4-4337-BBE0-448C15A40D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5" name="AutoShape 1" descr="Vista previa de toda la pantalla">
          <a:extLst>
            <a:ext uri="{FF2B5EF4-FFF2-40B4-BE49-F238E27FC236}">
              <a16:creationId xmlns:a16="http://schemas.microsoft.com/office/drawing/2014/main" id="{401DD184-68D4-40D0-9634-238CCF7604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6" name="AutoShape 1" descr="Vista previa de toda la pantalla">
          <a:extLst>
            <a:ext uri="{FF2B5EF4-FFF2-40B4-BE49-F238E27FC236}">
              <a16:creationId xmlns:a16="http://schemas.microsoft.com/office/drawing/2014/main" id="{A03BE75C-F755-42EB-8645-A79C879312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7" name="AutoShape 1" descr="Vista previa de toda la pantalla">
          <a:extLst>
            <a:ext uri="{FF2B5EF4-FFF2-40B4-BE49-F238E27FC236}">
              <a16:creationId xmlns:a16="http://schemas.microsoft.com/office/drawing/2014/main" id="{52B1DC8E-15B8-4CAD-B111-94F373602A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8" name="AutoShape 1" descr="Vista previa de toda la pantalla">
          <a:extLst>
            <a:ext uri="{FF2B5EF4-FFF2-40B4-BE49-F238E27FC236}">
              <a16:creationId xmlns:a16="http://schemas.microsoft.com/office/drawing/2014/main" id="{D762971F-ED2D-4DB0-A7B1-C621BDD438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29" name="AutoShape 1" descr="Vista previa de toda la pantalla">
          <a:extLst>
            <a:ext uri="{FF2B5EF4-FFF2-40B4-BE49-F238E27FC236}">
              <a16:creationId xmlns:a16="http://schemas.microsoft.com/office/drawing/2014/main" id="{B79E7930-7F7E-4017-A445-E77EE7BB2B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0" name="AutoShape 1" descr="Vista previa de toda la pantalla">
          <a:extLst>
            <a:ext uri="{FF2B5EF4-FFF2-40B4-BE49-F238E27FC236}">
              <a16:creationId xmlns:a16="http://schemas.microsoft.com/office/drawing/2014/main" id="{34EB111D-5A75-4E63-9344-202B9D8BF1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1" name="AutoShape 1" descr="Vista previa de toda la pantalla">
          <a:extLst>
            <a:ext uri="{FF2B5EF4-FFF2-40B4-BE49-F238E27FC236}">
              <a16:creationId xmlns:a16="http://schemas.microsoft.com/office/drawing/2014/main" id="{5EF10557-E621-412A-B962-6C9092EB6C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2" name="AutoShape 1" descr="Vista previa de toda la pantalla">
          <a:extLst>
            <a:ext uri="{FF2B5EF4-FFF2-40B4-BE49-F238E27FC236}">
              <a16:creationId xmlns:a16="http://schemas.microsoft.com/office/drawing/2014/main" id="{E08E45C2-721D-4545-A2AD-E2E41187AC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3" name="AutoShape 1" descr="Vista previa de toda la pantalla">
          <a:extLst>
            <a:ext uri="{FF2B5EF4-FFF2-40B4-BE49-F238E27FC236}">
              <a16:creationId xmlns:a16="http://schemas.microsoft.com/office/drawing/2014/main" id="{C02D4EC6-5314-4805-A501-E0A3B039EC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4" name="AutoShape 1" descr="Vista previa de toda la pantalla">
          <a:extLst>
            <a:ext uri="{FF2B5EF4-FFF2-40B4-BE49-F238E27FC236}">
              <a16:creationId xmlns:a16="http://schemas.microsoft.com/office/drawing/2014/main" id="{FBAFB54D-EB56-474E-8EAA-B6A3B56F34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5" name="AutoShape 1" descr="Vista previa de toda la pantalla">
          <a:extLst>
            <a:ext uri="{FF2B5EF4-FFF2-40B4-BE49-F238E27FC236}">
              <a16:creationId xmlns:a16="http://schemas.microsoft.com/office/drawing/2014/main" id="{2E1E21CE-C451-4AF7-8574-D3E5E8AE84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6" name="AutoShape 1" descr="Vista previa de toda la pantalla">
          <a:extLst>
            <a:ext uri="{FF2B5EF4-FFF2-40B4-BE49-F238E27FC236}">
              <a16:creationId xmlns:a16="http://schemas.microsoft.com/office/drawing/2014/main" id="{16246C81-6C75-4373-82A1-6DCE45F6FC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7" name="AutoShape 1" descr="Vista previa de toda la pantalla">
          <a:extLst>
            <a:ext uri="{FF2B5EF4-FFF2-40B4-BE49-F238E27FC236}">
              <a16:creationId xmlns:a16="http://schemas.microsoft.com/office/drawing/2014/main" id="{8AF011B1-2632-4BCC-9980-BA42092194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8" name="AutoShape 1" descr="Vista previa de toda la pantalla">
          <a:extLst>
            <a:ext uri="{FF2B5EF4-FFF2-40B4-BE49-F238E27FC236}">
              <a16:creationId xmlns:a16="http://schemas.microsoft.com/office/drawing/2014/main" id="{8CCCC6A6-2FE2-44A9-8B95-64E03E91CB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39" name="AutoShape 1" descr="Vista previa de toda la pantalla">
          <a:extLst>
            <a:ext uri="{FF2B5EF4-FFF2-40B4-BE49-F238E27FC236}">
              <a16:creationId xmlns:a16="http://schemas.microsoft.com/office/drawing/2014/main" id="{8A37B757-0F2F-4281-ADDD-3F44974D41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0" name="AutoShape 1" descr="Vista previa de toda la pantalla">
          <a:extLst>
            <a:ext uri="{FF2B5EF4-FFF2-40B4-BE49-F238E27FC236}">
              <a16:creationId xmlns:a16="http://schemas.microsoft.com/office/drawing/2014/main" id="{6C9E34DA-110E-461C-BC4F-6836AC7DEA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1" name="AutoShape 1" descr="Vista previa de toda la pantalla">
          <a:extLst>
            <a:ext uri="{FF2B5EF4-FFF2-40B4-BE49-F238E27FC236}">
              <a16:creationId xmlns:a16="http://schemas.microsoft.com/office/drawing/2014/main" id="{8B3A3809-3AD8-4236-94EF-9685FF2AD0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2" name="AutoShape 1" descr="Vista previa de toda la pantalla">
          <a:extLst>
            <a:ext uri="{FF2B5EF4-FFF2-40B4-BE49-F238E27FC236}">
              <a16:creationId xmlns:a16="http://schemas.microsoft.com/office/drawing/2014/main" id="{23EDA2D8-6D7B-4696-82DC-17D6480D2D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3" name="AutoShape 1" descr="Vista previa de toda la pantalla">
          <a:extLst>
            <a:ext uri="{FF2B5EF4-FFF2-40B4-BE49-F238E27FC236}">
              <a16:creationId xmlns:a16="http://schemas.microsoft.com/office/drawing/2014/main" id="{1DAF200A-47AA-4F82-979B-161841A21A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4" name="AutoShape 1" descr="Vista previa de toda la pantalla">
          <a:extLst>
            <a:ext uri="{FF2B5EF4-FFF2-40B4-BE49-F238E27FC236}">
              <a16:creationId xmlns:a16="http://schemas.microsoft.com/office/drawing/2014/main" id="{CF612931-B247-425A-B01F-F40F7393EC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5" name="AutoShape 1" descr="Vista previa de toda la pantalla">
          <a:extLst>
            <a:ext uri="{FF2B5EF4-FFF2-40B4-BE49-F238E27FC236}">
              <a16:creationId xmlns:a16="http://schemas.microsoft.com/office/drawing/2014/main" id="{CD256D1A-7DFC-4965-840B-A39019EC4E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6" name="AutoShape 1" descr="Vista previa de toda la pantalla">
          <a:extLst>
            <a:ext uri="{FF2B5EF4-FFF2-40B4-BE49-F238E27FC236}">
              <a16:creationId xmlns:a16="http://schemas.microsoft.com/office/drawing/2014/main" id="{12EE2C22-57CC-4A08-9110-057BB27674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7" name="AutoShape 1" descr="Vista previa de toda la pantalla">
          <a:extLst>
            <a:ext uri="{FF2B5EF4-FFF2-40B4-BE49-F238E27FC236}">
              <a16:creationId xmlns:a16="http://schemas.microsoft.com/office/drawing/2014/main" id="{FD340CE8-7261-4464-AF87-EBCA2F4C64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8" name="AutoShape 1" descr="Vista previa de toda la pantalla">
          <a:extLst>
            <a:ext uri="{FF2B5EF4-FFF2-40B4-BE49-F238E27FC236}">
              <a16:creationId xmlns:a16="http://schemas.microsoft.com/office/drawing/2014/main" id="{9417ECD5-26A8-4701-BB9A-0B646E4F2F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49" name="AutoShape 1" descr="Vista previa de toda la pantalla">
          <a:extLst>
            <a:ext uri="{FF2B5EF4-FFF2-40B4-BE49-F238E27FC236}">
              <a16:creationId xmlns:a16="http://schemas.microsoft.com/office/drawing/2014/main" id="{D7B61C77-72CD-4585-9685-4809B9400C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0" name="AutoShape 1" descr="Vista previa de toda la pantalla">
          <a:extLst>
            <a:ext uri="{FF2B5EF4-FFF2-40B4-BE49-F238E27FC236}">
              <a16:creationId xmlns:a16="http://schemas.microsoft.com/office/drawing/2014/main" id="{99721ACF-A623-4DB5-91EA-4D41CD8FA6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1" name="AutoShape 1" descr="Vista previa de toda la pantalla">
          <a:extLst>
            <a:ext uri="{FF2B5EF4-FFF2-40B4-BE49-F238E27FC236}">
              <a16:creationId xmlns:a16="http://schemas.microsoft.com/office/drawing/2014/main" id="{C46D32B9-A9D6-4AF0-B900-6D535892F0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2" name="AutoShape 1" descr="Vista previa de toda la pantalla">
          <a:extLst>
            <a:ext uri="{FF2B5EF4-FFF2-40B4-BE49-F238E27FC236}">
              <a16:creationId xmlns:a16="http://schemas.microsoft.com/office/drawing/2014/main" id="{F0405A92-D57F-4756-B756-F353D3BD96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3" name="AutoShape 1" descr="Vista previa de toda la pantalla">
          <a:extLst>
            <a:ext uri="{FF2B5EF4-FFF2-40B4-BE49-F238E27FC236}">
              <a16:creationId xmlns:a16="http://schemas.microsoft.com/office/drawing/2014/main" id="{1F0F6F8A-7AFE-44C6-956E-A16671375A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4" name="AutoShape 1" descr="Vista previa de toda la pantalla">
          <a:extLst>
            <a:ext uri="{FF2B5EF4-FFF2-40B4-BE49-F238E27FC236}">
              <a16:creationId xmlns:a16="http://schemas.microsoft.com/office/drawing/2014/main" id="{79FBA918-3121-4904-8FFE-41D8EE002A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5" name="AutoShape 1" descr="Vista previa de toda la pantalla">
          <a:extLst>
            <a:ext uri="{FF2B5EF4-FFF2-40B4-BE49-F238E27FC236}">
              <a16:creationId xmlns:a16="http://schemas.microsoft.com/office/drawing/2014/main" id="{2FC42DCD-80C3-4C7F-AB52-D97BD559AD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6" name="AutoShape 1" descr="Vista previa de toda la pantalla">
          <a:extLst>
            <a:ext uri="{FF2B5EF4-FFF2-40B4-BE49-F238E27FC236}">
              <a16:creationId xmlns:a16="http://schemas.microsoft.com/office/drawing/2014/main" id="{F23EE8F7-4CA9-4719-B63B-354BD2574C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7" name="AutoShape 1" descr="Vista previa de toda la pantalla">
          <a:extLst>
            <a:ext uri="{FF2B5EF4-FFF2-40B4-BE49-F238E27FC236}">
              <a16:creationId xmlns:a16="http://schemas.microsoft.com/office/drawing/2014/main" id="{94FEDCA3-256F-4C9F-AC29-2C9B3CD3A1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8" name="AutoShape 1" descr="Vista previa de toda la pantalla">
          <a:extLst>
            <a:ext uri="{FF2B5EF4-FFF2-40B4-BE49-F238E27FC236}">
              <a16:creationId xmlns:a16="http://schemas.microsoft.com/office/drawing/2014/main" id="{364B032D-9575-4989-BF68-04021342B2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59" name="AutoShape 1" descr="Vista previa de toda la pantalla">
          <a:extLst>
            <a:ext uri="{FF2B5EF4-FFF2-40B4-BE49-F238E27FC236}">
              <a16:creationId xmlns:a16="http://schemas.microsoft.com/office/drawing/2014/main" id="{55021AE4-6980-4E4F-AE55-54E9CC0D83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0" name="AutoShape 1" descr="Vista previa de toda la pantalla">
          <a:extLst>
            <a:ext uri="{FF2B5EF4-FFF2-40B4-BE49-F238E27FC236}">
              <a16:creationId xmlns:a16="http://schemas.microsoft.com/office/drawing/2014/main" id="{5BD33BBC-2E00-4643-929F-6D0C398BA8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1" name="AutoShape 1" descr="Vista previa de toda la pantalla">
          <a:extLst>
            <a:ext uri="{FF2B5EF4-FFF2-40B4-BE49-F238E27FC236}">
              <a16:creationId xmlns:a16="http://schemas.microsoft.com/office/drawing/2014/main" id="{6D2657D7-D235-44B2-BC24-3E30F9D6A4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2" name="AutoShape 1" descr="Vista previa de toda la pantalla">
          <a:extLst>
            <a:ext uri="{FF2B5EF4-FFF2-40B4-BE49-F238E27FC236}">
              <a16:creationId xmlns:a16="http://schemas.microsoft.com/office/drawing/2014/main" id="{B04DBBFC-D6BA-472C-9FD1-A1EEDD708E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3" name="AutoShape 1" descr="Vista previa de toda la pantalla">
          <a:extLst>
            <a:ext uri="{FF2B5EF4-FFF2-40B4-BE49-F238E27FC236}">
              <a16:creationId xmlns:a16="http://schemas.microsoft.com/office/drawing/2014/main" id="{1C21AF9D-E805-49F2-82B4-4D30C731CD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4" name="AutoShape 1" descr="Vista previa de toda la pantalla">
          <a:extLst>
            <a:ext uri="{FF2B5EF4-FFF2-40B4-BE49-F238E27FC236}">
              <a16:creationId xmlns:a16="http://schemas.microsoft.com/office/drawing/2014/main" id="{59653100-DB14-4633-80F3-42E78F0446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5" name="AutoShape 1" descr="Vista previa de toda la pantalla">
          <a:extLst>
            <a:ext uri="{FF2B5EF4-FFF2-40B4-BE49-F238E27FC236}">
              <a16:creationId xmlns:a16="http://schemas.microsoft.com/office/drawing/2014/main" id="{A218A849-3A75-4706-B25C-AAF9737439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6" name="AutoShape 1" descr="Vista previa de toda la pantalla">
          <a:extLst>
            <a:ext uri="{FF2B5EF4-FFF2-40B4-BE49-F238E27FC236}">
              <a16:creationId xmlns:a16="http://schemas.microsoft.com/office/drawing/2014/main" id="{6361C41E-FC12-4B91-BF1E-12518AB957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7" name="AutoShape 1" descr="Vista previa de toda la pantalla">
          <a:extLst>
            <a:ext uri="{FF2B5EF4-FFF2-40B4-BE49-F238E27FC236}">
              <a16:creationId xmlns:a16="http://schemas.microsoft.com/office/drawing/2014/main" id="{4A46F851-985C-4886-A40F-006F8693D4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8" name="AutoShape 1" descr="Vista previa de toda la pantalla">
          <a:extLst>
            <a:ext uri="{FF2B5EF4-FFF2-40B4-BE49-F238E27FC236}">
              <a16:creationId xmlns:a16="http://schemas.microsoft.com/office/drawing/2014/main" id="{06B8CEFE-558B-472E-88B1-0279850765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69" name="AutoShape 1" descr="Vista previa de toda la pantalla">
          <a:extLst>
            <a:ext uri="{FF2B5EF4-FFF2-40B4-BE49-F238E27FC236}">
              <a16:creationId xmlns:a16="http://schemas.microsoft.com/office/drawing/2014/main" id="{03914178-59DE-4604-8E8D-5352F94A3A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0" name="AutoShape 1" descr="Vista previa de toda la pantalla">
          <a:extLst>
            <a:ext uri="{FF2B5EF4-FFF2-40B4-BE49-F238E27FC236}">
              <a16:creationId xmlns:a16="http://schemas.microsoft.com/office/drawing/2014/main" id="{2E84572A-0735-40D9-AB8A-4A7975F22F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1" name="AutoShape 1" descr="Vista previa de toda la pantalla">
          <a:extLst>
            <a:ext uri="{FF2B5EF4-FFF2-40B4-BE49-F238E27FC236}">
              <a16:creationId xmlns:a16="http://schemas.microsoft.com/office/drawing/2014/main" id="{88DE6D44-C5C7-43FE-BCF3-A36323B0A8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2" name="AutoShape 1" descr="Vista previa de toda la pantalla">
          <a:extLst>
            <a:ext uri="{FF2B5EF4-FFF2-40B4-BE49-F238E27FC236}">
              <a16:creationId xmlns:a16="http://schemas.microsoft.com/office/drawing/2014/main" id="{10E6AE39-D0DB-43CA-ABC2-3AA6274A5F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3" name="AutoShape 1" descr="Vista previa de toda la pantalla">
          <a:extLst>
            <a:ext uri="{FF2B5EF4-FFF2-40B4-BE49-F238E27FC236}">
              <a16:creationId xmlns:a16="http://schemas.microsoft.com/office/drawing/2014/main" id="{729C9FC9-BFB0-448B-A3FE-8CAD17547D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4" name="AutoShape 1" descr="Vista previa de toda la pantalla">
          <a:extLst>
            <a:ext uri="{FF2B5EF4-FFF2-40B4-BE49-F238E27FC236}">
              <a16:creationId xmlns:a16="http://schemas.microsoft.com/office/drawing/2014/main" id="{07F3E9ED-D3B0-4F82-8F03-8DFD1493E5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5" name="AutoShape 1" descr="Vista previa de toda la pantalla">
          <a:extLst>
            <a:ext uri="{FF2B5EF4-FFF2-40B4-BE49-F238E27FC236}">
              <a16:creationId xmlns:a16="http://schemas.microsoft.com/office/drawing/2014/main" id="{2050F6DA-DA42-4386-88A1-0E7795BC7D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6" name="AutoShape 1" descr="Vista previa de toda la pantalla">
          <a:extLst>
            <a:ext uri="{FF2B5EF4-FFF2-40B4-BE49-F238E27FC236}">
              <a16:creationId xmlns:a16="http://schemas.microsoft.com/office/drawing/2014/main" id="{B60B62E6-F958-47D0-81F9-6563C6A1D6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7" name="AutoShape 1" descr="Vista previa de toda la pantalla">
          <a:extLst>
            <a:ext uri="{FF2B5EF4-FFF2-40B4-BE49-F238E27FC236}">
              <a16:creationId xmlns:a16="http://schemas.microsoft.com/office/drawing/2014/main" id="{83F9F082-C097-44EB-BECF-0DA2F62126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8" name="AutoShape 1" descr="Vista previa de toda la pantalla">
          <a:extLst>
            <a:ext uri="{FF2B5EF4-FFF2-40B4-BE49-F238E27FC236}">
              <a16:creationId xmlns:a16="http://schemas.microsoft.com/office/drawing/2014/main" id="{77913AEC-F322-4B9E-81A8-BA3A90DD9D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79" name="AutoShape 1" descr="Vista previa de toda la pantalla">
          <a:extLst>
            <a:ext uri="{FF2B5EF4-FFF2-40B4-BE49-F238E27FC236}">
              <a16:creationId xmlns:a16="http://schemas.microsoft.com/office/drawing/2014/main" id="{1F60B90A-3D8B-4F90-9C07-31E026B1E7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0" name="AutoShape 1" descr="Vista previa de toda la pantalla">
          <a:extLst>
            <a:ext uri="{FF2B5EF4-FFF2-40B4-BE49-F238E27FC236}">
              <a16:creationId xmlns:a16="http://schemas.microsoft.com/office/drawing/2014/main" id="{8A804FDB-1F82-4966-AD70-A36372605D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1" name="AutoShape 1" descr="Vista previa de toda la pantalla">
          <a:extLst>
            <a:ext uri="{FF2B5EF4-FFF2-40B4-BE49-F238E27FC236}">
              <a16:creationId xmlns:a16="http://schemas.microsoft.com/office/drawing/2014/main" id="{C030F057-BB3C-474C-98A2-E16818B325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2" name="AutoShape 1" descr="Vista previa de toda la pantalla">
          <a:extLst>
            <a:ext uri="{FF2B5EF4-FFF2-40B4-BE49-F238E27FC236}">
              <a16:creationId xmlns:a16="http://schemas.microsoft.com/office/drawing/2014/main" id="{29186542-22CF-4D4C-9077-E35409472F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3" name="AutoShape 1" descr="Vista previa de toda la pantalla">
          <a:extLst>
            <a:ext uri="{FF2B5EF4-FFF2-40B4-BE49-F238E27FC236}">
              <a16:creationId xmlns:a16="http://schemas.microsoft.com/office/drawing/2014/main" id="{C147CE58-0AD7-4F28-AE5D-636697D334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4" name="AutoShape 1" descr="Vista previa de toda la pantalla">
          <a:extLst>
            <a:ext uri="{FF2B5EF4-FFF2-40B4-BE49-F238E27FC236}">
              <a16:creationId xmlns:a16="http://schemas.microsoft.com/office/drawing/2014/main" id="{F6C1C0D2-44A8-436E-A869-AD2CAA0104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5" name="AutoShape 1" descr="Vista previa de toda la pantalla">
          <a:extLst>
            <a:ext uri="{FF2B5EF4-FFF2-40B4-BE49-F238E27FC236}">
              <a16:creationId xmlns:a16="http://schemas.microsoft.com/office/drawing/2014/main" id="{2FB9B076-5B24-4295-90E5-71D171114A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6" name="AutoShape 1" descr="Vista previa de toda la pantalla">
          <a:extLst>
            <a:ext uri="{FF2B5EF4-FFF2-40B4-BE49-F238E27FC236}">
              <a16:creationId xmlns:a16="http://schemas.microsoft.com/office/drawing/2014/main" id="{008856EF-893C-4283-A9C9-B660B4C620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7" name="AutoShape 1" descr="Vista previa de toda la pantalla">
          <a:extLst>
            <a:ext uri="{FF2B5EF4-FFF2-40B4-BE49-F238E27FC236}">
              <a16:creationId xmlns:a16="http://schemas.microsoft.com/office/drawing/2014/main" id="{978BFC8B-73D9-47DE-9254-15A68894B8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8" name="AutoShape 1" descr="Vista previa de toda la pantalla">
          <a:extLst>
            <a:ext uri="{FF2B5EF4-FFF2-40B4-BE49-F238E27FC236}">
              <a16:creationId xmlns:a16="http://schemas.microsoft.com/office/drawing/2014/main" id="{DCAA4345-00B8-476E-A75E-DD11B4FC25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89" name="AutoShape 1" descr="Vista previa de toda la pantalla">
          <a:extLst>
            <a:ext uri="{FF2B5EF4-FFF2-40B4-BE49-F238E27FC236}">
              <a16:creationId xmlns:a16="http://schemas.microsoft.com/office/drawing/2014/main" id="{C3465392-C816-44A0-850D-2710608131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90" name="AutoShape 1" descr="Vista previa de toda la pantalla">
          <a:extLst>
            <a:ext uri="{FF2B5EF4-FFF2-40B4-BE49-F238E27FC236}">
              <a16:creationId xmlns:a16="http://schemas.microsoft.com/office/drawing/2014/main" id="{1449F68C-6EDC-4389-A9C1-133F830D3D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91" name="AutoShape 1" descr="Vista previa de toda la pantalla">
          <a:extLst>
            <a:ext uri="{FF2B5EF4-FFF2-40B4-BE49-F238E27FC236}">
              <a16:creationId xmlns:a16="http://schemas.microsoft.com/office/drawing/2014/main" id="{19481731-F141-4D3D-B912-8FBECB0BD6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92" name="AutoShape 1" descr="Vista previa de toda la pantalla">
          <a:extLst>
            <a:ext uri="{FF2B5EF4-FFF2-40B4-BE49-F238E27FC236}">
              <a16:creationId xmlns:a16="http://schemas.microsoft.com/office/drawing/2014/main" id="{509F2377-02CC-41D2-BD0F-BB6ED7CD91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93" name="AutoShape 1" descr="Vista previa de toda la pantalla">
          <a:extLst>
            <a:ext uri="{FF2B5EF4-FFF2-40B4-BE49-F238E27FC236}">
              <a16:creationId xmlns:a16="http://schemas.microsoft.com/office/drawing/2014/main" id="{B61DC1F2-2D35-4A07-88B1-2FFC45CE8E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94" name="AutoShape 1" descr="Vista previa de toda la pantalla">
          <a:extLst>
            <a:ext uri="{FF2B5EF4-FFF2-40B4-BE49-F238E27FC236}">
              <a16:creationId xmlns:a16="http://schemas.microsoft.com/office/drawing/2014/main" id="{0D44EF85-EDD2-411C-BC50-9E0FA9E272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95" name="AutoShape 1" descr="Vista previa de toda la pantalla">
          <a:extLst>
            <a:ext uri="{FF2B5EF4-FFF2-40B4-BE49-F238E27FC236}">
              <a16:creationId xmlns:a16="http://schemas.microsoft.com/office/drawing/2014/main" id="{2269F298-5BAE-4D96-9D66-84704EC930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96" name="AutoShape 1" descr="Vista previa de toda la pantalla">
          <a:extLst>
            <a:ext uri="{FF2B5EF4-FFF2-40B4-BE49-F238E27FC236}">
              <a16:creationId xmlns:a16="http://schemas.microsoft.com/office/drawing/2014/main" id="{C141D70D-C2ED-4C42-83E6-9A4B3653C0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97" name="AutoShape 1" descr="Vista previa de toda la pantalla">
          <a:extLst>
            <a:ext uri="{FF2B5EF4-FFF2-40B4-BE49-F238E27FC236}">
              <a16:creationId xmlns:a16="http://schemas.microsoft.com/office/drawing/2014/main" id="{05D778B1-7756-4D2A-96CD-CCB92BB9AB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98" name="AutoShape 1" descr="Vista previa de toda la pantalla">
          <a:extLst>
            <a:ext uri="{FF2B5EF4-FFF2-40B4-BE49-F238E27FC236}">
              <a16:creationId xmlns:a16="http://schemas.microsoft.com/office/drawing/2014/main" id="{F35E5882-547B-442B-B442-182C91E2BB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699" name="AutoShape 1" descr="Vista previa de toda la pantalla">
          <a:extLst>
            <a:ext uri="{FF2B5EF4-FFF2-40B4-BE49-F238E27FC236}">
              <a16:creationId xmlns:a16="http://schemas.microsoft.com/office/drawing/2014/main" id="{E730FBC1-FF3C-40CC-A421-C5B0074E9A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00" name="AutoShape 1" descr="Vista previa de toda la pantalla">
          <a:extLst>
            <a:ext uri="{FF2B5EF4-FFF2-40B4-BE49-F238E27FC236}">
              <a16:creationId xmlns:a16="http://schemas.microsoft.com/office/drawing/2014/main" id="{1D39C2C0-0235-46C1-8610-68A942A5EA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01" name="AutoShape 1" descr="Vista previa de toda la pantalla">
          <a:extLst>
            <a:ext uri="{FF2B5EF4-FFF2-40B4-BE49-F238E27FC236}">
              <a16:creationId xmlns:a16="http://schemas.microsoft.com/office/drawing/2014/main" id="{39C97CA2-4613-46EE-999F-06D6E826AD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02" name="AutoShape 1" descr="Vista previa de toda la pantalla">
          <a:extLst>
            <a:ext uri="{FF2B5EF4-FFF2-40B4-BE49-F238E27FC236}">
              <a16:creationId xmlns:a16="http://schemas.microsoft.com/office/drawing/2014/main" id="{66DE34FD-116A-44F7-B262-EA9A53B843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03" name="AutoShape 1" descr="Vista previa de toda la pantalla">
          <a:extLst>
            <a:ext uri="{FF2B5EF4-FFF2-40B4-BE49-F238E27FC236}">
              <a16:creationId xmlns:a16="http://schemas.microsoft.com/office/drawing/2014/main" id="{35B8203F-1E8F-4EE8-B439-911935D4F7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04" name="AutoShape 1" descr="Vista previa de toda la pantalla">
          <a:extLst>
            <a:ext uri="{FF2B5EF4-FFF2-40B4-BE49-F238E27FC236}">
              <a16:creationId xmlns:a16="http://schemas.microsoft.com/office/drawing/2014/main" id="{CE540100-5DE9-43D3-88CD-D334E80CE9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05" name="AutoShape 1" descr="Vista previa de toda la pantalla">
          <a:extLst>
            <a:ext uri="{FF2B5EF4-FFF2-40B4-BE49-F238E27FC236}">
              <a16:creationId xmlns:a16="http://schemas.microsoft.com/office/drawing/2014/main" id="{0CD8C1CD-9364-40C5-B8BB-E7E9CA3694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06" name="AutoShape 1" descr="Vista previa de toda la pantalla">
          <a:extLst>
            <a:ext uri="{FF2B5EF4-FFF2-40B4-BE49-F238E27FC236}">
              <a16:creationId xmlns:a16="http://schemas.microsoft.com/office/drawing/2014/main" id="{DB68DA32-3480-44C9-B3AB-A3ADA2BC96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07" name="AutoShape 1" descr="Vista previa de toda la pantalla">
          <a:extLst>
            <a:ext uri="{FF2B5EF4-FFF2-40B4-BE49-F238E27FC236}">
              <a16:creationId xmlns:a16="http://schemas.microsoft.com/office/drawing/2014/main" id="{D6E4E8FF-99CC-4243-B3F9-73BF2AFB83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08" name="AutoShape 1" descr="Vista previa de toda la pantalla">
          <a:extLst>
            <a:ext uri="{FF2B5EF4-FFF2-40B4-BE49-F238E27FC236}">
              <a16:creationId xmlns:a16="http://schemas.microsoft.com/office/drawing/2014/main" id="{3A341AFE-A5C7-4DE8-B121-48CAC3ADCF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09" name="AutoShape 1" descr="Vista previa de toda la pantalla">
          <a:extLst>
            <a:ext uri="{FF2B5EF4-FFF2-40B4-BE49-F238E27FC236}">
              <a16:creationId xmlns:a16="http://schemas.microsoft.com/office/drawing/2014/main" id="{3B5F5A86-E742-4F3B-876F-597A113F61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10" name="AutoShape 1" descr="Vista previa de toda la pantalla">
          <a:extLst>
            <a:ext uri="{FF2B5EF4-FFF2-40B4-BE49-F238E27FC236}">
              <a16:creationId xmlns:a16="http://schemas.microsoft.com/office/drawing/2014/main" id="{75E9D262-54E2-4715-8C2F-161A2D03F4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11" name="AutoShape 1" descr="Vista previa de toda la pantalla">
          <a:extLst>
            <a:ext uri="{FF2B5EF4-FFF2-40B4-BE49-F238E27FC236}">
              <a16:creationId xmlns:a16="http://schemas.microsoft.com/office/drawing/2014/main" id="{7DBB0C22-707C-424C-8141-384A184A97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12" name="AutoShape 1" descr="Vista previa de toda la pantalla">
          <a:extLst>
            <a:ext uri="{FF2B5EF4-FFF2-40B4-BE49-F238E27FC236}">
              <a16:creationId xmlns:a16="http://schemas.microsoft.com/office/drawing/2014/main" id="{BE085646-B935-481B-BB3B-493B5DDA27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13" name="AutoShape 1" descr="Vista previa de toda la pantalla">
          <a:extLst>
            <a:ext uri="{FF2B5EF4-FFF2-40B4-BE49-F238E27FC236}">
              <a16:creationId xmlns:a16="http://schemas.microsoft.com/office/drawing/2014/main" id="{32C37B9A-EAD3-42B1-BD11-7C4BB8C778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14" name="AutoShape 1" descr="Vista previa de toda la pantalla">
          <a:extLst>
            <a:ext uri="{FF2B5EF4-FFF2-40B4-BE49-F238E27FC236}">
              <a16:creationId xmlns:a16="http://schemas.microsoft.com/office/drawing/2014/main" id="{7211AC11-425B-4107-B37B-2D6BFCE46D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15" name="AutoShape 1" descr="Vista previa de toda la pantalla">
          <a:extLst>
            <a:ext uri="{FF2B5EF4-FFF2-40B4-BE49-F238E27FC236}">
              <a16:creationId xmlns:a16="http://schemas.microsoft.com/office/drawing/2014/main" id="{4BC0B795-8D18-4B3A-99C8-6F93343878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16" name="AutoShape 1" descr="Vista previa de toda la pantalla">
          <a:extLst>
            <a:ext uri="{FF2B5EF4-FFF2-40B4-BE49-F238E27FC236}">
              <a16:creationId xmlns:a16="http://schemas.microsoft.com/office/drawing/2014/main" id="{78B650E3-018C-4A51-9D8A-1ED8B677BF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17" name="AutoShape 1" descr="Vista previa de toda la pantalla">
          <a:extLst>
            <a:ext uri="{FF2B5EF4-FFF2-40B4-BE49-F238E27FC236}">
              <a16:creationId xmlns:a16="http://schemas.microsoft.com/office/drawing/2014/main" id="{04393D02-CBD8-40F1-B233-5B794F7F07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18" name="AutoShape 1" descr="Vista previa de toda la pantalla">
          <a:extLst>
            <a:ext uri="{FF2B5EF4-FFF2-40B4-BE49-F238E27FC236}">
              <a16:creationId xmlns:a16="http://schemas.microsoft.com/office/drawing/2014/main" id="{5B514334-F96B-41B2-BA14-BBF90A3974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19" name="AutoShape 1" descr="Vista previa de toda la pantalla">
          <a:extLst>
            <a:ext uri="{FF2B5EF4-FFF2-40B4-BE49-F238E27FC236}">
              <a16:creationId xmlns:a16="http://schemas.microsoft.com/office/drawing/2014/main" id="{CD079210-75EE-4F1D-B8B4-6E7EA92779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20" name="AutoShape 1" descr="Vista previa de toda la pantalla">
          <a:extLst>
            <a:ext uri="{FF2B5EF4-FFF2-40B4-BE49-F238E27FC236}">
              <a16:creationId xmlns:a16="http://schemas.microsoft.com/office/drawing/2014/main" id="{B69A2510-F97B-4570-B65E-B4C2E3048A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21" name="AutoShape 1" descr="Vista previa de toda la pantalla">
          <a:extLst>
            <a:ext uri="{FF2B5EF4-FFF2-40B4-BE49-F238E27FC236}">
              <a16:creationId xmlns:a16="http://schemas.microsoft.com/office/drawing/2014/main" id="{C334604C-C423-41A8-BF34-40F53BB1E7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22" name="AutoShape 1" descr="Vista previa de toda la pantalla">
          <a:extLst>
            <a:ext uri="{FF2B5EF4-FFF2-40B4-BE49-F238E27FC236}">
              <a16:creationId xmlns:a16="http://schemas.microsoft.com/office/drawing/2014/main" id="{5240D802-8788-4B50-95F3-1FF60AA213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23" name="AutoShape 1" descr="Vista previa de toda la pantalla">
          <a:extLst>
            <a:ext uri="{FF2B5EF4-FFF2-40B4-BE49-F238E27FC236}">
              <a16:creationId xmlns:a16="http://schemas.microsoft.com/office/drawing/2014/main" id="{527AC496-CE1D-4DCB-BE79-A253627FE0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24" name="AutoShape 1" descr="Vista previa de toda la pantalla">
          <a:extLst>
            <a:ext uri="{FF2B5EF4-FFF2-40B4-BE49-F238E27FC236}">
              <a16:creationId xmlns:a16="http://schemas.microsoft.com/office/drawing/2014/main" id="{E7AD7706-05C7-4495-88A4-121DAD423E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25" name="AutoShape 1" descr="Vista previa de toda la pantalla">
          <a:extLst>
            <a:ext uri="{FF2B5EF4-FFF2-40B4-BE49-F238E27FC236}">
              <a16:creationId xmlns:a16="http://schemas.microsoft.com/office/drawing/2014/main" id="{D021A1C4-48E8-4F5A-8940-DBE48483B1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26" name="AutoShape 1" descr="Vista previa de toda la pantalla">
          <a:extLst>
            <a:ext uri="{FF2B5EF4-FFF2-40B4-BE49-F238E27FC236}">
              <a16:creationId xmlns:a16="http://schemas.microsoft.com/office/drawing/2014/main" id="{7CE115E2-5C86-49BA-B3E7-656E469ABE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27" name="AutoShape 1" descr="Vista previa de toda la pantalla">
          <a:extLst>
            <a:ext uri="{FF2B5EF4-FFF2-40B4-BE49-F238E27FC236}">
              <a16:creationId xmlns:a16="http://schemas.microsoft.com/office/drawing/2014/main" id="{27AD5B53-7A94-41C4-B62D-01F4108873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28" name="AutoShape 1" descr="Vista previa de toda la pantalla">
          <a:extLst>
            <a:ext uri="{FF2B5EF4-FFF2-40B4-BE49-F238E27FC236}">
              <a16:creationId xmlns:a16="http://schemas.microsoft.com/office/drawing/2014/main" id="{4DDB160B-23D9-4A82-8A11-75A63A4319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29" name="AutoShape 1" descr="Vista previa de toda la pantalla">
          <a:extLst>
            <a:ext uri="{FF2B5EF4-FFF2-40B4-BE49-F238E27FC236}">
              <a16:creationId xmlns:a16="http://schemas.microsoft.com/office/drawing/2014/main" id="{4EA71507-0EBD-43EC-A1BC-9B6EFFA3C2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30" name="AutoShape 1" descr="Vista previa de toda la pantalla">
          <a:extLst>
            <a:ext uri="{FF2B5EF4-FFF2-40B4-BE49-F238E27FC236}">
              <a16:creationId xmlns:a16="http://schemas.microsoft.com/office/drawing/2014/main" id="{64EA47E6-6068-44A8-8733-3B099B2E46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31" name="AutoShape 1" descr="Vista previa de toda la pantalla">
          <a:extLst>
            <a:ext uri="{FF2B5EF4-FFF2-40B4-BE49-F238E27FC236}">
              <a16:creationId xmlns:a16="http://schemas.microsoft.com/office/drawing/2014/main" id="{23979090-FE91-4F5F-8CBE-AFDC21E358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4732" name="AutoShape 1" descr="Vista previa de toda la pantalla">
          <a:extLst>
            <a:ext uri="{FF2B5EF4-FFF2-40B4-BE49-F238E27FC236}">
              <a16:creationId xmlns:a16="http://schemas.microsoft.com/office/drawing/2014/main" id="{31E80DC2-45F7-4E95-B2B6-9E9F700452E6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33" name="AutoShape 1" descr="Vista previa de toda la pantalla">
          <a:extLst>
            <a:ext uri="{FF2B5EF4-FFF2-40B4-BE49-F238E27FC236}">
              <a16:creationId xmlns:a16="http://schemas.microsoft.com/office/drawing/2014/main" id="{F3ED04F7-316F-4835-BF16-32EF2644DC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34" name="AutoShape 1" descr="Vista previa de toda la pantalla">
          <a:extLst>
            <a:ext uri="{FF2B5EF4-FFF2-40B4-BE49-F238E27FC236}">
              <a16:creationId xmlns:a16="http://schemas.microsoft.com/office/drawing/2014/main" id="{42175BB6-BB29-4F7A-AABF-C73BABBDC8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35" name="AutoShape 1" descr="Vista previa de toda la pantalla">
          <a:extLst>
            <a:ext uri="{FF2B5EF4-FFF2-40B4-BE49-F238E27FC236}">
              <a16:creationId xmlns:a16="http://schemas.microsoft.com/office/drawing/2014/main" id="{C1DB9CA8-646B-4BE9-89F3-97F859DB8C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36" name="AutoShape 1" descr="Vista previa de toda la pantalla">
          <a:extLst>
            <a:ext uri="{FF2B5EF4-FFF2-40B4-BE49-F238E27FC236}">
              <a16:creationId xmlns:a16="http://schemas.microsoft.com/office/drawing/2014/main" id="{151AFDA3-372F-4393-8BB0-DB00E56E89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37" name="AutoShape 1" descr="Vista previa de toda la pantalla">
          <a:extLst>
            <a:ext uri="{FF2B5EF4-FFF2-40B4-BE49-F238E27FC236}">
              <a16:creationId xmlns:a16="http://schemas.microsoft.com/office/drawing/2014/main" id="{BD434977-1CBA-4B22-B1D7-DA5302F449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38" name="AutoShape 1" descr="Vista previa de toda la pantalla">
          <a:extLst>
            <a:ext uri="{FF2B5EF4-FFF2-40B4-BE49-F238E27FC236}">
              <a16:creationId xmlns:a16="http://schemas.microsoft.com/office/drawing/2014/main" id="{99B924ED-CFCA-410F-A761-8BC1DDAC38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39" name="AutoShape 1" descr="Vista previa de toda la pantalla">
          <a:extLst>
            <a:ext uri="{FF2B5EF4-FFF2-40B4-BE49-F238E27FC236}">
              <a16:creationId xmlns:a16="http://schemas.microsoft.com/office/drawing/2014/main" id="{19587F08-C5B0-4B9D-A7A0-2793161368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40" name="AutoShape 1" descr="Vista previa de toda la pantalla">
          <a:extLst>
            <a:ext uri="{FF2B5EF4-FFF2-40B4-BE49-F238E27FC236}">
              <a16:creationId xmlns:a16="http://schemas.microsoft.com/office/drawing/2014/main" id="{336026EB-A965-4C3C-A9EF-384AE95E45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41" name="AutoShape 1" descr="Vista previa de toda la pantalla">
          <a:extLst>
            <a:ext uri="{FF2B5EF4-FFF2-40B4-BE49-F238E27FC236}">
              <a16:creationId xmlns:a16="http://schemas.microsoft.com/office/drawing/2014/main" id="{804BDBD0-F3A2-4968-8A2C-676DC866C0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42" name="AutoShape 1" descr="Vista previa de toda la pantalla">
          <a:extLst>
            <a:ext uri="{FF2B5EF4-FFF2-40B4-BE49-F238E27FC236}">
              <a16:creationId xmlns:a16="http://schemas.microsoft.com/office/drawing/2014/main" id="{0F51225D-C005-423D-B635-1B98B48A19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43" name="AutoShape 1" descr="Vista previa de toda la pantalla">
          <a:extLst>
            <a:ext uri="{FF2B5EF4-FFF2-40B4-BE49-F238E27FC236}">
              <a16:creationId xmlns:a16="http://schemas.microsoft.com/office/drawing/2014/main" id="{BDCD9C88-1304-47D7-BAF1-91966CA186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44" name="AutoShape 1" descr="Vista previa de toda la pantalla">
          <a:extLst>
            <a:ext uri="{FF2B5EF4-FFF2-40B4-BE49-F238E27FC236}">
              <a16:creationId xmlns:a16="http://schemas.microsoft.com/office/drawing/2014/main" id="{3AB43117-ED97-4FD0-BE83-809BE68092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45" name="AutoShape 1" descr="Vista previa de toda la pantalla">
          <a:extLst>
            <a:ext uri="{FF2B5EF4-FFF2-40B4-BE49-F238E27FC236}">
              <a16:creationId xmlns:a16="http://schemas.microsoft.com/office/drawing/2014/main" id="{CC87E0F4-FD8F-4EF5-AE4C-08E170AA2E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46" name="AutoShape 1" descr="Vista previa de toda la pantalla">
          <a:extLst>
            <a:ext uri="{FF2B5EF4-FFF2-40B4-BE49-F238E27FC236}">
              <a16:creationId xmlns:a16="http://schemas.microsoft.com/office/drawing/2014/main" id="{C9EEFAE4-33BF-412B-86A7-961386DB66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47" name="AutoShape 1" descr="Vista previa de toda la pantalla">
          <a:extLst>
            <a:ext uri="{FF2B5EF4-FFF2-40B4-BE49-F238E27FC236}">
              <a16:creationId xmlns:a16="http://schemas.microsoft.com/office/drawing/2014/main" id="{AB23AC3F-ADBB-48D1-AD6A-887FB01707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48" name="AutoShape 1" descr="Vista previa de toda la pantalla">
          <a:extLst>
            <a:ext uri="{FF2B5EF4-FFF2-40B4-BE49-F238E27FC236}">
              <a16:creationId xmlns:a16="http://schemas.microsoft.com/office/drawing/2014/main" id="{C50123B4-4E8F-4614-B9C7-A247272D9E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49" name="AutoShape 1" descr="Vista previa de toda la pantalla">
          <a:extLst>
            <a:ext uri="{FF2B5EF4-FFF2-40B4-BE49-F238E27FC236}">
              <a16:creationId xmlns:a16="http://schemas.microsoft.com/office/drawing/2014/main" id="{12189FA2-2002-4DC5-84CB-10E4A055BC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50" name="AutoShape 1" descr="Vista previa de toda la pantalla">
          <a:extLst>
            <a:ext uri="{FF2B5EF4-FFF2-40B4-BE49-F238E27FC236}">
              <a16:creationId xmlns:a16="http://schemas.microsoft.com/office/drawing/2014/main" id="{FE11DDC1-1548-409D-955F-B040293CB0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51" name="AutoShape 1" descr="Vista previa de toda la pantalla">
          <a:extLst>
            <a:ext uri="{FF2B5EF4-FFF2-40B4-BE49-F238E27FC236}">
              <a16:creationId xmlns:a16="http://schemas.microsoft.com/office/drawing/2014/main" id="{5CA69E2E-E352-4097-9677-5863C8819C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52" name="AutoShape 1" descr="Vista previa de toda la pantalla">
          <a:extLst>
            <a:ext uri="{FF2B5EF4-FFF2-40B4-BE49-F238E27FC236}">
              <a16:creationId xmlns:a16="http://schemas.microsoft.com/office/drawing/2014/main" id="{0CB8654C-1051-4834-B819-F618C70F00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53" name="AutoShape 1" descr="Vista previa de toda la pantalla">
          <a:extLst>
            <a:ext uri="{FF2B5EF4-FFF2-40B4-BE49-F238E27FC236}">
              <a16:creationId xmlns:a16="http://schemas.microsoft.com/office/drawing/2014/main" id="{8B78742F-F1D2-4AB9-AFAD-4FE75C8DEA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54" name="AutoShape 1" descr="Vista previa de toda la pantalla">
          <a:extLst>
            <a:ext uri="{FF2B5EF4-FFF2-40B4-BE49-F238E27FC236}">
              <a16:creationId xmlns:a16="http://schemas.microsoft.com/office/drawing/2014/main" id="{40350AAA-01D9-446B-A58E-D61C4F18D7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55" name="AutoShape 1" descr="Vista previa de toda la pantalla">
          <a:extLst>
            <a:ext uri="{FF2B5EF4-FFF2-40B4-BE49-F238E27FC236}">
              <a16:creationId xmlns:a16="http://schemas.microsoft.com/office/drawing/2014/main" id="{6EBC692C-840B-4EBC-9558-2418DC57FE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56" name="AutoShape 1" descr="Vista previa de toda la pantalla">
          <a:extLst>
            <a:ext uri="{FF2B5EF4-FFF2-40B4-BE49-F238E27FC236}">
              <a16:creationId xmlns:a16="http://schemas.microsoft.com/office/drawing/2014/main" id="{E5E9D558-CE05-42BD-90E2-E848D7C58A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57" name="AutoShape 1" descr="Vista previa de toda la pantalla">
          <a:extLst>
            <a:ext uri="{FF2B5EF4-FFF2-40B4-BE49-F238E27FC236}">
              <a16:creationId xmlns:a16="http://schemas.microsoft.com/office/drawing/2014/main" id="{2E2E7AE1-9FA7-45FF-A462-53EABC4DC9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58" name="AutoShape 1" descr="Vista previa de toda la pantalla">
          <a:extLst>
            <a:ext uri="{FF2B5EF4-FFF2-40B4-BE49-F238E27FC236}">
              <a16:creationId xmlns:a16="http://schemas.microsoft.com/office/drawing/2014/main" id="{F3347C9A-6ECA-4D05-BB3E-0895583060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59" name="AutoShape 1" descr="Vista previa de toda la pantalla">
          <a:extLst>
            <a:ext uri="{FF2B5EF4-FFF2-40B4-BE49-F238E27FC236}">
              <a16:creationId xmlns:a16="http://schemas.microsoft.com/office/drawing/2014/main" id="{76DA2082-B61C-40FD-AB54-AD467053F7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60" name="AutoShape 1" descr="Vista previa de toda la pantalla">
          <a:extLst>
            <a:ext uri="{FF2B5EF4-FFF2-40B4-BE49-F238E27FC236}">
              <a16:creationId xmlns:a16="http://schemas.microsoft.com/office/drawing/2014/main" id="{B9460C23-82A7-41A7-9C4B-3BD7ADCB2F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61" name="AutoShape 1" descr="Vista previa de toda la pantalla">
          <a:extLst>
            <a:ext uri="{FF2B5EF4-FFF2-40B4-BE49-F238E27FC236}">
              <a16:creationId xmlns:a16="http://schemas.microsoft.com/office/drawing/2014/main" id="{6C7CA291-0247-49CC-B1CE-B9843101E0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62" name="AutoShape 1" descr="Vista previa de toda la pantalla">
          <a:extLst>
            <a:ext uri="{FF2B5EF4-FFF2-40B4-BE49-F238E27FC236}">
              <a16:creationId xmlns:a16="http://schemas.microsoft.com/office/drawing/2014/main" id="{FDF76AC4-FB3C-42C1-83CF-1FB414A989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63" name="AutoShape 1" descr="Vista previa de toda la pantalla">
          <a:extLst>
            <a:ext uri="{FF2B5EF4-FFF2-40B4-BE49-F238E27FC236}">
              <a16:creationId xmlns:a16="http://schemas.microsoft.com/office/drawing/2014/main" id="{AFD2DD42-06B0-487C-AAAD-1BEC7EAC94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64" name="AutoShape 1" descr="Vista previa de toda la pantalla">
          <a:extLst>
            <a:ext uri="{FF2B5EF4-FFF2-40B4-BE49-F238E27FC236}">
              <a16:creationId xmlns:a16="http://schemas.microsoft.com/office/drawing/2014/main" id="{DC532355-1387-4035-8430-B4878BC71B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65" name="AutoShape 1" descr="Vista previa de toda la pantalla">
          <a:extLst>
            <a:ext uri="{FF2B5EF4-FFF2-40B4-BE49-F238E27FC236}">
              <a16:creationId xmlns:a16="http://schemas.microsoft.com/office/drawing/2014/main" id="{1B04EB1B-F5F1-4D7C-AE17-9C6888EF66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66" name="AutoShape 1" descr="Vista previa de toda la pantalla">
          <a:extLst>
            <a:ext uri="{FF2B5EF4-FFF2-40B4-BE49-F238E27FC236}">
              <a16:creationId xmlns:a16="http://schemas.microsoft.com/office/drawing/2014/main" id="{BA99A974-F0A5-47E3-A8CA-A825B123BD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67" name="AutoShape 1" descr="Vista previa de toda la pantalla">
          <a:extLst>
            <a:ext uri="{FF2B5EF4-FFF2-40B4-BE49-F238E27FC236}">
              <a16:creationId xmlns:a16="http://schemas.microsoft.com/office/drawing/2014/main" id="{F5818ADB-1036-412E-AAE2-741D7C026C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68" name="AutoShape 1" descr="Vista previa de toda la pantalla">
          <a:extLst>
            <a:ext uri="{FF2B5EF4-FFF2-40B4-BE49-F238E27FC236}">
              <a16:creationId xmlns:a16="http://schemas.microsoft.com/office/drawing/2014/main" id="{98A347BF-EAD8-4911-899F-A92E5670D3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69" name="AutoShape 1" descr="Vista previa de toda la pantalla">
          <a:extLst>
            <a:ext uri="{FF2B5EF4-FFF2-40B4-BE49-F238E27FC236}">
              <a16:creationId xmlns:a16="http://schemas.microsoft.com/office/drawing/2014/main" id="{5A2FC795-724F-4263-946F-1FF34C7342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70" name="AutoShape 1" descr="Vista previa de toda la pantalla">
          <a:extLst>
            <a:ext uri="{FF2B5EF4-FFF2-40B4-BE49-F238E27FC236}">
              <a16:creationId xmlns:a16="http://schemas.microsoft.com/office/drawing/2014/main" id="{574A449F-1830-41B3-85A6-C2AC24CBDD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71" name="AutoShape 1" descr="Vista previa de toda la pantalla">
          <a:extLst>
            <a:ext uri="{FF2B5EF4-FFF2-40B4-BE49-F238E27FC236}">
              <a16:creationId xmlns:a16="http://schemas.microsoft.com/office/drawing/2014/main" id="{D8092FF8-DB56-4E18-9CDC-75AEF0039C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72" name="AutoShape 1" descr="Vista previa de toda la pantalla">
          <a:extLst>
            <a:ext uri="{FF2B5EF4-FFF2-40B4-BE49-F238E27FC236}">
              <a16:creationId xmlns:a16="http://schemas.microsoft.com/office/drawing/2014/main" id="{3CC29895-27A0-45A1-88F4-F8A0C0A5D1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73" name="AutoShape 1" descr="Vista previa de toda la pantalla">
          <a:extLst>
            <a:ext uri="{FF2B5EF4-FFF2-40B4-BE49-F238E27FC236}">
              <a16:creationId xmlns:a16="http://schemas.microsoft.com/office/drawing/2014/main" id="{DC74C9B8-8B2C-4680-A22E-344637A9FC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74" name="AutoShape 1" descr="Vista previa de toda la pantalla">
          <a:extLst>
            <a:ext uri="{FF2B5EF4-FFF2-40B4-BE49-F238E27FC236}">
              <a16:creationId xmlns:a16="http://schemas.microsoft.com/office/drawing/2014/main" id="{4F3762A9-2C5B-4461-9773-C772D5D498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75" name="AutoShape 1" descr="Vista previa de toda la pantalla">
          <a:extLst>
            <a:ext uri="{FF2B5EF4-FFF2-40B4-BE49-F238E27FC236}">
              <a16:creationId xmlns:a16="http://schemas.microsoft.com/office/drawing/2014/main" id="{D7D64AF6-E789-47B6-9F81-80E6CBE287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76" name="AutoShape 1" descr="Vista previa de toda la pantalla">
          <a:extLst>
            <a:ext uri="{FF2B5EF4-FFF2-40B4-BE49-F238E27FC236}">
              <a16:creationId xmlns:a16="http://schemas.microsoft.com/office/drawing/2014/main" id="{D082CD44-BE00-4770-A43E-EF4E4A2C5F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77" name="AutoShape 1" descr="Vista previa de toda la pantalla">
          <a:extLst>
            <a:ext uri="{FF2B5EF4-FFF2-40B4-BE49-F238E27FC236}">
              <a16:creationId xmlns:a16="http://schemas.microsoft.com/office/drawing/2014/main" id="{0943AD53-07D5-4E5A-B3DD-9937A98052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78" name="AutoShape 1" descr="Vista previa de toda la pantalla">
          <a:extLst>
            <a:ext uri="{FF2B5EF4-FFF2-40B4-BE49-F238E27FC236}">
              <a16:creationId xmlns:a16="http://schemas.microsoft.com/office/drawing/2014/main" id="{EA8074E0-3ADE-4C99-97BA-D4EDA2B84C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79" name="AutoShape 1" descr="Vista previa de toda la pantalla">
          <a:extLst>
            <a:ext uri="{FF2B5EF4-FFF2-40B4-BE49-F238E27FC236}">
              <a16:creationId xmlns:a16="http://schemas.microsoft.com/office/drawing/2014/main" id="{41243BB7-3C89-4F4A-80AA-ECB09862C5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80" name="AutoShape 1" descr="Vista previa de toda la pantalla">
          <a:extLst>
            <a:ext uri="{FF2B5EF4-FFF2-40B4-BE49-F238E27FC236}">
              <a16:creationId xmlns:a16="http://schemas.microsoft.com/office/drawing/2014/main" id="{C2E95B75-CCB0-4DD8-92A0-A8C9529C15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81" name="AutoShape 1" descr="Vista previa de toda la pantalla">
          <a:extLst>
            <a:ext uri="{FF2B5EF4-FFF2-40B4-BE49-F238E27FC236}">
              <a16:creationId xmlns:a16="http://schemas.microsoft.com/office/drawing/2014/main" id="{04896B47-B44C-4D68-8CF8-E054FDD213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82" name="AutoShape 1" descr="Vista previa de toda la pantalla">
          <a:extLst>
            <a:ext uri="{FF2B5EF4-FFF2-40B4-BE49-F238E27FC236}">
              <a16:creationId xmlns:a16="http://schemas.microsoft.com/office/drawing/2014/main" id="{1974684C-8A01-4FEC-9B11-E4A76900FE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83" name="AutoShape 1" descr="Vista previa de toda la pantalla">
          <a:extLst>
            <a:ext uri="{FF2B5EF4-FFF2-40B4-BE49-F238E27FC236}">
              <a16:creationId xmlns:a16="http://schemas.microsoft.com/office/drawing/2014/main" id="{098B2E60-B7EB-4F3B-861E-579AC1A44C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84" name="AutoShape 1" descr="Vista previa de toda la pantalla">
          <a:extLst>
            <a:ext uri="{FF2B5EF4-FFF2-40B4-BE49-F238E27FC236}">
              <a16:creationId xmlns:a16="http://schemas.microsoft.com/office/drawing/2014/main" id="{AFEC6A46-3B58-4A6C-BFB8-D69FB248B3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85" name="AutoShape 1" descr="Vista previa de toda la pantalla">
          <a:extLst>
            <a:ext uri="{FF2B5EF4-FFF2-40B4-BE49-F238E27FC236}">
              <a16:creationId xmlns:a16="http://schemas.microsoft.com/office/drawing/2014/main" id="{898E1C64-E499-41E1-8DCF-DBD221C855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86" name="AutoShape 1" descr="Vista previa de toda la pantalla">
          <a:extLst>
            <a:ext uri="{FF2B5EF4-FFF2-40B4-BE49-F238E27FC236}">
              <a16:creationId xmlns:a16="http://schemas.microsoft.com/office/drawing/2014/main" id="{E85F2C5B-BFA5-4412-A061-9A55B3E37E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87" name="AutoShape 1" descr="Vista previa de toda la pantalla">
          <a:extLst>
            <a:ext uri="{FF2B5EF4-FFF2-40B4-BE49-F238E27FC236}">
              <a16:creationId xmlns:a16="http://schemas.microsoft.com/office/drawing/2014/main" id="{7FE8A715-C907-4125-A48D-35DE7764B9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88" name="AutoShape 1" descr="Vista previa de toda la pantalla">
          <a:extLst>
            <a:ext uri="{FF2B5EF4-FFF2-40B4-BE49-F238E27FC236}">
              <a16:creationId xmlns:a16="http://schemas.microsoft.com/office/drawing/2014/main" id="{40C3E745-853D-414B-8031-D79846E139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89" name="AutoShape 1" descr="Vista previa de toda la pantalla">
          <a:extLst>
            <a:ext uri="{FF2B5EF4-FFF2-40B4-BE49-F238E27FC236}">
              <a16:creationId xmlns:a16="http://schemas.microsoft.com/office/drawing/2014/main" id="{EF5D456B-2F10-46B6-A304-AC93C27C98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90" name="AutoShape 1" descr="Vista previa de toda la pantalla">
          <a:extLst>
            <a:ext uri="{FF2B5EF4-FFF2-40B4-BE49-F238E27FC236}">
              <a16:creationId xmlns:a16="http://schemas.microsoft.com/office/drawing/2014/main" id="{74E444ED-2A20-4CB0-BCAE-289A5C1025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91" name="AutoShape 1" descr="Vista previa de toda la pantalla">
          <a:extLst>
            <a:ext uri="{FF2B5EF4-FFF2-40B4-BE49-F238E27FC236}">
              <a16:creationId xmlns:a16="http://schemas.microsoft.com/office/drawing/2014/main" id="{302CC795-A23A-47F9-9A30-342E2F2408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92" name="AutoShape 1" descr="Vista previa de toda la pantalla">
          <a:extLst>
            <a:ext uri="{FF2B5EF4-FFF2-40B4-BE49-F238E27FC236}">
              <a16:creationId xmlns:a16="http://schemas.microsoft.com/office/drawing/2014/main" id="{D40263B6-FAEE-4999-8495-39C7EE6249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93" name="AutoShape 1" descr="Vista previa de toda la pantalla">
          <a:extLst>
            <a:ext uri="{FF2B5EF4-FFF2-40B4-BE49-F238E27FC236}">
              <a16:creationId xmlns:a16="http://schemas.microsoft.com/office/drawing/2014/main" id="{18BEC97D-7DB3-42C9-8FF8-BAB0DEDD61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94" name="AutoShape 1" descr="Vista previa de toda la pantalla">
          <a:extLst>
            <a:ext uri="{FF2B5EF4-FFF2-40B4-BE49-F238E27FC236}">
              <a16:creationId xmlns:a16="http://schemas.microsoft.com/office/drawing/2014/main" id="{6781AFF0-30F8-4EAB-947D-B4F08248C0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95" name="AutoShape 1" descr="Vista previa de toda la pantalla">
          <a:extLst>
            <a:ext uri="{FF2B5EF4-FFF2-40B4-BE49-F238E27FC236}">
              <a16:creationId xmlns:a16="http://schemas.microsoft.com/office/drawing/2014/main" id="{9516C092-8FE3-4164-A43E-CFD93216C3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96" name="AutoShape 1" descr="Vista previa de toda la pantalla">
          <a:extLst>
            <a:ext uri="{FF2B5EF4-FFF2-40B4-BE49-F238E27FC236}">
              <a16:creationId xmlns:a16="http://schemas.microsoft.com/office/drawing/2014/main" id="{D8DCAE82-F38B-40F8-BB98-6AF52E3715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97" name="AutoShape 1" descr="Vista previa de toda la pantalla">
          <a:extLst>
            <a:ext uri="{FF2B5EF4-FFF2-40B4-BE49-F238E27FC236}">
              <a16:creationId xmlns:a16="http://schemas.microsoft.com/office/drawing/2014/main" id="{6864278B-22A8-4594-BA4A-58D402F3AA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98" name="AutoShape 1" descr="Vista previa de toda la pantalla">
          <a:extLst>
            <a:ext uri="{FF2B5EF4-FFF2-40B4-BE49-F238E27FC236}">
              <a16:creationId xmlns:a16="http://schemas.microsoft.com/office/drawing/2014/main" id="{27923F2C-C0EC-4283-BD8D-CF81695078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799" name="AutoShape 1" descr="Vista previa de toda la pantalla">
          <a:extLst>
            <a:ext uri="{FF2B5EF4-FFF2-40B4-BE49-F238E27FC236}">
              <a16:creationId xmlns:a16="http://schemas.microsoft.com/office/drawing/2014/main" id="{B2ED817F-F305-47DE-B2F3-573A8F1288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00" name="AutoShape 1" descr="Vista previa de toda la pantalla">
          <a:extLst>
            <a:ext uri="{FF2B5EF4-FFF2-40B4-BE49-F238E27FC236}">
              <a16:creationId xmlns:a16="http://schemas.microsoft.com/office/drawing/2014/main" id="{D0811534-9D99-4FC5-9073-F3E40FF72C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01" name="AutoShape 1" descr="Vista previa de toda la pantalla">
          <a:extLst>
            <a:ext uri="{FF2B5EF4-FFF2-40B4-BE49-F238E27FC236}">
              <a16:creationId xmlns:a16="http://schemas.microsoft.com/office/drawing/2014/main" id="{E41C7D57-1A29-446B-B871-DED40FA8DC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02" name="AutoShape 1" descr="Vista previa de toda la pantalla">
          <a:extLst>
            <a:ext uri="{FF2B5EF4-FFF2-40B4-BE49-F238E27FC236}">
              <a16:creationId xmlns:a16="http://schemas.microsoft.com/office/drawing/2014/main" id="{2B1AB8D7-2523-404F-91D3-82D62B23E1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03" name="AutoShape 1" descr="Vista previa de toda la pantalla">
          <a:extLst>
            <a:ext uri="{FF2B5EF4-FFF2-40B4-BE49-F238E27FC236}">
              <a16:creationId xmlns:a16="http://schemas.microsoft.com/office/drawing/2014/main" id="{68BC56CC-9903-490F-B40D-121DDA5A51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04" name="AutoShape 1" descr="Vista previa de toda la pantalla">
          <a:extLst>
            <a:ext uri="{FF2B5EF4-FFF2-40B4-BE49-F238E27FC236}">
              <a16:creationId xmlns:a16="http://schemas.microsoft.com/office/drawing/2014/main" id="{5A2C98AC-65B0-4B53-A3B9-6F678D6D3F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05" name="AutoShape 1" descr="Vista previa de toda la pantalla">
          <a:extLst>
            <a:ext uri="{FF2B5EF4-FFF2-40B4-BE49-F238E27FC236}">
              <a16:creationId xmlns:a16="http://schemas.microsoft.com/office/drawing/2014/main" id="{1675E8C2-FDCE-4217-BAC8-E434CCDC3B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06" name="AutoShape 1" descr="Vista previa de toda la pantalla">
          <a:extLst>
            <a:ext uri="{FF2B5EF4-FFF2-40B4-BE49-F238E27FC236}">
              <a16:creationId xmlns:a16="http://schemas.microsoft.com/office/drawing/2014/main" id="{ACE639D1-81E9-472D-83F8-007F540100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07" name="AutoShape 1" descr="Vista previa de toda la pantalla">
          <a:extLst>
            <a:ext uri="{FF2B5EF4-FFF2-40B4-BE49-F238E27FC236}">
              <a16:creationId xmlns:a16="http://schemas.microsoft.com/office/drawing/2014/main" id="{228F3CCF-5FD3-442A-8C5B-8EC839905A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08" name="AutoShape 1" descr="Vista previa de toda la pantalla">
          <a:extLst>
            <a:ext uri="{FF2B5EF4-FFF2-40B4-BE49-F238E27FC236}">
              <a16:creationId xmlns:a16="http://schemas.microsoft.com/office/drawing/2014/main" id="{60B04E0F-C205-4A97-8E1C-EC87DBF9E2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09" name="AutoShape 1" descr="Vista previa de toda la pantalla">
          <a:extLst>
            <a:ext uri="{FF2B5EF4-FFF2-40B4-BE49-F238E27FC236}">
              <a16:creationId xmlns:a16="http://schemas.microsoft.com/office/drawing/2014/main" id="{52B26EE9-F401-4B7D-AB29-56A15A7DCA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10" name="AutoShape 1" descr="Vista previa de toda la pantalla">
          <a:extLst>
            <a:ext uri="{FF2B5EF4-FFF2-40B4-BE49-F238E27FC236}">
              <a16:creationId xmlns:a16="http://schemas.microsoft.com/office/drawing/2014/main" id="{4A5358B4-4C60-4F3F-B485-9A5DD332E3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11" name="AutoShape 1" descr="Vista previa de toda la pantalla">
          <a:extLst>
            <a:ext uri="{FF2B5EF4-FFF2-40B4-BE49-F238E27FC236}">
              <a16:creationId xmlns:a16="http://schemas.microsoft.com/office/drawing/2014/main" id="{178B0CD4-77EE-4A36-8477-0CDCB3BCB7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12" name="AutoShape 1" descr="Vista previa de toda la pantalla">
          <a:extLst>
            <a:ext uri="{FF2B5EF4-FFF2-40B4-BE49-F238E27FC236}">
              <a16:creationId xmlns:a16="http://schemas.microsoft.com/office/drawing/2014/main" id="{074E8D9E-4E86-423A-819E-8D0456938C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13" name="AutoShape 1" descr="Vista previa de toda la pantalla">
          <a:extLst>
            <a:ext uri="{FF2B5EF4-FFF2-40B4-BE49-F238E27FC236}">
              <a16:creationId xmlns:a16="http://schemas.microsoft.com/office/drawing/2014/main" id="{20499F12-A166-4C88-A91F-F306EA521A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14" name="AutoShape 1" descr="Vista previa de toda la pantalla">
          <a:extLst>
            <a:ext uri="{FF2B5EF4-FFF2-40B4-BE49-F238E27FC236}">
              <a16:creationId xmlns:a16="http://schemas.microsoft.com/office/drawing/2014/main" id="{0C0E3C74-82FD-4038-9119-B486B961D3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15" name="AutoShape 1" descr="Vista previa de toda la pantalla">
          <a:extLst>
            <a:ext uri="{FF2B5EF4-FFF2-40B4-BE49-F238E27FC236}">
              <a16:creationId xmlns:a16="http://schemas.microsoft.com/office/drawing/2014/main" id="{DF7786AD-C779-45E8-A29B-50F159FA9D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16" name="AutoShape 1" descr="Vista previa de toda la pantalla">
          <a:extLst>
            <a:ext uri="{FF2B5EF4-FFF2-40B4-BE49-F238E27FC236}">
              <a16:creationId xmlns:a16="http://schemas.microsoft.com/office/drawing/2014/main" id="{D0AFD316-A67E-4D28-B4D6-4FE7A6291A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17" name="AutoShape 1" descr="Vista previa de toda la pantalla">
          <a:extLst>
            <a:ext uri="{FF2B5EF4-FFF2-40B4-BE49-F238E27FC236}">
              <a16:creationId xmlns:a16="http://schemas.microsoft.com/office/drawing/2014/main" id="{11C7DD34-FFE8-4CAB-B956-9CA1B1F1A7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18" name="AutoShape 1" descr="Vista previa de toda la pantalla">
          <a:extLst>
            <a:ext uri="{FF2B5EF4-FFF2-40B4-BE49-F238E27FC236}">
              <a16:creationId xmlns:a16="http://schemas.microsoft.com/office/drawing/2014/main" id="{8493A051-9AA5-497B-973C-7C5607A6AC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19" name="AutoShape 1" descr="Vista previa de toda la pantalla">
          <a:extLst>
            <a:ext uri="{FF2B5EF4-FFF2-40B4-BE49-F238E27FC236}">
              <a16:creationId xmlns:a16="http://schemas.microsoft.com/office/drawing/2014/main" id="{24CEA09E-7272-4ED8-8132-BEAC1CFA98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20" name="AutoShape 1" descr="Vista previa de toda la pantalla">
          <a:extLst>
            <a:ext uri="{FF2B5EF4-FFF2-40B4-BE49-F238E27FC236}">
              <a16:creationId xmlns:a16="http://schemas.microsoft.com/office/drawing/2014/main" id="{38123E28-B9C9-46E0-94F2-9736BEED02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21" name="AutoShape 1" descr="Vista previa de toda la pantalla">
          <a:extLst>
            <a:ext uri="{FF2B5EF4-FFF2-40B4-BE49-F238E27FC236}">
              <a16:creationId xmlns:a16="http://schemas.microsoft.com/office/drawing/2014/main" id="{60FE89D4-A70F-46CE-A99F-700707EF61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22" name="AutoShape 1" descr="Vista previa de toda la pantalla">
          <a:extLst>
            <a:ext uri="{FF2B5EF4-FFF2-40B4-BE49-F238E27FC236}">
              <a16:creationId xmlns:a16="http://schemas.microsoft.com/office/drawing/2014/main" id="{A16E849E-E4D2-4DEA-B57E-04D4B87871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23" name="AutoShape 1" descr="Vista previa de toda la pantalla">
          <a:extLst>
            <a:ext uri="{FF2B5EF4-FFF2-40B4-BE49-F238E27FC236}">
              <a16:creationId xmlns:a16="http://schemas.microsoft.com/office/drawing/2014/main" id="{44B307FD-1C6D-4004-B261-5CF5B125DB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24" name="AutoShape 1" descr="Vista previa de toda la pantalla">
          <a:extLst>
            <a:ext uri="{FF2B5EF4-FFF2-40B4-BE49-F238E27FC236}">
              <a16:creationId xmlns:a16="http://schemas.microsoft.com/office/drawing/2014/main" id="{98558267-F1E0-4B18-A928-074B1CD505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25" name="AutoShape 1" descr="Vista previa de toda la pantalla">
          <a:extLst>
            <a:ext uri="{FF2B5EF4-FFF2-40B4-BE49-F238E27FC236}">
              <a16:creationId xmlns:a16="http://schemas.microsoft.com/office/drawing/2014/main" id="{E1601BAB-D414-4C22-846F-E2A02F2E12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26" name="AutoShape 1" descr="Vista previa de toda la pantalla">
          <a:extLst>
            <a:ext uri="{FF2B5EF4-FFF2-40B4-BE49-F238E27FC236}">
              <a16:creationId xmlns:a16="http://schemas.microsoft.com/office/drawing/2014/main" id="{FCCFC47C-68D5-4D77-B6AC-69803CE4A8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27" name="AutoShape 1" descr="Vista previa de toda la pantalla">
          <a:extLst>
            <a:ext uri="{FF2B5EF4-FFF2-40B4-BE49-F238E27FC236}">
              <a16:creationId xmlns:a16="http://schemas.microsoft.com/office/drawing/2014/main" id="{26D050E7-B24A-49A9-A87B-FDD0CB873A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28" name="AutoShape 1" descr="Vista previa de toda la pantalla">
          <a:extLst>
            <a:ext uri="{FF2B5EF4-FFF2-40B4-BE49-F238E27FC236}">
              <a16:creationId xmlns:a16="http://schemas.microsoft.com/office/drawing/2014/main" id="{9C0DA357-EAF2-45F8-8F53-236B9494C8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29" name="AutoShape 1" descr="Vista previa de toda la pantalla">
          <a:extLst>
            <a:ext uri="{FF2B5EF4-FFF2-40B4-BE49-F238E27FC236}">
              <a16:creationId xmlns:a16="http://schemas.microsoft.com/office/drawing/2014/main" id="{8712A312-908B-4E80-8E19-6BDB87902F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30" name="AutoShape 1" descr="Vista previa de toda la pantalla">
          <a:extLst>
            <a:ext uri="{FF2B5EF4-FFF2-40B4-BE49-F238E27FC236}">
              <a16:creationId xmlns:a16="http://schemas.microsoft.com/office/drawing/2014/main" id="{43DEDB7F-2244-4593-90B8-4C63C3A673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31" name="AutoShape 1" descr="Vista previa de toda la pantalla">
          <a:extLst>
            <a:ext uri="{FF2B5EF4-FFF2-40B4-BE49-F238E27FC236}">
              <a16:creationId xmlns:a16="http://schemas.microsoft.com/office/drawing/2014/main" id="{E0448681-59D8-4AF6-9CB9-510A4168C5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32" name="AutoShape 1" descr="Vista previa de toda la pantalla">
          <a:extLst>
            <a:ext uri="{FF2B5EF4-FFF2-40B4-BE49-F238E27FC236}">
              <a16:creationId xmlns:a16="http://schemas.microsoft.com/office/drawing/2014/main" id="{B55FA2B1-9681-4A1E-B618-07F1C84616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33" name="AutoShape 1" descr="Vista previa de toda la pantalla">
          <a:extLst>
            <a:ext uri="{FF2B5EF4-FFF2-40B4-BE49-F238E27FC236}">
              <a16:creationId xmlns:a16="http://schemas.microsoft.com/office/drawing/2014/main" id="{868C45ED-5311-4F77-88B1-6A00D83EBB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34" name="AutoShape 1" descr="Vista previa de toda la pantalla">
          <a:extLst>
            <a:ext uri="{FF2B5EF4-FFF2-40B4-BE49-F238E27FC236}">
              <a16:creationId xmlns:a16="http://schemas.microsoft.com/office/drawing/2014/main" id="{8D9D15C8-C1AC-4B4E-A913-041823BC8E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35" name="AutoShape 1" descr="Vista previa de toda la pantalla">
          <a:extLst>
            <a:ext uri="{FF2B5EF4-FFF2-40B4-BE49-F238E27FC236}">
              <a16:creationId xmlns:a16="http://schemas.microsoft.com/office/drawing/2014/main" id="{69244F86-CBA4-46BD-8710-8CB5AFEEA5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36" name="AutoShape 1" descr="Vista previa de toda la pantalla">
          <a:extLst>
            <a:ext uri="{FF2B5EF4-FFF2-40B4-BE49-F238E27FC236}">
              <a16:creationId xmlns:a16="http://schemas.microsoft.com/office/drawing/2014/main" id="{1ED88C15-6CFF-4411-919C-B2CAF37F43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37" name="AutoShape 1" descr="Vista previa de toda la pantalla">
          <a:extLst>
            <a:ext uri="{FF2B5EF4-FFF2-40B4-BE49-F238E27FC236}">
              <a16:creationId xmlns:a16="http://schemas.microsoft.com/office/drawing/2014/main" id="{57AC2618-44C4-41D0-9B99-D54B5DDFBB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38" name="AutoShape 1" descr="Vista previa de toda la pantalla">
          <a:extLst>
            <a:ext uri="{FF2B5EF4-FFF2-40B4-BE49-F238E27FC236}">
              <a16:creationId xmlns:a16="http://schemas.microsoft.com/office/drawing/2014/main" id="{5E02425F-8A18-4C34-A9EB-9AB8889628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39" name="AutoShape 1" descr="Vista previa de toda la pantalla">
          <a:extLst>
            <a:ext uri="{FF2B5EF4-FFF2-40B4-BE49-F238E27FC236}">
              <a16:creationId xmlns:a16="http://schemas.microsoft.com/office/drawing/2014/main" id="{21735D55-ABAA-49AA-B12E-645A85251F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0" name="AutoShape 1" descr="Vista previa de toda la pantalla">
          <a:extLst>
            <a:ext uri="{FF2B5EF4-FFF2-40B4-BE49-F238E27FC236}">
              <a16:creationId xmlns:a16="http://schemas.microsoft.com/office/drawing/2014/main" id="{6760E395-79D6-46A4-8CBA-6FD7A3D022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1" name="AutoShape 1" descr="Vista previa de toda la pantalla">
          <a:extLst>
            <a:ext uri="{FF2B5EF4-FFF2-40B4-BE49-F238E27FC236}">
              <a16:creationId xmlns:a16="http://schemas.microsoft.com/office/drawing/2014/main" id="{BE11AAF8-1CCB-46F9-977E-C04C10A0E3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2" name="AutoShape 1" descr="Vista previa de toda la pantalla">
          <a:extLst>
            <a:ext uri="{FF2B5EF4-FFF2-40B4-BE49-F238E27FC236}">
              <a16:creationId xmlns:a16="http://schemas.microsoft.com/office/drawing/2014/main" id="{7311764E-F2BB-40B6-BE62-6B8AC96A88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3" name="AutoShape 1" descr="Vista previa de toda la pantalla">
          <a:extLst>
            <a:ext uri="{FF2B5EF4-FFF2-40B4-BE49-F238E27FC236}">
              <a16:creationId xmlns:a16="http://schemas.microsoft.com/office/drawing/2014/main" id="{583D9831-7411-425F-9C54-91C1DCF3B7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4" name="AutoShape 1" descr="Vista previa de toda la pantalla">
          <a:extLst>
            <a:ext uri="{FF2B5EF4-FFF2-40B4-BE49-F238E27FC236}">
              <a16:creationId xmlns:a16="http://schemas.microsoft.com/office/drawing/2014/main" id="{BFF8032A-CF93-4D61-BD22-06D9F4677D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5" name="AutoShape 1" descr="Vista previa de toda la pantalla">
          <a:extLst>
            <a:ext uri="{FF2B5EF4-FFF2-40B4-BE49-F238E27FC236}">
              <a16:creationId xmlns:a16="http://schemas.microsoft.com/office/drawing/2014/main" id="{B5FE2EBE-AE80-4DB7-8E4C-204A04D947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6" name="AutoShape 1" descr="Vista previa de toda la pantalla">
          <a:extLst>
            <a:ext uri="{FF2B5EF4-FFF2-40B4-BE49-F238E27FC236}">
              <a16:creationId xmlns:a16="http://schemas.microsoft.com/office/drawing/2014/main" id="{53B77F52-F1FF-45FB-AF56-36E5D7A422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7" name="AutoShape 1" descr="Vista previa de toda la pantalla">
          <a:extLst>
            <a:ext uri="{FF2B5EF4-FFF2-40B4-BE49-F238E27FC236}">
              <a16:creationId xmlns:a16="http://schemas.microsoft.com/office/drawing/2014/main" id="{67F649CD-522D-4C34-9E98-4956675136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8" name="AutoShape 1" descr="Vista previa de toda la pantalla">
          <a:extLst>
            <a:ext uri="{FF2B5EF4-FFF2-40B4-BE49-F238E27FC236}">
              <a16:creationId xmlns:a16="http://schemas.microsoft.com/office/drawing/2014/main" id="{3B593086-62F7-4005-8BB4-BBC2325923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49" name="AutoShape 1" descr="Vista previa de toda la pantalla">
          <a:extLst>
            <a:ext uri="{FF2B5EF4-FFF2-40B4-BE49-F238E27FC236}">
              <a16:creationId xmlns:a16="http://schemas.microsoft.com/office/drawing/2014/main" id="{F61D0F5F-BE83-41B1-BB48-E0255B4206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0" name="AutoShape 1" descr="Vista previa de toda la pantalla">
          <a:extLst>
            <a:ext uri="{FF2B5EF4-FFF2-40B4-BE49-F238E27FC236}">
              <a16:creationId xmlns:a16="http://schemas.microsoft.com/office/drawing/2014/main" id="{8D6150FF-62F3-4781-8F3F-0F355C5218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1" name="AutoShape 1" descr="Vista previa de toda la pantalla">
          <a:extLst>
            <a:ext uri="{FF2B5EF4-FFF2-40B4-BE49-F238E27FC236}">
              <a16:creationId xmlns:a16="http://schemas.microsoft.com/office/drawing/2014/main" id="{BE12E47C-3206-4E39-8112-DB9A4B873F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2" name="AutoShape 1" descr="Vista previa de toda la pantalla">
          <a:extLst>
            <a:ext uri="{FF2B5EF4-FFF2-40B4-BE49-F238E27FC236}">
              <a16:creationId xmlns:a16="http://schemas.microsoft.com/office/drawing/2014/main" id="{5A19F361-2F72-46BF-B04C-CA5CC145EA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3" name="AutoShape 1" descr="Vista previa de toda la pantalla">
          <a:extLst>
            <a:ext uri="{FF2B5EF4-FFF2-40B4-BE49-F238E27FC236}">
              <a16:creationId xmlns:a16="http://schemas.microsoft.com/office/drawing/2014/main" id="{E13CE148-99C2-4AF3-B01C-4803A43FC9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4" name="AutoShape 1" descr="Vista previa de toda la pantalla">
          <a:extLst>
            <a:ext uri="{FF2B5EF4-FFF2-40B4-BE49-F238E27FC236}">
              <a16:creationId xmlns:a16="http://schemas.microsoft.com/office/drawing/2014/main" id="{B323F39E-8AC3-4EC6-9C0D-B2058F0907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5" name="AutoShape 1" descr="Vista previa de toda la pantalla">
          <a:extLst>
            <a:ext uri="{FF2B5EF4-FFF2-40B4-BE49-F238E27FC236}">
              <a16:creationId xmlns:a16="http://schemas.microsoft.com/office/drawing/2014/main" id="{86206FFB-2A72-4C1E-8F4E-25C20578D5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6" name="AutoShape 1" descr="Vista previa de toda la pantalla">
          <a:extLst>
            <a:ext uri="{FF2B5EF4-FFF2-40B4-BE49-F238E27FC236}">
              <a16:creationId xmlns:a16="http://schemas.microsoft.com/office/drawing/2014/main" id="{9236D624-918A-4952-891A-AE1389433E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7" name="AutoShape 1" descr="Vista previa de toda la pantalla">
          <a:extLst>
            <a:ext uri="{FF2B5EF4-FFF2-40B4-BE49-F238E27FC236}">
              <a16:creationId xmlns:a16="http://schemas.microsoft.com/office/drawing/2014/main" id="{F56FA93C-92BC-4C41-990B-60AFBA8433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8" name="AutoShape 1" descr="Vista previa de toda la pantalla">
          <a:extLst>
            <a:ext uri="{FF2B5EF4-FFF2-40B4-BE49-F238E27FC236}">
              <a16:creationId xmlns:a16="http://schemas.microsoft.com/office/drawing/2014/main" id="{F33163D6-ED2F-4DAE-879F-0FCB8BB5A9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59" name="AutoShape 1" descr="Vista previa de toda la pantalla">
          <a:extLst>
            <a:ext uri="{FF2B5EF4-FFF2-40B4-BE49-F238E27FC236}">
              <a16:creationId xmlns:a16="http://schemas.microsoft.com/office/drawing/2014/main" id="{EB9D0801-47DE-42D6-911D-67EACB3E3A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0" name="AutoShape 1" descr="Vista previa de toda la pantalla">
          <a:extLst>
            <a:ext uri="{FF2B5EF4-FFF2-40B4-BE49-F238E27FC236}">
              <a16:creationId xmlns:a16="http://schemas.microsoft.com/office/drawing/2014/main" id="{63B62B7C-699C-4DFC-A647-0D1E930E24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1" name="AutoShape 1" descr="Vista previa de toda la pantalla">
          <a:extLst>
            <a:ext uri="{FF2B5EF4-FFF2-40B4-BE49-F238E27FC236}">
              <a16:creationId xmlns:a16="http://schemas.microsoft.com/office/drawing/2014/main" id="{21C8644C-0055-4358-AF36-52EE259CF9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2" name="AutoShape 1" descr="Vista previa de toda la pantalla">
          <a:extLst>
            <a:ext uri="{FF2B5EF4-FFF2-40B4-BE49-F238E27FC236}">
              <a16:creationId xmlns:a16="http://schemas.microsoft.com/office/drawing/2014/main" id="{518C7535-D894-4589-A4CF-0F7CA3CABC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3" name="AutoShape 1" descr="Vista previa de toda la pantalla">
          <a:extLst>
            <a:ext uri="{FF2B5EF4-FFF2-40B4-BE49-F238E27FC236}">
              <a16:creationId xmlns:a16="http://schemas.microsoft.com/office/drawing/2014/main" id="{8DA925A3-199D-4D26-B48C-10DC42574D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4" name="AutoShape 1" descr="Vista previa de toda la pantalla">
          <a:extLst>
            <a:ext uri="{FF2B5EF4-FFF2-40B4-BE49-F238E27FC236}">
              <a16:creationId xmlns:a16="http://schemas.microsoft.com/office/drawing/2014/main" id="{00243722-8D20-4517-83F4-A043016D8D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5" name="AutoShape 1" descr="Vista previa de toda la pantalla">
          <a:extLst>
            <a:ext uri="{FF2B5EF4-FFF2-40B4-BE49-F238E27FC236}">
              <a16:creationId xmlns:a16="http://schemas.microsoft.com/office/drawing/2014/main" id="{492D02EC-15BA-4A79-AD05-22AA6BEF09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6" name="AutoShape 1" descr="Vista previa de toda la pantalla">
          <a:extLst>
            <a:ext uri="{FF2B5EF4-FFF2-40B4-BE49-F238E27FC236}">
              <a16:creationId xmlns:a16="http://schemas.microsoft.com/office/drawing/2014/main" id="{0DC13436-A515-438F-967A-31F257B2D3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7" name="AutoShape 1" descr="Vista previa de toda la pantalla">
          <a:extLst>
            <a:ext uri="{FF2B5EF4-FFF2-40B4-BE49-F238E27FC236}">
              <a16:creationId xmlns:a16="http://schemas.microsoft.com/office/drawing/2014/main" id="{D57F289C-C766-4FD9-8E63-DD49FEEF72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8" name="AutoShape 1" descr="Vista previa de toda la pantalla">
          <a:extLst>
            <a:ext uri="{FF2B5EF4-FFF2-40B4-BE49-F238E27FC236}">
              <a16:creationId xmlns:a16="http://schemas.microsoft.com/office/drawing/2014/main" id="{7ADCF81F-AE73-42D9-AC38-6DA877BA98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69" name="AutoShape 1" descr="Vista previa de toda la pantalla">
          <a:extLst>
            <a:ext uri="{FF2B5EF4-FFF2-40B4-BE49-F238E27FC236}">
              <a16:creationId xmlns:a16="http://schemas.microsoft.com/office/drawing/2014/main" id="{A5FD6957-EDA5-4079-9B2B-5203D59BBB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0" name="AutoShape 1" descr="Vista previa de toda la pantalla">
          <a:extLst>
            <a:ext uri="{FF2B5EF4-FFF2-40B4-BE49-F238E27FC236}">
              <a16:creationId xmlns:a16="http://schemas.microsoft.com/office/drawing/2014/main" id="{18994AD6-E187-474C-A059-19DA8A4024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1" name="AutoShape 1" descr="Vista previa de toda la pantalla">
          <a:extLst>
            <a:ext uri="{FF2B5EF4-FFF2-40B4-BE49-F238E27FC236}">
              <a16:creationId xmlns:a16="http://schemas.microsoft.com/office/drawing/2014/main" id="{450E4E8F-CED6-49A5-8C63-01000369A5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2" name="AutoShape 1" descr="Vista previa de toda la pantalla">
          <a:extLst>
            <a:ext uri="{FF2B5EF4-FFF2-40B4-BE49-F238E27FC236}">
              <a16:creationId xmlns:a16="http://schemas.microsoft.com/office/drawing/2014/main" id="{9137C071-DAE8-48A2-89A7-E2BCBC1520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3" name="AutoShape 1" descr="Vista previa de toda la pantalla">
          <a:extLst>
            <a:ext uri="{FF2B5EF4-FFF2-40B4-BE49-F238E27FC236}">
              <a16:creationId xmlns:a16="http://schemas.microsoft.com/office/drawing/2014/main" id="{88E998BC-B955-4595-B2E9-B8BF832C97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4" name="AutoShape 1" descr="Vista previa de toda la pantalla">
          <a:extLst>
            <a:ext uri="{FF2B5EF4-FFF2-40B4-BE49-F238E27FC236}">
              <a16:creationId xmlns:a16="http://schemas.microsoft.com/office/drawing/2014/main" id="{307D2275-08FF-4564-A305-04A34A1491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5" name="AutoShape 1" descr="Vista previa de toda la pantalla">
          <a:extLst>
            <a:ext uri="{FF2B5EF4-FFF2-40B4-BE49-F238E27FC236}">
              <a16:creationId xmlns:a16="http://schemas.microsoft.com/office/drawing/2014/main" id="{17B0F36C-0959-4DAB-BADF-2EA9B42B1E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6" name="AutoShape 1" descr="Vista previa de toda la pantalla">
          <a:extLst>
            <a:ext uri="{FF2B5EF4-FFF2-40B4-BE49-F238E27FC236}">
              <a16:creationId xmlns:a16="http://schemas.microsoft.com/office/drawing/2014/main" id="{E1238C18-96C6-4AA8-BE6C-9DCDEA3399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7" name="AutoShape 1" descr="Vista previa de toda la pantalla">
          <a:extLst>
            <a:ext uri="{FF2B5EF4-FFF2-40B4-BE49-F238E27FC236}">
              <a16:creationId xmlns:a16="http://schemas.microsoft.com/office/drawing/2014/main" id="{25C46FAD-4B2D-4CD7-A49C-66EB248B52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8" name="AutoShape 1" descr="Vista previa de toda la pantalla">
          <a:extLst>
            <a:ext uri="{FF2B5EF4-FFF2-40B4-BE49-F238E27FC236}">
              <a16:creationId xmlns:a16="http://schemas.microsoft.com/office/drawing/2014/main" id="{3AF0A0EF-3A9C-4A6D-ACDC-858D3AFC80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79" name="AutoShape 1" descr="Vista previa de toda la pantalla">
          <a:extLst>
            <a:ext uri="{FF2B5EF4-FFF2-40B4-BE49-F238E27FC236}">
              <a16:creationId xmlns:a16="http://schemas.microsoft.com/office/drawing/2014/main" id="{DE6F53B3-E18E-4E5D-A0B8-9C991BAFB9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0" name="AutoShape 1" descr="Vista previa de toda la pantalla">
          <a:extLst>
            <a:ext uri="{FF2B5EF4-FFF2-40B4-BE49-F238E27FC236}">
              <a16:creationId xmlns:a16="http://schemas.microsoft.com/office/drawing/2014/main" id="{5075513C-65A6-4085-B0CE-CA64FFB5A3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1" name="AutoShape 1" descr="Vista previa de toda la pantalla">
          <a:extLst>
            <a:ext uri="{FF2B5EF4-FFF2-40B4-BE49-F238E27FC236}">
              <a16:creationId xmlns:a16="http://schemas.microsoft.com/office/drawing/2014/main" id="{B01A5B65-AE1F-4515-A7C8-D96103AC84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2" name="AutoShape 1" descr="Vista previa de toda la pantalla">
          <a:extLst>
            <a:ext uri="{FF2B5EF4-FFF2-40B4-BE49-F238E27FC236}">
              <a16:creationId xmlns:a16="http://schemas.microsoft.com/office/drawing/2014/main" id="{1248E27B-40A6-4C20-9CDB-C578D87C77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3" name="AutoShape 1" descr="Vista previa de toda la pantalla">
          <a:extLst>
            <a:ext uri="{FF2B5EF4-FFF2-40B4-BE49-F238E27FC236}">
              <a16:creationId xmlns:a16="http://schemas.microsoft.com/office/drawing/2014/main" id="{B1AC350D-3FEF-4744-B7A1-76C9E8EE5A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4" name="AutoShape 1" descr="Vista previa de toda la pantalla">
          <a:extLst>
            <a:ext uri="{FF2B5EF4-FFF2-40B4-BE49-F238E27FC236}">
              <a16:creationId xmlns:a16="http://schemas.microsoft.com/office/drawing/2014/main" id="{A75B9CA6-12C9-48C6-A51E-E6487FE8F4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5" name="AutoShape 1" descr="Vista previa de toda la pantalla">
          <a:extLst>
            <a:ext uri="{FF2B5EF4-FFF2-40B4-BE49-F238E27FC236}">
              <a16:creationId xmlns:a16="http://schemas.microsoft.com/office/drawing/2014/main" id="{E36A5C19-2E62-42F1-B229-825C7BD36F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6" name="AutoShape 1" descr="Vista previa de toda la pantalla">
          <a:extLst>
            <a:ext uri="{FF2B5EF4-FFF2-40B4-BE49-F238E27FC236}">
              <a16:creationId xmlns:a16="http://schemas.microsoft.com/office/drawing/2014/main" id="{11744945-DEB0-466E-8BF0-A73F302B83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7" name="AutoShape 1" descr="Vista previa de toda la pantalla">
          <a:extLst>
            <a:ext uri="{FF2B5EF4-FFF2-40B4-BE49-F238E27FC236}">
              <a16:creationId xmlns:a16="http://schemas.microsoft.com/office/drawing/2014/main" id="{46F490F6-64E1-43F8-9A82-D283EA5779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8" name="AutoShape 1" descr="Vista previa de toda la pantalla">
          <a:extLst>
            <a:ext uri="{FF2B5EF4-FFF2-40B4-BE49-F238E27FC236}">
              <a16:creationId xmlns:a16="http://schemas.microsoft.com/office/drawing/2014/main" id="{9F4C9853-277C-4A16-97E4-3563679E1B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89" name="AutoShape 1" descr="Vista previa de toda la pantalla">
          <a:extLst>
            <a:ext uri="{FF2B5EF4-FFF2-40B4-BE49-F238E27FC236}">
              <a16:creationId xmlns:a16="http://schemas.microsoft.com/office/drawing/2014/main" id="{21068AE8-573E-45A0-9317-F054AFA2A0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0" name="AutoShape 1" descr="Vista previa de toda la pantalla">
          <a:extLst>
            <a:ext uri="{FF2B5EF4-FFF2-40B4-BE49-F238E27FC236}">
              <a16:creationId xmlns:a16="http://schemas.microsoft.com/office/drawing/2014/main" id="{7342A875-5E7E-44A5-AB04-1F2A7B6144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1" name="AutoShape 1" descr="Vista previa de toda la pantalla">
          <a:extLst>
            <a:ext uri="{FF2B5EF4-FFF2-40B4-BE49-F238E27FC236}">
              <a16:creationId xmlns:a16="http://schemas.microsoft.com/office/drawing/2014/main" id="{01E9FFD9-95D7-4832-A598-4AD7DD3262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2" name="AutoShape 1" descr="Vista previa de toda la pantalla">
          <a:extLst>
            <a:ext uri="{FF2B5EF4-FFF2-40B4-BE49-F238E27FC236}">
              <a16:creationId xmlns:a16="http://schemas.microsoft.com/office/drawing/2014/main" id="{17C5E056-2C1A-41BE-9D11-2C99849785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3" name="AutoShape 1" descr="Vista previa de toda la pantalla">
          <a:extLst>
            <a:ext uri="{FF2B5EF4-FFF2-40B4-BE49-F238E27FC236}">
              <a16:creationId xmlns:a16="http://schemas.microsoft.com/office/drawing/2014/main" id="{5B659779-3821-42A1-852C-5BE2768D7C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4" name="AutoShape 1" descr="Vista previa de toda la pantalla">
          <a:extLst>
            <a:ext uri="{FF2B5EF4-FFF2-40B4-BE49-F238E27FC236}">
              <a16:creationId xmlns:a16="http://schemas.microsoft.com/office/drawing/2014/main" id="{8B812B5E-C930-4A37-830A-9860A40DA8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5" name="AutoShape 1" descr="Vista previa de toda la pantalla">
          <a:extLst>
            <a:ext uri="{FF2B5EF4-FFF2-40B4-BE49-F238E27FC236}">
              <a16:creationId xmlns:a16="http://schemas.microsoft.com/office/drawing/2014/main" id="{DC4F7ED5-88A4-4FAD-A361-521C99C145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6" name="AutoShape 1" descr="Vista previa de toda la pantalla">
          <a:extLst>
            <a:ext uri="{FF2B5EF4-FFF2-40B4-BE49-F238E27FC236}">
              <a16:creationId xmlns:a16="http://schemas.microsoft.com/office/drawing/2014/main" id="{4ED39BD6-CEAF-4825-A007-80B29DCD0C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7" name="AutoShape 1" descr="Vista previa de toda la pantalla">
          <a:extLst>
            <a:ext uri="{FF2B5EF4-FFF2-40B4-BE49-F238E27FC236}">
              <a16:creationId xmlns:a16="http://schemas.microsoft.com/office/drawing/2014/main" id="{F3407061-E964-4403-AF98-43F0F2EB6D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8" name="AutoShape 1" descr="Vista previa de toda la pantalla">
          <a:extLst>
            <a:ext uri="{FF2B5EF4-FFF2-40B4-BE49-F238E27FC236}">
              <a16:creationId xmlns:a16="http://schemas.microsoft.com/office/drawing/2014/main" id="{1EC43631-68E6-43F4-9372-0DBF216F12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899" name="AutoShape 1" descr="Vista previa de toda la pantalla">
          <a:extLst>
            <a:ext uri="{FF2B5EF4-FFF2-40B4-BE49-F238E27FC236}">
              <a16:creationId xmlns:a16="http://schemas.microsoft.com/office/drawing/2014/main" id="{4EA53F6E-F483-4A94-8B43-516F338EAD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00" name="AutoShape 1" descr="Vista previa de toda la pantalla">
          <a:extLst>
            <a:ext uri="{FF2B5EF4-FFF2-40B4-BE49-F238E27FC236}">
              <a16:creationId xmlns:a16="http://schemas.microsoft.com/office/drawing/2014/main" id="{D55E1E3E-0C98-44CF-99DE-CFE7F07B97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4901" name="AutoShape 1" descr="Vista previa de toda la pantalla">
          <a:extLst>
            <a:ext uri="{FF2B5EF4-FFF2-40B4-BE49-F238E27FC236}">
              <a16:creationId xmlns:a16="http://schemas.microsoft.com/office/drawing/2014/main" id="{59217FF7-ABF4-4D8B-8A25-5BB7BA013CA0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02" name="AutoShape 1" descr="Vista previa de toda la pantalla">
          <a:extLst>
            <a:ext uri="{FF2B5EF4-FFF2-40B4-BE49-F238E27FC236}">
              <a16:creationId xmlns:a16="http://schemas.microsoft.com/office/drawing/2014/main" id="{82684DD5-D55D-491E-940F-FC6AA2CAEA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03" name="AutoShape 1" descr="Vista previa de toda la pantalla">
          <a:extLst>
            <a:ext uri="{FF2B5EF4-FFF2-40B4-BE49-F238E27FC236}">
              <a16:creationId xmlns:a16="http://schemas.microsoft.com/office/drawing/2014/main" id="{44D81461-00E2-46AD-82B5-82766ADBC2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04" name="AutoShape 1" descr="Vista previa de toda la pantalla">
          <a:extLst>
            <a:ext uri="{FF2B5EF4-FFF2-40B4-BE49-F238E27FC236}">
              <a16:creationId xmlns:a16="http://schemas.microsoft.com/office/drawing/2014/main" id="{0B2EB8C3-67D5-492D-9D66-84A387BC7A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05" name="AutoShape 1" descr="Vista previa de toda la pantalla">
          <a:extLst>
            <a:ext uri="{FF2B5EF4-FFF2-40B4-BE49-F238E27FC236}">
              <a16:creationId xmlns:a16="http://schemas.microsoft.com/office/drawing/2014/main" id="{A3956F59-EFA3-4F7E-AD36-C20C652D10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06" name="AutoShape 1" descr="Vista previa de toda la pantalla">
          <a:extLst>
            <a:ext uri="{FF2B5EF4-FFF2-40B4-BE49-F238E27FC236}">
              <a16:creationId xmlns:a16="http://schemas.microsoft.com/office/drawing/2014/main" id="{61C2937B-875A-44E5-BE66-89BE2D9B63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07" name="AutoShape 1" descr="Vista previa de toda la pantalla">
          <a:extLst>
            <a:ext uri="{FF2B5EF4-FFF2-40B4-BE49-F238E27FC236}">
              <a16:creationId xmlns:a16="http://schemas.microsoft.com/office/drawing/2014/main" id="{0A6397D9-057B-49F2-AD5C-F396A5DE7E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08" name="AutoShape 1" descr="Vista previa de toda la pantalla">
          <a:extLst>
            <a:ext uri="{FF2B5EF4-FFF2-40B4-BE49-F238E27FC236}">
              <a16:creationId xmlns:a16="http://schemas.microsoft.com/office/drawing/2014/main" id="{99733524-4F65-4FDF-9723-36571931F8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09" name="AutoShape 1" descr="Vista previa de toda la pantalla">
          <a:extLst>
            <a:ext uri="{FF2B5EF4-FFF2-40B4-BE49-F238E27FC236}">
              <a16:creationId xmlns:a16="http://schemas.microsoft.com/office/drawing/2014/main" id="{5B062B94-7FC3-4EA7-80DC-8D3439B043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0" name="AutoShape 1" descr="Vista previa de toda la pantalla">
          <a:extLst>
            <a:ext uri="{FF2B5EF4-FFF2-40B4-BE49-F238E27FC236}">
              <a16:creationId xmlns:a16="http://schemas.microsoft.com/office/drawing/2014/main" id="{4A6E625B-B183-47FF-B4C5-BEC56B1041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1" name="AutoShape 1" descr="Vista previa de toda la pantalla">
          <a:extLst>
            <a:ext uri="{FF2B5EF4-FFF2-40B4-BE49-F238E27FC236}">
              <a16:creationId xmlns:a16="http://schemas.microsoft.com/office/drawing/2014/main" id="{59E5CD1D-E053-4269-9B2D-76824C8AB5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2" name="AutoShape 1" descr="Vista previa de toda la pantalla">
          <a:extLst>
            <a:ext uri="{FF2B5EF4-FFF2-40B4-BE49-F238E27FC236}">
              <a16:creationId xmlns:a16="http://schemas.microsoft.com/office/drawing/2014/main" id="{BF3C27A1-9A40-42B4-A073-5521A37CF0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3" name="AutoShape 1" descr="Vista previa de toda la pantalla">
          <a:extLst>
            <a:ext uri="{FF2B5EF4-FFF2-40B4-BE49-F238E27FC236}">
              <a16:creationId xmlns:a16="http://schemas.microsoft.com/office/drawing/2014/main" id="{544E4402-CDC8-4DD8-B499-9342239B9F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4" name="AutoShape 1" descr="Vista previa de toda la pantalla">
          <a:extLst>
            <a:ext uri="{FF2B5EF4-FFF2-40B4-BE49-F238E27FC236}">
              <a16:creationId xmlns:a16="http://schemas.microsoft.com/office/drawing/2014/main" id="{A5078ADC-D872-497E-B406-0941622F1C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5" name="AutoShape 1" descr="Vista previa de toda la pantalla">
          <a:extLst>
            <a:ext uri="{FF2B5EF4-FFF2-40B4-BE49-F238E27FC236}">
              <a16:creationId xmlns:a16="http://schemas.microsoft.com/office/drawing/2014/main" id="{6F135872-98DB-46B8-80A5-0B5B5A6AF1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6" name="AutoShape 1" descr="Vista previa de toda la pantalla">
          <a:extLst>
            <a:ext uri="{FF2B5EF4-FFF2-40B4-BE49-F238E27FC236}">
              <a16:creationId xmlns:a16="http://schemas.microsoft.com/office/drawing/2014/main" id="{04DA0A60-EDDF-49CD-AD02-E02E95C36E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7" name="AutoShape 1" descr="Vista previa de toda la pantalla">
          <a:extLst>
            <a:ext uri="{FF2B5EF4-FFF2-40B4-BE49-F238E27FC236}">
              <a16:creationId xmlns:a16="http://schemas.microsoft.com/office/drawing/2014/main" id="{40E47E86-177A-48A4-9524-8529F12C29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8" name="AutoShape 1" descr="Vista previa de toda la pantalla">
          <a:extLst>
            <a:ext uri="{FF2B5EF4-FFF2-40B4-BE49-F238E27FC236}">
              <a16:creationId xmlns:a16="http://schemas.microsoft.com/office/drawing/2014/main" id="{96B72ED6-817B-4D45-876E-E19DD7F3DC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19" name="AutoShape 1" descr="Vista previa de toda la pantalla">
          <a:extLst>
            <a:ext uri="{FF2B5EF4-FFF2-40B4-BE49-F238E27FC236}">
              <a16:creationId xmlns:a16="http://schemas.microsoft.com/office/drawing/2014/main" id="{1914CB33-3CBA-4691-BAE3-2AA430A046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0" name="AutoShape 1" descr="Vista previa de toda la pantalla">
          <a:extLst>
            <a:ext uri="{FF2B5EF4-FFF2-40B4-BE49-F238E27FC236}">
              <a16:creationId xmlns:a16="http://schemas.microsoft.com/office/drawing/2014/main" id="{A21CF4D8-B507-49CC-8217-081841251E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1" name="AutoShape 1" descr="Vista previa de toda la pantalla">
          <a:extLst>
            <a:ext uri="{FF2B5EF4-FFF2-40B4-BE49-F238E27FC236}">
              <a16:creationId xmlns:a16="http://schemas.microsoft.com/office/drawing/2014/main" id="{ED54978D-2827-49D1-ADDA-536A60DDC2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2" name="AutoShape 1" descr="Vista previa de toda la pantalla">
          <a:extLst>
            <a:ext uri="{FF2B5EF4-FFF2-40B4-BE49-F238E27FC236}">
              <a16:creationId xmlns:a16="http://schemas.microsoft.com/office/drawing/2014/main" id="{EE61FD2D-244A-4C8C-99B5-F63A361934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3" name="AutoShape 1" descr="Vista previa de toda la pantalla">
          <a:extLst>
            <a:ext uri="{FF2B5EF4-FFF2-40B4-BE49-F238E27FC236}">
              <a16:creationId xmlns:a16="http://schemas.microsoft.com/office/drawing/2014/main" id="{2049BB57-C35B-47F3-B3FB-E685EBFC4B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4" name="AutoShape 1" descr="Vista previa de toda la pantalla">
          <a:extLst>
            <a:ext uri="{FF2B5EF4-FFF2-40B4-BE49-F238E27FC236}">
              <a16:creationId xmlns:a16="http://schemas.microsoft.com/office/drawing/2014/main" id="{6451D812-6597-4057-89A1-B49FDA12A8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5" name="AutoShape 1" descr="Vista previa de toda la pantalla">
          <a:extLst>
            <a:ext uri="{FF2B5EF4-FFF2-40B4-BE49-F238E27FC236}">
              <a16:creationId xmlns:a16="http://schemas.microsoft.com/office/drawing/2014/main" id="{DC428FBF-D802-47E8-B8E2-2B9E29F6F4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6" name="AutoShape 1" descr="Vista previa de toda la pantalla">
          <a:extLst>
            <a:ext uri="{FF2B5EF4-FFF2-40B4-BE49-F238E27FC236}">
              <a16:creationId xmlns:a16="http://schemas.microsoft.com/office/drawing/2014/main" id="{5C63D2CF-9F02-41D4-941F-326A8FAC62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7" name="AutoShape 1" descr="Vista previa de toda la pantalla">
          <a:extLst>
            <a:ext uri="{FF2B5EF4-FFF2-40B4-BE49-F238E27FC236}">
              <a16:creationId xmlns:a16="http://schemas.microsoft.com/office/drawing/2014/main" id="{6C5F1137-E3F9-4C1C-955B-B28DE77A91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8" name="AutoShape 1" descr="Vista previa de toda la pantalla">
          <a:extLst>
            <a:ext uri="{FF2B5EF4-FFF2-40B4-BE49-F238E27FC236}">
              <a16:creationId xmlns:a16="http://schemas.microsoft.com/office/drawing/2014/main" id="{30132F08-3A5C-42F0-8532-5C548FEBD1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29" name="AutoShape 1" descr="Vista previa de toda la pantalla">
          <a:extLst>
            <a:ext uri="{FF2B5EF4-FFF2-40B4-BE49-F238E27FC236}">
              <a16:creationId xmlns:a16="http://schemas.microsoft.com/office/drawing/2014/main" id="{ED4E3FE4-08C7-4DA2-9A9C-0260AB7C7E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0" name="AutoShape 1" descr="Vista previa de toda la pantalla">
          <a:extLst>
            <a:ext uri="{FF2B5EF4-FFF2-40B4-BE49-F238E27FC236}">
              <a16:creationId xmlns:a16="http://schemas.microsoft.com/office/drawing/2014/main" id="{FCA7B3CB-41EF-4665-8F3B-6E2F078D1D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1" name="AutoShape 1" descr="Vista previa de toda la pantalla">
          <a:extLst>
            <a:ext uri="{FF2B5EF4-FFF2-40B4-BE49-F238E27FC236}">
              <a16:creationId xmlns:a16="http://schemas.microsoft.com/office/drawing/2014/main" id="{59151A17-EC12-4951-9ECA-FE464C0EA9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2" name="AutoShape 1" descr="Vista previa de toda la pantalla">
          <a:extLst>
            <a:ext uri="{FF2B5EF4-FFF2-40B4-BE49-F238E27FC236}">
              <a16:creationId xmlns:a16="http://schemas.microsoft.com/office/drawing/2014/main" id="{E7FE63EB-FC20-4B52-8DEA-D23C354165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3" name="AutoShape 1" descr="Vista previa de toda la pantalla">
          <a:extLst>
            <a:ext uri="{FF2B5EF4-FFF2-40B4-BE49-F238E27FC236}">
              <a16:creationId xmlns:a16="http://schemas.microsoft.com/office/drawing/2014/main" id="{AA008D27-D503-42BE-8DA1-67AC18CC32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4" name="AutoShape 1" descr="Vista previa de toda la pantalla">
          <a:extLst>
            <a:ext uri="{FF2B5EF4-FFF2-40B4-BE49-F238E27FC236}">
              <a16:creationId xmlns:a16="http://schemas.microsoft.com/office/drawing/2014/main" id="{2C03D34A-2C8C-4011-B6B0-4CC80743A2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5" name="AutoShape 1" descr="Vista previa de toda la pantalla">
          <a:extLst>
            <a:ext uri="{FF2B5EF4-FFF2-40B4-BE49-F238E27FC236}">
              <a16:creationId xmlns:a16="http://schemas.microsoft.com/office/drawing/2014/main" id="{F757992D-B03B-4A42-A78A-675FEACFC9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6" name="AutoShape 1" descr="Vista previa de toda la pantalla">
          <a:extLst>
            <a:ext uri="{FF2B5EF4-FFF2-40B4-BE49-F238E27FC236}">
              <a16:creationId xmlns:a16="http://schemas.microsoft.com/office/drawing/2014/main" id="{1F66F59F-7055-4DF4-9877-75081BF43D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7" name="AutoShape 1" descr="Vista previa de toda la pantalla">
          <a:extLst>
            <a:ext uri="{FF2B5EF4-FFF2-40B4-BE49-F238E27FC236}">
              <a16:creationId xmlns:a16="http://schemas.microsoft.com/office/drawing/2014/main" id="{01E41C56-3912-453C-9CAE-BE81720916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8" name="AutoShape 1" descr="Vista previa de toda la pantalla">
          <a:extLst>
            <a:ext uri="{FF2B5EF4-FFF2-40B4-BE49-F238E27FC236}">
              <a16:creationId xmlns:a16="http://schemas.microsoft.com/office/drawing/2014/main" id="{A17BD0F0-068A-48D3-BDBA-4752A9DB52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39" name="AutoShape 1" descr="Vista previa de toda la pantalla">
          <a:extLst>
            <a:ext uri="{FF2B5EF4-FFF2-40B4-BE49-F238E27FC236}">
              <a16:creationId xmlns:a16="http://schemas.microsoft.com/office/drawing/2014/main" id="{8987281F-2A55-4BE9-8C3C-DB4C7CD6E0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0" name="AutoShape 1" descr="Vista previa de toda la pantalla">
          <a:extLst>
            <a:ext uri="{FF2B5EF4-FFF2-40B4-BE49-F238E27FC236}">
              <a16:creationId xmlns:a16="http://schemas.microsoft.com/office/drawing/2014/main" id="{E9E5BBD3-38D8-4479-B5C5-DDE95A1748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1" name="AutoShape 1" descr="Vista previa de toda la pantalla">
          <a:extLst>
            <a:ext uri="{FF2B5EF4-FFF2-40B4-BE49-F238E27FC236}">
              <a16:creationId xmlns:a16="http://schemas.microsoft.com/office/drawing/2014/main" id="{46B8D605-9047-498A-9B8D-8037417040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2" name="AutoShape 1" descr="Vista previa de toda la pantalla">
          <a:extLst>
            <a:ext uri="{FF2B5EF4-FFF2-40B4-BE49-F238E27FC236}">
              <a16:creationId xmlns:a16="http://schemas.microsoft.com/office/drawing/2014/main" id="{7B4A0A54-CF51-4C73-84F4-259B4ED8D9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3" name="AutoShape 1" descr="Vista previa de toda la pantalla">
          <a:extLst>
            <a:ext uri="{FF2B5EF4-FFF2-40B4-BE49-F238E27FC236}">
              <a16:creationId xmlns:a16="http://schemas.microsoft.com/office/drawing/2014/main" id="{D0B11B7F-8AB1-4C5C-87A0-2641870F6D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4" name="AutoShape 1" descr="Vista previa de toda la pantalla">
          <a:extLst>
            <a:ext uri="{FF2B5EF4-FFF2-40B4-BE49-F238E27FC236}">
              <a16:creationId xmlns:a16="http://schemas.microsoft.com/office/drawing/2014/main" id="{973F1D1D-4B61-4310-8B16-F2DE65E379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5" name="AutoShape 1" descr="Vista previa de toda la pantalla">
          <a:extLst>
            <a:ext uri="{FF2B5EF4-FFF2-40B4-BE49-F238E27FC236}">
              <a16:creationId xmlns:a16="http://schemas.microsoft.com/office/drawing/2014/main" id="{7832BA73-B5E6-43A7-AA07-6A0717B6FF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6" name="AutoShape 1" descr="Vista previa de toda la pantalla">
          <a:extLst>
            <a:ext uri="{FF2B5EF4-FFF2-40B4-BE49-F238E27FC236}">
              <a16:creationId xmlns:a16="http://schemas.microsoft.com/office/drawing/2014/main" id="{24CDFE6A-A108-4DAF-87AF-3834AE9C5B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7" name="AutoShape 1" descr="Vista previa de toda la pantalla">
          <a:extLst>
            <a:ext uri="{FF2B5EF4-FFF2-40B4-BE49-F238E27FC236}">
              <a16:creationId xmlns:a16="http://schemas.microsoft.com/office/drawing/2014/main" id="{5BC93C88-CD2D-4579-A3D4-5A13C64040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8" name="AutoShape 1" descr="Vista previa de toda la pantalla">
          <a:extLst>
            <a:ext uri="{FF2B5EF4-FFF2-40B4-BE49-F238E27FC236}">
              <a16:creationId xmlns:a16="http://schemas.microsoft.com/office/drawing/2014/main" id="{BC5F5254-94F9-4397-BAB5-69A20DA00B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49" name="AutoShape 1" descr="Vista previa de toda la pantalla">
          <a:extLst>
            <a:ext uri="{FF2B5EF4-FFF2-40B4-BE49-F238E27FC236}">
              <a16:creationId xmlns:a16="http://schemas.microsoft.com/office/drawing/2014/main" id="{622803BC-1DDD-46E1-9F79-C30EE405AE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0" name="AutoShape 1" descr="Vista previa de toda la pantalla">
          <a:extLst>
            <a:ext uri="{FF2B5EF4-FFF2-40B4-BE49-F238E27FC236}">
              <a16:creationId xmlns:a16="http://schemas.microsoft.com/office/drawing/2014/main" id="{B8F6A90D-25B1-4E29-86D3-D6929C26F8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1" name="AutoShape 1" descr="Vista previa de toda la pantalla">
          <a:extLst>
            <a:ext uri="{FF2B5EF4-FFF2-40B4-BE49-F238E27FC236}">
              <a16:creationId xmlns:a16="http://schemas.microsoft.com/office/drawing/2014/main" id="{2D028A84-63D4-42A2-A3F9-FADE45EB71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2" name="AutoShape 1" descr="Vista previa de toda la pantalla">
          <a:extLst>
            <a:ext uri="{FF2B5EF4-FFF2-40B4-BE49-F238E27FC236}">
              <a16:creationId xmlns:a16="http://schemas.microsoft.com/office/drawing/2014/main" id="{D592FCF3-3568-4902-8CBF-B93B116B1C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3" name="AutoShape 1" descr="Vista previa de toda la pantalla">
          <a:extLst>
            <a:ext uri="{FF2B5EF4-FFF2-40B4-BE49-F238E27FC236}">
              <a16:creationId xmlns:a16="http://schemas.microsoft.com/office/drawing/2014/main" id="{46680370-174A-4727-B264-310AE14018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4" name="AutoShape 1" descr="Vista previa de toda la pantalla">
          <a:extLst>
            <a:ext uri="{FF2B5EF4-FFF2-40B4-BE49-F238E27FC236}">
              <a16:creationId xmlns:a16="http://schemas.microsoft.com/office/drawing/2014/main" id="{411BFA80-F16B-495F-9E06-7755017974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5" name="AutoShape 1" descr="Vista previa de toda la pantalla">
          <a:extLst>
            <a:ext uri="{FF2B5EF4-FFF2-40B4-BE49-F238E27FC236}">
              <a16:creationId xmlns:a16="http://schemas.microsoft.com/office/drawing/2014/main" id="{15B6198D-BE0E-4219-AB76-8B148E4934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6" name="AutoShape 1" descr="Vista previa de toda la pantalla">
          <a:extLst>
            <a:ext uri="{FF2B5EF4-FFF2-40B4-BE49-F238E27FC236}">
              <a16:creationId xmlns:a16="http://schemas.microsoft.com/office/drawing/2014/main" id="{B71C0FA5-29E1-4A6D-8122-49ACB8C101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7" name="AutoShape 1" descr="Vista previa de toda la pantalla">
          <a:extLst>
            <a:ext uri="{FF2B5EF4-FFF2-40B4-BE49-F238E27FC236}">
              <a16:creationId xmlns:a16="http://schemas.microsoft.com/office/drawing/2014/main" id="{6433CB32-AFF2-4489-A6B5-56E95F95F9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8" name="AutoShape 1" descr="Vista previa de toda la pantalla">
          <a:extLst>
            <a:ext uri="{FF2B5EF4-FFF2-40B4-BE49-F238E27FC236}">
              <a16:creationId xmlns:a16="http://schemas.microsoft.com/office/drawing/2014/main" id="{75E2256B-E6C1-4269-A508-9005F27F8A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59" name="AutoShape 1" descr="Vista previa de toda la pantalla">
          <a:extLst>
            <a:ext uri="{FF2B5EF4-FFF2-40B4-BE49-F238E27FC236}">
              <a16:creationId xmlns:a16="http://schemas.microsoft.com/office/drawing/2014/main" id="{328BD85F-D6EE-4666-96D4-3756BBF317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0" name="AutoShape 1" descr="Vista previa de toda la pantalla">
          <a:extLst>
            <a:ext uri="{FF2B5EF4-FFF2-40B4-BE49-F238E27FC236}">
              <a16:creationId xmlns:a16="http://schemas.microsoft.com/office/drawing/2014/main" id="{21DC12BB-AC82-486B-952A-C40704F002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1" name="AutoShape 1" descr="Vista previa de toda la pantalla">
          <a:extLst>
            <a:ext uri="{FF2B5EF4-FFF2-40B4-BE49-F238E27FC236}">
              <a16:creationId xmlns:a16="http://schemas.microsoft.com/office/drawing/2014/main" id="{6A6D0809-F1E5-4C2C-B28B-6106A7CB43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2" name="AutoShape 1" descr="Vista previa de toda la pantalla">
          <a:extLst>
            <a:ext uri="{FF2B5EF4-FFF2-40B4-BE49-F238E27FC236}">
              <a16:creationId xmlns:a16="http://schemas.microsoft.com/office/drawing/2014/main" id="{7F736FDD-79F6-429B-8353-FDBA6FBE61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3" name="AutoShape 1" descr="Vista previa de toda la pantalla">
          <a:extLst>
            <a:ext uri="{FF2B5EF4-FFF2-40B4-BE49-F238E27FC236}">
              <a16:creationId xmlns:a16="http://schemas.microsoft.com/office/drawing/2014/main" id="{52DE376F-BDEE-4AEC-A02C-C2ED5413A6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4" name="AutoShape 1" descr="Vista previa de toda la pantalla">
          <a:extLst>
            <a:ext uri="{FF2B5EF4-FFF2-40B4-BE49-F238E27FC236}">
              <a16:creationId xmlns:a16="http://schemas.microsoft.com/office/drawing/2014/main" id="{0E65AEDD-B5FB-4CC3-9DA6-6702214EA7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5" name="AutoShape 1" descr="Vista previa de toda la pantalla">
          <a:extLst>
            <a:ext uri="{FF2B5EF4-FFF2-40B4-BE49-F238E27FC236}">
              <a16:creationId xmlns:a16="http://schemas.microsoft.com/office/drawing/2014/main" id="{09D8EC6A-FCE5-4BFF-B17F-65892E9FC3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6" name="AutoShape 1" descr="Vista previa de toda la pantalla">
          <a:extLst>
            <a:ext uri="{FF2B5EF4-FFF2-40B4-BE49-F238E27FC236}">
              <a16:creationId xmlns:a16="http://schemas.microsoft.com/office/drawing/2014/main" id="{8CB87E34-6304-44A7-9247-7C2089AA22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7" name="AutoShape 1" descr="Vista previa de toda la pantalla">
          <a:extLst>
            <a:ext uri="{FF2B5EF4-FFF2-40B4-BE49-F238E27FC236}">
              <a16:creationId xmlns:a16="http://schemas.microsoft.com/office/drawing/2014/main" id="{BB9AAC58-3E70-433B-96B1-A80884090F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8" name="AutoShape 1" descr="Vista previa de toda la pantalla">
          <a:extLst>
            <a:ext uri="{FF2B5EF4-FFF2-40B4-BE49-F238E27FC236}">
              <a16:creationId xmlns:a16="http://schemas.microsoft.com/office/drawing/2014/main" id="{CFBC6B31-5774-49A9-94EC-3B1A182806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69" name="AutoShape 1" descr="Vista previa de toda la pantalla">
          <a:extLst>
            <a:ext uri="{FF2B5EF4-FFF2-40B4-BE49-F238E27FC236}">
              <a16:creationId xmlns:a16="http://schemas.microsoft.com/office/drawing/2014/main" id="{9844F37C-08FC-42D7-995E-B9070DE318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0" name="AutoShape 1" descr="Vista previa de toda la pantalla">
          <a:extLst>
            <a:ext uri="{FF2B5EF4-FFF2-40B4-BE49-F238E27FC236}">
              <a16:creationId xmlns:a16="http://schemas.microsoft.com/office/drawing/2014/main" id="{447220C9-6C0D-4C44-8C87-FD07C254EA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1" name="AutoShape 1" descr="Vista previa de toda la pantalla">
          <a:extLst>
            <a:ext uri="{FF2B5EF4-FFF2-40B4-BE49-F238E27FC236}">
              <a16:creationId xmlns:a16="http://schemas.microsoft.com/office/drawing/2014/main" id="{EC0F91EA-F750-4DE6-A6B8-0EB9AE3450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2" name="AutoShape 1" descr="Vista previa de toda la pantalla">
          <a:extLst>
            <a:ext uri="{FF2B5EF4-FFF2-40B4-BE49-F238E27FC236}">
              <a16:creationId xmlns:a16="http://schemas.microsoft.com/office/drawing/2014/main" id="{E8684B13-AE9C-4E0C-B687-3E2BA23F33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3" name="AutoShape 1" descr="Vista previa de toda la pantalla">
          <a:extLst>
            <a:ext uri="{FF2B5EF4-FFF2-40B4-BE49-F238E27FC236}">
              <a16:creationId xmlns:a16="http://schemas.microsoft.com/office/drawing/2014/main" id="{B1385B8D-9545-4775-9D8E-DEE8DC4ADE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4" name="AutoShape 1" descr="Vista previa de toda la pantalla">
          <a:extLst>
            <a:ext uri="{FF2B5EF4-FFF2-40B4-BE49-F238E27FC236}">
              <a16:creationId xmlns:a16="http://schemas.microsoft.com/office/drawing/2014/main" id="{77E11AD8-856D-4FD7-A158-573F88AFFC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5" name="AutoShape 1" descr="Vista previa de toda la pantalla">
          <a:extLst>
            <a:ext uri="{FF2B5EF4-FFF2-40B4-BE49-F238E27FC236}">
              <a16:creationId xmlns:a16="http://schemas.microsoft.com/office/drawing/2014/main" id="{ED7E2544-873B-4912-BC0B-1A84044A38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6" name="AutoShape 1" descr="Vista previa de toda la pantalla">
          <a:extLst>
            <a:ext uri="{FF2B5EF4-FFF2-40B4-BE49-F238E27FC236}">
              <a16:creationId xmlns:a16="http://schemas.microsoft.com/office/drawing/2014/main" id="{8EAA28F6-0BD8-496B-8652-F12D8924B2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7" name="AutoShape 1" descr="Vista previa de toda la pantalla">
          <a:extLst>
            <a:ext uri="{FF2B5EF4-FFF2-40B4-BE49-F238E27FC236}">
              <a16:creationId xmlns:a16="http://schemas.microsoft.com/office/drawing/2014/main" id="{C2845B4E-68A0-4326-A128-4267A689D6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8" name="AutoShape 1" descr="Vista previa de toda la pantalla">
          <a:extLst>
            <a:ext uri="{FF2B5EF4-FFF2-40B4-BE49-F238E27FC236}">
              <a16:creationId xmlns:a16="http://schemas.microsoft.com/office/drawing/2014/main" id="{98009501-A34E-4606-86D8-617C3186B0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79" name="AutoShape 1" descr="Vista previa de toda la pantalla">
          <a:extLst>
            <a:ext uri="{FF2B5EF4-FFF2-40B4-BE49-F238E27FC236}">
              <a16:creationId xmlns:a16="http://schemas.microsoft.com/office/drawing/2014/main" id="{747598C2-A1D3-47D3-AA90-F5D713E2E7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0" name="AutoShape 1" descr="Vista previa de toda la pantalla">
          <a:extLst>
            <a:ext uri="{FF2B5EF4-FFF2-40B4-BE49-F238E27FC236}">
              <a16:creationId xmlns:a16="http://schemas.microsoft.com/office/drawing/2014/main" id="{EDF17A02-7B8B-42B0-AA6A-98A984ADA6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1" name="AutoShape 1" descr="Vista previa de toda la pantalla">
          <a:extLst>
            <a:ext uri="{FF2B5EF4-FFF2-40B4-BE49-F238E27FC236}">
              <a16:creationId xmlns:a16="http://schemas.microsoft.com/office/drawing/2014/main" id="{13216196-9559-4DB2-9ED7-A0CCDF4522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2" name="AutoShape 1" descr="Vista previa de toda la pantalla">
          <a:extLst>
            <a:ext uri="{FF2B5EF4-FFF2-40B4-BE49-F238E27FC236}">
              <a16:creationId xmlns:a16="http://schemas.microsoft.com/office/drawing/2014/main" id="{31496EE2-FCD4-4570-B4FA-D678DDF1F9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3" name="AutoShape 1" descr="Vista previa de toda la pantalla">
          <a:extLst>
            <a:ext uri="{FF2B5EF4-FFF2-40B4-BE49-F238E27FC236}">
              <a16:creationId xmlns:a16="http://schemas.microsoft.com/office/drawing/2014/main" id="{047B0996-0AC0-41BF-944A-7CC3C9CF31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4" name="AutoShape 1" descr="Vista previa de toda la pantalla">
          <a:extLst>
            <a:ext uri="{FF2B5EF4-FFF2-40B4-BE49-F238E27FC236}">
              <a16:creationId xmlns:a16="http://schemas.microsoft.com/office/drawing/2014/main" id="{D5AAB8EF-A0C7-45AD-9EC5-2737E38B1B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5" name="AutoShape 1" descr="Vista previa de toda la pantalla">
          <a:extLst>
            <a:ext uri="{FF2B5EF4-FFF2-40B4-BE49-F238E27FC236}">
              <a16:creationId xmlns:a16="http://schemas.microsoft.com/office/drawing/2014/main" id="{3D488A1E-7C7C-4AE4-976D-9F62817593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6" name="AutoShape 1" descr="Vista previa de toda la pantalla">
          <a:extLst>
            <a:ext uri="{FF2B5EF4-FFF2-40B4-BE49-F238E27FC236}">
              <a16:creationId xmlns:a16="http://schemas.microsoft.com/office/drawing/2014/main" id="{D9A145D3-8CC7-4492-BCC0-86C5D493CE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7" name="AutoShape 1" descr="Vista previa de toda la pantalla">
          <a:extLst>
            <a:ext uri="{FF2B5EF4-FFF2-40B4-BE49-F238E27FC236}">
              <a16:creationId xmlns:a16="http://schemas.microsoft.com/office/drawing/2014/main" id="{C1003CF4-4F1D-46C5-B106-49B71F84DF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8" name="AutoShape 1" descr="Vista previa de toda la pantalla">
          <a:extLst>
            <a:ext uri="{FF2B5EF4-FFF2-40B4-BE49-F238E27FC236}">
              <a16:creationId xmlns:a16="http://schemas.microsoft.com/office/drawing/2014/main" id="{1A3FCD36-779F-49AF-AA9F-C2A8181434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89" name="AutoShape 1" descr="Vista previa de toda la pantalla">
          <a:extLst>
            <a:ext uri="{FF2B5EF4-FFF2-40B4-BE49-F238E27FC236}">
              <a16:creationId xmlns:a16="http://schemas.microsoft.com/office/drawing/2014/main" id="{F8B75DCA-E77D-447B-9295-74ECC99623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0" name="AutoShape 1" descr="Vista previa de toda la pantalla">
          <a:extLst>
            <a:ext uri="{FF2B5EF4-FFF2-40B4-BE49-F238E27FC236}">
              <a16:creationId xmlns:a16="http://schemas.microsoft.com/office/drawing/2014/main" id="{74073B2D-BC16-4572-9DB2-04048FB744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1" name="AutoShape 1" descr="Vista previa de toda la pantalla">
          <a:extLst>
            <a:ext uri="{FF2B5EF4-FFF2-40B4-BE49-F238E27FC236}">
              <a16:creationId xmlns:a16="http://schemas.microsoft.com/office/drawing/2014/main" id="{FF9F5910-FDA2-4E2A-9FE6-92A4CEB146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2" name="AutoShape 1" descr="Vista previa de toda la pantalla">
          <a:extLst>
            <a:ext uri="{FF2B5EF4-FFF2-40B4-BE49-F238E27FC236}">
              <a16:creationId xmlns:a16="http://schemas.microsoft.com/office/drawing/2014/main" id="{951F886E-6B55-4699-AAF5-6313D53D05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3" name="AutoShape 1" descr="Vista previa de toda la pantalla">
          <a:extLst>
            <a:ext uri="{FF2B5EF4-FFF2-40B4-BE49-F238E27FC236}">
              <a16:creationId xmlns:a16="http://schemas.microsoft.com/office/drawing/2014/main" id="{C1439C49-67F4-4F50-8FE8-2AD5A786A9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4" name="AutoShape 1" descr="Vista previa de toda la pantalla">
          <a:extLst>
            <a:ext uri="{FF2B5EF4-FFF2-40B4-BE49-F238E27FC236}">
              <a16:creationId xmlns:a16="http://schemas.microsoft.com/office/drawing/2014/main" id="{8759316B-9A04-4BEF-AABF-CCDDDE2925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5" name="AutoShape 1" descr="Vista previa de toda la pantalla">
          <a:extLst>
            <a:ext uri="{FF2B5EF4-FFF2-40B4-BE49-F238E27FC236}">
              <a16:creationId xmlns:a16="http://schemas.microsoft.com/office/drawing/2014/main" id="{640C75A9-AB27-4099-9F57-CF851A8AD6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6" name="AutoShape 1" descr="Vista previa de toda la pantalla">
          <a:extLst>
            <a:ext uri="{FF2B5EF4-FFF2-40B4-BE49-F238E27FC236}">
              <a16:creationId xmlns:a16="http://schemas.microsoft.com/office/drawing/2014/main" id="{8AA350A0-7292-4C59-AFB1-25DF955ACC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7" name="AutoShape 1" descr="Vista previa de toda la pantalla">
          <a:extLst>
            <a:ext uri="{FF2B5EF4-FFF2-40B4-BE49-F238E27FC236}">
              <a16:creationId xmlns:a16="http://schemas.microsoft.com/office/drawing/2014/main" id="{DB81D586-51FA-44D2-8D0B-3E50F12C88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8" name="AutoShape 1" descr="Vista previa de toda la pantalla">
          <a:extLst>
            <a:ext uri="{FF2B5EF4-FFF2-40B4-BE49-F238E27FC236}">
              <a16:creationId xmlns:a16="http://schemas.microsoft.com/office/drawing/2014/main" id="{81CF3019-FDD4-41A8-A24B-02718BAEE6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4999" name="AutoShape 1" descr="Vista previa de toda la pantalla">
          <a:extLst>
            <a:ext uri="{FF2B5EF4-FFF2-40B4-BE49-F238E27FC236}">
              <a16:creationId xmlns:a16="http://schemas.microsoft.com/office/drawing/2014/main" id="{E1E12369-6235-4DCE-9AAB-C69DE6A66C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0" name="AutoShape 1" descr="Vista previa de toda la pantalla">
          <a:extLst>
            <a:ext uri="{FF2B5EF4-FFF2-40B4-BE49-F238E27FC236}">
              <a16:creationId xmlns:a16="http://schemas.microsoft.com/office/drawing/2014/main" id="{FE9E7026-67E3-403E-90DF-62F29CEB03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1" name="AutoShape 1" descr="Vista previa de toda la pantalla">
          <a:extLst>
            <a:ext uri="{FF2B5EF4-FFF2-40B4-BE49-F238E27FC236}">
              <a16:creationId xmlns:a16="http://schemas.microsoft.com/office/drawing/2014/main" id="{D976BAD3-B759-406E-B85F-93B810DE75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2" name="AutoShape 1" descr="Vista previa de toda la pantalla">
          <a:extLst>
            <a:ext uri="{FF2B5EF4-FFF2-40B4-BE49-F238E27FC236}">
              <a16:creationId xmlns:a16="http://schemas.microsoft.com/office/drawing/2014/main" id="{CF3F2173-5CD5-4DDC-AA21-C3E40F20DA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3" name="AutoShape 1" descr="Vista previa de toda la pantalla">
          <a:extLst>
            <a:ext uri="{FF2B5EF4-FFF2-40B4-BE49-F238E27FC236}">
              <a16:creationId xmlns:a16="http://schemas.microsoft.com/office/drawing/2014/main" id="{EEBA8787-ABD6-473C-99EA-77EA577189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4" name="AutoShape 1" descr="Vista previa de toda la pantalla">
          <a:extLst>
            <a:ext uri="{FF2B5EF4-FFF2-40B4-BE49-F238E27FC236}">
              <a16:creationId xmlns:a16="http://schemas.microsoft.com/office/drawing/2014/main" id="{518C82F5-C97D-4B3F-AE0B-9C14F1C2C7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5" name="AutoShape 1" descr="Vista previa de toda la pantalla">
          <a:extLst>
            <a:ext uri="{FF2B5EF4-FFF2-40B4-BE49-F238E27FC236}">
              <a16:creationId xmlns:a16="http://schemas.microsoft.com/office/drawing/2014/main" id="{874D24D6-AF3C-4198-A013-D582DCDF82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6" name="AutoShape 1" descr="Vista previa de toda la pantalla">
          <a:extLst>
            <a:ext uri="{FF2B5EF4-FFF2-40B4-BE49-F238E27FC236}">
              <a16:creationId xmlns:a16="http://schemas.microsoft.com/office/drawing/2014/main" id="{59971801-E57F-44BE-B115-1F2FB30297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7" name="AutoShape 1" descr="Vista previa de toda la pantalla">
          <a:extLst>
            <a:ext uri="{FF2B5EF4-FFF2-40B4-BE49-F238E27FC236}">
              <a16:creationId xmlns:a16="http://schemas.microsoft.com/office/drawing/2014/main" id="{68F489D5-D537-47E8-9E6E-8ED6D3CE52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8" name="AutoShape 1" descr="Vista previa de toda la pantalla">
          <a:extLst>
            <a:ext uri="{FF2B5EF4-FFF2-40B4-BE49-F238E27FC236}">
              <a16:creationId xmlns:a16="http://schemas.microsoft.com/office/drawing/2014/main" id="{9F60A53B-92BD-4C81-9EAA-8FBAA7F94D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09" name="AutoShape 1" descr="Vista previa de toda la pantalla">
          <a:extLst>
            <a:ext uri="{FF2B5EF4-FFF2-40B4-BE49-F238E27FC236}">
              <a16:creationId xmlns:a16="http://schemas.microsoft.com/office/drawing/2014/main" id="{66397277-4FA7-4F43-AE8D-101EBD50DA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0" name="AutoShape 1" descr="Vista previa de toda la pantalla">
          <a:extLst>
            <a:ext uri="{FF2B5EF4-FFF2-40B4-BE49-F238E27FC236}">
              <a16:creationId xmlns:a16="http://schemas.microsoft.com/office/drawing/2014/main" id="{4267F95C-65C5-4DFB-841E-E5DA890455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1" name="AutoShape 1" descr="Vista previa de toda la pantalla">
          <a:extLst>
            <a:ext uri="{FF2B5EF4-FFF2-40B4-BE49-F238E27FC236}">
              <a16:creationId xmlns:a16="http://schemas.microsoft.com/office/drawing/2014/main" id="{1A8523B6-7633-4ABE-B81B-910BCE961A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2" name="AutoShape 1" descr="Vista previa de toda la pantalla">
          <a:extLst>
            <a:ext uri="{FF2B5EF4-FFF2-40B4-BE49-F238E27FC236}">
              <a16:creationId xmlns:a16="http://schemas.microsoft.com/office/drawing/2014/main" id="{EEF2EC05-70A3-46A8-8B00-73D296C802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3" name="AutoShape 1" descr="Vista previa de toda la pantalla">
          <a:extLst>
            <a:ext uri="{FF2B5EF4-FFF2-40B4-BE49-F238E27FC236}">
              <a16:creationId xmlns:a16="http://schemas.microsoft.com/office/drawing/2014/main" id="{653F2777-23D1-41CE-8ED2-7463D6A237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4" name="AutoShape 1" descr="Vista previa de toda la pantalla">
          <a:extLst>
            <a:ext uri="{FF2B5EF4-FFF2-40B4-BE49-F238E27FC236}">
              <a16:creationId xmlns:a16="http://schemas.microsoft.com/office/drawing/2014/main" id="{614633DD-ABA6-4365-8692-9A93D1C800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5" name="AutoShape 1" descr="Vista previa de toda la pantalla">
          <a:extLst>
            <a:ext uri="{FF2B5EF4-FFF2-40B4-BE49-F238E27FC236}">
              <a16:creationId xmlns:a16="http://schemas.microsoft.com/office/drawing/2014/main" id="{878CA937-6514-4D11-B5C6-A104248643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6" name="AutoShape 1" descr="Vista previa de toda la pantalla">
          <a:extLst>
            <a:ext uri="{FF2B5EF4-FFF2-40B4-BE49-F238E27FC236}">
              <a16:creationId xmlns:a16="http://schemas.microsoft.com/office/drawing/2014/main" id="{E452B0F6-B630-41A1-863E-588E705C16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7" name="AutoShape 1" descr="Vista previa de toda la pantalla">
          <a:extLst>
            <a:ext uri="{FF2B5EF4-FFF2-40B4-BE49-F238E27FC236}">
              <a16:creationId xmlns:a16="http://schemas.microsoft.com/office/drawing/2014/main" id="{A2DFED5F-7704-441C-88B1-628915C3B1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8" name="AutoShape 1" descr="Vista previa de toda la pantalla">
          <a:extLst>
            <a:ext uri="{FF2B5EF4-FFF2-40B4-BE49-F238E27FC236}">
              <a16:creationId xmlns:a16="http://schemas.microsoft.com/office/drawing/2014/main" id="{51A83200-1D35-456D-B070-51D3C3EF2D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19" name="AutoShape 1" descr="Vista previa de toda la pantalla">
          <a:extLst>
            <a:ext uri="{FF2B5EF4-FFF2-40B4-BE49-F238E27FC236}">
              <a16:creationId xmlns:a16="http://schemas.microsoft.com/office/drawing/2014/main" id="{90B3EC64-DFA9-4EBC-B0F3-3B9218006D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0" name="AutoShape 1" descr="Vista previa de toda la pantalla">
          <a:extLst>
            <a:ext uri="{FF2B5EF4-FFF2-40B4-BE49-F238E27FC236}">
              <a16:creationId xmlns:a16="http://schemas.microsoft.com/office/drawing/2014/main" id="{2F845C4B-E49F-4C6F-BCBF-877B195D98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1" name="AutoShape 1" descr="Vista previa de toda la pantalla">
          <a:extLst>
            <a:ext uri="{FF2B5EF4-FFF2-40B4-BE49-F238E27FC236}">
              <a16:creationId xmlns:a16="http://schemas.microsoft.com/office/drawing/2014/main" id="{592D347B-67C5-4685-9E47-E317692572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2" name="AutoShape 1" descr="Vista previa de toda la pantalla">
          <a:extLst>
            <a:ext uri="{FF2B5EF4-FFF2-40B4-BE49-F238E27FC236}">
              <a16:creationId xmlns:a16="http://schemas.microsoft.com/office/drawing/2014/main" id="{698EF69C-91F2-4B96-AA4E-BF59F75315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3" name="AutoShape 1" descr="Vista previa de toda la pantalla">
          <a:extLst>
            <a:ext uri="{FF2B5EF4-FFF2-40B4-BE49-F238E27FC236}">
              <a16:creationId xmlns:a16="http://schemas.microsoft.com/office/drawing/2014/main" id="{FBE23877-9990-4C66-83C2-D813FE3B3C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4" name="AutoShape 1" descr="Vista previa de toda la pantalla">
          <a:extLst>
            <a:ext uri="{FF2B5EF4-FFF2-40B4-BE49-F238E27FC236}">
              <a16:creationId xmlns:a16="http://schemas.microsoft.com/office/drawing/2014/main" id="{C08768AC-09DC-45D6-B91C-A0DE4087E0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5" name="AutoShape 1" descr="Vista previa de toda la pantalla">
          <a:extLst>
            <a:ext uri="{FF2B5EF4-FFF2-40B4-BE49-F238E27FC236}">
              <a16:creationId xmlns:a16="http://schemas.microsoft.com/office/drawing/2014/main" id="{7A8DD6BE-2579-48DD-9EA8-CE261E5CC0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6" name="AutoShape 1" descr="Vista previa de toda la pantalla">
          <a:extLst>
            <a:ext uri="{FF2B5EF4-FFF2-40B4-BE49-F238E27FC236}">
              <a16:creationId xmlns:a16="http://schemas.microsoft.com/office/drawing/2014/main" id="{2441510D-5071-43F7-8596-59AE17EE85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7" name="AutoShape 1" descr="Vista previa de toda la pantalla">
          <a:extLst>
            <a:ext uri="{FF2B5EF4-FFF2-40B4-BE49-F238E27FC236}">
              <a16:creationId xmlns:a16="http://schemas.microsoft.com/office/drawing/2014/main" id="{C7AD6A52-5E70-4B28-8A14-6E522E0754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8" name="AutoShape 1" descr="Vista previa de toda la pantalla">
          <a:extLst>
            <a:ext uri="{FF2B5EF4-FFF2-40B4-BE49-F238E27FC236}">
              <a16:creationId xmlns:a16="http://schemas.microsoft.com/office/drawing/2014/main" id="{DFD1340C-71AC-40B0-84E9-A76CE6D3BB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29" name="AutoShape 1" descr="Vista previa de toda la pantalla">
          <a:extLst>
            <a:ext uri="{FF2B5EF4-FFF2-40B4-BE49-F238E27FC236}">
              <a16:creationId xmlns:a16="http://schemas.microsoft.com/office/drawing/2014/main" id="{AAEA0622-F317-47CD-A578-C55581746E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0" name="AutoShape 1" descr="Vista previa de toda la pantalla">
          <a:extLst>
            <a:ext uri="{FF2B5EF4-FFF2-40B4-BE49-F238E27FC236}">
              <a16:creationId xmlns:a16="http://schemas.microsoft.com/office/drawing/2014/main" id="{DA4191D9-7069-4394-93BF-8B2CBF1DDF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1" name="AutoShape 1" descr="Vista previa de toda la pantalla">
          <a:extLst>
            <a:ext uri="{FF2B5EF4-FFF2-40B4-BE49-F238E27FC236}">
              <a16:creationId xmlns:a16="http://schemas.microsoft.com/office/drawing/2014/main" id="{DFE2A964-7BF6-456C-A4D2-F543FC5CAD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2" name="AutoShape 1" descr="Vista previa de toda la pantalla">
          <a:extLst>
            <a:ext uri="{FF2B5EF4-FFF2-40B4-BE49-F238E27FC236}">
              <a16:creationId xmlns:a16="http://schemas.microsoft.com/office/drawing/2014/main" id="{3E99BF56-2563-4C7B-BE3C-33187188EF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3" name="AutoShape 1" descr="Vista previa de toda la pantalla">
          <a:extLst>
            <a:ext uri="{FF2B5EF4-FFF2-40B4-BE49-F238E27FC236}">
              <a16:creationId xmlns:a16="http://schemas.microsoft.com/office/drawing/2014/main" id="{E738EF4C-5269-49B2-A737-80F068F084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4" name="AutoShape 1" descr="Vista previa de toda la pantalla">
          <a:extLst>
            <a:ext uri="{FF2B5EF4-FFF2-40B4-BE49-F238E27FC236}">
              <a16:creationId xmlns:a16="http://schemas.microsoft.com/office/drawing/2014/main" id="{D0067F55-9CB3-4CA3-A8B2-35F4B01118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5" name="AutoShape 1" descr="Vista previa de toda la pantalla">
          <a:extLst>
            <a:ext uri="{FF2B5EF4-FFF2-40B4-BE49-F238E27FC236}">
              <a16:creationId xmlns:a16="http://schemas.microsoft.com/office/drawing/2014/main" id="{37EB90EC-2E17-41DE-BD0F-B1A21C5CBB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6" name="AutoShape 1" descr="Vista previa de toda la pantalla">
          <a:extLst>
            <a:ext uri="{FF2B5EF4-FFF2-40B4-BE49-F238E27FC236}">
              <a16:creationId xmlns:a16="http://schemas.microsoft.com/office/drawing/2014/main" id="{9CDACC0D-1441-429E-AC8A-FB825FEE9D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7" name="AutoShape 1" descr="Vista previa de toda la pantalla">
          <a:extLst>
            <a:ext uri="{FF2B5EF4-FFF2-40B4-BE49-F238E27FC236}">
              <a16:creationId xmlns:a16="http://schemas.microsoft.com/office/drawing/2014/main" id="{37A066CF-DC0E-4F0F-A493-0CFAECB1D8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8" name="AutoShape 1" descr="Vista previa de toda la pantalla">
          <a:extLst>
            <a:ext uri="{FF2B5EF4-FFF2-40B4-BE49-F238E27FC236}">
              <a16:creationId xmlns:a16="http://schemas.microsoft.com/office/drawing/2014/main" id="{F8B9A2A2-47D7-43DA-A5DE-00B9E7F027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39" name="AutoShape 1" descr="Vista previa de toda la pantalla">
          <a:extLst>
            <a:ext uri="{FF2B5EF4-FFF2-40B4-BE49-F238E27FC236}">
              <a16:creationId xmlns:a16="http://schemas.microsoft.com/office/drawing/2014/main" id="{8B523217-387D-4C07-9E43-24D5508510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0" name="AutoShape 1" descr="Vista previa de toda la pantalla">
          <a:extLst>
            <a:ext uri="{FF2B5EF4-FFF2-40B4-BE49-F238E27FC236}">
              <a16:creationId xmlns:a16="http://schemas.microsoft.com/office/drawing/2014/main" id="{386481D3-5B4A-46BC-9C08-EC48BD4A6C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1" name="AutoShape 1" descr="Vista previa de toda la pantalla">
          <a:extLst>
            <a:ext uri="{FF2B5EF4-FFF2-40B4-BE49-F238E27FC236}">
              <a16:creationId xmlns:a16="http://schemas.microsoft.com/office/drawing/2014/main" id="{BA07D828-E973-4C77-89CD-BD8D807C00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2" name="AutoShape 1" descr="Vista previa de toda la pantalla">
          <a:extLst>
            <a:ext uri="{FF2B5EF4-FFF2-40B4-BE49-F238E27FC236}">
              <a16:creationId xmlns:a16="http://schemas.microsoft.com/office/drawing/2014/main" id="{2FC2C61D-A87D-490E-9395-7C2A99B51E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3" name="AutoShape 1" descr="Vista previa de toda la pantalla">
          <a:extLst>
            <a:ext uri="{FF2B5EF4-FFF2-40B4-BE49-F238E27FC236}">
              <a16:creationId xmlns:a16="http://schemas.microsoft.com/office/drawing/2014/main" id="{8CF27FA2-D099-48F7-9B56-A6175615F7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4" name="AutoShape 1" descr="Vista previa de toda la pantalla">
          <a:extLst>
            <a:ext uri="{FF2B5EF4-FFF2-40B4-BE49-F238E27FC236}">
              <a16:creationId xmlns:a16="http://schemas.microsoft.com/office/drawing/2014/main" id="{FB0DC57D-DAAD-4564-8F03-688C1BC74A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5" name="AutoShape 1" descr="Vista previa de toda la pantalla">
          <a:extLst>
            <a:ext uri="{FF2B5EF4-FFF2-40B4-BE49-F238E27FC236}">
              <a16:creationId xmlns:a16="http://schemas.microsoft.com/office/drawing/2014/main" id="{68B718A1-CB99-431F-A914-6927E3C6E1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6" name="AutoShape 1" descr="Vista previa de toda la pantalla">
          <a:extLst>
            <a:ext uri="{FF2B5EF4-FFF2-40B4-BE49-F238E27FC236}">
              <a16:creationId xmlns:a16="http://schemas.microsoft.com/office/drawing/2014/main" id="{F4DB2347-474D-4845-9426-1C7621DD10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7" name="AutoShape 1" descr="Vista previa de toda la pantalla">
          <a:extLst>
            <a:ext uri="{FF2B5EF4-FFF2-40B4-BE49-F238E27FC236}">
              <a16:creationId xmlns:a16="http://schemas.microsoft.com/office/drawing/2014/main" id="{36AD5F22-1F07-4295-9564-67E76650C2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8" name="AutoShape 1" descr="Vista previa de toda la pantalla">
          <a:extLst>
            <a:ext uri="{FF2B5EF4-FFF2-40B4-BE49-F238E27FC236}">
              <a16:creationId xmlns:a16="http://schemas.microsoft.com/office/drawing/2014/main" id="{12037A2D-7F16-41B8-A882-E0B9030208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49" name="AutoShape 1" descr="Vista previa de toda la pantalla">
          <a:extLst>
            <a:ext uri="{FF2B5EF4-FFF2-40B4-BE49-F238E27FC236}">
              <a16:creationId xmlns:a16="http://schemas.microsoft.com/office/drawing/2014/main" id="{EEC06610-4D4F-4508-8BA2-39D14167FE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0" name="AutoShape 1" descr="Vista previa de toda la pantalla">
          <a:extLst>
            <a:ext uri="{FF2B5EF4-FFF2-40B4-BE49-F238E27FC236}">
              <a16:creationId xmlns:a16="http://schemas.microsoft.com/office/drawing/2014/main" id="{76718FC2-0611-4384-A69B-B051BF1F91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1" name="AutoShape 1" descr="Vista previa de toda la pantalla">
          <a:extLst>
            <a:ext uri="{FF2B5EF4-FFF2-40B4-BE49-F238E27FC236}">
              <a16:creationId xmlns:a16="http://schemas.microsoft.com/office/drawing/2014/main" id="{B7BC2171-968A-49B7-B81D-AA5727DB26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2" name="AutoShape 1" descr="Vista previa de toda la pantalla">
          <a:extLst>
            <a:ext uri="{FF2B5EF4-FFF2-40B4-BE49-F238E27FC236}">
              <a16:creationId xmlns:a16="http://schemas.microsoft.com/office/drawing/2014/main" id="{B8BC2F2A-B982-4CBD-90E8-8B74CAA881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3" name="AutoShape 1" descr="Vista previa de toda la pantalla">
          <a:extLst>
            <a:ext uri="{FF2B5EF4-FFF2-40B4-BE49-F238E27FC236}">
              <a16:creationId xmlns:a16="http://schemas.microsoft.com/office/drawing/2014/main" id="{14026733-88FF-4904-99E4-FC441CF0D4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4" name="AutoShape 1" descr="Vista previa de toda la pantalla">
          <a:extLst>
            <a:ext uri="{FF2B5EF4-FFF2-40B4-BE49-F238E27FC236}">
              <a16:creationId xmlns:a16="http://schemas.microsoft.com/office/drawing/2014/main" id="{0E01B056-F5CC-4A97-859C-94C50A9C13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5" name="AutoShape 1" descr="Vista previa de toda la pantalla">
          <a:extLst>
            <a:ext uri="{FF2B5EF4-FFF2-40B4-BE49-F238E27FC236}">
              <a16:creationId xmlns:a16="http://schemas.microsoft.com/office/drawing/2014/main" id="{0BEB38AD-1021-4676-A1BA-66162C3469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6" name="AutoShape 1" descr="Vista previa de toda la pantalla">
          <a:extLst>
            <a:ext uri="{FF2B5EF4-FFF2-40B4-BE49-F238E27FC236}">
              <a16:creationId xmlns:a16="http://schemas.microsoft.com/office/drawing/2014/main" id="{3CBF0DD0-2B77-4B27-B62F-F5D41DE33F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7" name="AutoShape 1" descr="Vista previa de toda la pantalla">
          <a:extLst>
            <a:ext uri="{FF2B5EF4-FFF2-40B4-BE49-F238E27FC236}">
              <a16:creationId xmlns:a16="http://schemas.microsoft.com/office/drawing/2014/main" id="{327B8949-2892-4655-9874-CBA4A24C53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8" name="AutoShape 1" descr="Vista previa de toda la pantalla">
          <a:extLst>
            <a:ext uri="{FF2B5EF4-FFF2-40B4-BE49-F238E27FC236}">
              <a16:creationId xmlns:a16="http://schemas.microsoft.com/office/drawing/2014/main" id="{B3EFB195-186D-4FCD-A560-90FC249239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59" name="AutoShape 1" descr="Vista previa de toda la pantalla">
          <a:extLst>
            <a:ext uri="{FF2B5EF4-FFF2-40B4-BE49-F238E27FC236}">
              <a16:creationId xmlns:a16="http://schemas.microsoft.com/office/drawing/2014/main" id="{92E96660-70AB-464A-A3E0-2C93838DBA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0" name="AutoShape 1" descr="Vista previa de toda la pantalla">
          <a:extLst>
            <a:ext uri="{FF2B5EF4-FFF2-40B4-BE49-F238E27FC236}">
              <a16:creationId xmlns:a16="http://schemas.microsoft.com/office/drawing/2014/main" id="{BD8E62DF-77C0-42BF-97BC-7E270ECC09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1" name="AutoShape 1" descr="Vista previa de toda la pantalla">
          <a:extLst>
            <a:ext uri="{FF2B5EF4-FFF2-40B4-BE49-F238E27FC236}">
              <a16:creationId xmlns:a16="http://schemas.microsoft.com/office/drawing/2014/main" id="{08D978E5-2657-4B53-BE95-5BC013FE71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2" name="AutoShape 1" descr="Vista previa de toda la pantalla">
          <a:extLst>
            <a:ext uri="{FF2B5EF4-FFF2-40B4-BE49-F238E27FC236}">
              <a16:creationId xmlns:a16="http://schemas.microsoft.com/office/drawing/2014/main" id="{29C06B0E-2FE7-4EF3-8B07-42DD77485C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3" name="AutoShape 1" descr="Vista previa de toda la pantalla">
          <a:extLst>
            <a:ext uri="{FF2B5EF4-FFF2-40B4-BE49-F238E27FC236}">
              <a16:creationId xmlns:a16="http://schemas.microsoft.com/office/drawing/2014/main" id="{C671AF5D-641A-455D-A07A-0D47851823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4" name="AutoShape 1" descr="Vista previa de toda la pantalla">
          <a:extLst>
            <a:ext uri="{FF2B5EF4-FFF2-40B4-BE49-F238E27FC236}">
              <a16:creationId xmlns:a16="http://schemas.microsoft.com/office/drawing/2014/main" id="{3A6F5BE1-14E0-40B1-949E-51985B8253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5" name="AutoShape 1" descr="Vista previa de toda la pantalla">
          <a:extLst>
            <a:ext uri="{FF2B5EF4-FFF2-40B4-BE49-F238E27FC236}">
              <a16:creationId xmlns:a16="http://schemas.microsoft.com/office/drawing/2014/main" id="{3E75FE76-0C6F-404A-9306-3BF271EA28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6" name="AutoShape 1" descr="Vista previa de toda la pantalla">
          <a:extLst>
            <a:ext uri="{FF2B5EF4-FFF2-40B4-BE49-F238E27FC236}">
              <a16:creationId xmlns:a16="http://schemas.microsoft.com/office/drawing/2014/main" id="{9E279DB5-51F1-46FA-B9D1-C13411959D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7" name="AutoShape 1" descr="Vista previa de toda la pantalla">
          <a:extLst>
            <a:ext uri="{FF2B5EF4-FFF2-40B4-BE49-F238E27FC236}">
              <a16:creationId xmlns:a16="http://schemas.microsoft.com/office/drawing/2014/main" id="{5457A6B7-1996-440A-B4FB-050AD75538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8" name="AutoShape 1" descr="Vista previa de toda la pantalla">
          <a:extLst>
            <a:ext uri="{FF2B5EF4-FFF2-40B4-BE49-F238E27FC236}">
              <a16:creationId xmlns:a16="http://schemas.microsoft.com/office/drawing/2014/main" id="{E80866DF-B920-4ADC-B46D-369530F4BE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69" name="AutoShape 1" descr="Vista previa de toda la pantalla">
          <a:extLst>
            <a:ext uri="{FF2B5EF4-FFF2-40B4-BE49-F238E27FC236}">
              <a16:creationId xmlns:a16="http://schemas.microsoft.com/office/drawing/2014/main" id="{71AC9DEF-4EB6-434E-B28E-AABBC96FD5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0" name="AutoShape 1" descr="Vista previa de toda la pantalla">
          <a:extLst>
            <a:ext uri="{FF2B5EF4-FFF2-40B4-BE49-F238E27FC236}">
              <a16:creationId xmlns:a16="http://schemas.microsoft.com/office/drawing/2014/main" id="{C02C9BA5-5100-4D70-B68F-1285FC51CD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1" name="AutoShape 1" descr="Vista previa de toda la pantalla">
          <a:extLst>
            <a:ext uri="{FF2B5EF4-FFF2-40B4-BE49-F238E27FC236}">
              <a16:creationId xmlns:a16="http://schemas.microsoft.com/office/drawing/2014/main" id="{132FD1CE-4133-4989-B98E-82C6AF57B4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2" name="AutoShape 1" descr="Vista previa de toda la pantalla">
          <a:extLst>
            <a:ext uri="{FF2B5EF4-FFF2-40B4-BE49-F238E27FC236}">
              <a16:creationId xmlns:a16="http://schemas.microsoft.com/office/drawing/2014/main" id="{016857CA-C111-4903-9124-32AA8C678A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3" name="AutoShape 1" descr="Vista previa de toda la pantalla">
          <a:extLst>
            <a:ext uri="{FF2B5EF4-FFF2-40B4-BE49-F238E27FC236}">
              <a16:creationId xmlns:a16="http://schemas.microsoft.com/office/drawing/2014/main" id="{9058E61F-F20E-4607-9B3A-48D8B8CB29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4" name="AutoShape 1" descr="Vista previa de toda la pantalla">
          <a:extLst>
            <a:ext uri="{FF2B5EF4-FFF2-40B4-BE49-F238E27FC236}">
              <a16:creationId xmlns:a16="http://schemas.microsoft.com/office/drawing/2014/main" id="{3D36A50E-9FE7-42E1-9C42-11B3D0316F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5" name="AutoShape 1" descr="Vista previa de toda la pantalla">
          <a:extLst>
            <a:ext uri="{FF2B5EF4-FFF2-40B4-BE49-F238E27FC236}">
              <a16:creationId xmlns:a16="http://schemas.microsoft.com/office/drawing/2014/main" id="{6CEEEAC1-2C0E-4BE3-A0C3-9077EE91A4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6" name="AutoShape 1" descr="Vista previa de toda la pantalla">
          <a:extLst>
            <a:ext uri="{FF2B5EF4-FFF2-40B4-BE49-F238E27FC236}">
              <a16:creationId xmlns:a16="http://schemas.microsoft.com/office/drawing/2014/main" id="{6D4E7EF5-7DD3-404B-8E6B-32231C857E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7" name="AutoShape 1" descr="Vista previa de toda la pantalla">
          <a:extLst>
            <a:ext uri="{FF2B5EF4-FFF2-40B4-BE49-F238E27FC236}">
              <a16:creationId xmlns:a16="http://schemas.microsoft.com/office/drawing/2014/main" id="{1709FA8F-F67F-4D9E-8D2B-BBF7A62676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8" name="AutoShape 1" descr="Vista previa de toda la pantalla">
          <a:extLst>
            <a:ext uri="{FF2B5EF4-FFF2-40B4-BE49-F238E27FC236}">
              <a16:creationId xmlns:a16="http://schemas.microsoft.com/office/drawing/2014/main" id="{344770FB-941B-4B83-98A8-24CA78B24B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79" name="AutoShape 1" descr="Vista previa de toda la pantalla">
          <a:extLst>
            <a:ext uri="{FF2B5EF4-FFF2-40B4-BE49-F238E27FC236}">
              <a16:creationId xmlns:a16="http://schemas.microsoft.com/office/drawing/2014/main" id="{6B88CF3F-1F02-4FD4-82CB-4C8651C7C4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0" name="AutoShape 1" descr="Vista previa de toda la pantalla">
          <a:extLst>
            <a:ext uri="{FF2B5EF4-FFF2-40B4-BE49-F238E27FC236}">
              <a16:creationId xmlns:a16="http://schemas.microsoft.com/office/drawing/2014/main" id="{60DEEAC5-E8EB-44AD-A648-BE511F2607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1" name="AutoShape 1" descr="Vista previa de toda la pantalla">
          <a:extLst>
            <a:ext uri="{FF2B5EF4-FFF2-40B4-BE49-F238E27FC236}">
              <a16:creationId xmlns:a16="http://schemas.microsoft.com/office/drawing/2014/main" id="{A740B387-EF25-4FF7-A756-B3FAE68039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2" name="AutoShape 1" descr="Vista previa de toda la pantalla">
          <a:extLst>
            <a:ext uri="{FF2B5EF4-FFF2-40B4-BE49-F238E27FC236}">
              <a16:creationId xmlns:a16="http://schemas.microsoft.com/office/drawing/2014/main" id="{E012E658-D4C0-4CFD-995D-4B6C961811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3" name="AutoShape 1" descr="Vista previa de toda la pantalla">
          <a:extLst>
            <a:ext uri="{FF2B5EF4-FFF2-40B4-BE49-F238E27FC236}">
              <a16:creationId xmlns:a16="http://schemas.microsoft.com/office/drawing/2014/main" id="{3DC911E3-F552-44C9-A2AD-14D14349C0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4" name="AutoShape 1" descr="Vista previa de toda la pantalla">
          <a:extLst>
            <a:ext uri="{FF2B5EF4-FFF2-40B4-BE49-F238E27FC236}">
              <a16:creationId xmlns:a16="http://schemas.microsoft.com/office/drawing/2014/main" id="{3F5A7F22-6D9B-479E-A875-AD99A79AF2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5" name="AutoShape 1" descr="Vista previa de toda la pantalla">
          <a:extLst>
            <a:ext uri="{FF2B5EF4-FFF2-40B4-BE49-F238E27FC236}">
              <a16:creationId xmlns:a16="http://schemas.microsoft.com/office/drawing/2014/main" id="{08176F68-9471-4F6D-BB94-7B025846B8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6" name="AutoShape 1" descr="Vista previa de toda la pantalla">
          <a:extLst>
            <a:ext uri="{FF2B5EF4-FFF2-40B4-BE49-F238E27FC236}">
              <a16:creationId xmlns:a16="http://schemas.microsoft.com/office/drawing/2014/main" id="{158E6706-58E5-4584-A31C-CD96811851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7" name="AutoShape 1" descr="Vista previa de toda la pantalla">
          <a:extLst>
            <a:ext uri="{FF2B5EF4-FFF2-40B4-BE49-F238E27FC236}">
              <a16:creationId xmlns:a16="http://schemas.microsoft.com/office/drawing/2014/main" id="{DCAF0DB8-9DBB-4F12-B5A3-498486EAB6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8" name="AutoShape 1" descr="Vista previa de toda la pantalla">
          <a:extLst>
            <a:ext uri="{FF2B5EF4-FFF2-40B4-BE49-F238E27FC236}">
              <a16:creationId xmlns:a16="http://schemas.microsoft.com/office/drawing/2014/main" id="{61AD8365-B201-46A7-A21C-7CB9406983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89" name="AutoShape 1" descr="Vista previa de toda la pantalla">
          <a:extLst>
            <a:ext uri="{FF2B5EF4-FFF2-40B4-BE49-F238E27FC236}">
              <a16:creationId xmlns:a16="http://schemas.microsoft.com/office/drawing/2014/main" id="{8F2B2AC7-99E5-47B6-8EEB-5DCFFD1787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0" name="AutoShape 1" descr="Vista previa de toda la pantalla">
          <a:extLst>
            <a:ext uri="{FF2B5EF4-FFF2-40B4-BE49-F238E27FC236}">
              <a16:creationId xmlns:a16="http://schemas.microsoft.com/office/drawing/2014/main" id="{A27B990E-78BA-40C0-BB55-8746636918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1" name="AutoShape 1" descr="Vista previa de toda la pantalla">
          <a:extLst>
            <a:ext uri="{FF2B5EF4-FFF2-40B4-BE49-F238E27FC236}">
              <a16:creationId xmlns:a16="http://schemas.microsoft.com/office/drawing/2014/main" id="{E7D0A825-4068-42F7-8121-FA01C13175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2" name="AutoShape 1" descr="Vista previa de toda la pantalla">
          <a:extLst>
            <a:ext uri="{FF2B5EF4-FFF2-40B4-BE49-F238E27FC236}">
              <a16:creationId xmlns:a16="http://schemas.microsoft.com/office/drawing/2014/main" id="{38ECCC9F-FD8D-48FC-A6A7-40DA09D92C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3" name="AutoShape 1" descr="Vista previa de toda la pantalla">
          <a:extLst>
            <a:ext uri="{FF2B5EF4-FFF2-40B4-BE49-F238E27FC236}">
              <a16:creationId xmlns:a16="http://schemas.microsoft.com/office/drawing/2014/main" id="{8E71538C-BD34-4E2D-A18E-970E2CED86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4" name="AutoShape 1" descr="Vista previa de toda la pantalla">
          <a:extLst>
            <a:ext uri="{FF2B5EF4-FFF2-40B4-BE49-F238E27FC236}">
              <a16:creationId xmlns:a16="http://schemas.microsoft.com/office/drawing/2014/main" id="{81873D7B-0AC2-4516-9817-43666D3CB5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5" name="AutoShape 1" descr="Vista previa de toda la pantalla">
          <a:extLst>
            <a:ext uri="{FF2B5EF4-FFF2-40B4-BE49-F238E27FC236}">
              <a16:creationId xmlns:a16="http://schemas.microsoft.com/office/drawing/2014/main" id="{8B0C1FD1-5E44-4696-BC63-C26C796332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6" name="AutoShape 1" descr="Vista previa de toda la pantalla">
          <a:extLst>
            <a:ext uri="{FF2B5EF4-FFF2-40B4-BE49-F238E27FC236}">
              <a16:creationId xmlns:a16="http://schemas.microsoft.com/office/drawing/2014/main" id="{E708F7F7-CD96-467A-B6E3-9F8B7DAA59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7" name="AutoShape 1" descr="Vista previa de toda la pantalla">
          <a:extLst>
            <a:ext uri="{FF2B5EF4-FFF2-40B4-BE49-F238E27FC236}">
              <a16:creationId xmlns:a16="http://schemas.microsoft.com/office/drawing/2014/main" id="{8D8292BF-4D59-4851-AB82-30877FBA21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8" name="AutoShape 1" descr="Vista previa de toda la pantalla">
          <a:extLst>
            <a:ext uri="{FF2B5EF4-FFF2-40B4-BE49-F238E27FC236}">
              <a16:creationId xmlns:a16="http://schemas.microsoft.com/office/drawing/2014/main" id="{CD3BE478-E129-451E-BBD5-979C44302B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099" name="AutoShape 1" descr="Vista previa de toda la pantalla">
          <a:extLst>
            <a:ext uri="{FF2B5EF4-FFF2-40B4-BE49-F238E27FC236}">
              <a16:creationId xmlns:a16="http://schemas.microsoft.com/office/drawing/2014/main" id="{125DA4C9-2E94-4ED9-88FD-E590C04684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0" name="AutoShape 1" descr="Vista previa de toda la pantalla">
          <a:extLst>
            <a:ext uri="{FF2B5EF4-FFF2-40B4-BE49-F238E27FC236}">
              <a16:creationId xmlns:a16="http://schemas.microsoft.com/office/drawing/2014/main" id="{FDFD0A61-055C-4CE6-BD79-EA5A54D4F6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1" name="AutoShape 1" descr="Vista previa de toda la pantalla">
          <a:extLst>
            <a:ext uri="{FF2B5EF4-FFF2-40B4-BE49-F238E27FC236}">
              <a16:creationId xmlns:a16="http://schemas.microsoft.com/office/drawing/2014/main" id="{06AF55FB-EFA4-4648-8737-6DD7E44018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2" name="AutoShape 1" descr="Vista previa de toda la pantalla">
          <a:extLst>
            <a:ext uri="{FF2B5EF4-FFF2-40B4-BE49-F238E27FC236}">
              <a16:creationId xmlns:a16="http://schemas.microsoft.com/office/drawing/2014/main" id="{3A3E573A-A8A6-4D6D-A68F-CAE72DB18A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3" name="AutoShape 1" descr="Vista previa de toda la pantalla">
          <a:extLst>
            <a:ext uri="{FF2B5EF4-FFF2-40B4-BE49-F238E27FC236}">
              <a16:creationId xmlns:a16="http://schemas.microsoft.com/office/drawing/2014/main" id="{D76A6140-1848-4155-B0AD-94AACC73C4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4" name="AutoShape 1" descr="Vista previa de toda la pantalla">
          <a:extLst>
            <a:ext uri="{FF2B5EF4-FFF2-40B4-BE49-F238E27FC236}">
              <a16:creationId xmlns:a16="http://schemas.microsoft.com/office/drawing/2014/main" id="{714725DB-1827-4146-B3D9-E2D914A1B1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5" name="AutoShape 1" descr="Vista previa de toda la pantalla">
          <a:extLst>
            <a:ext uri="{FF2B5EF4-FFF2-40B4-BE49-F238E27FC236}">
              <a16:creationId xmlns:a16="http://schemas.microsoft.com/office/drawing/2014/main" id="{21042EEC-CF7B-4D78-B960-08AD940B40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6" name="AutoShape 1" descr="Vista previa de toda la pantalla">
          <a:extLst>
            <a:ext uri="{FF2B5EF4-FFF2-40B4-BE49-F238E27FC236}">
              <a16:creationId xmlns:a16="http://schemas.microsoft.com/office/drawing/2014/main" id="{35B1D740-CC39-4A72-8A18-5C5A770A30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7" name="AutoShape 1" descr="Vista previa de toda la pantalla">
          <a:extLst>
            <a:ext uri="{FF2B5EF4-FFF2-40B4-BE49-F238E27FC236}">
              <a16:creationId xmlns:a16="http://schemas.microsoft.com/office/drawing/2014/main" id="{89D647C0-BCEA-4EAE-B766-4D2002CBBB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8" name="AutoShape 1" descr="Vista previa de toda la pantalla">
          <a:extLst>
            <a:ext uri="{FF2B5EF4-FFF2-40B4-BE49-F238E27FC236}">
              <a16:creationId xmlns:a16="http://schemas.microsoft.com/office/drawing/2014/main" id="{DAC4D715-DB10-4282-A1F8-7FDA011197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09" name="AutoShape 1" descr="Vista previa de toda la pantalla">
          <a:extLst>
            <a:ext uri="{FF2B5EF4-FFF2-40B4-BE49-F238E27FC236}">
              <a16:creationId xmlns:a16="http://schemas.microsoft.com/office/drawing/2014/main" id="{5012A4D3-79EB-412B-93EC-82E4DB69F4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0" name="AutoShape 1" descr="Vista previa de toda la pantalla">
          <a:extLst>
            <a:ext uri="{FF2B5EF4-FFF2-40B4-BE49-F238E27FC236}">
              <a16:creationId xmlns:a16="http://schemas.microsoft.com/office/drawing/2014/main" id="{97F92FF6-9906-4D8A-8BE6-6F7EAC832B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1" name="AutoShape 1" descr="Vista previa de toda la pantalla">
          <a:extLst>
            <a:ext uri="{FF2B5EF4-FFF2-40B4-BE49-F238E27FC236}">
              <a16:creationId xmlns:a16="http://schemas.microsoft.com/office/drawing/2014/main" id="{3CCCE97F-B72D-4B42-9AEF-D44D7DA11A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2" name="AutoShape 1" descr="Vista previa de toda la pantalla">
          <a:extLst>
            <a:ext uri="{FF2B5EF4-FFF2-40B4-BE49-F238E27FC236}">
              <a16:creationId xmlns:a16="http://schemas.microsoft.com/office/drawing/2014/main" id="{06951EBF-D6D8-483B-A55A-64EC0278C0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3" name="AutoShape 1" descr="Vista previa de toda la pantalla">
          <a:extLst>
            <a:ext uri="{FF2B5EF4-FFF2-40B4-BE49-F238E27FC236}">
              <a16:creationId xmlns:a16="http://schemas.microsoft.com/office/drawing/2014/main" id="{3BB60FEA-1ED1-497A-B94A-12A610936C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4" name="AutoShape 1" descr="Vista previa de toda la pantalla">
          <a:extLst>
            <a:ext uri="{FF2B5EF4-FFF2-40B4-BE49-F238E27FC236}">
              <a16:creationId xmlns:a16="http://schemas.microsoft.com/office/drawing/2014/main" id="{01747D86-D8E9-46D5-9C1A-5436D98EC1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5" name="AutoShape 1" descr="Vista previa de toda la pantalla">
          <a:extLst>
            <a:ext uri="{FF2B5EF4-FFF2-40B4-BE49-F238E27FC236}">
              <a16:creationId xmlns:a16="http://schemas.microsoft.com/office/drawing/2014/main" id="{75A09E0B-B723-40F3-A0A1-9C324D8955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6" name="AutoShape 1" descr="Vista previa de toda la pantalla">
          <a:extLst>
            <a:ext uri="{FF2B5EF4-FFF2-40B4-BE49-F238E27FC236}">
              <a16:creationId xmlns:a16="http://schemas.microsoft.com/office/drawing/2014/main" id="{476EBD97-0864-435C-8321-C8091A07BC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7" name="AutoShape 1" descr="Vista previa de toda la pantalla">
          <a:extLst>
            <a:ext uri="{FF2B5EF4-FFF2-40B4-BE49-F238E27FC236}">
              <a16:creationId xmlns:a16="http://schemas.microsoft.com/office/drawing/2014/main" id="{D24F0CF6-79E3-4101-83B9-3A0327C2DE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8" name="AutoShape 1" descr="Vista previa de toda la pantalla">
          <a:extLst>
            <a:ext uri="{FF2B5EF4-FFF2-40B4-BE49-F238E27FC236}">
              <a16:creationId xmlns:a16="http://schemas.microsoft.com/office/drawing/2014/main" id="{B3848147-1A49-4685-8685-AAA563F3F2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19" name="AutoShape 1" descr="Vista previa de toda la pantalla">
          <a:extLst>
            <a:ext uri="{FF2B5EF4-FFF2-40B4-BE49-F238E27FC236}">
              <a16:creationId xmlns:a16="http://schemas.microsoft.com/office/drawing/2014/main" id="{AAE17823-411F-458E-ACCB-BBAEBB5351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0" name="AutoShape 1" descr="Vista previa de toda la pantalla">
          <a:extLst>
            <a:ext uri="{FF2B5EF4-FFF2-40B4-BE49-F238E27FC236}">
              <a16:creationId xmlns:a16="http://schemas.microsoft.com/office/drawing/2014/main" id="{F23DF2EB-AF92-4C9E-B8DC-1C6442492F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1" name="AutoShape 1" descr="Vista previa de toda la pantalla">
          <a:extLst>
            <a:ext uri="{FF2B5EF4-FFF2-40B4-BE49-F238E27FC236}">
              <a16:creationId xmlns:a16="http://schemas.microsoft.com/office/drawing/2014/main" id="{32C034C4-22F7-4AD8-8FBC-FEAA3BAEA2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2" name="AutoShape 1" descr="Vista previa de toda la pantalla">
          <a:extLst>
            <a:ext uri="{FF2B5EF4-FFF2-40B4-BE49-F238E27FC236}">
              <a16:creationId xmlns:a16="http://schemas.microsoft.com/office/drawing/2014/main" id="{91FAA39B-5CC5-447B-B354-02DEFA9AD3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3" name="AutoShape 1" descr="Vista previa de toda la pantalla">
          <a:extLst>
            <a:ext uri="{FF2B5EF4-FFF2-40B4-BE49-F238E27FC236}">
              <a16:creationId xmlns:a16="http://schemas.microsoft.com/office/drawing/2014/main" id="{C91F1977-3F12-4D48-988E-95FA732DCC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4" name="AutoShape 1" descr="Vista previa de toda la pantalla">
          <a:extLst>
            <a:ext uri="{FF2B5EF4-FFF2-40B4-BE49-F238E27FC236}">
              <a16:creationId xmlns:a16="http://schemas.microsoft.com/office/drawing/2014/main" id="{91D982E3-6604-45A0-B395-207A6F495F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5" name="AutoShape 1" descr="Vista previa de toda la pantalla">
          <a:extLst>
            <a:ext uri="{FF2B5EF4-FFF2-40B4-BE49-F238E27FC236}">
              <a16:creationId xmlns:a16="http://schemas.microsoft.com/office/drawing/2014/main" id="{AE37663E-407A-4898-864F-A226E95212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6" name="AutoShape 1" descr="Vista previa de toda la pantalla">
          <a:extLst>
            <a:ext uri="{FF2B5EF4-FFF2-40B4-BE49-F238E27FC236}">
              <a16:creationId xmlns:a16="http://schemas.microsoft.com/office/drawing/2014/main" id="{B67BC78B-B854-4E90-B303-73EAC2C943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7" name="AutoShape 1" descr="Vista previa de toda la pantalla">
          <a:extLst>
            <a:ext uri="{FF2B5EF4-FFF2-40B4-BE49-F238E27FC236}">
              <a16:creationId xmlns:a16="http://schemas.microsoft.com/office/drawing/2014/main" id="{98241937-2938-4F77-B386-A35DB1DAEB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8" name="AutoShape 1" descr="Vista previa de toda la pantalla">
          <a:extLst>
            <a:ext uri="{FF2B5EF4-FFF2-40B4-BE49-F238E27FC236}">
              <a16:creationId xmlns:a16="http://schemas.microsoft.com/office/drawing/2014/main" id="{9FB23FDE-1C70-4A13-8BB3-108886FAF3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29" name="AutoShape 1" descr="Vista previa de toda la pantalla">
          <a:extLst>
            <a:ext uri="{FF2B5EF4-FFF2-40B4-BE49-F238E27FC236}">
              <a16:creationId xmlns:a16="http://schemas.microsoft.com/office/drawing/2014/main" id="{3E64FCDA-44B0-4D85-8D7B-E6C3348C3B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0" name="AutoShape 1" descr="Vista previa de toda la pantalla">
          <a:extLst>
            <a:ext uri="{FF2B5EF4-FFF2-40B4-BE49-F238E27FC236}">
              <a16:creationId xmlns:a16="http://schemas.microsoft.com/office/drawing/2014/main" id="{A590A117-D4F6-4A91-9474-17A9CA78E5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1" name="AutoShape 1" descr="Vista previa de toda la pantalla">
          <a:extLst>
            <a:ext uri="{FF2B5EF4-FFF2-40B4-BE49-F238E27FC236}">
              <a16:creationId xmlns:a16="http://schemas.microsoft.com/office/drawing/2014/main" id="{A4001E53-C42B-4C3D-9805-4D97BD11CD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2" name="AutoShape 1" descr="Vista previa de toda la pantalla">
          <a:extLst>
            <a:ext uri="{FF2B5EF4-FFF2-40B4-BE49-F238E27FC236}">
              <a16:creationId xmlns:a16="http://schemas.microsoft.com/office/drawing/2014/main" id="{285C7EC1-3B3E-41F4-AA75-2D6D262DA6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3" name="AutoShape 1" descr="Vista previa de toda la pantalla">
          <a:extLst>
            <a:ext uri="{FF2B5EF4-FFF2-40B4-BE49-F238E27FC236}">
              <a16:creationId xmlns:a16="http://schemas.microsoft.com/office/drawing/2014/main" id="{74CD116F-BEE8-4230-9479-526D7CAC49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4" name="AutoShape 1" descr="Vista previa de toda la pantalla">
          <a:extLst>
            <a:ext uri="{FF2B5EF4-FFF2-40B4-BE49-F238E27FC236}">
              <a16:creationId xmlns:a16="http://schemas.microsoft.com/office/drawing/2014/main" id="{E73FE36B-CAD4-41A6-BC0E-8C766C828E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5" name="AutoShape 1" descr="Vista previa de toda la pantalla">
          <a:extLst>
            <a:ext uri="{FF2B5EF4-FFF2-40B4-BE49-F238E27FC236}">
              <a16:creationId xmlns:a16="http://schemas.microsoft.com/office/drawing/2014/main" id="{9294D812-A2B8-477C-A67F-719A8BE7B7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6" name="AutoShape 1" descr="Vista previa de toda la pantalla">
          <a:extLst>
            <a:ext uri="{FF2B5EF4-FFF2-40B4-BE49-F238E27FC236}">
              <a16:creationId xmlns:a16="http://schemas.microsoft.com/office/drawing/2014/main" id="{6AD50E8F-7F85-49BA-8A0E-DD39A594FC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7" name="AutoShape 1" descr="Vista previa de toda la pantalla">
          <a:extLst>
            <a:ext uri="{FF2B5EF4-FFF2-40B4-BE49-F238E27FC236}">
              <a16:creationId xmlns:a16="http://schemas.microsoft.com/office/drawing/2014/main" id="{EFD631D7-8881-4E4D-989D-C59FB0D71B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8" name="AutoShape 1" descr="Vista previa de toda la pantalla">
          <a:extLst>
            <a:ext uri="{FF2B5EF4-FFF2-40B4-BE49-F238E27FC236}">
              <a16:creationId xmlns:a16="http://schemas.microsoft.com/office/drawing/2014/main" id="{8DF16F54-3396-4FBB-9F82-072BB933B1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39" name="AutoShape 1" descr="Vista previa de toda la pantalla">
          <a:extLst>
            <a:ext uri="{FF2B5EF4-FFF2-40B4-BE49-F238E27FC236}">
              <a16:creationId xmlns:a16="http://schemas.microsoft.com/office/drawing/2014/main" id="{A1B1DCDB-4F29-4BF4-BB1A-0F47765DBF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0" name="AutoShape 1" descr="Vista previa de toda la pantalla">
          <a:extLst>
            <a:ext uri="{FF2B5EF4-FFF2-40B4-BE49-F238E27FC236}">
              <a16:creationId xmlns:a16="http://schemas.microsoft.com/office/drawing/2014/main" id="{9A9E202D-6C7C-44C3-A526-A802EC1A84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1" name="AutoShape 1" descr="Vista previa de toda la pantalla">
          <a:extLst>
            <a:ext uri="{FF2B5EF4-FFF2-40B4-BE49-F238E27FC236}">
              <a16:creationId xmlns:a16="http://schemas.microsoft.com/office/drawing/2014/main" id="{AAD9F172-D390-4B2D-99FC-5F1D466571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2" name="AutoShape 1" descr="Vista previa de toda la pantalla">
          <a:extLst>
            <a:ext uri="{FF2B5EF4-FFF2-40B4-BE49-F238E27FC236}">
              <a16:creationId xmlns:a16="http://schemas.microsoft.com/office/drawing/2014/main" id="{A6B2B3A6-E0F0-47A0-942A-8752CFA628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3" name="AutoShape 1" descr="Vista previa de toda la pantalla">
          <a:extLst>
            <a:ext uri="{FF2B5EF4-FFF2-40B4-BE49-F238E27FC236}">
              <a16:creationId xmlns:a16="http://schemas.microsoft.com/office/drawing/2014/main" id="{714C62DB-2E0E-440C-B286-57EE917770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4" name="AutoShape 1" descr="Vista previa de toda la pantalla">
          <a:extLst>
            <a:ext uri="{FF2B5EF4-FFF2-40B4-BE49-F238E27FC236}">
              <a16:creationId xmlns:a16="http://schemas.microsoft.com/office/drawing/2014/main" id="{7EC0A8E3-F8FE-41DD-AD6F-AB2C0125CD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5" name="AutoShape 1" descr="Vista previa de toda la pantalla">
          <a:extLst>
            <a:ext uri="{FF2B5EF4-FFF2-40B4-BE49-F238E27FC236}">
              <a16:creationId xmlns:a16="http://schemas.microsoft.com/office/drawing/2014/main" id="{56034549-FC84-4DF8-BBD4-F47483D76A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6" name="AutoShape 1" descr="Vista previa de toda la pantalla">
          <a:extLst>
            <a:ext uri="{FF2B5EF4-FFF2-40B4-BE49-F238E27FC236}">
              <a16:creationId xmlns:a16="http://schemas.microsoft.com/office/drawing/2014/main" id="{E11A7AA2-BF54-421A-BA2A-71A86BF233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7" name="AutoShape 1" descr="Vista previa de toda la pantalla">
          <a:extLst>
            <a:ext uri="{FF2B5EF4-FFF2-40B4-BE49-F238E27FC236}">
              <a16:creationId xmlns:a16="http://schemas.microsoft.com/office/drawing/2014/main" id="{110F9E2C-0960-4595-B0E5-D2C18773AF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8" name="AutoShape 1" descr="Vista previa de toda la pantalla">
          <a:extLst>
            <a:ext uri="{FF2B5EF4-FFF2-40B4-BE49-F238E27FC236}">
              <a16:creationId xmlns:a16="http://schemas.microsoft.com/office/drawing/2014/main" id="{2AD8BBCC-BB40-4449-99B5-3F64973C76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49" name="AutoShape 1" descr="Vista previa de toda la pantalla">
          <a:extLst>
            <a:ext uri="{FF2B5EF4-FFF2-40B4-BE49-F238E27FC236}">
              <a16:creationId xmlns:a16="http://schemas.microsoft.com/office/drawing/2014/main" id="{7F98C6F8-159D-4B62-982A-888D477705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0" name="AutoShape 1" descr="Vista previa de toda la pantalla">
          <a:extLst>
            <a:ext uri="{FF2B5EF4-FFF2-40B4-BE49-F238E27FC236}">
              <a16:creationId xmlns:a16="http://schemas.microsoft.com/office/drawing/2014/main" id="{60BAE89A-63BA-4406-B86D-DC7A6393F4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1" name="AutoShape 1" descr="Vista previa de toda la pantalla">
          <a:extLst>
            <a:ext uri="{FF2B5EF4-FFF2-40B4-BE49-F238E27FC236}">
              <a16:creationId xmlns:a16="http://schemas.microsoft.com/office/drawing/2014/main" id="{64C38FDC-13AD-4744-80E2-8D23E655EC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2" name="AutoShape 1" descr="Vista previa de toda la pantalla">
          <a:extLst>
            <a:ext uri="{FF2B5EF4-FFF2-40B4-BE49-F238E27FC236}">
              <a16:creationId xmlns:a16="http://schemas.microsoft.com/office/drawing/2014/main" id="{2DC15A2C-6575-4528-BC14-E1D4173CD3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3" name="AutoShape 1" descr="Vista previa de toda la pantalla">
          <a:extLst>
            <a:ext uri="{FF2B5EF4-FFF2-40B4-BE49-F238E27FC236}">
              <a16:creationId xmlns:a16="http://schemas.microsoft.com/office/drawing/2014/main" id="{BEEAFBAE-2AB9-46D5-BE61-3B750B69D9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4" name="AutoShape 1" descr="Vista previa de toda la pantalla">
          <a:extLst>
            <a:ext uri="{FF2B5EF4-FFF2-40B4-BE49-F238E27FC236}">
              <a16:creationId xmlns:a16="http://schemas.microsoft.com/office/drawing/2014/main" id="{F3BBF104-BF90-4E2A-9F93-7DD122B1CA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5" name="AutoShape 1" descr="Vista previa de toda la pantalla">
          <a:extLst>
            <a:ext uri="{FF2B5EF4-FFF2-40B4-BE49-F238E27FC236}">
              <a16:creationId xmlns:a16="http://schemas.microsoft.com/office/drawing/2014/main" id="{59780B02-4AE7-49ED-9AE5-F4D6C1A9F2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6" name="AutoShape 1" descr="Vista previa de toda la pantalla">
          <a:extLst>
            <a:ext uri="{FF2B5EF4-FFF2-40B4-BE49-F238E27FC236}">
              <a16:creationId xmlns:a16="http://schemas.microsoft.com/office/drawing/2014/main" id="{499FDA36-28C5-4DB9-B310-C2E1DC4754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7" name="AutoShape 1" descr="Vista previa de toda la pantalla">
          <a:extLst>
            <a:ext uri="{FF2B5EF4-FFF2-40B4-BE49-F238E27FC236}">
              <a16:creationId xmlns:a16="http://schemas.microsoft.com/office/drawing/2014/main" id="{F57D0763-86B5-4D81-80A8-E88D367B38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8" name="AutoShape 1" descr="Vista previa de toda la pantalla">
          <a:extLst>
            <a:ext uri="{FF2B5EF4-FFF2-40B4-BE49-F238E27FC236}">
              <a16:creationId xmlns:a16="http://schemas.microsoft.com/office/drawing/2014/main" id="{5263271A-AB86-42DC-8EC2-E649CF6E5D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59" name="AutoShape 1" descr="Vista previa de toda la pantalla">
          <a:extLst>
            <a:ext uri="{FF2B5EF4-FFF2-40B4-BE49-F238E27FC236}">
              <a16:creationId xmlns:a16="http://schemas.microsoft.com/office/drawing/2014/main" id="{EDD6E205-4A09-4DB4-8106-F83A275D4F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0" name="AutoShape 1" descr="Vista previa de toda la pantalla">
          <a:extLst>
            <a:ext uri="{FF2B5EF4-FFF2-40B4-BE49-F238E27FC236}">
              <a16:creationId xmlns:a16="http://schemas.microsoft.com/office/drawing/2014/main" id="{6AA0C83E-2277-4FA8-9AEB-EA9937ACCA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1" name="AutoShape 1" descr="Vista previa de toda la pantalla">
          <a:extLst>
            <a:ext uri="{FF2B5EF4-FFF2-40B4-BE49-F238E27FC236}">
              <a16:creationId xmlns:a16="http://schemas.microsoft.com/office/drawing/2014/main" id="{E9148425-404E-40FC-8F01-61B98F063F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2" name="AutoShape 1" descr="Vista previa de toda la pantalla">
          <a:extLst>
            <a:ext uri="{FF2B5EF4-FFF2-40B4-BE49-F238E27FC236}">
              <a16:creationId xmlns:a16="http://schemas.microsoft.com/office/drawing/2014/main" id="{F480F846-A040-458F-8C68-04618DE6A6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3" name="AutoShape 1" descr="Vista previa de toda la pantalla">
          <a:extLst>
            <a:ext uri="{FF2B5EF4-FFF2-40B4-BE49-F238E27FC236}">
              <a16:creationId xmlns:a16="http://schemas.microsoft.com/office/drawing/2014/main" id="{B283543C-B5C0-443E-BE1E-26C3095323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4" name="AutoShape 1" descr="Vista previa de toda la pantalla">
          <a:extLst>
            <a:ext uri="{FF2B5EF4-FFF2-40B4-BE49-F238E27FC236}">
              <a16:creationId xmlns:a16="http://schemas.microsoft.com/office/drawing/2014/main" id="{E709FF3E-76CF-4310-8B89-3BC8544179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5" name="AutoShape 1" descr="Vista previa de toda la pantalla">
          <a:extLst>
            <a:ext uri="{FF2B5EF4-FFF2-40B4-BE49-F238E27FC236}">
              <a16:creationId xmlns:a16="http://schemas.microsoft.com/office/drawing/2014/main" id="{ED3960C9-C8C6-4572-89B8-BB62F341AE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6" name="AutoShape 1" descr="Vista previa de toda la pantalla">
          <a:extLst>
            <a:ext uri="{FF2B5EF4-FFF2-40B4-BE49-F238E27FC236}">
              <a16:creationId xmlns:a16="http://schemas.microsoft.com/office/drawing/2014/main" id="{E591460F-4FFD-41E3-988C-4C7918FB52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7" name="AutoShape 1" descr="Vista previa de toda la pantalla">
          <a:extLst>
            <a:ext uri="{FF2B5EF4-FFF2-40B4-BE49-F238E27FC236}">
              <a16:creationId xmlns:a16="http://schemas.microsoft.com/office/drawing/2014/main" id="{65D1D3BD-0C16-4A32-86B2-C72CA739B9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8" name="AutoShape 1" descr="Vista previa de toda la pantalla">
          <a:extLst>
            <a:ext uri="{FF2B5EF4-FFF2-40B4-BE49-F238E27FC236}">
              <a16:creationId xmlns:a16="http://schemas.microsoft.com/office/drawing/2014/main" id="{9AFAFB25-FC8A-47D8-B6C4-4557BF37F4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69" name="AutoShape 1" descr="Vista previa de toda la pantalla">
          <a:extLst>
            <a:ext uri="{FF2B5EF4-FFF2-40B4-BE49-F238E27FC236}">
              <a16:creationId xmlns:a16="http://schemas.microsoft.com/office/drawing/2014/main" id="{27EC1C8D-BF52-4E90-A525-9A4479111B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0" name="AutoShape 1" descr="Vista previa de toda la pantalla">
          <a:extLst>
            <a:ext uri="{FF2B5EF4-FFF2-40B4-BE49-F238E27FC236}">
              <a16:creationId xmlns:a16="http://schemas.microsoft.com/office/drawing/2014/main" id="{77F759A3-8428-40D0-A4D4-CDD6EFC8D7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1" name="AutoShape 1" descr="Vista previa de toda la pantalla">
          <a:extLst>
            <a:ext uri="{FF2B5EF4-FFF2-40B4-BE49-F238E27FC236}">
              <a16:creationId xmlns:a16="http://schemas.microsoft.com/office/drawing/2014/main" id="{872860F2-43CC-4CBB-BD42-3D42334683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2" name="AutoShape 1" descr="Vista previa de toda la pantalla">
          <a:extLst>
            <a:ext uri="{FF2B5EF4-FFF2-40B4-BE49-F238E27FC236}">
              <a16:creationId xmlns:a16="http://schemas.microsoft.com/office/drawing/2014/main" id="{CCE40F3B-EFCA-408F-AA27-AE1D41782C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3" name="AutoShape 1" descr="Vista previa de toda la pantalla">
          <a:extLst>
            <a:ext uri="{FF2B5EF4-FFF2-40B4-BE49-F238E27FC236}">
              <a16:creationId xmlns:a16="http://schemas.microsoft.com/office/drawing/2014/main" id="{3885FDA4-A1B2-4EEA-BADD-78F9025911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4" name="AutoShape 1" descr="Vista previa de toda la pantalla">
          <a:extLst>
            <a:ext uri="{FF2B5EF4-FFF2-40B4-BE49-F238E27FC236}">
              <a16:creationId xmlns:a16="http://schemas.microsoft.com/office/drawing/2014/main" id="{EC4F4E95-FA8B-4D9C-9B81-AE05096931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5" name="AutoShape 1" descr="Vista previa de toda la pantalla">
          <a:extLst>
            <a:ext uri="{FF2B5EF4-FFF2-40B4-BE49-F238E27FC236}">
              <a16:creationId xmlns:a16="http://schemas.microsoft.com/office/drawing/2014/main" id="{35D5D113-C827-43C0-BF17-1F93A61D95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6" name="AutoShape 1" descr="Vista previa de toda la pantalla">
          <a:extLst>
            <a:ext uri="{FF2B5EF4-FFF2-40B4-BE49-F238E27FC236}">
              <a16:creationId xmlns:a16="http://schemas.microsoft.com/office/drawing/2014/main" id="{5A1FA91E-93A2-46F1-9288-9F8F73A0AD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7" name="AutoShape 1" descr="Vista previa de toda la pantalla">
          <a:extLst>
            <a:ext uri="{FF2B5EF4-FFF2-40B4-BE49-F238E27FC236}">
              <a16:creationId xmlns:a16="http://schemas.microsoft.com/office/drawing/2014/main" id="{56CC480C-2DA6-4BF7-B0CC-FBB921B4FB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8" name="AutoShape 1" descr="Vista previa de toda la pantalla">
          <a:extLst>
            <a:ext uri="{FF2B5EF4-FFF2-40B4-BE49-F238E27FC236}">
              <a16:creationId xmlns:a16="http://schemas.microsoft.com/office/drawing/2014/main" id="{6A655181-320F-4A5A-A9B5-D4BB35F7DE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79" name="AutoShape 1" descr="Vista previa de toda la pantalla">
          <a:extLst>
            <a:ext uri="{FF2B5EF4-FFF2-40B4-BE49-F238E27FC236}">
              <a16:creationId xmlns:a16="http://schemas.microsoft.com/office/drawing/2014/main" id="{84451592-2D21-441C-8236-EB67502136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0" name="AutoShape 1" descr="Vista previa de toda la pantalla">
          <a:extLst>
            <a:ext uri="{FF2B5EF4-FFF2-40B4-BE49-F238E27FC236}">
              <a16:creationId xmlns:a16="http://schemas.microsoft.com/office/drawing/2014/main" id="{E32806F1-FD35-4482-9517-77515FAF11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1" name="AutoShape 1" descr="Vista previa de toda la pantalla">
          <a:extLst>
            <a:ext uri="{FF2B5EF4-FFF2-40B4-BE49-F238E27FC236}">
              <a16:creationId xmlns:a16="http://schemas.microsoft.com/office/drawing/2014/main" id="{E24440C8-B3C6-40F8-891F-C1FF1F2F5D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2" name="AutoShape 1" descr="Vista previa de toda la pantalla">
          <a:extLst>
            <a:ext uri="{FF2B5EF4-FFF2-40B4-BE49-F238E27FC236}">
              <a16:creationId xmlns:a16="http://schemas.microsoft.com/office/drawing/2014/main" id="{CB35A97C-3BFC-4B1C-B360-09EB687288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3" name="AutoShape 1" descr="Vista previa de toda la pantalla">
          <a:extLst>
            <a:ext uri="{FF2B5EF4-FFF2-40B4-BE49-F238E27FC236}">
              <a16:creationId xmlns:a16="http://schemas.microsoft.com/office/drawing/2014/main" id="{154F81C8-22DA-476E-A000-ACC9BE442D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4" name="AutoShape 1" descr="Vista previa de toda la pantalla">
          <a:extLst>
            <a:ext uri="{FF2B5EF4-FFF2-40B4-BE49-F238E27FC236}">
              <a16:creationId xmlns:a16="http://schemas.microsoft.com/office/drawing/2014/main" id="{943D1F52-2953-4318-AFA7-3BE4D3F5B8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5" name="AutoShape 1" descr="Vista previa de toda la pantalla">
          <a:extLst>
            <a:ext uri="{FF2B5EF4-FFF2-40B4-BE49-F238E27FC236}">
              <a16:creationId xmlns:a16="http://schemas.microsoft.com/office/drawing/2014/main" id="{77667A93-D2D0-4119-9366-BC11744976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6" name="AutoShape 1" descr="Vista previa de toda la pantalla">
          <a:extLst>
            <a:ext uri="{FF2B5EF4-FFF2-40B4-BE49-F238E27FC236}">
              <a16:creationId xmlns:a16="http://schemas.microsoft.com/office/drawing/2014/main" id="{59A67D69-1348-418A-9B83-43B8BEFCE9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7" name="AutoShape 1" descr="Vista previa de toda la pantalla">
          <a:extLst>
            <a:ext uri="{FF2B5EF4-FFF2-40B4-BE49-F238E27FC236}">
              <a16:creationId xmlns:a16="http://schemas.microsoft.com/office/drawing/2014/main" id="{78D3245D-78F6-41BC-99A9-15B7F101FD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8" name="AutoShape 1" descr="Vista previa de toda la pantalla">
          <a:extLst>
            <a:ext uri="{FF2B5EF4-FFF2-40B4-BE49-F238E27FC236}">
              <a16:creationId xmlns:a16="http://schemas.microsoft.com/office/drawing/2014/main" id="{C031DC2D-E27C-45F3-B497-CEA59316A0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89" name="AutoShape 1" descr="Vista previa de toda la pantalla">
          <a:extLst>
            <a:ext uri="{FF2B5EF4-FFF2-40B4-BE49-F238E27FC236}">
              <a16:creationId xmlns:a16="http://schemas.microsoft.com/office/drawing/2014/main" id="{0ED1A1B1-8EF6-43AD-B206-5ED0969964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0" name="AutoShape 1" descr="Vista previa de toda la pantalla">
          <a:extLst>
            <a:ext uri="{FF2B5EF4-FFF2-40B4-BE49-F238E27FC236}">
              <a16:creationId xmlns:a16="http://schemas.microsoft.com/office/drawing/2014/main" id="{2163E617-D099-4353-9444-CFED6DAC24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1" name="AutoShape 1" descr="Vista previa de toda la pantalla">
          <a:extLst>
            <a:ext uri="{FF2B5EF4-FFF2-40B4-BE49-F238E27FC236}">
              <a16:creationId xmlns:a16="http://schemas.microsoft.com/office/drawing/2014/main" id="{9F7DE3EE-EB59-4973-9EC1-A7D21A3D24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2" name="AutoShape 1" descr="Vista previa de toda la pantalla">
          <a:extLst>
            <a:ext uri="{FF2B5EF4-FFF2-40B4-BE49-F238E27FC236}">
              <a16:creationId xmlns:a16="http://schemas.microsoft.com/office/drawing/2014/main" id="{349DEC8A-5E04-43D0-B02F-B9CB3D57CB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3" name="AutoShape 1" descr="Vista previa de toda la pantalla">
          <a:extLst>
            <a:ext uri="{FF2B5EF4-FFF2-40B4-BE49-F238E27FC236}">
              <a16:creationId xmlns:a16="http://schemas.microsoft.com/office/drawing/2014/main" id="{56D6E5B6-2535-4EE0-A999-D0C067012E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4" name="AutoShape 1" descr="Vista previa de toda la pantalla">
          <a:extLst>
            <a:ext uri="{FF2B5EF4-FFF2-40B4-BE49-F238E27FC236}">
              <a16:creationId xmlns:a16="http://schemas.microsoft.com/office/drawing/2014/main" id="{D88CD3E7-EED8-444C-9358-98B7928A42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5" name="AutoShape 1" descr="Vista previa de toda la pantalla">
          <a:extLst>
            <a:ext uri="{FF2B5EF4-FFF2-40B4-BE49-F238E27FC236}">
              <a16:creationId xmlns:a16="http://schemas.microsoft.com/office/drawing/2014/main" id="{0BFF0392-83C9-4742-AB58-024FF7641E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6" name="AutoShape 1" descr="Vista previa de toda la pantalla">
          <a:extLst>
            <a:ext uri="{FF2B5EF4-FFF2-40B4-BE49-F238E27FC236}">
              <a16:creationId xmlns:a16="http://schemas.microsoft.com/office/drawing/2014/main" id="{25A10FF4-E151-49B2-B7A4-7CA86B6878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7" name="AutoShape 1" descr="Vista previa de toda la pantalla">
          <a:extLst>
            <a:ext uri="{FF2B5EF4-FFF2-40B4-BE49-F238E27FC236}">
              <a16:creationId xmlns:a16="http://schemas.microsoft.com/office/drawing/2014/main" id="{225AEA0D-5DCC-4B3A-A3E0-8C74BA8A58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8" name="AutoShape 1" descr="Vista previa de toda la pantalla">
          <a:extLst>
            <a:ext uri="{FF2B5EF4-FFF2-40B4-BE49-F238E27FC236}">
              <a16:creationId xmlns:a16="http://schemas.microsoft.com/office/drawing/2014/main" id="{BC244BCC-0242-466F-A9F8-8B48BBF2FD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199" name="AutoShape 1" descr="Vista previa de toda la pantalla">
          <a:extLst>
            <a:ext uri="{FF2B5EF4-FFF2-40B4-BE49-F238E27FC236}">
              <a16:creationId xmlns:a16="http://schemas.microsoft.com/office/drawing/2014/main" id="{2B1A86F0-DADF-4952-8CB8-7F4660D53A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0" name="AutoShape 1" descr="Vista previa de toda la pantalla">
          <a:extLst>
            <a:ext uri="{FF2B5EF4-FFF2-40B4-BE49-F238E27FC236}">
              <a16:creationId xmlns:a16="http://schemas.microsoft.com/office/drawing/2014/main" id="{94801C6F-9F34-4E8F-A938-063FEEE072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1" name="AutoShape 1" descr="Vista previa de toda la pantalla">
          <a:extLst>
            <a:ext uri="{FF2B5EF4-FFF2-40B4-BE49-F238E27FC236}">
              <a16:creationId xmlns:a16="http://schemas.microsoft.com/office/drawing/2014/main" id="{CF94935F-5D8D-4C21-9CD5-066D12AD81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2" name="AutoShape 1" descr="Vista previa de toda la pantalla">
          <a:extLst>
            <a:ext uri="{FF2B5EF4-FFF2-40B4-BE49-F238E27FC236}">
              <a16:creationId xmlns:a16="http://schemas.microsoft.com/office/drawing/2014/main" id="{2ABFE1A3-138B-469D-B251-A7E0826646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3" name="AutoShape 1" descr="Vista previa de toda la pantalla">
          <a:extLst>
            <a:ext uri="{FF2B5EF4-FFF2-40B4-BE49-F238E27FC236}">
              <a16:creationId xmlns:a16="http://schemas.microsoft.com/office/drawing/2014/main" id="{313110CF-5591-4AED-876D-295A618A39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4" name="AutoShape 1" descr="Vista previa de toda la pantalla">
          <a:extLst>
            <a:ext uri="{FF2B5EF4-FFF2-40B4-BE49-F238E27FC236}">
              <a16:creationId xmlns:a16="http://schemas.microsoft.com/office/drawing/2014/main" id="{24BF53F0-E89D-495B-A989-E18BCA98E7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5" name="AutoShape 1" descr="Vista previa de toda la pantalla">
          <a:extLst>
            <a:ext uri="{FF2B5EF4-FFF2-40B4-BE49-F238E27FC236}">
              <a16:creationId xmlns:a16="http://schemas.microsoft.com/office/drawing/2014/main" id="{BF324671-559E-43AD-8983-3C360D1847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6" name="AutoShape 1" descr="Vista previa de toda la pantalla">
          <a:extLst>
            <a:ext uri="{FF2B5EF4-FFF2-40B4-BE49-F238E27FC236}">
              <a16:creationId xmlns:a16="http://schemas.microsoft.com/office/drawing/2014/main" id="{7E0C8812-8A28-4A51-AF8B-87DE4B80B3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7" name="AutoShape 1" descr="Vista previa de toda la pantalla">
          <a:extLst>
            <a:ext uri="{FF2B5EF4-FFF2-40B4-BE49-F238E27FC236}">
              <a16:creationId xmlns:a16="http://schemas.microsoft.com/office/drawing/2014/main" id="{8CE92E93-6D67-4710-929A-8D6BBBAE04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8" name="AutoShape 1" descr="Vista previa de toda la pantalla">
          <a:extLst>
            <a:ext uri="{FF2B5EF4-FFF2-40B4-BE49-F238E27FC236}">
              <a16:creationId xmlns:a16="http://schemas.microsoft.com/office/drawing/2014/main" id="{6FDDCE9F-274D-4496-AE47-44E14E4DBB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09" name="AutoShape 1" descr="Vista previa de toda la pantalla">
          <a:extLst>
            <a:ext uri="{FF2B5EF4-FFF2-40B4-BE49-F238E27FC236}">
              <a16:creationId xmlns:a16="http://schemas.microsoft.com/office/drawing/2014/main" id="{4B8ED2C7-EF41-415A-ACB3-9646A88653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0" name="AutoShape 1" descr="Vista previa de toda la pantalla">
          <a:extLst>
            <a:ext uri="{FF2B5EF4-FFF2-40B4-BE49-F238E27FC236}">
              <a16:creationId xmlns:a16="http://schemas.microsoft.com/office/drawing/2014/main" id="{C1AFF065-84A3-4166-9088-A2A893C6C5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1" name="AutoShape 1" descr="Vista previa de toda la pantalla">
          <a:extLst>
            <a:ext uri="{FF2B5EF4-FFF2-40B4-BE49-F238E27FC236}">
              <a16:creationId xmlns:a16="http://schemas.microsoft.com/office/drawing/2014/main" id="{CCA3ED6F-D50B-4772-B414-A99382241F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2" name="AutoShape 1" descr="Vista previa de toda la pantalla">
          <a:extLst>
            <a:ext uri="{FF2B5EF4-FFF2-40B4-BE49-F238E27FC236}">
              <a16:creationId xmlns:a16="http://schemas.microsoft.com/office/drawing/2014/main" id="{151A6725-8721-4947-9219-DA35BF06AC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3" name="AutoShape 1" descr="Vista previa de toda la pantalla">
          <a:extLst>
            <a:ext uri="{FF2B5EF4-FFF2-40B4-BE49-F238E27FC236}">
              <a16:creationId xmlns:a16="http://schemas.microsoft.com/office/drawing/2014/main" id="{554C9BC6-E6C2-4674-B623-7FBA265D72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4" name="AutoShape 1" descr="Vista previa de toda la pantalla">
          <a:extLst>
            <a:ext uri="{FF2B5EF4-FFF2-40B4-BE49-F238E27FC236}">
              <a16:creationId xmlns:a16="http://schemas.microsoft.com/office/drawing/2014/main" id="{B3054B2E-1BD3-4140-AF0D-41E32DE338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5" name="AutoShape 1" descr="Vista previa de toda la pantalla">
          <a:extLst>
            <a:ext uri="{FF2B5EF4-FFF2-40B4-BE49-F238E27FC236}">
              <a16:creationId xmlns:a16="http://schemas.microsoft.com/office/drawing/2014/main" id="{617FC064-8C45-478E-B0FA-58F50AE8FA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6" name="AutoShape 1" descr="Vista previa de toda la pantalla">
          <a:extLst>
            <a:ext uri="{FF2B5EF4-FFF2-40B4-BE49-F238E27FC236}">
              <a16:creationId xmlns:a16="http://schemas.microsoft.com/office/drawing/2014/main" id="{F4C6BE69-8D9F-4D2A-80DC-C8D19E90BD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7" name="AutoShape 1" descr="Vista previa de toda la pantalla">
          <a:extLst>
            <a:ext uri="{FF2B5EF4-FFF2-40B4-BE49-F238E27FC236}">
              <a16:creationId xmlns:a16="http://schemas.microsoft.com/office/drawing/2014/main" id="{2C15B806-8357-49B4-9573-9A544DDBB5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8" name="AutoShape 1" descr="Vista previa de toda la pantalla">
          <a:extLst>
            <a:ext uri="{FF2B5EF4-FFF2-40B4-BE49-F238E27FC236}">
              <a16:creationId xmlns:a16="http://schemas.microsoft.com/office/drawing/2014/main" id="{D85BE354-775A-42B7-B24E-A3954AD05C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19" name="AutoShape 1" descr="Vista previa de toda la pantalla">
          <a:extLst>
            <a:ext uri="{FF2B5EF4-FFF2-40B4-BE49-F238E27FC236}">
              <a16:creationId xmlns:a16="http://schemas.microsoft.com/office/drawing/2014/main" id="{7BEE4146-008D-4593-AE9A-067D4D7F38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0" name="AutoShape 1" descr="Vista previa de toda la pantalla">
          <a:extLst>
            <a:ext uri="{FF2B5EF4-FFF2-40B4-BE49-F238E27FC236}">
              <a16:creationId xmlns:a16="http://schemas.microsoft.com/office/drawing/2014/main" id="{D4026716-AD44-4B06-93DF-F33158C05E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1" name="AutoShape 1" descr="Vista previa de toda la pantalla">
          <a:extLst>
            <a:ext uri="{FF2B5EF4-FFF2-40B4-BE49-F238E27FC236}">
              <a16:creationId xmlns:a16="http://schemas.microsoft.com/office/drawing/2014/main" id="{973180ED-A4E6-4D92-950E-C30B460CC3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2" name="AutoShape 1" descr="Vista previa de toda la pantalla">
          <a:extLst>
            <a:ext uri="{FF2B5EF4-FFF2-40B4-BE49-F238E27FC236}">
              <a16:creationId xmlns:a16="http://schemas.microsoft.com/office/drawing/2014/main" id="{F4E3B688-EBAA-42EB-B6A5-C8ED68AC95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3" name="AutoShape 1" descr="Vista previa de toda la pantalla">
          <a:extLst>
            <a:ext uri="{FF2B5EF4-FFF2-40B4-BE49-F238E27FC236}">
              <a16:creationId xmlns:a16="http://schemas.microsoft.com/office/drawing/2014/main" id="{3B913D69-3706-42B8-AFD9-13FDA41D5A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4" name="AutoShape 1" descr="Vista previa de toda la pantalla">
          <a:extLst>
            <a:ext uri="{FF2B5EF4-FFF2-40B4-BE49-F238E27FC236}">
              <a16:creationId xmlns:a16="http://schemas.microsoft.com/office/drawing/2014/main" id="{65FABE99-B1D2-4D1D-B40C-54AF263ACE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5" name="AutoShape 1" descr="Vista previa de toda la pantalla">
          <a:extLst>
            <a:ext uri="{FF2B5EF4-FFF2-40B4-BE49-F238E27FC236}">
              <a16:creationId xmlns:a16="http://schemas.microsoft.com/office/drawing/2014/main" id="{B7FBF2A0-4179-42C6-BDE8-3EE401B0C4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6" name="AutoShape 1" descr="Vista previa de toda la pantalla">
          <a:extLst>
            <a:ext uri="{FF2B5EF4-FFF2-40B4-BE49-F238E27FC236}">
              <a16:creationId xmlns:a16="http://schemas.microsoft.com/office/drawing/2014/main" id="{A4AB5310-CFCF-4BBA-8AF6-44809A47F3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7" name="AutoShape 1" descr="Vista previa de toda la pantalla">
          <a:extLst>
            <a:ext uri="{FF2B5EF4-FFF2-40B4-BE49-F238E27FC236}">
              <a16:creationId xmlns:a16="http://schemas.microsoft.com/office/drawing/2014/main" id="{E5C63055-48FB-453F-A65D-08BF411BE1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8" name="AutoShape 1" descr="Vista previa de toda la pantalla">
          <a:extLst>
            <a:ext uri="{FF2B5EF4-FFF2-40B4-BE49-F238E27FC236}">
              <a16:creationId xmlns:a16="http://schemas.microsoft.com/office/drawing/2014/main" id="{17AFC680-5C9B-40C5-9AF2-8225C48CCE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29" name="AutoShape 1" descr="Vista previa de toda la pantalla">
          <a:extLst>
            <a:ext uri="{FF2B5EF4-FFF2-40B4-BE49-F238E27FC236}">
              <a16:creationId xmlns:a16="http://schemas.microsoft.com/office/drawing/2014/main" id="{E8C6C7B3-AF8B-40E7-BC6B-51492AB84B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30" name="AutoShape 1" descr="Vista previa de toda la pantalla">
          <a:extLst>
            <a:ext uri="{FF2B5EF4-FFF2-40B4-BE49-F238E27FC236}">
              <a16:creationId xmlns:a16="http://schemas.microsoft.com/office/drawing/2014/main" id="{981A446E-5157-4F51-9C17-2975EB254E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31" name="AutoShape 1" descr="Vista previa de toda la pantalla">
          <a:extLst>
            <a:ext uri="{FF2B5EF4-FFF2-40B4-BE49-F238E27FC236}">
              <a16:creationId xmlns:a16="http://schemas.microsoft.com/office/drawing/2014/main" id="{3BFFB408-5329-4D57-B32F-9058C9CDBA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32" name="AutoShape 1" descr="Vista previa de toda la pantalla">
          <a:extLst>
            <a:ext uri="{FF2B5EF4-FFF2-40B4-BE49-F238E27FC236}">
              <a16:creationId xmlns:a16="http://schemas.microsoft.com/office/drawing/2014/main" id="{0EA58B38-B645-4422-9D32-8C0D2F5E4C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33" name="AutoShape 1" descr="Vista previa de toda la pantalla">
          <a:extLst>
            <a:ext uri="{FF2B5EF4-FFF2-40B4-BE49-F238E27FC236}">
              <a16:creationId xmlns:a16="http://schemas.microsoft.com/office/drawing/2014/main" id="{9652A4B5-AF5D-492C-9756-3FA53D59CB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34" name="AutoShape 1" descr="Vista previa de toda la pantalla">
          <a:extLst>
            <a:ext uri="{FF2B5EF4-FFF2-40B4-BE49-F238E27FC236}">
              <a16:creationId xmlns:a16="http://schemas.microsoft.com/office/drawing/2014/main" id="{8A0DA870-B43D-4B5C-A6A7-A6CF10EBA8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35" name="AutoShape 1" descr="Vista previa de toda la pantalla">
          <a:extLst>
            <a:ext uri="{FF2B5EF4-FFF2-40B4-BE49-F238E27FC236}">
              <a16:creationId xmlns:a16="http://schemas.microsoft.com/office/drawing/2014/main" id="{C2A13DD1-B445-4F25-9B69-6715346C01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36" name="AutoShape 1" descr="Vista previa de toda la pantalla">
          <a:extLst>
            <a:ext uri="{FF2B5EF4-FFF2-40B4-BE49-F238E27FC236}">
              <a16:creationId xmlns:a16="http://schemas.microsoft.com/office/drawing/2014/main" id="{EAAE8339-4B7E-478D-BE02-C7BB09B9BD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37" name="AutoShape 1" descr="Vista previa de toda la pantalla">
          <a:extLst>
            <a:ext uri="{FF2B5EF4-FFF2-40B4-BE49-F238E27FC236}">
              <a16:creationId xmlns:a16="http://schemas.microsoft.com/office/drawing/2014/main" id="{24A754C4-5046-4665-A7F4-65FA9C8610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5238" name="AutoShape 1" descr="Vista previa de toda la pantalla">
          <a:extLst>
            <a:ext uri="{FF2B5EF4-FFF2-40B4-BE49-F238E27FC236}">
              <a16:creationId xmlns:a16="http://schemas.microsoft.com/office/drawing/2014/main" id="{A581CAF0-8247-4169-8BA9-D96F35305993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39" name="AutoShape 1" descr="Vista previa de toda la pantalla">
          <a:extLst>
            <a:ext uri="{FF2B5EF4-FFF2-40B4-BE49-F238E27FC236}">
              <a16:creationId xmlns:a16="http://schemas.microsoft.com/office/drawing/2014/main" id="{95399AD3-164C-462A-AD5A-5F7563A0B6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0" name="AutoShape 1" descr="Vista previa de toda la pantalla">
          <a:extLst>
            <a:ext uri="{FF2B5EF4-FFF2-40B4-BE49-F238E27FC236}">
              <a16:creationId xmlns:a16="http://schemas.microsoft.com/office/drawing/2014/main" id="{76006AE4-4E45-4E10-8A6B-386AB68DB5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1" name="AutoShape 1" descr="Vista previa de toda la pantalla">
          <a:extLst>
            <a:ext uri="{FF2B5EF4-FFF2-40B4-BE49-F238E27FC236}">
              <a16:creationId xmlns:a16="http://schemas.microsoft.com/office/drawing/2014/main" id="{BCBDF6FD-CEC3-43CE-A42E-72D88696BE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2" name="AutoShape 1" descr="Vista previa de toda la pantalla">
          <a:extLst>
            <a:ext uri="{FF2B5EF4-FFF2-40B4-BE49-F238E27FC236}">
              <a16:creationId xmlns:a16="http://schemas.microsoft.com/office/drawing/2014/main" id="{92102F6C-1819-4E6E-822E-6E144DEE12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3" name="AutoShape 1" descr="Vista previa de toda la pantalla">
          <a:extLst>
            <a:ext uri="{FF2B5EF4-FFF2-40B4-BE49-F238E27FC236}">
              <a16:creationId xmlns:a16="http://schemas.microsoft.com/office/drawing/2014/main" id="{09539293-7D3F-4766-B0CD-58A52D590D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4" name="AutoShape 1" descr="Vista previa de toda la pantalla">
          <a:extLst>
            <a:ext uri="{FF2B5EF4-FFF2-40B4-BE49-F238E27FC236}">
              <a16:creationId xmlns:a16="http://schemas.microsoft.com/office/drawing/2014/main" id="{A6E63BF5-96F0-4744-A19F-A4859E915F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5" name="AutoShape 1" descr="Vista previa de toda la pantalla">
          <a:extLst>
            <a:ext uri="{FF2B5EF4-FFF2-40B4-BE49-F238E27FC236}">
              <a16:creationId xmlns:a16="http://schemas.microsoft.com/office/drawing/2014/main" id="{2FF803B7-8486-4B28-9A4D-98D160500B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6" name="AutoShape 1" descr="Vista previa de toda la pantalla">
          <a:extLst>
            <a:ext uri="{FF2B5EF4-FFF2-40B4-BE49-F238E27FC236}">
              <a16:creationId xmlns:a16="http://schemas.microsoft.com/office/drawing/2014/main" id="{651371D5-A180-498C-9329-19563055C1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7" name="AutoShape 1" descr="Vista previa de toda la pantalla">
          <a:extLst>
            <a:ext uri="{FF2B5EF4-FFF2-40B4-BE49-F238E27FC236}">
              <a16:creationId xmlns:a16="http://schemas.microsoft.com/office/drawing/2014/main" id="{15A80E1B-2C4C-4EC9-BE77-3EB1D1A8F5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8" name="AutoShape 1" descr="Vista previa de toda la pantalla">
          <a:extLst>
            <a:ext uri="{FF2B5EF4-FFF2-40B4-BE49-F238E27FC236}">
              <a16:creationId xmlns:a16="http://schemas.microsoft.com/office/drawing/2014/main" id="{F68A7341-3DA8-4FBD-8245-7981742FEB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49" name="AutoShape 1" descr="Vista previa de toda la pantalla">
          <a:extLst>
            <a:ext uri="{FF2B5EF4-FFF2-40B4-BE49-F238E27FC236}">
              <a16:creationId xmlns:a16="http://schemas.microsoft.com/office/drawing/2014/main" id="{69D49526-6F8E-473D-AF48-AB43EE1851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0" name="AutoShape 1" descr="Vista previa de toda la pantalla">
          <a:extLst>
            <a:ext uri="{FF2B5EF4-FFF2-40B4-BE49-F238E27FC236}">
              <a16:creationId xmlns:a16="http://schemas.microsoft.com/office/drawing/2014/main" id="{5DC78C04-1CAA-4D6A-9DCA-E2290F9BCD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1" name="AutoShape 1" descr="Vista previa de toda la pantalla">
          <a:extLst>
            <a:ext uri="{FF2B5EF4-FFF2-40B4-BE49-F238E27FC236}">
              <a16:creationId xmlns:a16="http://schemas.microsoft.com/office/drawing/2014/main" id="{EFD96012-69D1-456A-A5A8-6D538FF384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2" name="AutoShape 1" descr="Vista previa de toda la pantalla">
          <a:extLst>
            <a:ext uri="{FF2B5EF4-FFF2-40B4-BE49-F238E27FC236}">
              <a16:creationId xmlns:a16="http://schemas.microsoft.com/office/drawing/2014/main" id="{3AE9122D-1886-4AA9-A643-D30AC1076E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3" name="AutoShape 1" descr="Vista previa de toda la pantalla">
          <a:extLst>
            <a:ext uri="{FF2B5EF4-FFF2-40B4-BE49-F238E27FC236}">
              <a16:creationId xmlns:a16="http://schemas.microsoft.com/office/drawing/2014/main" id="{5575DACA-1401-4C79-8D69-1880E34D3D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4" name="AutoShape 1" descr="Vista previa de toda la pantalla">
          <a:extLst>
            <a:ext uri="{FF2B5EF4-FFF2-40B4-BE49-F238E27FC236}">
              <a16:creationId xmlns:a16="http://schemas.microsoft.com/office/drawing/2014/main" id="{641D24F1-19AE-4D26-8FA1-220D1FDE1D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5" name="AutoShape 1" descr="Vista previa de toda la pantalla">
          <a:extLst>
            <a:ext uri="{FF2B5EF4-FFF2-40B4-BE49-F238E27FC236}">
              <a16:creationId xmlns:a16="http://schemas.microsoft.com/office/drawing/2014/main" id="{D8991ABD-EA5A-4A04-B09A-7581BFE250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6" name="AutoShape 1" descr="Vista previa de toda la pantalla">
          <a:extLst>
            <a:ext uri="{FF2B5EF4-FFF2-40B4-BE49-F238E27FC236}">
              <a16:creationId xmlns:a16="http://schemas.microsoft.com/office/drawing/2014/main" id="{1AB90B76-04A9-474F-BB50-13E32568D5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7" name="AutoShape 1" descr="Vista previa de toda la pantalla">
          <a:extLst>
            <a:ext uri="{FF2B5EF4-FFF2-40B4-BE49-F238E27FC236}">
              <a16:creationId xmlns:a16="http://schemas.microsoft.com/office/drawing/2014/main" id="{20495AB3-5C37-4171-B1D0-DC7C77DB23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8" name="AutoShape 1" descr="Vista previa de toda la pantalla">
          <a:extLst>
            <a:ext uri="{FF2B5EF4-FFF2-40B4-BE49-F238E27FC236}">
              <a16:creationId xmlns:a16="http://schemas.microsoft.com/office/drawing/2014/main" id="{1CBC3989-4132-4796-AB71-01293FCBB6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59" name="AutoShape 1" descr="Vista previa de toda la pantalla">
          <a:extLst>
            <a:ext uri="{FF2B5EF4-FFF2-40B4-BE49-F238E27FC236}">
              <a16:creationId xmlns:a16="http://schemas.microsoft.com/office/drawing/2014/main" id="{C062A4C0-69F5-4F7B-9D06-49A03B4E8D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0" name="AutoShape 1" descr="Vista previa de toda la pantalla">
          <a:extLst>
            <a:ext uri="{FF2B5EF4-FFF2-40B4-BE49-F238E27FC236}">
              <a16:creationId xmlns:a16="http://schemas.microsoft.com/office/drawing/2014/main" id="{20B68B1C-C31B-4042-BFEE-6FC89FBB8D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1" name="AutoShape 1" descr="Vista previa de toda la pantalla">
          <a:extLst>
            <a:ext uri="{FF2B5EF4-FFF2-40B4-BE49-F238E27FC236}">
              <a16:creationId xmlns:a16="http://schemas.microsoft.com/office/drawing/2014/main" id="{E1B37980-45B9-4294-93D3-E54319CEDD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2" name="AutoShape 1" descr="Vista previa de toda la pantalla">
          <a:extLst>
            <a:ext uri="{FF2B5EF4-FFF2-40B4-BE49-F238E27FC236}">
              <a16:creationId xmlns:a16="http://schemas.microsoft.com/office/drawing/2014/main" id="{2FA0CFF3-5952-4781-BA18-46BF4268EC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3" name="AutoShape 1" descr="Vista previa de toda la pantalla">
          <a:extLst>
            <a:ext uri="{FF2B5EF4-FFF2-40B4-BE49-F238E27FC236}">
              <a16:creationId xmlns:a16="http://schemas.microsoft.com/office/drawing/2014/main" id="{BF5AA896-C8E6-484A-A479-73B0AA88E5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4" name="AutoShape 1" descr="Vista previa de toda la pantalla">
          <a:extLst>
            <a:ext uri="{FF2B5EF4-FFF2-40B4-BE49-F238E27FC236}">
              <a16:creationId xmlns:a16="http://schemas.microsoft.com/office/drawing/2014/main" id="{59772608-5A4B-43C7-90E0-DCE8F87D53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5" name="AutoShape 1" descr="Vista previa de toda la pantalla">
          <a:extLst>
            <a:ext uri="{FF2B5EF4-FFF2-40B4-BE49-F238E27FC236}">
              <a16:creationId xmlns:a16="http://schemas.microsoft.com/office/drawing/2014/main" id="{E3949E43-09A9-43CB-9F65-16140555FF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6" name="AutoShape 1" descr="Vista previa de toda la pantalla">
          <a:extLst>
            <a:ext uri="{FF2B5EF4-FFF2-40B4-BE49-F238E27FC236}">
              <a16:creationId xmlns:a16="http://schemas.microsoft.com/office/drawing/2014/main" id="{36A95CF5-70F8-409E-AE11-AB1E27C2F0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7" name="AutoShape 1" descr="Vista previa de toda la pantalla">
          <a:extLst>
            <a:ext uri="{FF2B5EF4-FFF2-40B4-BE49-F238E27FC236}">
              <a16:creationId xmlns:a16="http://schemas.microsoft.com/office/drawing/2014/main" id="{09194D83-A468-4805-BDA0-2295F71BDB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8" name="AutoShape 1" descr="Vista previa de toda la pantalla">
          <a:extLst>
            <a:ext uri="{FF2B5EF4-FFF2-40B4-BE49-F238E27FC236}">
              <a16:creationId xmlns:a16="http://schemas.microsoft.com/office/drawing/2014/main" id="{B20AC663-D817-48FF-B91E-7B4EF8458A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69" name="AutoShape 1" descr="Vista previa de toda la pantalla">
          <a:extLst>
            <a:ext uri="{FF2B5EF4-FFF2-40B4-BE49-F238E27FC236}">
              <a16:creationId xmlns:a16="http://schemas.microsoft.com/office/drawing/2014/main" id="{8DD2D545-649A-4764-A8C5-3F404D4735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0" name="AutoShape 1" descr="Vista previa de toda la pantalla">
          <a:extLst>
            <a:ext uri="{FF2B5EF4-FFF2-40B4-BE49-F238E27FC236}">
              <a16:creationId xmlns:a16="http://schemas.microsoft.com/office/drawing/2014/main" id="{56FA9202-C70E-40E7-B98A-368FFEEE59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1" name="AutoShape 1" descr="Vista previa de toda la pantalla">
          <a:extLst>
            <a:ext uri="{FF2B5EF4-FFF2-40B4-BE49-F238E27FC236}">
              <a16:creationId xmlns:a16="http://schemas.microsoft.com/office/drawing/2014/main" id="{2652CF72-C132-4870-B37F-4130FCD081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2" name="AutoShape 1" descr="Vista previa de toda la pantalla">
          <a:extLst>
            <a:ext uri="{FF2B5EF4-FFF2-40B4-BE49-F238E27FC236}">
              <a16:creationId xmlns:a16="http://schemas.microsoft.com/office/drawing/2014/main" id="{932D05E5-8736-4C28-AEEA-E50B90E1CC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3" name="AutoShape 1" descr="Vista previa de toda la pantalla">
          <a:extLst>
            <a:ext uri="{FF2B5EF4-FFF2-40B4-BE49-F238E27FC236}">
              <a16:creationId xmlns:a16="http://schemas.microsoft.com/office/drawing/2014/main" id="{2EEA9BC2-561A-4BD0-8C07-2871F1BAD8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4" name="AutoShape 1" descr="Vista previa de toda la pantalla">
          <a:extLst>
            <a:ext uri="{FF2B5EF4-FFF2-40B4-BE49-F238E27FC236}">
              <a16:creationId xmlns:a16="http://schemas.microsoft.com/office/drawing/2014/main" id="{0DCA73C1-6F84-4C2C-9E9A-ED55D9E761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5" name="AutoShape 1" descr="Vista previa de toda la pantalla">
          <a:extLst>
            <a:ext uri="{FF2B5EF4-FFF2-40B4-BE49-F238E27FC236}">
              <a16:creationId xmlns:a16="http://schemas.microsoft.com/office/drawing/2014/main" id="{1E0CEDB8-F538-4F61-A302-900A328470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6" name="AutoShape 1" descr="Vista previa de toda la pantalla">
          <a:extLst>
            <a:ext uri="{FF2B5EF4-FFF2-40B4-BE49-F238E27FC236}">
              <a16:creationId xmlns:a16="http://schemas.microsoft.com/office/drawing/2014/main" id="{A42171CF-8A60-444F-9762-150632BB42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7" name="AutoShape 1" descr="Vista previa de toda la pantalla">
          <a:extLst>
            <a:ext uri="{FF2B5EF4-FFF2-40B4-BE49-F238E27FC236}">
              <a16:creationId xmlns:a16="http://schemas.microsoft.com/office/drawing/2014/main" id="{4C7D7BE0-D649-4ACD-975D-7212ACE1F0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8" name="AutoShape 1" descr="Vista previa de toda la pantalla">
          <a:extLst>
            <a:ext uri="{FF2B5EF4-FFF2-40B4-BE49-F238E27FC236}">
              <a16:creationId xmlns:a16="http://schemas.microsoft.com/office/drawing/2014/main" id="{12FEB348-CD33-4138-B4F1-CF2392B531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79" name="AutoShape 1" descr="Vista previa de toda la pantalla">
          <a:extLst>
            <a:ext uri="{FF2B5EF4-FFF2-40B4-BE49-F238E27FC236}">
              <a16:creationId xmlns:a16="http://schemas.microsoft.com/office/drawing/2014/main" id="{ABA61116-B42C-4D86-BBB7-679115B928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0" name="AutoShape 1" descr="Vista previa de toda la pantalla">
          <a:extLst>
            <a:ext uri="{FF2B5EF4-FFF2-40B4-BE49-F238E27FC236}">
              <a16:creationId xmlns:a16="http://schemas.microsoft.com/office/drawing/2014/main" id="{B04E23BB-5723-45DA-8B67-3BF68D8506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1" name="AutoShape 1" descr="Vista previa de toda la pantalla">
          <a:extLst>
            <a:ext uri="{FF2B5EF4-FFF2-40B4-BE49-F238E27FC236}">
              <a16:creationId xmlns:a16="http://schemas.microsoft.com/office/drawing/2014/main" id="{9BC3F8D0-65C4-4783-8EB5-4E5000DBCA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2" name="AutoShape 1" descr="Vista previa de toda la pantalla">
          <a:extLst>
            <a:ext uri="{FF2B5EF4-FFF2-40B4-BE49-F238E27FC236}">
              <a16:creationId xmlns:a16="http://schemas.microsoft.com/office/drawing/2014/main" id="{F2D0E4F4-8ED3-4AA9-9800-C0CB607DF5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3" name="AutoShape 1" descr="Vista previa de toda la pantalla">
          <a:extLst>
            <a:ext uri="{FF2B5EF4-FFF2-40B4-BE49-F238E27FC236}">
              <a16:creationId xmlns:a16="http://schemas.microsoft.com/office/drawing/2014/main" id="{365F8749-BC06-4865-8807-1E8C96EDBE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4" name="AutoShape 1" descr="Vista previa de toda la pantalla">
          <a:extLst>
            <a:ext uri="{FF2B5EF4-FFF2-40B4-BE49-F238E27FC236}">
              <a16:creationId xmlns:a16="http://schemas.microsoft.com/office/drawing/2014/main" id="{D29369D2-2E65-4DA8-BAA5-3795260E93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5" name="AutoShape 1" descr="Vista previa de toda la pantalla">
          <a:extLst>
            <a:ext uri="{FF2B5EF4-FFF2-40B4-BE49-F238E27FC236}">
              <a16:creationId xmlns:a16="http://schemas.microsoft.com/office/drawing/2014/main" id="{05B4AD1E-E2F5-44E9-B571-303FCE9C5F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6" name="AutoShape 1" descr="Vista previa de toda la pantalla">
          <a:extLst>
            <a:ext uri="{FF2B5EF4-FFF2-40B4-BE49-F238E27FC236}">
              <a16:creationId xmlns:a16="http://schemas.microsoft.com/office/drawing/2014/main" id="{FFBB5E54-6E05-4C8B-8807-33F986754A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7" name="AutoShape 1" descr="Vista previa de toda la pantalla">
          <a:extLst>
            <a:ext uri="{FF2B5EF4-FFF2-40B4-BE49-F238E27FC236}">
              <a16:creationId xmlns:a16="http://schemas.microsoft.com/office/drawing/2014/main" id="{5E94BA4E-F67C-492E-8B3C-DB1A1E124D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8" name="AutoShape 1" descr="Vista previa de toda la pantalla">
          <a:extLst>
            <a:ext uri="{FF2B5EF4-FFF2-40B4-BE49-F238E27FC236}">
              <a16:creationId xmlns:a16="http://schemas.microsoft.com/office/drawing/2014/main" id="{DE1686D7-DE59-4111-9439-C594877E51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89" name="AutoShape 1" descr="Vista previa de toda la pantalla">
          <a:extLst>
            <a:ext uri="{FF2B5EF4-FFF2-40B4-BE49-F238E27FC236}">
              <a16:creationId xmlns:a16="http://schemas.microsoft.com/office/drawing/2014/main" id="{9E169BFF-EE0E-45EC-90A6-52520561D7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0" name="AutoShape 1" descr="Vista previa de toda la pantalla">
          <a:extLst>
            <a:ext uri="{FF2B5EF4-FFF2-40B4-BE49-F238E27FC236}">
              <a16:creationId xmlns:a16="http://schemas.microsoft.com/office/drawing/2014/main" id="{C0A09FCA-E23A-4FA0-B902-839664F15A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1" name="AutoShape 1" descr="Vista previa de toda la pantalla">
          <a:extLst>
            <a:ext uri="{FF2B5EF4-FFF2-40B4-BE49-F238E27FC236}">
              <a16:creationId xmlns:a16="http://schemas.microsoft.com/office/drawing/2014/main" id="{851F1133-E44F-4673-BD8C-214C3A775A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2" name="AutoShape 1" descr="Vista previa de toda la pantalla">
          <a:extLst>
            <a:ext uri="{FF2B5EF4-FFF2-40B4-BE49-F238E27FC236}">
              <a16:creationId xmlns:a16="http://schemas.microsoft.com/office/drawing/2014/main" id="{1EA5BFBC-2919-4AD2-8EDE-1AB639F00B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3" name="AutoShape 1" descr="Vista previa de toda la pantalla">
          <a:extLst>
            <a:ext uri="{FF2B5EF4-FFF2-40B4-BE49-F238E27FC236}">
              <a16:creationId xmlns:a16="http://schemas.microsoft.com/office/drawing/2014/main" id="{755E8948-07BF-490B-B3AD-39515FFDA1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4" name="AutoShape 1" descr="Vista previa de toda la pantalla">
          <a:extLst>
            <a:ext uri="{FF2B5EF4-FFF2-40B4-BE49-F238E27FC236}">
              <a16:creationId xmlns:a16="http://schemas.microsoft.com/office/drawing/2014/main" id="{493A0B21-013B-4F57-9E42-DCD924FBAE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5" name="AutoShape 1" descr="Vista previa de toda la pantalla">
          <a:extLst>
            <a:ext uri="{FF2B5EF4-FFF2-40B4-BE49-F238E27FC236}">
              <a16:creationId xmlns:a16="http://schemas.microsoft.com/office/drawing/2014/main" id="{3458AFA8-B282-4E56-80C5-0467F840DB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6" name="AutoShape 1" descr="Vista previa de toda la pantalla">
          <a:extLst>
            <a:ext uri="{FF2B5EF4-FFF2-40B4-BE49-F238E27FC236}">
              <a16:creationId xmlns:a16="http://schemas.microsoft.com/office/drawing/2014/main" id="{AE1FF9EC-AE39-4D01-9007-D40EBCB894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7" name="AutoShape 1" descr="Vista previa de toda la pantalla">
          <a:extLst>
            <a:ext uri="{FF2B5EF4-FFF2-40B4-BE49-F238E27FC236}">
              <a16:creationId xmlns:a16="http://schemas.microsoft.com/office/drawing/2014/main" id="{320FEAF3-5808-4504-99EB-A4E0A17136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8" name="AutoShape 1" descr="Vista previa de toda la pantalla">
          <a:extLst>
            <a:ext uri="{FF2B5EF4-FFF2-40B4-BE49-F238E27FC236}">
              <a16:creationId xmlns:a16="http://schemas.microsoft.com/office/drawing/2014/main" id="{E6931857-B13E-479F-A42B-8BE3CF5E42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299" name="AutoShape 1" descr="Vista previa de toda la pantalla">
          <a:extLst>
            <a:ext uri="{FF2B5EF4-FFF2-40B4-BE49-F238E27FC236}">
              <a16:creationId xmlns:a16="http://schemas.microsoft.com/office/drawing/2014/main" id="{B08D0850-E1CD-4EC6-A634-01CDF23CD6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0" name="AutoShape 1" descr="Vista previa de toda la pantalla">
          <a:extLst>
            <a:ext uri="{FF2B5EF4-FFF2-40B4-BE49-F238E27FC236}">
              <a16:creationId xmlns:a16="http://schemas.microsoft.com/office/drawing/2014/main" id="{28CEDE1C-4562-4802-A307-0DE55812FF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1" name="AutoShape 1" descr="Vista previa de toda la pantalla">
          <a:extLst>
            <a:ext uri="{FF2B5EF4-FFF2-40B4-BE49-F238E27FC236}">
              <a16:creationId xmlns:a16="http://schemas.microsoft.com/office/drawing/2014/main" id="{00467A36-D904-4CF8-AAF1-3A42ECA1CE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2" name="AutoShape 1" descr="Vista previa de toda la pantalla">
          <a:extLst>
            <a:ext uri="{FF2B5EF4-FFF2-40B4-BE49-F238E27FC236}">
              <a16:creationId xmlns:a16="http://schemas.microsoft.com/office/drawing/2014/main" id="{AD5BEA55-6EF0-4A40-AEA6-191B191911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3" name="AutoShape 1" descr="Vista previa de toda la pantalla">
          <a:extLst>
            <a:ext uri="{FF2B5EF4-FFF2-40B4-BE49-F238E27FC236}">
              <a16:creationId xmlns:a16="http://schemas.microsoft.com/office/drawing/2014/main" id="{3CE924E9-3ECC-4486-A2AD-B84AADDE54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4" name="AutoShape 1" descr="Vista previa de toda la pantalla">
          <a:extLst>
            <a:ext uri="{FF2B5EF4-FFF2-40B4-BE49-F238E27FC236}">
              <a16:creationId xmlns:a16="http://schemas.microsoft.com/office/drawing/2014/main" id="{AD98F907-7E11-48CD-AE78-889BBE5862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5" name="AutoShape 1" descr="Vista previa de toda la pantalla">
          <a:extLst>
            <a:ext uri="{FF2B5EF4-FFF2-40B4-BE49-F238E27FC236}">
              <a16:creationId xmlns:a16="http://schemas.microsoft.com/office/drawing/2014/main" id="{7EAE3CB8-EF97-48B1-9D2E-B52D98D4D9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6" name="AutoShape 1" descr="Vista previa de toda la pantalla">
          <a:extLst>
            <a:ext uri="{FF2B5EF4-FFF2-40B4-BE49-F238E27FC236}">
              <a16:creationId xmlns:a16="http://schemas.microsoft.com/office/drawing/2014/main" id="{7B2CBF44-4B17-4EB1-A6A8-56037CF9E2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7" name="AutoShape 1" descr="Vista previa de toda la pantalla">
          <a:extLst>
            <a:ext uri="{FF2B5EF4-FFF2-40B4-BE49-F238E27FC236}">
              <a16:creationId xmlns:a16="http://schemas.microsoft.com/office/drawing/2014/main" id="{514B4F6F-3F4F-4DDC-85C7-0537E959FE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8" name="AutoShape 1" descr="Vista previa de toda la pantalla">
          <a:extLst>
            <a:ext uri="{FF2B5EF4-FFF2-40B4-BE49-F238E27FC236}">
              <a16:creationId xmlns:a16="http://schemas.microsoft.com/office/drawing/2014/main" id="{AD7B1C68-44B6-40F1-A626-6027C58DA8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09" name="AutoShape 1" descr="Vista previa de toda la pantalla">
          <a:extLst>
            <a:ext uri="{FF2B5EF4-FFF2-40B4-BE49-F238E27FC236}">
              <a16:creationId xmlns:a16="http://schemas.microsoft.com/office/drawing/2014/main" id="{61E0F7D9-BE14-4435-B310-6C1B498A8C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0" name="AutoShape 1" descr="Vista previa de toda la pantalla">
          <a:extLst>
            <a:ext uri="{FF2B5EF4-FFF2-40B4-BE49-F238E27FC236}">
              <a16:creationId xmlns:a16="http://schemas.microsoft.com/office/drawing/2014/main" id="{CF29C19B-77EB-4B02-97A9-AD01393207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1" name="AutoShape 1" descr="Vista previa de toda la pantalla">
          <a:extLst>
            <a:ext uri="{FF2B5EF4-FFF2-40B4-BE49-F238E27FC236}">
              <a16:creationId xmlns:a16="http://schemas.microsoft.com/office/drawing/2014/main" id="{6988B96E-943A-43F5-B792-3D30607647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2" name="AutoShape 1" descr="Vista previa de toda la pantalla">
          <a:extLst>
            <a:ext uri="{FF2B5EF4-FFF2-40B4-BE49-F238E27FC236}">
              <a16:creationId xmlns:a16="http://schemas.microsoft.com/office/drawing/2014/main" id="{29578625-81AC-4E45-AC18-68F5B3F9A3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3" name="AutoShape 1" descr="Vista previa de toda la pantalla">
          <a:extLst>
            <a:ext uri="{FF2B5EF4-FFF2-40B4-BE49-F238E27FC236}">
              <a16:creationId xmlns:a16="http://schemas.microsoft.com/office/drawing/2014/main" id="{0BD1799C-E3D3-4C21-BF62-EE674D5E2D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4" name="AutoShape 1" descr="Vista previa de toda la pantalla">
          <a:extLst>
            <a:ext uri="{FF2B5EF4-FFF2-40B4-BE49-F238E27FC236}">
              <a16:creationId xmlns:a16="http://schemas.microsoft.com/office/drawing/2014/main" id="{DEDCBBB1-9988-4D91-952F-2093EAEC75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5" name="AutoShape 1" descr="Vista previa de toda la pantalla">
          <a:extLst>
            <a:ext uri="{FF2B5EF4-FFF2-40B4-BE49-F238E27FC236}">
              <a16:creationId xmlns:a16="http://schemas.microsoft.com/office/drawing/2014/main" id="{8B072B28-12C4-407D-88F5-C5B0335B27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6" name="AutoShape 1" descr="Vista previa de toda la pantalla">
          <a:extLst>
            <a:ext uri="{FF2B5EF4-FFF2-40B4-BE49-F238E27FC236}">
              <a16:creationId xmlns:a16="http://schemas.microsoft.com/office/drawing/2014/main" id="{96E06422-86F7-49E6-882E-63D8D6350B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7" name="AutoShape 1" descr="Vista previa de toda la pantalla">
          <a:extLst>
            <a:ext uri="{FF2B5EF4-FFF2-40B4-BE49-F238E27FC236}">
              <a16:creationId xmlns:a16="http://schemas.microsoft.com/office/drawing/2014/main" id="{1AB721C5-C7E8-41A8-A73B-CF892C99BC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8" name="AutoShape 1" descr="Vista previa de toda la pantalla">
          <a:extLst>
            <a:ext uri="{FF2B5EF4-FFF2-40B4-BE49-F238E27FC236}">
              <a16:creationId xmlns:a16="http://schemas.microsoft.com/office/drawing/2014/main" id="{9B28ADB0-8486-4D8C-AC60-989728488C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19" name="AutoShape 1" descr="Vista previa de toda la pantalla">
          <a:extLst>
            <a:ext uri="{FF2B5EF4-FFF2-40B4-BE49-F238E27FC236}">
              <a16:creationId xmlns:a16="http://schemas.microsoft.com/office/drawing/2014/main" id="{A4602881-B837-4D15-9814-17FD774637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0" name="AutoShape 1" descr="Vista previa de toda la pantalla">
          <a:extLst>
            <a:ext uri="{FF2B5EF4-FFF2-40B4-BE49-F238E27FC236}">
              <a16:creationId xmlns:a16="http://schemas.microsoft.com/office/drawing/2014/main" id="{74401211-40C0-4CBC-B2EB-B5DBC8E8C0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1" name="AutoShape 1" descr="Vista previa de toda la pantalla">
          <a:extLst>
            <a:ext uri="{FF2B5EF4-FFF2-40B4-BE49-F238E27FC236}">
              <a16:creationId xmlns:a16="http://schemas.microsoft.com/office/drawing/2014/main" id="{BA26B3DA-9C4B-4145-AC72-E1AF1FCD94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2" name="AutoShape 1" descr="Vista previa de toda la pantalla">
          <a:extLst>
            <a:ext uri="{FF2B5EF4-FFF2-40B4-BE49-F238E27FC236}">
              <a16:creationId xmlns:a16="http://schemas.microsoft.com/office/drawing/2014/main" id="{F1B2FF15-543C-447D-8410-D2C16F225F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3" name="AutoShape 1" descr="Vista previa de toda la pantalla">
          <a:extLst>
            <a:ext uri="{FF2B5EF4-FFF2-40B4-BE49-F238E27FC236}">
              <a16:creationId xmlns:a16="http://schemas.microsoft.com/office/drawing/2014/main" id="{8A877964-B78A-49B4-895E-8BBB1AD878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4" name="AutoShape 1" descr="Vista previa de toda la pantalla">
          <a:extLst>
            <a:ext uri="{FF2B5EF4-FFF2-40B4-BE49-F238E27FC236}">
              <a16:creationId xmlns:a16="http://schemas.microsoft.com/office/drawing/2014/main" id="{210D2254-8E3C-41A0-AA6C-83609017EC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5" name="AutoShape 1" descr="Vista previa de toda la pantalla">
          <a:extLst>
            <a:ext uri="{FF2B5EF4-FFF2-40B4-BE49-F238E27FC236}">
              <a16:creationId xmlns:a16="http://schemas.microsoft.com/office/drawing/2014/main" id="{AE0A0A7C-470E-4971-AFD4-FFC824EC6A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6" name="AutoShape 1" descr="Vista previa de toda la pantalla">
          <a:extLst>
            <a:ext uri="{FF2B5EF4-FFF2-40B4-BE49-F238E27FC236}">
              <a16:creationId xmlns:a16="http://schemas.microsoft.com/office/drawing/2014/main" id="{B291F75F-AFC1-40B4-A0EE-EDDB26F705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7" name="AutoShape 1" descr="Vista previa de toda la pantalla">
          <a:extLst>
            <a:ext uri="{FF2B5EF4-FFF2-40B4-BE49-F238E27FC236}">
              <a16:creationId xmlns:a16="http://schemas.microsoft.com/office/drawing/2014/main" id="{C590841E-2980-4138-990E-99C6DF2CCE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8" name="AutoShape 1" descr="Vista previa de toda la pantalla">
          <a:extLst>
            <a:ext uri="{FF2B5EF4-FFF2-40B4-BE49-F238E27FC236}">
              <a16:creationId xmlns:a16="http://schemas.microsoft.com/office/drawing/2014/main" id="{A5EE3CC8-D513-4070-8BEF-8ABD14A67B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29" name="AutoShape 1" descr="Vista previa de toda la pantalla">
          <a:extLst>
            <a:ext uri="{FF2B5EF4-FFF2-40B4-BE49-F238E27FC236}">
              <a16:creationId xmlns:a16="http://schemas.microsoft.com/office/drawing/2014/main" id="{EEE6C5A9-1046-4EF2-84C2-1E5D8560F3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0" name="AutoShape 1" descr="Vista previa de toda la pantalla">
          <a:extLst>
            <a:ext uri="{FF2B5EF4-FFF2-40B4-BE49-F238E27FC236}">
              <a16:creationId xmlns:a16="http://schemas.microsoft.com/office/drawing/2014/main" id="{E2B58FEA-8CEF-456B-BF58-23CAF1E418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1" name="AutoShape 1" descr="Vista previa de toda la pantalla">
          <a:extLst>
            <a:ext uri="{FF2B5EF4-FFF2-40B4-BE49-F238E27FC236}">
              <a16:creationId xmlns:a16="http://schemas.microsoft.com/office/drawing/2014/main" id="{A334D25D-6766-4AC8-8D1F-8111AE6AB6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2" name="AutoShape 1" descr="Vista previa de toda la pantalla">
          <a:extLst>
            <a:ext uri="{FF2B5EF4-FFF2-40B4-BE49-F238E27FC236}">
              <a16:creationId xmlns:a16="http://schemas.microsoft.com/office/drawing/2014/main" id="{2ACD6637-1FEB-4DC5-902D-F9E4CCB25E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3" name="AutoShape 1" descr="Vista previa de toda la pantalla">
          <a:extLst>
            <a:ext uri="{FF2B5EF4-FFF2-40B4-BE49-F238E27FC236}">
              <a16:creationId xmlns:a16="http://schemas.microsoft.com/office/drawing/2014/main" id="{727B27C3-C8B0-4A5C-A9E6-DA648879C8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4" name="AutoShape 1" descr="Vista previa de toda la pantalla">
          <a:extLst>
            <a:ext uri="{FF2B5EF4-FFF2-40B4-BE49-F238E27FC236}">
              <a16:creationId xmlns:a16="http://schemas.microsoft.com/office/drawing/2014/main" id="{9AF9EE26-1530-4237-AD78-89B7B1463D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5" name="AutoShape 1" descr="Vista previa de toda la pantalla">
          <a:extLst>
            <a:ext uri="{FF2B5EF4-FFF2-40B4-BE49-F238E27FC236}">
              <a16:creationId xmlns:a16="http://schemas.microsoft.com/office/drawing/2014/main" id="{4E0F6B3F-CDE9-46FA-85D6-42F4B4DFA4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6" name="AutoShape 1" descr="Vista previa de toda la pantalla">
          <a:extLst>
            <a:ext uri="{FF2B5EF4-FFF2-40B4-BE49-F238E27FC236}">
              <a16:creationId xmlns:a16="http://schemas.microsoft.com/office/drawing/2014/main" id="{E7941D85-9A2B-4353-8F1A-303A73B080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7" name="AutoShape 1" descr="Vista previa de toda la pantalla">
          <a:extLst>
            <a:ext uri="{FF2B5EF4-FFF2-40B4-BE49-F238E27FC236}">
              <a16:creationId xmlns:a16="http://schemas.microsoft.com/office/drawing/2014/main" id="{75BB0C60-EFB2-4093-91AF-87905C9D8B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8" name="AutoShape 1" descr="Vista previa de toda la pantalla">
          <a:extLst>
            <a:ext uri="{FF2B5EF4-FFF2-40B4-BE49-F238E27FC236}">
              <a16:creationId xmlns:a16="http://schemas.microsoft.com/office/drawing/2014/main" id="{8885461F-26F9-48CB-A949-A1255D079F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39" name="AutoShape 1" descr="Vista previa de toda la pantalla">
          <a:extLst>
            <a:ext uri="{FF2B5EF4-FFF2-40B4-BE49-F238E27FC236}">
              <a16:creationId xmlns:a16="http://schemas.microsoft.com/office/drawing/2014/main" id="{C13F47F7-0161-475C-81CD-77FC8436A5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0" name="AutoShape 1" descr="Vista previa de toda la pantalla">
          <a:extLst>
            <a:ext uri="{FF2B5EF4-FFF2-40B4-BE49-F238E27FC236}">
              <a16:creationId xmlns:a16="http://schemas.microsoft.com/office/drawing/2014/main" id="{1409EE2B-3B11-4159-8367-FD1A777C0D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1" name="AutoShape 1" descr="Vista previa de toda la pantalla">
          <a:extLst>
            <a:ext uri="{FF2B5EF4-FFF2-40B4-BE49-F238E27FC236}">
              <a16:creationId xmlns:a16="http://schemas.microsoft.com/office/drawing/2014/main" id="{9A2E27AE-941D-48C8-835C-7C3B30AA1A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2" name="AutoShape 1" descr="Vista previa de toda la pantalla">
          <a:extLst>
            <a:ext uri="{FF2B5EF4-FFF2-40B4-BE49-F238E27FC236}">
              <a16:creationId xmlns:a16="http://schemas.microsoft.com/office/drawing/2014/main" id="{7E2A0AF6-B5BA-4A29-8E0E-7B95DBC43B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3" name="AutoShape 1" descr="Vista previa de toda la pantalla">
          <a:extLst>
            <a:ext uri="{FF2B5EF4-FFF2-40B4-BE49-F238E27FC236}">
              <a16:creationId xmlns:a16="http://schemas.microsoft.com/office/drawing/2014/main" id="{2E9AC1D6-5B66-4F09-96F8-0DFAC267DC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4" name="AutoShape 1" descr="Vista previa de toda la pantalla">
          <a:extLst>
            <a:ext uri="{FF2B5EF4-FFF2-40B4-BE49-F238E27FC236}">
              <a16:creationId xmlns:a16="http://schemas.microsoft.com/office/drawing/2014/main" id="{58EB034D-9C6D-4504-858B-F683ACE53C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5" name="AutoShape 1" descr="Vista previa de toda la pantalla">
          <a:extLst>
            <a:ext uri="{FF2B5EF4-FFF2-40B4-BE49-F238E27FC236}">
              <a16:creationId xmlns:a16="http://schemas.microsoft.com/office/drawing/2014/main" id="{AC382E4A-BD7F-4E66-9022-534B3E9A48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6" name="AutoShape 1" descr="Vista previa de toda la pantalla">
          <a:extLst>
            <a:ext uri="{FF2B5EF4-FFF2-40B4-BE49-F238E27FC236}">
              <a16:creationId xmlns:a16="http://schemas.microsoft.com/office/drawing/2014/main" id="{10F36A27-E822-442C-A93B-6D9DCD21F0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7" name="AutoShape 1" descr="Vista previa de toda la pantalla">
          <a:extLst>
            <a:ext uri="{FF2B5EF4-FFF2-40B4-BE49-F238E27FC236}">
              <a16:creationId xmlns:a16="http://schemas.microsoft.com/office/drawing/2014/main" id="{9160E0BB-7363-41C9-95F4-D93E82ABB0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8" name="AutoShape 1" descr="Vista previa de toda la pantalla">
          <a:extLst>
            <a:ext uri="{FF2B5EF4-FFF2-40B4-BE49-F238E27FC236}">
              <a16:creationId xmlns:a16="http://schemas.microsoft.com/office/drawing/2014/main" id="{E486D074-C964-43C2-A54E-86E0D58F9C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49" name="AutoShape 1" descr="Vista previa de toda la pantalla">
          <a:extLst>
            <a:ext uri="{FF2B5EF4-FFF2-40B4-BE49-F238E27FC236}">
              <a16:creationId xmlns:a16="http://schemas.microsoft.com/office/drawing/2014/main" id="{864F76AA-18C2-4692-BF34-E505FA68E1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0" name="AutoShape 1" descr="Vista previa de toda la pantalla">
          <a:extLst>
            <a:ext uri="{FF2B5EF4-FFF2-40B4-BE49-F238E27FC236}">
              <a16:creationId xmlns:a16="http://schemas.microsoft.com/office/drawing/2014/main" id="{2BB2E668-2155-4979-B544-B91EE10C5F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1" name="AutoShape 1" descr="Vista previa de toda la pantalla">
          <a:extLst>
            <a:ext uri="{FF2B5EF4-FFF2-40B4-BE49-F238E27FC236}">
              <a16:creationId xmlns:a16="http://schemas.microsoft.com/office/drawing/2014/main" id="{F41EDDDD-A14C-4E73-B883-51FA0A811C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2" name="AutoShape 1" descr="Vista previa de toda la pantalla">
          <a:extLst>
            <a:ext uri="{FF2B5EF4-FFF2-40B4-BE49-F238E27FC236}">
              <a16:creationId xmlns:a16="http://schemas.microsoft.com/office/drawing/2014/main" id="{FF2AA10D-CA45-4B82-991F-AA33467CBD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3" name="AutoShape 1" descr="Vista previa de toda la pantalla">
          <a:extLst>
            <a:ext uri="{FF2B5EF4-FFF2-40B4-BE49-F238E27FC236}">
              <a16:creationId xmlns:a16="http://schemas.microsoft.com/office/drawing/2014/main" id="{C0FE2AED-1C2B-425A-8F55-D6E6A41E29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4" name="AutoShape 1" descr="Vista previa de toda la pantalla">
          <a:extLst>
            <a:ext uri="{FF2B5EF4-FFF2-40B4-BE49-F238E27FC236}">
              <a16:creationId xmlns:a16="http://schemas.microsoft.com/office/drawing/2014/main" id="{BB6291A0-3106-48C6-8C68-B96250FE93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5" name="AutoShape 1" descr="Vista previa de toda la pantalla">
          <a:extLst>
            <a:ext uri="{FF2B5EF4-FFF2-40B4-BE49-F238E27FC236}">
              <a16:creationId xmlns:a16="http://schemas.microsoft.com/office/drawing/2014/main" id="{362AFD3A-71CA-4E33-AC94-A369ABA6B5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6" name="AutoShape 1" descr="Vista previa de toda la pantalla">
          <a:extLst>
            <a:ext uri="{FF2B5EF4-FFF2-40B4-BE49-F238E27FC236}">
              <a16:creationId xmlns:a16="http://schemas.microsoft.com/office/drawing/2014/main" id="{EF08B28D-79F3-4144-B259-5C9EFE6061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7" name="AutoShape 1" descr="Vista previa de toda la pantalla">
          <a:extLst>
            <a:ext uri="{FF2B5EF4-FFF2-40B4-BE49-F238E27FC236}">
              <a16:creationId xmlns:a16="http://schemas.microsoft.com/office/drawing/2014/main" id="{C1667665-12B2-4D45-B30B-67C5F0786C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8" name="AutoShape 1" descr="Vista previa de toda la pantalla">
          <a:extLst>
            <a:ext uri="{FF2B5EF4-FFF2-40B4-BE49-F238E27FC236}">
              <a16:creationId xmlns:a16="http://schemas.microsoft.com/office/drawing/2014/main" id="{E516D8B0-F8FD-49F6-8800-90335D8282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59" name="AutoShape 1" descr="Vista previa de toda la pantalla">
          <a:extLst>
            <a:ext uri="{FF2B5EF4-FFF2-40B4-BE49-F238E27FC236}">
              <a16:creationId xmlns:a16="http://schemas.microsoft.com/office/drawing/2014/main" id="{557517AF-B9AB-486B-8670-B24E44F791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0" name="AutoShape 1" descr="Vista previa de toda la pantalla">
          <a:extLst>
            <a:ext uri="{FF2B5EF4-FFF2-40B4-BE49-F238E27FC236}">
              <a16:creationId xmlns:a16="http://schemas.microsoft.com/office/drawing/2014/main" id="{F3801AA1-17CF-432C-8BBB-879E097D97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1" name="AutoShape 1" descr="Vista previa de toda la pantalla">
          <a:extLst>
            <a:ext uri="{FF2B5EF4-FFF2-40B4-BE49-F238E27FC236}">
              <a16:creationId xmlns:a16="http://schemas.microsoft.com/office/drawing/2014/main" id="{E7A0289E-9AAF-4836-A625-5D7BFFB781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2" name="AutoShape 1" descr="Vista previa de toda la pantalla">
          <a:extLst>
            <a:ext uri="{FF2B5EF4-FFF2-40B4-BE49-F238E27FC236}">
              <a16:creationId xmlns:a16="http://schemas.microsoft.com/office/drawing/2014/main" id="{0F70FE7C-6CF0-46A3-A6A6-8BC8B5A84F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3" name="AutoShape 1" descr="Vista previa de toda la pantalla">
          <a:extLst>
            <a:ext uri="{FF2B5EF4-FFF2-40B4-BE49-F238E27FC236}">
              <a16:creationId xmlns:a16="http://schemas.microsoft.com/office/drawing/2014/main" id="{1DA04C58-54B2-439A-95AD-33AE1A8490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4" name="AutoShape 1" descr="Vista previa de toda la pantalla">
          <a:extLst>
            <a:ext uri="{FF2B5EF4-FFF2-40B4-BE49-F238E27FC236}">
              <a16:creationId xmlns:a16="http://schemas.microsoft.com/office/drawing/2014/main" id="{7F272FA6-57D4-46C1-ADAF-4F97289C00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5" name="AutoShape 1" descr="Vista previa de toda la pantalla">
          <a:extLst>
            <a:ext uri="{FF2B5EF4-FFF2-40B4-BE49-F238E27FC236}">
              <a16:creationId xmlns:a16="http://schemas.microsoft.com/office/drawing/2014/main" id="{3CDA8378-773B-4623-90FA-5E83D7EDB5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6" name="AutoShape 1" descr="Vista previa de toda la pantalla">
          <a:extLst>
            <a:ext uri="{FF2B5EF4-FFF2-40B4-BE49-F238E27FC236}">
              <a16:creationId xmlns:a16="http://schemas.microsoft.com/office/drawing/2014/main" id="{1B819772-3E27-4F61-BE8E-5B68C6FF01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7" name="AutoShape 1" descr="Vista previa de toda la pantalla">
          <a:extLst>
            <a:ext uri="{FF2B5EF4-FFF2-40B4-BE49-F238E27FC236}">
              <a16:creationId xmlns:a16="http://schemas.microsoft.com/office/drawing/2014/main" id="{95AA9336-B0AC-4F37-BE6A-DF1FDC371F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8" name="AutoShape 1" descr="Vista previa de toda la pantalla">
          <a:extLst>
            <a:ext uri="{FF2B5EF4-FFF2-40B4-BE49-F238E27FC236}">
              <a16:creationId xmlns:a16="http://schemas.microsoft.com/office/drawing/2014/main" id="{C3BEEE6A-F01C-4F20-8109-5F14ABB691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69" name="AutoShape 1" descr="Vista previa de toda la pantalla">
          <a:extLst>
            <a:ext uri="{FF2B5EF4-FFF2-40B4-BE49-F238E27FC236}">
              <a16:creationId xmlns:a16="http://schemas.microsoft.com/office/drawing/2014/main" id="{20167FF4-E0C7-4A47-83AE-6D2399825C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0" name="AutoShape 1" descr="Vista previa de toda la pantalla">
          <a:extLst>
            <a:ext uri="{FF2B5EF4-FFF2-40B4-BE49-F238E27FC236}">
              <a16:creationId xmlns:a16="http://schemas.microsoft.com/office/drawing/2014/main" id="{0DF15257-87DB-4F92-9DF6-1724E4F6E4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1" name="AutoShape 1" descr="Vista previa de toda la pantalla">
          <a:extLst>
            <a:ext uri="{FF2B5EF4-FFF2-40B4-BE49-F238E27FC236}">
              <a16:creationId xmlns:a16="http://schemas.microsoft.com/office/drawing/2014/main" id="{A4AF501A-FC0F-4EAF-B67F-B6A45122F9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2" name="AutoShape 1" descr="Vista previa de toda la pantalla">
          <a:extLst>
            <a:ext uri="{FF2B5EF4-FFF2-40B4-BE49-F238E27FC236}">
              <a16:creationId xmlns:a16="http://schemas.microsoft.com/office/drawing/2014/main" id="{73A025C9-1FA1-47A5-A25B-B1EEC7EAC4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3" name="AutoShape 1" descr="Vista previa de toda la pantalla">
          <a:extLst>
            <a:ext uri="{FF2B5EF4-FFF2-40B4-BE49-F238E27FC236}">
              <a16:creationId xmlns:a16="http://schemas.microsoft.com/office/drawing/2014/main" id="{81522B18-3228-472D-BA7E-EED2BC235A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4" name="AutoShape 1" descr="Vista previa de toda la pantalla">
          <a:extLst>
            <a:ext uri="{FF2B5EF4-FFF2-40B4-BE49-F238E27FC236}">
              <a16:creationId xmlns:a16="http://schemas.microsoft.com/office/drawing/2014/main" id="{5D29DBB8-070A-4E5B-9384-0CAD5D4F59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5" name="AutoShape 1" descr="Vista previa de toda la pantalla">
          <a:extLst>
            <a:ext uri="{FF2B5EF4-FFF2-40B4-BE49-F238E27FC236}">
              <a16:creationId xmlns:a16="http://schemas.microsoft.com/office/drawing/2014/main" id="{7F1F268F-CCE8-49B8-BD57-2FDD8B7F45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6" name="AutoShape 1" descr="Vista previa de toda la pantalla">
          <a:extLst>
            <a:ext uri="{FF2B5EF4-FFF2-40B4-BE49-F238E27FC236}">
              <a16:creationId xmlns:a16="http://schemas.microsoft.com/office/drawing/2014/main" id="{2024B109-F626-4D86-AEFD-1D5D2EF768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7" name="AutoShape 1" descr="Vista previa de toda la pantalla">
          <a:extLst>
            <a:ext uri="{FF2B5EF4-FFF2-40B4-BE49-F238E27FC236}">
              <a16:creationId xmlns:a16="http://schemas.microsoft.com/office/drawing/2014/main" id="{377752B0-66C8-4E12-B29B-A8B4866EF5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8" name="AutoShape 1" descr="Vista previa de toda la pantalla">
          <a:extLst>
            <a:ext uri="{FF2B5EF4-FFF2-40B4-BE49-F238E27FC236}">
              <a16:creationId xmlns:a16="http://schemas.microsoft.com/office/drawing/2014/main" id="{8F87A223-551B-486E-82CF-9680CAEA38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79" name="AutoShape 1" descr="Vista previa de toda la pantalla">
          <a:extLst>
            <a:ext uri="{FF2B5EF4-FFF2-40B4-BE49-F238E27FC236}">
              <a16:creationId xmlns:a16="http://schemas.microsoft.com/office/drawing/2014/main" id="{F0A84FF6-1E99-4BDC-9027-3BE3EFDE7A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0" name="AutoShape 1" descr="Vista previa de toda la pantalla">
          <a:extLst>
            <a:ext uri="{FF2B5EF4-FFF2-40B4-BE49-F238E27FC236}">
              <a16:creationId xmlns:a16="http://schemas.microsoft.com/office/drawing/2014/main" id="{416C3523-2069-4D6A-8800-4AE5F7B6B3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1" name="AutoShape 1" descr="Vista previa de toda la pantalla">
          <a:extLst>
            <a:ext uri="{FF2B5EF4-FFF2-40B4-BE49-F238E27FC236}">
              <a16:creationId xmlns:a16="http://schemas.microsoft.com/office/drawing/2014/main" id="{7A0C040F-80FD-4507-B359-1B7E59884A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2" name="AutoShape 1" descr="Vista previa de toda la pantalla">
          <a:extLst>
            <a:ext uri="{FF2B5EF4-FFF2-40B4-BE49-F238E27FC236}">
              <a16:creationId xmlns:a16="http://schemas.microsoft.com/office/drawing/2014/main" id="{361CF546-1881-467D-AD5C-6CBD98E532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3" name="AutoShape 1" descr="Vista previa de toda la pantalla">
          <a:extLst>
            <a:ext uri="{FF2B5EF4-FFF2-40B4-BE49-F238E27FC236}">
              <a16:creationId xmlns:a16="http://schemas.microsoft.com/office/drawing/2014/main" id="{9459AFFA-69F8-495B-8691-736ACC064E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4" name="AutoShape 1" descr="Vista previa de toda la pantalla">
          <a:extLst>
            <a:ext uri="{FF2B5EF4-FFF2-40B4-BE49-F238E27FC236}">
              <a16:creationId xmlns:a16="http://schemas.microsoft.com/office/drawing/2014/main" id="{CF22723F-53FB-4505-967A-61A0F9615A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5" name="AutoShape 1" descr="Vista previa de toda la pantalla">
          <a:extLst>
            <a:ext uri="{FF2B5EF4-FFF2-40B4-BE49-F238E27FC236}">
              <a16:creationId xmlns:a16="http://schemas.microsoft.com/office/drawing/2014/main" id="{43F48811-9A93-44B7-9C63-97254FB755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6" name="AutoShape 1" descr="Vista previa de toda la pantalla">
          <a:extLst>
            <a:ext uri="{FF2B5EF4-FFF2-40B4-BE49-F238E27FC236}">
              <a16:creationId xmlns:a16="http://schemas.microsoft.com/office/drawing/2014/main" id="{2792B224-659E-4D20-97AE-BE6B125221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7" name="AutoShape 1" descr="Vista previa de toda la pantalla">
          <a:extLst>
            <a:ext uri="{FF2B5EF4-FFF2-40B4-BE49-F238E27FC236}">
              <a16:creationId xmlns:a16="http://schemas.microsoft.com/office/drawing/2014/main" id="{0F9FBCD1-2AC6-4299-A0C1-42E56836EB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8" name="AutoShape 1" descr="Vista previa de toda la pantalla">
          <a:extLst>
            <a:ext uri="{FF2B5EF4-FFF2-40B4-BE49-F238E27FC236}">
              <a16:creationId xmlns:a16="http://schemas.microsoft.com/office/drawing/2014/main" id="{602BDD26-69EB-4F24-BC88-926BBAEDF2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89" name="AutoShape 1" descr="Vista previa de toda la pantalla">
          <a:extLst>
            <a:ext uri="{FF2B5EF4-FFF2-40B4-BE49-F238E27FC236}">
              <a16:creationId xmlns:a16="http://schemas.microsoft.com/office/drawing/2014/main" id="{8B5A8E4F-3A75-42FD-9494-B2D7888F89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0" name="AutoShape 1" descr="Vista previa de toda la pantalla">
          <a:extLst>
            <a:ext uri="{FF2B5EF4-FFF2-40B4-BE49-F238E27FC236}">
              <a16:creationId xmlns:a16="http://schemas.microsoft.com/office/drawing/2014/main" id="{F593CBAA-3A4B-412A-9DB9-BAA57269DB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1" name="AutoShape 1" descr="Vista previa de toda la pantalla">
          <a:extLst>
            <a:ext uri="{FF2B5EF4-FFF2-40B4-BE49-F238E27FC236}">
              <a16:creationId xmlns:a16="http://schemas.microsoft.com/office/drawing/2014/main" id="{B393CFF6-BCB9-4EEB-AA22-722D4517C1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2" name="AutoShape 1" descr="Vista previa de toda la pantalla">
          <a:extLst>
            <a:ext uri="{FF2B5EF4-FFF2-40B4-BE49-F238E27FC236}">
              <a16:creationId xmlns:a16="http://schemas.microsoft.com/office/drawing/2014/main" id="{F6D88095-394A-4885-803B-BBE6AB05BE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3" name="AutoShape 1" descr="Vista previa de toda la pantalla">
          <a:extLst>
            <a:ext uri="{FF2B5EF4-FFF2-40B4-BE49-F238E27FC236}">
              <a16:creationId xmlns:a16="http://schemas.microsoft.com/office/drawing/2014/main" id="{15DD04D9-1D31-4DE5-A354-B5952B28A1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4" name="AutoShape 1" descr="Vista previa de toda la pantalla">
          <a:extLst>
            <a:ext uri="{FF2B5EF4-FFF2-40B4-BE49-F238E27FC236}">
              <a16:creationId xmlns:a16="http://schemas.microsoft.com/office/drawing/2014/main" id="{75963645-066E-494D-95D2-18F73669BF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5" name="AutoShape 1" descr="Vista previa de toda la pantalla">
          <a:extLst>
            <a:ext uri="{FF2B5EF4-FFF2-40B4-BE49-F238E27FC236}">
              <a16:creationId xmlns:a16="http://schemas.microsoft.com/office/drawing/2014/main" id="{75D0A0D5-8F35-430B-A350-6466FEAE3A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6" name="AutoShape 1" descr="Vista previa de toda la pantalla">
          <a:extLst>
            <a:ext uri="{FF2B5EF4-FFF2-40B4-BE49-F238E27FC236}">
              <a16:creationId xmlns:a16="http://schemas.microsoft.com/office/drawing/2014/main" id="{69FFFD77-1E30-482A-869E-CA226F65D0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7" name="AutoShape 1" descr="Vista previa de toda la pantalla">
          <a:extLst>
            <a:ext uri="{FF2B5EF4-FFF2-40B4-BE49-F238E27FC236}">
              <a16:creationId xmlns:a16="http://schemas.microsoft.com/office/drawing/2014/main" id="{028A8322-675E-4B9B-ADD8-8DD8BB0EC2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8" name="AutoShape 1" descr="Vista previa de toda la pantalla">
          <a:extLst>
            <a:ext uri="{FF2B5EF4-FFF2-40B4-BE49-F238E27FC236}">
              <a16:creationId xmlns:a16="http://schemas.microsoft.com/office/drawing/2014/main" id="{A5C7D1D9-C6B7-451B-8836-DA413DD1A6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399" name="AutoShape 1" descr="Vista previa de toda la pantalla">
          <a:extLst>
            <a:ext uri="{FF2B5EF4-FFF2-40B4-BE49-F238E27FC236}">
              <a16:creationId xmlns:a16="http://schemas.microsoft.com/office/drawing/2014/main" id="{BDE4177A-5525-4498-9903-4F01DE2F26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00" name="AutoShape 1" descr="Vista previa de toda la pantalla">
          <a:extLst>
            <a:ext uri="{FF2B5EF4-FFF2-40B4-BE49-F238E27FC236}">
              <a16:creationId xmlns:a16="http://schemas.microsoft.com/office/drawing/2014/main" id="{27901A29-AE10-4302-9A7C-D747CDD218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01" name="AutoShape 1" descr="Vista previa de toda la pantalla">
          <a:extLst>
            <a:ext uri="{FF2B5EF4-FFF2-40B4-BE49-F238E27FC236}">
              <a16:creationId xmlns:a16="http://schemas.microsoft.com/office/drawing/2014/main" id="{3F862AE9-C4FC-46C1-92D6-D403EC72FE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02" name="AutoShape 1" descr="Vista previa de toda la pantalla">
          <a:extLst>
            <a:ext uri="{FF2B5EF4-FFF2-40B4-BE49-F238E27FC236}">
              <a16:creationId xmlns:a16="http://schemas.microsoft.com/office/drawing/2014/main" id="{5D599CCB-34ED-4043-A6A3-A1952F92A9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03" name="AutoShape 1" descr="Vista previa de toda la pantalla">
          <a:extLst>
            <a:ext uri="{FF2B5EF4-FFF2-40B4-BE49-F238E27FC236}">
              <a16:creationId xmlns:a16="http://schemas.microsoft.com/office/drawing/2014/main" id="{03467E5B-31EB-443E-90DA-046B4218FA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04" name="AutoShape 1" descr="Vista previa de toda la pantalla">
          <a:extLst>
            <a:ext uri="{FF2B5EF4-FFF2-40B4-BE49-F238E27FC236}">
              <a16:creationId xmlns:a16="http://schemas.microsoft.com/office/drawing/2014/main" id="{70749B3C-CD30-4F5C-98A2-F7A69315A6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05" name="AutoShape 1" descr="Vista previa de toda la pantalla">
          <a:extLst>
            <a:ext uri="{FF2B5EF4-FFF2-40B4-BE49-F238E27FC236}">
              <a16:creationId xmlns:a16="http://schemas.microsoft.com/office/drawing/2014/main" id="{276A37F9-27EA-4247-828F-155D637B49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06" name="AutoShape 1" descr="Vista previa de toda la pantalla">
          <a:extLst>
            <a:ext uri="{FF2B5EF4-FFF2-40B4-BE49-F238E27FC236}">
              <a16:creationId xmlns:a16="http://schemas.microsoft.com/office/drawing/2014/main" id="{5C21B879-78F2-4643-AC8E-23C7EF0795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5407" name="AutoShape 1" descr="Vista previa de toda la pantalla">
          <a:extLst>
            <a:ext uri="{FF2B5EF4-FFF2-40B4-BE49-F238E27FC236}">
              <a16:creationId xmlns:a16="http://schemas.microsoft.com/office/drawing/2014/main" id="{DACB53AA-6A41-47B0-A0B3-D654BE4D29C8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08" name="AutoShape 1" descr="Vista previa de toda la pantalla">
          <a:extLst>
            <a:ext uri="{FF2B5EF4-FFF2-40B4-BE49-F238E27FC236}">
              <a16:creationId xmlns:a16="http://schemas.microsoft.com/office/drawing/2014/main" id="{6205F794-672E-47D0-B96D-B4F1C64BC0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09" name="AutoShape 1" descr="Vista previa de toda la pantalla">
          <a:extLst>
            <a:ext uri="{FF2B5EF4-FFF2-40B4-BE49-F238E27FC236}">
              <a16:creationId xmlns:a16="http://schemas.microsoft.com/office/drawing/2014/main" id="{DD2E640C-DF5A-4BB5-A923-47DEFC55F9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0" name="AutoShape 1" descr="Vista previa de toda la pantalla">
          <a:extLst>
            <a:ext uri="{FF2B5EF4-FFF2-40B4-BE49-F238E27FC236}">
              <a16:creationId xmlns:a16="http://schemas.microsoft.com/office/drawing/2014/main" id="{6C97D2E3-7283-4C56-AD54-8994D8E354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1" name="AutoShape 1" descr="Vista previa de toda la pantalla">
          <a:extLst>
            <a:ext uri="{FF2B5EF4-FFF2-40B4-BE49-F238E27FC236}">
              <a16:creationId xmlns:a16="http://schemas.microsoft.com/office/drawing/2014/main" id="{4EC4F8D0-10D4-43A0-9283-AD0FABAFB1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2" name="AutoShape 1" descr="Vista previa de toda la pantalla">
          <a:extLst>
            <a:ext uri="{FF2B5EF4-FFF2-40B4-BE49-F238E27FC236}">
              <a16:creationId xmlns:a16="http://schemas.microsoft.com/office/drawing/2014/main" id="{94FC1B20-A902-43AE-80DB-301FC6F479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3" name="AutoShape 1" descr="Vista previa de toda la pantalla">
          <a:extLst>
            <a:ext uri="{FF2B5EF4-FFF2-40B4-BE49-F238E27FC236}">
              <a16:creationId xmlns:a16="http://schemas.microsoft.com/office/drawing/2014/main" id="{A1040C50-607C-4E49-AC76-03B5B87F64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4" name="AutoShape 1" descr="Vista previa de toda la pantalla">
          <a:extLst>
            <a:ext uri="{FF2B5EF4-FFF2-40B4-BE49-F238E27FC236}">
              <a16:creationId xmlns:a16="http://schemas.microsoft.com/office/drawing/2014/main" id="{3DADDD20-4CA4-47CD-86DE-9574420AAA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5" name="AutoShape 1" descr="Vista previa de toda la pantalla">
          <a:extLst>
            <a:ext uri="{FF2B5EF4-FFF2-40B4-BE49-F238E27FC236}">
              <a16:creationId xmlns:a16="http://schemas.microsoft.com/office/drawing/2014/main" id="{20219C3A-4DC3-4263-A5E3-15726AFF3A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6" name="AutoShape 1" descr="Vista previa de toda la pantalla">
          <a:extLst>
            <a:ext uri="{FF2B5EF4-FFF2-40B4-BE49-F238E27FC236}">
              <a16:creationId xmlns:a16="http://schemas.microsoft.com/office/drawing/2014/main" id="{135BBB93-C17C-4C1E-BE57-D7326C6972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7" name="AutoShape 1" descr="Vista previa de toda la pantalla">
          <a:extLst>
            <a:ext uri="{FF2B5EF4-FFF2-40B4-BE49-F238E27FC236}">
              <a16:creationId xmlns:a16="http://schemas.microsoft.com/office/drawing/2014/main" id="{7C0FA510-1540-4E6F-AF7C-00A13852E1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8" name="AutoShape 1" descr="Vista previa de toda la pantalla">
          <a:extLst>
            <a:ext uri="{FF2B5EF4-FFF2-40B4-BE49-F238E27FC236}">
              <a16:creationId xmlns:a16="http://schemas.microsoft.com/office/drawing/2014/main" id="{0B562507-8046-4633-AA7F-0E562BE366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19" name="AutoShape 1" descr="Vista previa de toda la pantalla">
          <a:extLst>
            <a:ext uri="{FF2B5EF4-FFF2-40B4-BE49-F238E27FC236}">
              <a16:creationId xmlns:a16="http://schemas.microsoft.com/office/drawing/2014/main" id="{BB6B6645-183D-4481-88AD-6354E314FD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0" name="AutoShape 1" descr="Vista previa de toda la pantalla">
          <a:extLst>
            <a:ext uri="{FF2B5EF4-FFF2-40B4-BE49-F238E27FC236}">
              <a16:creationId xmlns:a16="http://schemas.microsoft.com/office/drawing/2014/main" id="{35964BDA-EB4C-4FD1-87E7-F80DDDAA9A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1" name="AutoShape 1" descr="Vista previa de toda la pantalla">
          <a:extLst>
            <a:ext uri="{FF2B5EF4-FFF2-40B4-BE49-F238E27FC236}">
              <a16:creationId xmlns:a16="http://schemas.microsoft.com/office/drawing/2014/main" id="{13CDA004-CB40-4716-ADF6-716BEC7937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2" name="AutoShape 1" descr="Vista previa de toda la pantalla">
          <a:extLst>
            <a:ext uri="{FF2B5EF4-FFF2-40B4-BE49-F238E27FC236}">
              <a16:creationId xmlns:a16="http://schemas.microsoft.com/office/drawing/2014/main" id="{281A698F-118B-4B67-9AB5-680A8FA96F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3" name="AutoShape 1" descr="Vista previa de toda la pantalla">
          <a:extLst>
            <a:ext uri="{FF2B5EF4-FFF2-40B4-BE49-F238E27FC236}">
              <a16:creationId xmlns:a16="http://schemas.microsoft.com/office/drawing/2014/main" id="{81BEB7D7-0C9B-4570-B29E-90BFE846DD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4" name="AutoShape 1" descr="Vista previa de toda la pantalla">
          <a:extLst>
            <a:ext uri="{FF2B5EF4-FFF2-40B4-BE49-F238E27FC236}">
              <a16:creationId xmlns:a16="http://schemas.microsoft.com/office/drawing/2014/main" id="{7C89C6AD-8F3F-4E2E-93D2-1D23A2257E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5" name="AutoShape 1" descr="Vista previa de toda la pantalla">
          <a:extLst>
            <a:ext uri="{FF2B5EF4-FFF2-40B4-BE49-F238E27FC236}">
              <a16:creationId xmlns:a16="http://schemas.microsoft.com/office/drawing/2014/main" id="{F538043E-9B3D-425E-9C6B-7838667F8E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6" name="AutoShape 1" descr="Vista previa de toda la pantalla">
          <a:extLst>
            <a:ext uri="{FF2B5EF4-FFF2-40B4-BE49-F238E27FC236}">
              <a16:creationId xmlns:a16="http://schemas.microsoft.com/office/drawing/2014/main" id="{99419C28-8C07-4637-BD17-6AFAAA5257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7" name="AutoShape 1" descr="Vista previa de toda la pantalla">
          <a:extLst>
            <a:ext uri="{FF2B5EF4-FFF2-40B4-BE49-F238E27FC236}">
              <a16:creationId xmlns:a16="http://schemas.microsoft.com/office/drawing/2014/main" id="{E272DAFB-5E59-4C95-B537-D2856E22E1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8" name="AutoShape 1" descr="Vista previa de toda la pantalla">
          <a:extLst>
            <a:ext uri="{FF2B5EF4-FFF2-40B4-BE49-F238E27FC236}">
              <a16:creationId xmlns:a16="http://schemas.microsoft.com/office/drawing/2014/main" id="{CC439069-836F-421E-8042-B77897BDE6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29" name="AutoShape 1" descr="Vista previa de toda la pantalla">
          <a:extLst>
            <a:ext uri="{FF2B5EF4-FFF2-40B4-BE49-F238E27FC236}">
              <a16:creationId xmlns:a16="http://schemas.microsoft.com/office/drawing/2014/main" id="{4D32BEF2-5F66-4270-B3C7-B8D6D3F128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0" name="AutoShape 1" descr="Vista previa de toda la pantalla">
          <a:extLst>
            <a:ext uri="{FF2B5EF4-FFF2-40B4-BE49-F238E27FC236}">
              <a16:creationId xmlns:a16="http://schemas.microsoft.com/office/drawing/2014/main" id="{79E39A56-820F-4133-AD23-6FE5118910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1" name="AutoShape 1" descr="Vista previa de toda la pantalla">
          <a:extLst>
            <a:ext uri="{FF2B5EF4-FFF2-40B4-BE49-F238E27FC236}">
              <a16:creationId xmlns:a16="http://schemas.microsoft.com/office/drawing/2014/main" id="{55D89C0B-C2A4-4ABC-891E-052EAC4A96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2" name="AutoShape 1" descr="Vista previa de toda la pantalla">
          <a:extLst>
            <a:ext uri="{FF2B5EF4-FFF2-40B4-BE49-F238E27FC236}">
              <a16:creationId xmlns:a16="http://schemas.microsoft.com/office/drawing/2014/main" id="{0A5FD3E5-9FB2-44B6-8E00-4785BA1B20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3" name="AutoShape 1" descr="Vista previa de toda la pantalla">
          <a:extLst>
            <a:ext uri="{FF2B5EF4-FFF2-40B4-BE49-F238E27FC236}">
              <a16:creationId xmlns:a16="http://schemas.microsoft.com/office/drawing/2014/main" id="{C08EC6D6-E1C6-4058-9B49-44F1330695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4" name="AutoShape 1" descr="Vista previa de toda la pantalla">
          <a:extLst>
            <a:ext uri="{FF2B5EF4-FFF2-40B4-BE49-F238E27FC236}">
              <a16:creationId xmlns:a16="http://schemas.microsoft.com/office/drawing/2014/main" id="{4C6C3620-0578-401C-99CD-543E1D0F1C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5" name="AutoShape 1" descr="Vista previa de toda la pantalla">
          <a:extLst>
            <a:ext uri="{FF2B5EF4-FFF2-40B4-BE49-F238E27FC236}">
              <a16:creationId xmlns:a16="http://schemas.microsoft.com/office/drawing/2014/main" id="{C2CF7024-FBE4-4805-AD51-43EDAFEF15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6" name="AutoShape 1" descr="Vista previa de toda la pantalla">
          <a:extLst>
            <a:ext uri="{FF2B5EF4-FFF2-40B4-BE49-F238E27FC236}">
              <a16:creationId xmlns:a16="http://schemas.microsoft.com/office/drawing/2014/main" id="{52B73FF3-2530-4CD2-BC34-A318D7A1E4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7" name="AutoShape 1" descr="Vista previa de toda la pantalla">
          <a:extLst>
            <a:ext uri="{FF2B5EF4-FFF2-40B4-BE49-F238E27FC236}">
              <a16:creationId xmlns:a16="http://schemas.microsoft.com/office/drawing/2014/main" id="{A68D8DEB-3CBD-4E3A-A41C-FBB34643F7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8" name="AutoShape 1" descr="Vista previa de toda la pantalla">
          <a:extLst>
            <a:ext uri="{FF2B5EF4-FFF2-40B4-BE49-F238E27FC236}">
              <a16:creationId xmlns:a16="http://schemas.microsoft.com/office/drawing/2014/main" id="{C3AA6576-604D-4196-977A-D917D4D52F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39" name="AutoShape 1" descr="Vista previa de toda la pantalla">
          <a:extLst>
            <a:ext uri="{FF2B5EF4-FFF2-40B4-BE49-F238E27FC236}">
              <a16:creationId xmlns:a16="http://schemas.microsoft.com/office/drawing/2014/main" id="{9CD64EA1-C08A-4D06-A4F5-6C56925DF5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0" name="AutoShape 1" descr="Vista previa de toda la pantalla">
          <a:extLst>
            <a:ext uri="{FF2B5EF4-FFF2-40B4-BE49-F238E27FC236}">
              <a16:creationId xmlns:a16="http://schemas.microsoft.com/office/drawing/2014/main" id="{16A8965D-0360-4749-BB98-75FEEB8454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1" name="AutoShape 1" descr="Vista previa de toda la pantalla">
          <a:extLst>
            <a:ext uri="{FF2B5EF4-FFF2-40B4-BE49-F238E27FC236}">
              <a16:creationId xmlns:a16="http://schemas.microsoft.com/office/drawing/2014/main" id="{0C09C239-1F1A-4BC9-BD8E-1DA7B9F721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2" name="AutoShape 1" descr="Vista previa de toda la pantalla">
          <a:extLst>
            <a:ext uri="{FF2B5EF4-FFF2-40B4-BE49-F238E27FC236}">
              <a16:creationId xmlns:a16="http://schemas.microsoft.com/office/drawing/2014/main" id="{68F19538-14DD-4E44-9273-41BEF3E5EA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3" name="AutoShape 1" descr="Vista previa de toda la pantalla">
          <a:extLst>
            <a:ext uri="{FF2B5EF4-FFF2-40B4-BE49-F238E27FC236}">
              <a16:creationId xmlns:a16="http://schemas.microsoft.com/office/drawing/2014/main" id="{17E66AD7-A35F-44DB-B948-E27991F7A3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4" name="AutoShape 1" descr="Vista previa de toda la pantalla">
          <a:extLst>
            <a:ext uri="{FF2B5EF4-FFF2-40B4-BE49-F238E27FC236}">
              <a16:creationId xmlns:a16="http://schemas.microsoft.com/office/drawing/2014/main" id="{73996594-AEC4-4489-95A5-3806211FDB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5" name="AutoShape 1" descr="Vista previa de toda la pantalla">
          <a:extLst>
            <a:ext uri="{FF2B5EF4-FFF2-40B4-BE49-F238E27FC236}">
              <a16:creationId xmlns:a16="http://schemas.microsoft.com/office/drawing/2014/main" id="{B803EAFE-29F5-436C-8320-F2E73B6BC1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6" name="AutoShape 1" descr="Vista previa de toda la pantalla">
          <a:extLst>
            <a:ext uri="{FF2B5EF4-FFF2-40B4-BE49-F238E27FC236}">
              <a16:creationId xmlns:a16="http://schemas.microsoft.com/office/drawing/2014/main" id="{167E5674-F7DE-4375-9EF9-FABBEFEED6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7" name="AutoShape 1" descr="Vista previa de toda la pantalla">
          <a:extLst>
            <a:ext uri="{FF2B5EF4-FFF2-40B4-BE49-F238E27FC236}">
              <a16:creationId xmlns:a16="http://schemas.microsoft.com/office/drawing/2014/main" id="{CBAA28C2-E495-4C26-AF29-E32345620E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8" name="AutoShape 1" descr="Vista previa de toda la pantalla">
          <a:extLst>
            <a:ext uri="{FF2B5EF4-FFF2-40B4-BE49-F238E27FC236}">
              <a16:creationId xmlns:a16="http://schemas.microsoft.com/office/drawing/2014/main" id="{6DFD2057-327B-457B-BD84-7E331BC34E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49" name="AutoShape 1" descr="Vista previa de toda la pantalla">
          <a:extLst>
            <a:ext uri="{FF2B5EF4-FFF2-40B4-BE49-F238E27FC236}">
              <a16:creationId xmlns:a16="http://schemas.microsoft.com/office/drawing/2014/main" id="{066D6F7F-D711-47FF-B897-6D473942A4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0" name="AutoShape 1" descr="Vista previa de toda la pantalla">
          <a:extLst>
            <a:ext uri="{FF2B5EF4-FFF2-40B4-BE49-F238E27FC236}">
              <a16:creationId xmlns:a16="http://schemas.microsoft.com/office/drawing/2014/main" id="{2518AD79-622F-499F-A498-B4C9B2D54E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1" name="AutoShape 1" descr="Vista previa de toda la pantalla">
          <a:extLst>
            <a:ext uri="{FF2B5EF4-FFF2-40B4-BE49-F238E27FC236}">
              <a16:creationId xmlns:a16="http://schemas.microsoft.com/office/drawing/2014/main" id="{F2016898-250F-4649-8D4F-DB33F74EF0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2" name="AutoShape 1" descr="Vista previa de toda la pantalla">
          <a:extLst>
            <a:ext uri="{FF2B5EF4-FFF2-40B4-BE49-F238E27FC236}">
              <a16:creationId xmlns:a16="http://schemas.microsoft.com/office/drawing/2014/main" id="{49FD8936-AEA4-452B-A66C-B4447E7646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3" name="AutoShape 1" descr="Vista previa de toda la pantalla">
          <a:extLst>
            <a:ext uri="{FF2B5EF4-FFF2-40B4-BE49-F238E27FC236}">
              <a16:creationId xmlns:a16="http://schemas.microsoft.com/office/drawing/2014/main" id="{7D52A47E-6BB7-4F24-ABF3-771B79669A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4" name="AutoShape 1" descr="Vista previa de toda la pantalla">
          <a:extLst>
            <a:ext uri="{FF2B5EF4-FFF2-40B4-BE49-F238E27FC236}">
              <a16:creationId xmlns:a16="http://schemas.microsoft.com/office/drawing/2014/main" id="{76328941-905E-4DE3-8B02-D1BAEC6810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5" name="AutoShape 1" descr="Vista previa de toda la pantalla">
          <a:extLst>
            <a:ext uri="{FF2B5EF4-FFF2-40B4-BE49-F238E27FC236}">
              <a16:creationId xmlns:a16="http://schemas.microsoft.com/office/drawing/2014/main" id="{FCABFEAB-F8C0-48FC-ADA5-914BAAAEEA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6" name="AutoShape 1" descr="Vista previa de toda la pantalla">
          <a:extLst>
            <a:ext uri="{FF2B5EF4-FFF2-40B4-BE49-F238E27FC236}">
              <a16:creationId xmlns:a16="http://schemas.microsoft.com/office/drawing/2014/main" id="{B4CF508C-F893-4C54-BFCF-CE96DB6F57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7" name="AutoShape 1" descr="Vista previa de toda la pantalla">
          <a:extLst>
            <a:ext uri="{FF2B5EF4-FFF2-40B4-BE49-F238E27FC236}">
              <a16:creationId xmlns:a16="http://schemas.microsoft.com/office/drawing/2014/main" id="{D9881529-35AC-430E-B727-F254FCB9F0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8" name="AutoShape 1" descr="Vista previa de toda la pantalla">
          <a:extLst>
            <a:ext uri="{FF2B5EF4-FFF2-40B4-BE49-F238E27FC236}">
              <a16:creationId xmlns:a16="http://schemas.microsoft.com/office/drawing/2014/main" id="{1E508191-AC44-48BE-9CB1-AC5DBC3530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59" name="AutoShape 1" descr="Vista previa de toda la pantalla">
          <a:extLst>
            <a:ext uri="{FF2B5EF4-FFF2-40B4-BE49-F238E27FC236}">
              <a16:creationId xmlns:a16="http://schemas.microsoft.com/office/drawing/2014/main" id="{D615058D-706D-4EEE-8BFB-DD6EC2CF45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0" name="AutoShape 1" descr="Vista previa de toda la pantalla">
          <a:extLst>
            <a:ext uri="{FF2B5EF4-FFF2-40B4-BE49-F238E27FC236}">
              <a16:creationId xmlns:a16="http://schemas.microsoft.com/office/drawing/2014/main" id="{BDD64C54-4570-4A2A-B5BA-DC5B188ADC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1" name="AutoShape 1" descr="Vista previa de toda la pantalla">
          <a:extLst>
            <a:ext uri="{FF2B5EF4-FFF2-40B4-BE49-F238E27FC236}">
              <a16:creationId xmlns:a16="http://schemas.microsoft.com/office/drawing/2014/main" id="{B5A5BAE7-696A-48CD-A0A2-2908071EFD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2" name="AutoShape 1" descr="Vista previa de toda la pantalla">
          <a:extLst>
            <a:ext uri="{FF2B5EF4-FFF2-40B4-BE49-F238E27FC236}">
              <a16:creationId xmlns:a16="http://schemas.microsoft.com/office/drawing/2014/main" id="{9A17FD33-5416-48BE-A04C-69AA02AAF1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3" name="AutoShape 1" descr="Vista previa de toda la pantalla">
          <a:extLst>
            <a:ext uri="{FF2B5EF4-FFF2-40B4-BE49-F238E27FC236}">
              <a16:creationId xmlns:a16="http://schemas.microsoft.com/office/drawing/2014/main" id="{292E4ED3-A1D9-4069-A2E1-BE4F47F11A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4" name="AutoShape 1" descr="Vista previa de toda la pantalla">
          <a:extLst>
            <a:ext uri="{FF2B5EF4-FFF2-40B4-BE49-F238E27FC236}">
              <a16:creationId xmlns:a16="http://schemas.microsoft.com/office/drawing/2014/main" id="{AE8C3EBC-8CCE-4374-939A-05BC859FB9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5" name="AutoShape 1" descr="Vista previa de toda la pantalla">
          <a:extLst>
            <a:ext uri="{FF2B5EF4-FFF2-40B4-BE49-F238E27FC236}">
              <a16:creationId xmlns:a16="http://schemas.microsoft.com/office/drawing/2014/main" id="{4ACF2CB9-A272-418C-9F05-78838880F0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6" name="AutoShape 1" descr="Vista previa de toda la pantalla">
          <a:extLst>
            <a:ext uri="{FF2B5EF4-FFF2-40B4-BE49-F238E27FC236}">
              <a16:creationId xmlns:a16="http://schemas.microsoft.com/office/drawing/2014/main" id="{0F3EB5BE-6A4C-4903-8291-4AECBF56EA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7" name="AutoShape 1" descr="Vista previa de toda la pantalla">
          <a:extLst>
            <a:ext uri="{FF2B5EF4-FFF2-40B4-BE49-F238E27FC236}">
              <a16:creationId xmlns:a16="http://schemas.microsoft.com/office/drawing/2014/main" id="{C841A2F1-EAB9-4DEB-9F9A-34A77094EC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8" name="AutoShape 1" descr="Vista previa de toda la pantalla">
          <a:extLst>
            <a:ext uri="{FF2B5EF4-FFF2-40B4-BE49-F238E27FC236}">
              <a16:creationId xmlns:a16="http://schemas.microsoft.com/office/drawing/2014/main" id="{464E27B2-E39D-4761-8D23-929F636056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69" name="AutoShape 1" descr="Vista previa de toda la pantalla">
          <a:extLst>
            <a:ext uri="{FF2B5EF4-FFF2-40B4-BE49-F238E27FC236}">
              <a16:creationId xmlns:a16="http://schemas.microsoft.com/office/drawing/2014/main" id="{96C90B15-D9F3-40B8-88BB-201E530EC6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0" name="AutoShape 1" descr="Vista previa de toda la pantalla">
          <a:extLst>
            <a:ext uri="{FF2B5EF4-FFF2-40B4-BE49-F238E27FC236}">
              <a16:creationId xmlns:a16="http://schemas.microsoft.com/office/drawing/2014/main" id="{3A82188F-343E-443F-BA0E-19B899C413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1" name="AutoShape 1" descr="Vista previa de toda la pantalla">
          <a:extLst>
            <a:ext uri="{FF2B5EF4-FFF2-40B4-BE49-F238E27FC236}">
              <a16:creationId xmlns:a16="http://schemas.microsoft.com/office/drawing/2014/main" id="{67A61FCC-D120-4272-AA6F-0B12D4A18A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2" name="AutoShape 1" descr="Vista previa de toda la pantalla">
          <a:extLst>
            <a:ext uri="{FF2B5EF4-FFF2-40B4-BE49-F238E27FC236}">
              <a16:creationId xmlns:a16="http://schemas.microsoft.com/office/drawing/2014/main" id="{C535FCA2-8710-4CD1-BD5D-82217CE4E5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3" name="AutoShape 1" descr="Vista previa de toda la pantalla">
          <a:extLst>
            <a:ext uri="{FF2B5EF4-FFF2-40B4-BE49-F238E27FC236}">
              <a16:creationId xmlns:a16="http://schemas.microsoft.com/office/drawing/2014/main" id="{68CE1B8E-F17D-4B87-8604-A2B5EFF354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4" name="AutoShape 1" descr="Vista previa de toda la pantalla">
          <a:extLst>
            <a:ext uri="{FF2B5EF4-FFF2-40B4-BE49-F238E27FC236}">
              <a16:creationId xmlns:a16="http://schemas.microsoft.com/office/drawing/2014/main" id="{F1F5340A-5DFC-4B70-9F43-3BF0C56883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5" name="AutoShape 1" descr="Vista previa de toda la pantalla">
          <a:extLst>
            <a:ext uri="{FF2B5EF4-FFF2-40B4-BE49-F238E27FC236}">
              <a16:creationId xmlns:a16="http://schemas.microsoft.com/office/drawing/2014/main" id="{CA7A05CE-3C57-475D-85E9-8C2E37D8CD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6" name="AutoShape 1" descr="Vista previa de toda la pantalla">
          <a:extLst>
            <a:ext uri="{FF2B5EF4-FFF2-40B4-BE49-F238E27FC236}">
              <a16:creationId xmlns:a16="http://schemas.microsoft.com/office/drawing/2014/main" id="{C334D7BF-5E21-450F-9FA3-382318BE15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7" name="AutoShape 1" descr="Vista previa de toda la pantalla">
          <a:extLst>
            <a:ext uri="{FF2B5EF4-FFF2-40B4-BE49-F238E27FC236}">
              <a16:creationId xmlns:a16="http://schemas.microsoft.com/office/drawing/2014/main" id="{7A01DA4D-0366-4A3E-B829-0D6A411AAE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8" name="AutoShape 1" descr="Vista previa de toda la pantalla">
          <a:extLst>
            <a:ext uri="{FF2B5EF4-FFF2-40B4-BE49-F238E27FC236}">
              <a16:creationId xmlns:a16="http://schemas.microsoft.com/office/drawing/2014/main" id="{74E73F74-1A89-47B4-BD57-D3766B05F2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79" name="AutoShape 1" descr="Vista previa de toda la pantalla">
          <a:extLst>
            <a:ext uri="{FF2B5EF4-FFF2-40B4-BE49-F238E27FC236}">
              <a16:creationId xmlns:a16="http://schemas.microsoft.com/office/drawing/2014/main" id="{AB110DBC-C953-4308-B5D9-85DBAD0E5B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0" name="AutoShape 1" descr="Vista previa de toda la pantalla">
          <a:extLst>
            <a:ext uri="{FF2B5EF4-FFF2-40B4-BE49-F238E27FC236}">
              <a16:creationId xmlns:a16="http://schemas.microsoft.com/office/drawing/2014/main" id="{49C37F29-4BA2-438F-B996-AD06FBB4AB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1" name="AutoShape 1" descr="Vista previa de toda la pantalla">
          <a:extLst>
            <a:ext uri="{FF2B5EF4-FFF2-40B4-BE49-F238E27FC236}">
              <a16:creationId xmlns:a16="http://schemas.microsoft.com/office/drawing/2014/main" id="{238BECDF-ACD8-42EA-850C-4D7030E4D8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2" name="AutoShape 1" descr="Vista previa de toda la pantalla">
          <a:extLst>
            <a:ext uri="{FF2B5EF4-FFF2-40B4-BE49-F238E27FC236}">
              <a16:creationId xmlns:a16="http://schemas.microsoft.com/office/drawing/2014/main" id="{1E183747-EC87-414D-BDC9-0E075B6691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3" name="AutoShape 1" descr="Vista previa de toda la pantalla">
          <a:extLst>
            <a:ext uri="{FF2B5EF4-FFF2-40B4-BE49-F238E27FC236}">
              <a16:creationId xmlns:a16="http://schemas.microsoft.com/office/drawing/2014/main" id="{71D4ECBE-8050-4A7C-ACA0-9275B134DA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4" name="AutoShape 1" descr="Vista previa de toda la pantalla">
          <a:extLst>
            <a:ext uri="{FF2B5EF4-FFF2-40B4-BE49-F238E27FC236}">
              <a16:creationId xmlns:a16="http://schemas.microsoft.com/office/drawing/2014/main" id="{0F5B5740-D258-480E-8D41-B4194487D7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5" name="AutoShape 1" descr="Vista previa de toda la pantalla">
          <a:extLst>
            <a:ext uri="{FF2B5EF4-FFF2-40B4-BE49-F238E27FC236}">
              <a16:creationId xmlns:a16="http://schemas.microsoft.com/office/drawing/2014/main" id="{DEE9C096-F038-4841-8391-1ED2957424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6" name="AutoShape 1" descr="Vista previa de toda la pantalla">
          <a:extLst>
            <a:ext uri="{FF2B5EF4-FFF2-40B4-BE49-F238E27FC236}">
              <a16:creationId xmlns:a16="http://schemas.microsoft.com/office/drawing/2014/main" id="{3103466B-15A6-4E68-A365-945B9D9BB1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7" name="AutoShape 1" descr="Vista previa de toda la pantalla">
          <a:extLst>
            <a:ext uri="{FF2B5EF4-FFF2-40B4-BE49-F238E27FC236}">
              <a16:creationId xmlns:a16="http://schemas.microsoft.com/office/drawing/2014/main" id="{85DF9693-3A45-4DA7-9A31-25F475F5B6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8" name="AutoShape 1" descr="Vista previa de toda la pantalla">
          <a:extLst>
            <a:ext uri="{FF2B5EF4-FFF2-40B4-BE49-F238E27FC236}">
              <a16:creationId xmlns:a16="http://schemas.microsoft.com/office/drawing/2014/main" id="{DB7466C7-9058-44A8-8627-B9D7C82DEA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89" name="AutoShape 1" descr="Vista previa de toda la pantalla">
          <a:extLst>
            <a:ext uri="{FF2B5EF4-FFF2-40B4-BE49-F238E27FC236}">
              <a16:creationId xmlns:a16="http://schemas.microsoft.com/office/drawing/2014/main" id="{093CBA11-33B8-419B-90FD-C5C2FDBDF9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0" name="AutoShape 1" descr="Vista previa de toda la pantalla">
          <a:extLst>
            <a:ext uri="{FF2B5EF4-FFF2-40B4-BE49-F238E27FC236}">
              <a16:creationId xmlns:a16="http://schemas.microsoft.com/office/drawing/2014/main" id="{CF03344A-BC2B-43DC-9CDF-078A956116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1" name="AutoShape 1" descr="Vista previa de toda la pantalla">
          <a:extLst>
            <a:ext uri="{FF2B5EF4-FFF2-40B4-BE49-F238E27FC236}">
              <a16:creationId xmlns:a16="http://schemas.microsoft.com/office/drawing/2014/main" id="{33A0DF85-3696-45DF-BC8C-15A67A3A45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2" name="AutoShape 1" descr="Vista previa de toda la pantalla">
          <a:extLst>
            <a:ext uri="{FF2B5EF4-FFF2-40B4-BE49-F238E27FC236}">
              <a16:creationId xmlns:a16="http://schemas.microsoft.com/office/drawing/2014/main" id="{D5165E4F-FB82-4092-A695-E70581C4D0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3" name="AutoShape 1" descr="Vista previa de toda la pantalla">
          <a:extLst>
            <a:ext uri="{FF2B5EF4-FFF2-40B4-BE49-F238E27FC236}">
              <a16:creationId xmlns:a16="http://schemas.microsoft.com/office/drawing/2014/main" id="{BA006944-C399-4BA6-9F9D-CAD1FF689A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4" name="AutoShape 1" descr="Vista previa de toda la pantalla">
          <a:extLst>
            <a:ext uri="{FF2B5EF4-FFF2-40B4-BE49-F238E27FC236}">
              <a16:creationId xmlns:a16="http://schemas.microsoft.com/office/drawing/2014/main" id="{54CB3CF7-6251-4EEB-8465-D2BEA8A667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5" name="AutoShape 1" descr="Vista previa de toda la pantalla">
          <a:extLst>
            <a:ext uri="{FF2B5EF4-FFF2-40B4-BE49-F238E27FC236}">
              <a16:creationId xmlns:a16="http://schemas.microsoft.com/office/drawing/2014/main" id="{08E4FEBD-D367-4A45-9B8E-7CEF0D6ACE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6" name="AutoShape 1" descr="Vista previa de toda la pantalla">
          <a:extLst>
            <a:ext uri="{FF2B5EF4-FFF2-40B4-BE49-F238E27FC236}">
              <a16:creationId xmlns:a16="http://schemas.microsoft.com/office/drawing/2014/main" id="{8833DFE4-7437-4793-BB54-AD680B1ACA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7" name="AutoShape 1" descr="Vista previa de toda la pantalla">
          <a:extLst>
            <a:ext uri="{FF2B5EF4-FFF2-40B4-BE49-F238E27FC236}">
              <a16:creationId xmlns:a16="http://schemas.microsoft.com/office/drawing/2014/main" id="{AC13EC49-6BF2-4E28-8B24-1FAC774D44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8" name="AutoShape 1" descr="Vista previa de toda la pantalla">
          <a:extLst>
            <a:ext uri="{FF2B5EF4-FFF2-40B4-BE49-F238E27FC236}">
              <a16:creationId xmlns:a16="http://schemas.microsoft.com/office/drawing/2014/main" id="{67569087-CE0F-48CA-8E6D-7181BC6FAF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499" name="AutoShape 1" descr="Vista previa de toda la pantalla">
          <a:extLst>
            <a:ext uri="{FF2B5EF4-FFF2-40B4-BE49-F238E27FC236}">
              <a16:creationId xmlns:a16="http://schemas.microsoft.com/office/drawing/2014/main" id="{C4D8DC3D-FCDA-4CC9-A610-EE2F9DE989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0" name="AutoShape 1" descr="Vista previa de toda la pantalla">
          <a:extLst>
            <a:ext uri="{FF2B5EF4-FFF2-40B4-BE49-F238E27FC236}">
              <a16:creationId xmlns:a16="http://schemas.microsoft.com/office/drawing/2014/main" id="{2D9DA09F-F806-4659-8C21-D2D225EB7F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1" name="AutoShape 1" descr="Vista previa de toda la pantalla">
          <a:extLst>
            <a:ext uri="{FF2B5EF4-FFF2-40B4-BE49-F238E27FC236}">
              <a16:creationId xmlns:a16="http://schemas.microsoft.com/office/drawing/2014/main" id="{EE333507-285F-467E-8D57-72C197FD2F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2" name="AutoShape 1" descr="Vista previa de toda la pantalla">
          <a:extLst>
            <a:ext uri="{FF2B5EF4-FFF2-40B4-BE49-F238E27FC236}">
              <a16:creationId xmlns:a16="http://schemas.microsoft.com/office/drawing/2014/main" id="{910DEB63-C70E-4F63-B8D0-493DCEAAE7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3" name="AutoShape 1" descr="Vista previa de toda la pantalla">
          <a:extLst>
            <a:ext uri="{FF2B5EF4-FFF2-40B4-BE49-F238E27FC236}">
              <a16:creationId xmlns:a16="http://schemas.microsoft.com/office/drawing/2014/main" id="{13D7661E-8FA6-4C1E-B2A1-B89B5117BC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4" name="AutoShape 1" descr="Vista previa de toda la pantalla">
          <a:extLst>
            <a:ext uri="{FF2B5EF4-FFF2-40B4-BE49-F238E27FC236}">
              <a16:creationId xmlns:a16="http://schemas.microsoft.com/office/drawing/2014/main" id="{7ABD7A89-F17C-4995-B703-4E5924783D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5" name="AutoShape 1" descr="Vista previa de toda la pantalla">
          <a:extLst>
            <a:ext uri="{FF2B5EF4-FFF2-40B4-BE49-F238E27FC236}">
              <a16:creationId xmlns:a16="http://schemas.microsoft.com/office/drawing/2014/main" id="{1D48022C-F060-4A79-B673-597BC77C84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6" name="AutoShape 1" descr="Vista previa de toda la pantalla">
          <a:extLst>
            <a:ext uri="{FF2B5EF4-FFF2-40B4-BE49-F238E27FC236}">
              <a16:creationId xmlns:a16="http://schemas.microsoft.com/office/drawing/2014/main" id="{8C11D7EB-6F4A-4058-94C9-746FE9E1DB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7" name="AutoShape 1" descr="Vista previa de toda la pantalla">
          <a:extLst>
            <a:ext uri="{FF2B5EF4-FFF2-40B4-BE49-F238E27FC236}">
              <a16:creationId xmlns:a16="http://schemas.microsoft.com/office/drawing/2014/main" id="{622100A9-9723-416F-AD02-91610D22E7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8" name="AutoShape 1" descr="Vista previa de toda la pantalla">
          <a:extLst>
            <a:ext uri="{FF2B5EF4-FFF2-40B4-BE49-F238E27FC236}">
              <a16:creationId xmlns:a16="http://schemas.microsoft.com/office/drawing/2014/main" id="{410F7C16-435B-4E8C-9523-9D0E3B6F4C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09" name="AutoShape 1" descr="Vista previa de toda la pantalla">
          <a:extLst>
            <a:ext uri="{FF2B5EF4-FFF2-40B4-BE49-F238E27FC236}">
              <a16:creationId xmlns:a16="http://schemas.microsoft.com/office/drawing/2014/main" id="{8A8EE9AB-9CAB-42FA-986F-57BD9B7BAD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0" name="AutoShape 1" descr="Vista previa de toda la pantalla">
          <a:extLst>
            <a:ext uri="{FF2B5EF4-FFF2-40B4-BE49-F238E27FC236}">
              <a16:creationId xmlns:a16="http://schemas.microsoft.com/office/drawing/2014/main" id="{7019BE0B-8FB6-4012-907B-E393E8A1C4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1" name="AutoShape 1" descr="Vista previa de toda la pantalla">
          <a:extLst>
            <a:ext uri="{FF2B5EF4-FFF2-40B4-BE49-F238E27FC236}">
              <a16:creationId xmlns:a16="http://schemas.microsoft.com/office/drawing/2014/main" id="{C5848381-1788-4102-9C6A-85F3947B19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2" name="AutoShape 1" descr="Vista previa de toda la pantalla">
          <a:extLst>
            <a:ext uri="{FF2B5EF4-FFF2-40B4-BE49-F238E27FC236}">
              <a16:creationId xmlns:a16="http://schemas.microsoft.com/office/drawing/2014/main" id="{3EAB49B1-509E-43CD-BA87-59BFA70B2A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3" name="AutoShape 1" descr="Vista previa de toda la pantalla">
          <a:extLst>
            <a:ext uri="{FF2B5EF4-FFF2-40B4-BE49-F238E27FC236}">
              <a16:creationId xmlns:a16="http://schemas.microsoft.com/office/drawing/2014/main" id="{9705C0BA-3A2E-4882-94DB-EABC323A31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4" name="AutoShape 1" descr="Vista previa de toda la pantalla">
          <a:extLst>
            <a:ext uri="{FF2B5EF4-FFF2-40B4-BE49-F238E27FC236}">
              <a16:creationId xmlns:a16="http://schemas.microsoft.com/office/drawing/2014/main" id="{B05AC55A-68D9-4515-9E2E-B11033CF0B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5" name="AutoShape 1" descr="Vista previa de toda la pantalla">
          <a:extLst>
            <a:ext uri="{FF2B5EF4-FFF2-40B4-BE49-F238E27FC236}">
              <a16:creationId xmlns:a16="http://schemas.microsoft.com/office/drawing/2014/main" id="{60A95122-7514-4795-8613-A79F046119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6" name="AutoShape 1" descr="Vista previa de toda la pantalla">
          <a:extLst>
            <a:ext uri="{FF2B5EF4-FFF2-40B4-BE49-F238E27FC236}">
              <a16:creationId xmlns:a16="http://schemas.microsoft.com/office/drawing/2014/main" id="{CECC435C-A34C-4EF0-907D-DC1B24424C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7" name="AutoShape 1" descr="Vista previa de toda la pantalla">
          <a:extLst>
            <a:ext uri="{FF2B5EF4-FFF2-40B4-BE49-F238E27FC236}">
              <a16:creationId xmlns:a16="http://schemas.microsoft.com/office/drawing/2014/main" id="{ABF8A558-D9B6-49F8-9DAA-13E50AFE4C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8" name="AutoShape 1" descr="Vista previa de toda la pantalla">
          <a:extLst>
            <a:ext uri="{FF2B5EF4-FFF2-40B4-BE49-F238E27FC236}">
              <a16:creationId xmlns:a16="http://schemas.microsoft.com/office/drawing/2014/main" id="{6B7ED2CE-3DE5-419E-AFC3-831CAD958B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19" name="AutoShape 1" descr="Vista previa de toda la pantalla">
          <a:extLst>
            <a:ext uri="{FF2B5EF4-FFF2-40B4-BE49-F238E27FC236}">
              <a16:creationId xmlns:a16="http://schemas.microsoft.com/office/drawing/2014/main" id="{F0FB243C-B7B8-491F-84D1-8BF350FDB7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0" name="AutoShape 1" descr="Vista previa de toda la pantalla">
          <a:extLst>
            <a:ext uri="{FF2B5EF4-FFF2-40B4-BE49-F238E27FC236}">
              <a16:creationId xmlns:a16="http://schemas.microsoft.com/office/drawing/2014/main" id="{B0DD3837-C37D-41E6-9421-D7655D535E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1" name="AutoShape 1" descr="Vista previa de toda la pantalla">
          <a:extLst>
            <a:ext uri="{FF2B5EF4-FFF2-40B4-BE49-F238E27FC236}">
              <a16:creationId xmlns:a16="http://schemas.microsoft.com/office/drawing/2014/main" id="{F50CF0A8-A1AC-4171-8794-475CCEFD64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2" name="AutoShape 1" descr="Vista previa de toda la pantalla">
          <a:extLst>
            <a:ext uri="{FF2B5EF4-FFF2-40B4-BE49-F238E27FC236}">
              <a16:creationId xmlns:a16="http://schemas.microsoft.com/office/drawing/2014/main" id="{DB1B6C84-CA70-47D2-A832-E5F778F173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3" name="AutoShape 1" descr="Vista previa de toda la pantalla">
          <a:extLst>
            <a:ext uri="{FF2B5EF4-FFF2-40B4-BE49-F238E27FC236}">
              <a16:creationId xmlns:a16="http://schemas.microsoft.com/office/drawing/2014/main" id="{B554E1B0-5451-4FA6-ABF0-85C0204368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4" name="AutoShape 1" descr="Vista previa de toda la pantalla">
          <a:extLst>
            <a:ext uri="{FF2B5EF4-FFF2-40B4-BE49-F238E27FC236}">
              <a16:creationId xmlns:a16="http://schemas.microsoft.com/office/drawing/2014/main" id="{8621FBCB-25A4-4120-82F5-B06E820F84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5" name="AutoShape 1" descr="Vista previa de toda la pantalla">
          <a:extLst>
            <a:ext uri="{FF2B5EF4-FFF2-40B4-BE49-F238E27FC236}">
              <a16:creationId xmlns:a16="http://schemas.microsoft.com/office/drawing/2014/main" id="{217AAAE5-C93C-4945-9875-5143A6862F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6" name="AutoShape 1" descr="Vista previa de toda la pantalla">
          <a:extLst>
            <a:ext uri="{FF2B5EF4-FFF2-40B4-BE49-F238E27FC236}">
              <a16:creationId xmlns:a16="http://schemas.microsoft.com/office/drawing/2014/main" id="{7159B188-F99E-48B4-8027-22199659E4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7" name="AutoShape 1" descr="Vista previa de toda la pantalla">
          <a:extLst>
            <a:ext uri="{FF2B5EF4-FFF2-40B4-BE49-F238E27FC236}">
              <a16:creationId xmlns:a16="http://schemas.microsoft.com/office/drawing/2014/main" id="{FE785B59-888A-4CA2-A795-4AEA927F7C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8" name="AutoShape 1" descr="Vista previa de toda la pantalla">
          <a:extLst>
            <a:ext uri="{FF2B5EF4-FFF2-40B4-BE49-F238E27FC236}">
              <a16:creationId xmlns:a16="http://schemas.microsoft.com/office/drawing/2014/main" id="{23712C02-543F-4A70-B4EA-3D71AFAE5B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29" name="AutoShape 1" descr="Vista previa de toda la pantalla">
          <a:extLst>
            <a:ext uri="{FF2B5EF4-FFF2-40B4-BE49-F238E27FC236}">
              <a16:creationId xmlns:a16="http://schemas.microsoft.com/office/drawing/2014/main" id="{6AD6F516-14CD-4BC3-B3A4-5BD7BA1C17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0" name="AutoShape 1" descr="Vista previa de toda la pantalla">
          <a:extLst>
            <a:ext uri="{FF2B5EF4-FFF2-40B4-BE49-F238E27FC236}">
              <a16:creationId xmlns:a16="http://schemas.microsoft.com/office/drawing/2014/main" id="{93B17945-49B6-4F29-8D05-360086E328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1" name="AutoShape 1" descr="Vista previa de toda la pantalla">
          <a:extLst>
            <a:ext uri="{FF2B5EF4-FFF2-40B4-BE49-F238E27FC236}">
              <a16:creationId xmlns:a16="http://schemas.microsoft.com/office/drawing/2014/main" id="{E915A488-87E1-4FCD-9323-CA2923CCEC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2" name="AutoShape 1" descr="Vista previa de toda la pantalla">
          <a:extLst>
            <a:ext uri="{FF2B5EF4-FFF2-40B4-BE49-F238E27FC236}">
              <a16:creationId xmlns:a16="http://schemas.microsoft.com/office/drawing/2014/main" id="{E551483A-36C2-48AE-B98C-E2D8D6C36C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3" name="AutoShape 1" descr="Vista previa de toda la pantalla">
          <a:extLst>
            <a:ext uri="{FF2B5EF4-FFF2-40B4-BE49-F238E27FC236}">
              <a16:creationId xmlns:a16="http://schemas.microsoft.com/office/drawing/2014/main" id="{8CBFEF5B-9959-4B26-AC1E-C9E20C487C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4" name="AutoShape 1" descr="Vista previa de toda la pantalla">
          <a:extLst>
            <a:ext uri="{FF2B5EF4-FFF2-40B4-BE49-F238E27FC236}">
              <a16:creationId xmlns:a16="http://schemas.microsoft.com/office/drawing/2014/main" id="{FEE32388-8C52-4798-8914-F60A19F7EC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5" name="AutoShape 1" descr="Vista previa de toda la pantalla">
          <a:extLst>
            <a:ext uri="{FF2B5EF4-FFF2-40B4-BE49-F238E27FC236}">
              <a16:creationId xmlns:a16="http://schemas.microsoft.com/office/drawing/2014/main" id="{D1C314BF-0084-4594-9FD4-6B558EE8E3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6" name="AutoShape 1" descr="Vista previa de toda la pantalla">
          <a:extLst>
            <a:ext uri="{FF2B5EF4-FFF2-40B4-BE49-F238E27FC236}">
              <a16:creationId xmlns:a16="http://schemas.microsoft.com/office/drawing/2014/main" id="{A5B8A1C1-6B1A-4EF5-A376-BAB7753D68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7" name="AutoShape 1" descr="Vista previa de toda la pantalla">
          <a:extLst>
            <a:ext uri="{FF2B5EF4-FFF2-40B4-BE49-F238E27FC236}">
              <a16:creationId xmlns:a16="http://schemas.microsoft.com/office/drawing/2014/main" id="{C4AA4C2D-18C2-4241-8087-926B8F9568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8" name="AutoShape 1" descr="Vista previa de toda la pantalla">
          <a:extLst>
            <a:ext uri="{FF2B5EF4-FFF2-40B4-BE49-F238E27FC236}">
              <a16:creationId xmlns:a16="http://schemas.microsoft.com/office/drawing/2014/main" id="{B8F641BC-8594-486F-9C9A-9495230375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39" name="AutoShape 1" descr="Vista previa de toda la pantalla">
          <a:extLst>
            <a:ext uri="{FF2B5EF4-FFF2-40B4-BE49-F238E27FC236}">
              <a16:creationId xmlns:a16="http://schemas.microsoft.com/office/drawing/2014/main" id="{0E228D42-B94D-475E-BC22-D37C0CDE9B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0" name="AutoShape 1" descr="Vista previa de toda la pantalla">
          <a:extLst>
            <a:ext uri="{FF2B5EF4-FFF2-40B4-BE49-F238E27FC236}">
              <a16:creationId xmlns:a16="http://schemas.microsoft.com/office/drawing/2014/main" id="{054B1AA7-16CA-494E-A2DA-8E3924C765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1" name="AutoShape 1" descr="Vista previa de toda la pantalla">
          <a:extLst>
            <a:ext uri="{FF2B5EF4-FFF2-40B4-BE49-F238E27FC236}">
              <a16:creationId xmlns:a16="http://schemas.microsoft.com/office/drawing/2014/main" id="{77C86115-1AC2-4C42-8A40-B29AF8C99B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2" name="AutoShape 1" descr="Vista previa de toda la pantalla">
          <a:extLst>
            <a:ext uri="{FF2B5EF4-FFF2-40B4-BE49-F238E27FC236}">
              <a16:creationId xmlns:a16="http://schemas.microsoft.com/office/drawing/2014/main" id="{298D7A77-87D0-489B-9574-4C77841C1C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3" name="AutoShape 1" descr="Vista previa de toda la pantalla">
          <a:extLst>
            <a:ext uri="{FF2B5EF4-FFF2-40B4-BE49-F238E27FC236}">
              <a16:creationId xmlns:a16="http://schemas.microsoft.com/office/drawing/2014/main" id="{945FA5CD-E45B-4E4C-A740-99EDB277ED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4" name="AutoShape 1" descr="Vista previa de toda la pantalla">
          <a:extLst>
            <a:ext uri="{FF2B5EF4-FFF2-40B4-BE49-F238E27FC236}">
              <a16:creationId xmlns:a16="http://schemas.microsoft.com/office/drawing/2014/main" id="{14EE0582-C8C6-4C8E-A75B-00EF756BE5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5" name="AutoShape 1" descr="Vista previa de toda la pantalla">
          <a:extLst>
            <a:ext uri="{FF2B5EF4-FFF2-40B4-BE49-F238E27FC236}">
              <a16:creationId xmlns:a16="http://schemas.microsoft.com/office/drawing/2014/main" id="{B92A5B2C-E9AE-4025-A9E8-2CCB934EE7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6" name="AutoShape 1" descr="Vista previa de toda la pantalla">
          <a:extLst>
            <a:ext uri="{FF2B5EF4-FFF2-40B4-BE49-F238E27FC236}">
              <a16:creationId xmlns:a16="http://schemas.microsoft.com/office/drawing/2014/main" id="{AC33A03A-3787-47A0-B5A0-06562E5973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7" name="AutoShape 1" descr="Vista previa de toda la pantalla">
          <a:extLst>
            <a:ext uri="{FF2B5EF4-FFF2-40B4-BE49-F238E27FC236}">
              <a16:creationId xmlns:a16="http://schemas.microsoft.com/office/drawing/2014/main" id="{51DF05EC-2262-4E38-91F3-1250C419F4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8" name="AutoShape 1" descr="Vista previa de toda la pantalla">
          <a:extLst>
            <a:ext uri="{FF2B5EF4-FFF2-40B4-BE49-F238E27FC236}">
              <a16:creationId xmlns:a16="http://schemas.microsoft.com/office/drawing/2014/main" id="{3E14CBC6-7AEC-4841-9D36-FF9698074B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49" name="AutoShape 1" descr="Vista previa de toda la pantalla">
          <a:extLst>
            <a:ext uri="{FF2B5EF4-FFF2-40B4-BE49-F238E27FC236}">
              <a16:creationId xmlns:a16="http://schemas.microsoft.com/office/drawing/2014/main" id="{F68F341C-AA5D-4D9E-9CCA-3A35ADD3AA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0" name="AutoShape 1" descr="Vista previa de toda la pantalla">
          <a:extLst>
            <a:ext uri="{FF2B5EF4-FFF2-40B4-BE49-F238E27FC236}">
              <a16:creationId xmlns:a16="http://schemas.microsoft.com/office/drawing/2014/main" id="{B4F2D227-8652-4B46-8728-8F72FF8624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1" name="AutoShape 1" descr="Vista previa de toda la pantalla">
          <a:extLst>
            <a:ext uri="{FF2B5EF4-FFF2-40B4-BE49-F238E27FC236}">
              <a16:creationId xmlns:a16="http://schemas.microsoft.com/office/drawing/2014/main" id="{FEDEE1D6-FFD9-4F09-8CE0-55F2951FE6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2" name="AutoShape 1" descr="Vista previa de toda la pantalla">
          <a:extLst>
            <a:ext uri="{FF2B5EF4-FFF2-40B4-BE49-F238E27FC236}">
              <a16:creationId xmlns:a16="http://schemas.microsoft.com/office/drawing/2014/main" id="{16F2ACD7-F342-4425-AEEC-9C34A75B46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3" name="AutoShape 1" descr="Vista previa de toda la pantalla">
          <a:extLst>
            <a:ext uri="{FF2B5EF4-FFF2-40B4-BE49-F238E27FC236}">
              <a16:creationId xmlns:a16="http://schemas.microsoft.com/office/drawing/2014/main" id="{12FC286F-6881-4F18-9BA8-C926B21C8B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4" name="AutoShape 1" descr="Vista previa de toda la pantalla">
          <a:extLst>
            <a:ext uri="{FF2B5EF4-FFF2-40B4-BE49-F238E27FC236}">
              <a16:creationId xmlns:a16="http://schemas.microsoft.com/office/drawing/2014/main" id="{7E7F601C-795C-4365-8D26-B2E80B4A20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5" name="AutoShape 1" descr="Vista previa de toda la pantalla">
          <a:extLst>
            <a:ext uri="{FF2B5EF4-FFF2-40B4-BE49-F238E27FC236}">
              <a16:creationId xmlns:a16="http://schemas.microsoft.com/office/drawing/2014/main" id="{FD776EB3-F7F4-4926-92DD-DAC5F55A6D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6" name="AutoShape 1" descr="Vista previa de toda la pantalla">
          <a:extLst>
            <a:ext uri="{FF2B5EF4-FFF2-40B4-BE49-F238E27FC236}">
              <a16:creationId xmlns:a16="http://schemas.microsoft.com/office/drawing/2014/main" id="{1BAD59D8-4CDE-4C19-842C-E908C8787F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7" name="AutoShape 1" descr="Vista previa de toda la pantalla">
          <a:extLst>
            <a:ext uri="{FF2B5EF4-FFF2-40B4-BE49-F238E27FC236}">
              <a16:creationId xmlns:a16="http://schemas.microsoft.com/office/drawing/2014/main" id="{7B019797-5DEE-40CA-B1C0-7DBD333DEC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8" name="AutoShape 1" descr="Vista previa de toda la pantalla">
          <a:extLst>
            <a:ext uri="{FF2B5EF4-FFF2-40B4-BE49-F238E27FC236}">
              <a16:creationId xmlns:a16="http://schemas.microsoft.com/office/drawing/2014/main" id="{4641D485-83F7-4470-8797-F36569D759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59" name="AutoShape 1" descr="Vista previa de toda la pantalla">
          <a:extLst>
            <a:ext uri="{FF2B5EF4-FFF2-40B4-BE49-F238E27FC236}">
              <a16:creationId xmlns:a16="http://schemas.microsoft.com/office/drawing/2014/main" id="{D289C400-EC7F-4059-8237-334B088C2F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0" name="AutoShape 1" descr="Vista previa de toda la pantalla">
          <a:extLst>
            <a:ext uri="{FF2B5EF4-FFF2-40B4-BE49-F238E27FC236}">
              <a16:creationId xmlns:a16="http://schemas.microsoft.com/office/drawing/2014/main" id="{67AE2E14-1C96-49F4-AF04-AF23CEFD25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1" name="AutoShape 1" descr="Vista previa de toda la pantalla">
          <a:extLst>
            <a:ext uri="{FF2B5EF4-FFF2-40B4-BE49-F238E27FC236}">
              <a16:creationId xmlns:a16="http://schemas.microsoft.com/office/drawing/2014/main" id="{899B80FA-8B74-4FA8-849F-5541BD6419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2" name="AutoShape 1" descr="Vista previa de toda la pantalla">
          <a:extLst>
            <a:ext uri="{FF2B5EF4-FFF2-40B4-BE49-F238E27FC236}">
              <a16:creationId xmlns:a16="http://schemas.microsoft.com/office/drawing/2014/main" id="{1B162B0B-D0DB-4B3B-BCE4-D80C8A9043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3" name="AutoShape 1" descr="Vista previa de toda la pantalla">
          <a:extLst>
            <a:ext uri="{FF2B5EF4-FFF2-40B4-BE49-F238E27FC236}">
              <a16:creationId xmlns:a16="http://schemas.microsoft.com/office/drawing/2014/main" id="{9BF7541D-6B84-406F-83A5-E178A7300C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4" name="AutoShape 1" descr="Vista previa de toda la pantalla">
          <a:extLst>
            <a:ext uri="{FF2B5EF4-FFF2-40B4-BE49-F238E27FC236}">
              <a16:creationId xmlns:a16="http://schemas.microsoft.com/office/drawing/2014/main" id="{24FF6C09-717B-489B-844D-F14F9C846D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5" name="AutoShape 1" descr="Vista previa de toda la pantalla">
          <a:extLst>
            <a:ext uri="{FF2B5EF4-FFF2-40B4-BE49-F238E27FC236}">
              <a16:creationId xmlns:a16="http://schemas.microsoft.com/office/drawing/2014/main" id="{321AB822-9FCA-4632-8C54-EBEDF0FE0E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6" name="AutoShape 1" descr="Vista previa de toda la pantalla">
          <a:extLst>
            <a:ext uri="{FF2B5EF4-FFF2-40B4-BE49-F238E27FC236}">
              <a16:creationId xmlns:a16="http://schemas.microsoft.com/office/drawing/2014/main" id="{ED4C7586-4E3F-4C5E-A3CF-F651A7BB63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7" name="AutoShape 1" descr="Vista previa de toda la pantalla">
          <a:extLst>
            <a:ext uri="{FF2B5EF4-FFF2-40B4-BE49-F238E27FC236}">
              <a16:creationId xmlns:a16="http://schemas.microsoft.com/office/drawing/2014/main" id="{20637E86-5B08-4F79-9A45-648A1D0DC6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8" name="AutoShape 1" descr="Vista previa de toda la pantalla">
          <a:extLst>
            <a:ext uri="{FF2B5EF4-FFF2-40B4-BE49-F238E27FC236}">
              <a16:creationId xmlns:a16="http://schemas.microsoft.com/office/drawing/2014/main" id="{AE373FB2-8B0B-4D67-99DD-713DC9BC89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69" name="AutoShape 1" descr="Vista previa de toda la pantalla">
          <a:extLst>
            <a:ext uri="{FF2B5EF4-FFF2-40B4-BE49-F238E27FC236}">
              <a16:creationId xmlns:a16="http://schemas.microsoft.com/office/drawing/2014/main" id="{FF6AF3FE-1ACA-44D5-B9BA-4578EEE283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70" name="AutoShape 1" descr="Vista previa de toda la pantalla">
          <a:extLst>
            <a:ext uri="{FF2B5EF4-FFF2-40B4-BE49-F238E27FC236}">
              <a16:creationId xmlns:a16="http://schemas.microsoft.com/office/drawing/2014/main" id="{B1748DE7-480C-4361-B353-D404F30027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71" name="AutoShape 1" descr="Vista previa de toda la pantalla">
          <a:extLst>
            <a:ext uri="{FF2B5EF4-FFF2-40B4-BE49-F238E27FC236}">
              <a16:creationId xmlns:a16="http://schemas.microsoft.com/office/drawing/2014/main" id="{8D12777D-C26B-49E3-A838-21C5DC0DA2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72" name="AutoShape 1" descr="Vista previa de toda la pantalla">
          <a:extLst>
            <a:ext uri="{FF2B5EF4-FFF2-40B4-BE49-F238E27FC236}">
              <a16:creationId xmlns:a16="http://schemas.microsoft.com/office/drawing/2014/main" id="{02484773-6B88-49FB-9C77-A8AFAD8F74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73" name="AutoShape 1" descr="Vista previa de toda la pantalla">
          <a:extLst>
            <a:ext uri="{FF2B5EF4-FFF2-40B4-BE49-F238E27FC236}">
              <a16:creationId xmlns:a16="http://schemas.microsoft.com/office/drawing/2014/main" id="{3384E68B-AA63-45D3-B847-7B1EBF191D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74" name="AutoShape 1" descr="Vista previa de toda la pantalla">
          <a:extLst>
            <a:ext uri="{FF2B5EF4-FFF2-40B4-BE49-F238E27FC236}">
              <a16:creationId xmlns:a16="http://schemas.microsoft.com/office/drawing/2014/main" id="{153F22C2-1370-4C73-BC97-8AE863D8F8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75" name="AutoShape 1" descr="Vista previa de toda la pantalla">
          <a:extLst>
            <a:ext uri="{FF2B5EF4-FFF2-40B4-BE49-F238E27FC236}">
              <a16:creationId xmlns:a16="http://schemas.microsoft.com/office/drawing/2014/main" id="{C7DE6866-22BE-4E75-9297-06ECB3E6A8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5576" name="AutoShape 1" descr="Vista previa de toda la pantalla">
          <a:extLst>
            <a:ext uri="{FF2B5EF4-FFF2-40B4-BE49-F238E27FC236}">
              <a16:creationId xmlns:a16="http://schemas.microsoft.com/office/drawing/2014/main" id="{4358CF94-FC84-4C87-9BA6-86AE8246E031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77" name="AutoShape 1" descr="Vista previa de toda la pantalla">
          <a:extLst>
            <a:ext uri="{FF2B5EF4-FFF2-40B4-BE49-F238E27FC236}">
              <a16:creationId xmlns:a16="http://schemas.microsoft.com/office/drawing/2014/main" id="{9006AAB8-A8EF-4099-9591-3EDDA01157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78" name="AutoShape 1" descr="Vista previa de toda la pantalla">
          <a:extLst>
            <a:ext uri="{FF2B5EF4-FFF2-40B4-BE49-F238E27FC236}">
              <a16:creationId xmlns:a16="http://schemas.microsoft.com/office/drawing/2014/main" id="{3A927DBC-8DF6-4756-A521-F9D6D9953E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79" name="AutoShape 1" descr="Vista previa de toda la pantalla">
          <a:extLst>
            <a:ext uri="{FF2B5EF4-FFF2-40B4-BE49-F238E27FC236}">
              <a16:creationId xmlns:a16="http://schemas.microsoft.com/office/drawing/2014/main" id="{5E389337-11AB-4D10-91FB-C12FD2CBBC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0" name="AutoShape 1" descr="Vista previa de toda la pantalla">
          <a:extLst>
            <a:ext uri="{FF2B5EF4-FFF2-40B4-BE49-F238E27FC236}">
              <a16:creationId xmlns:a16="http://schemas.microsoft.com/office/drawing/2014/main" id="{3739FB5E-A605-4705-92BD-78F921DDEE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1" name="AutoShape 1" descr="Vista previa de toda la pantalla">
          <a:extLst>
            <a:ext uri="{FF2B5EF4-FFF2-40B4-BE49-F238E27FC236}">
              <a16:creationId xmlns:a16="http://schemas.microsoft.com/office/drawing/2014/main" id="{8F85A23C-0180-4AE1-A434-FCE110D5D9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2" name="AutoShape 1" descr="Vista previa de toda la pantalla">
          <a:extLst>
            <a:ext uri="{FF2B5EF4-FFF2-40B4-BE49-F238E27FC236}">
              <a16:creationId xmlns:a16="http://schemas.microsoft.com/office/drawing/2014/main" id="{DB96C3B9-3B80-4AAF-BC4C-0F738350EC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3" name="AutoShape 1" descr="Vista previa de toda la pantalla">
          <a:extLst>
            <a:ext uri="{FF2B5EF4-FFF2-40B4-BE49-F238E27FC236}">
              <a16:creationId xmlns:a16="http://schemas.microsoft.com/office/drawing/2014/main" id="{9C6130C6-F2F8-47B0-8830-14FDF57EED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4" name="AutoShape 1" descr="Vista previa de toda la pantalla">
          <a:extLst>
            <a:ext uri="{FF2B5EF4-FFF2-40B4-BE49-F238E27FC236}">
              <a16:creationId xmlns:a16="http://schemas.microsoft.com/office/drawing/2014/main" id="{7BADAA78-4F80-4FCE-97F8-FECE1ECF6A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5" name="AutoShape 1" descr="Vista previa de toda la pantalla">
          <a:extLst>
            <a:ext uri="{FF2B5EF4-FFF2-40B4-BE49-F238E27FC236}">
              <a16:creationId xmlns:a16="http://schemas.microsoft.com/office/drawing/2014/main" id="{71C6164D-BEF7-4BF9-B949-D3131666ED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6" name="AutoShape 1" descr="Vista previa de toda la pantalla">
          <a:extLst>
            <a:ext uri="{FF2B5EF4-FFF2-40B4-BE49-F238E27FC236}">
              <a16:creationId xmlns:a16="http://schemas.microsoft.com/office/drawing/2014/main" id="{70814AF4-5723-4ACD-85E5-2803BF3932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7" name="AutoShape 1" descr="Vista previa de toda la pantalla">
          <a:extLst>
            <a:ext uri="{FF2B5EF4-FFF2-40B4-BE49-F238E27FC236}">
              <a16:creationId xmlns:a16="http://schemas.microsoft.com/office/drawing/2014/main" id="{7BAD8213-4118-427C-BF8A-68B51F683D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8" name="AutoShape 1" descr="Vista previa de toda la pantalla">
          <a:extLst>
            <a:ext uri="{FF2B5EF4-FFF2-40B4-BE49-F238E27FC236}">
              <a16:creationId xmlns:a16="http://schemas.microsoft.com/office/drawing/2014/main" id="{06196F15-760B-4E16-AF9C-1B686C8345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89" name="AutoShape 1" descr="Vista previa de toda la pantalla">
          <a:extLst>
            <a:ext uri="{FF2B5EF4-FFF2-40B4-BE49-F238E27FC236}">
              <a16:creationId xmlns:a16="http://schemas.microsoft.com/office/drawing/2014/main" id="{CCF4C3BC-A624-4A4B-966A-10D765205E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0" name="AutoShape 1" descr="Vista previa de toda la pantalla">
          <a:extLst>
            <a:ext uri="{FF2B5EF4-FFF2-40B4-BE49-F238E27FC236}">
              <a16:creationId xmlns:a16="http://schemas.microsoft.com/office/drawing/2014/main" id="{837BE72C-827E-49B1-A826-338BB3DB81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1" name="AutoShape 1" descr="Vista previa de toda la pantalla">
          <a:extLst>
            <a:ext uri="{FF2B5EF4-FFF2-40B4-BE49-F238E27FC236}">
              <a16:creationId xmlns:a16="http://schemas.microsoft.com/office/drawing/2014/main" id="{7A882104-052D-4257-9BC4-946932B6E6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2" name="AutoShape 1" descr="Vista previa de toda la pantalla">
          <a:extLst>
            <a:ext uri="{FF2B5EF4-FFF2-40B4-BE49-F238E27FC236}">
              <a16:creationId xmlns:a16="http://schemas.microsoft.com/office/drawing/2014/main" id="{303AD298-02C1-4FF7-9E3D-460BD64CDC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3" name="AutoShape 1" descr="Vista previa de toda la pantalla">
          <a:extLst>
            <a:ext uri="{FF2B5EF4-FFF2-40B4-BE49-F238E27FC236}">
              <a16:creationId xmlns:a16="http://schemas.microsoft.com/office/drawing/2014/main" id="{B0020F78-30D7-480B-9FE0-A8D031E3C5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4" name="AutoShape 1" descr="Vista previa de toda la pantalla">
          <a:extLst>
            <a:ext uri="{FF2B5EF4-FFF2-40B4-BE49-F238E27FC236}">
              <a16:creationId xmlns:a16="http://schemas.microsoft.com/office/drawing/2014/main" id="{7FEE917B-7B39-4C71-8B43-BDDE1E2D3F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5" name="AutoShape 1" descr="Vista previa de toda la pantalla">
          <a:extLst>
            <a:ext uri="{FF2B5EF4-FFF2-40B4-BE49-F238E27FC236}">
              <a16:creationId xmlns:a16="http://schemas.microsoft.com/office/drawing/2014/main" id="{E1F67864-E1A3-4565-94D3-66DF1DE2BB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6" name="AutoShape 1" descr="Vista previa de toda la pantalla">
          <a:extLst>
            <a:ext uri="{FF2B5EF4-FFF2-40B4-BE49-F238E27FC236}">
              <a16:creationId xmlns:a16="http://schemas.microsoft.com/office/drawing/2014/main" id="{50CDAC17-EF7C-47D1-ADEE-8163A11B0D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7" name="AutoShape 1" descr="Vista previa de toda la pantalla">
          <a:extLst>
            <a:ext uri="{FF2B5EF4-FFF2-40B4-BE49-F238E27FC236}">
              <a16:creationId xmlns:a16="http://schemas.microsoft.com/office/drawing/2014/main" id="{5E28DF4A-C3F0-496C-BDF1-25F2CC3326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8" name="AutoShape 1" descr="Vista previa de toda la pantalla">
          <a:extLst>
            <a:ext uri="{FF2B5EF4-FFF2-40B4-BE49-F238E27FC236}">
              <a16:creationId xmlns:a16="http://schemas.microsoft.com/office/drawing/2014/main" id="{C2D9D809-1A6E-4A69-9A2C-51F55FFD3F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599" name="AutoShape 1" descr="Vista previa de toda la pantalla">
          <a:extLst>
            <a:ext uri="{FF2B5EF4-FFF2-40B4-BE49-F238E27FC236}">
              <a16:creationId xmlns:a16="http://schemas.microsoft.com/office/drawing/2014/main" id="{7BC7D785-E123-4453-9802-BB7ED93EBA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0" name="AutoShape 1" descr="Vista previa de toda la pantalla">
          <a:extLst>
            <a:ext uri="{FF2B5EF4-FFF2-40B4-BE49-F238E27FC236}">
              <a16:creationId xmlns:a16="http://schemas.microsoft.com/office/drawing/2014/main" id="{C6A5BDD1-ADE4-47CE-AA1B-1F4B148BDA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1" name="AutoShape 1" descr="Vista previa de toda la pantalla">
          <a:extLst>
            <a:ext uri="{FF2B5EF4-FFF2-40B4-BE49-F238E27FC236}">
              <a16:creationId xmlns:a16="http://schemas.microsoft.com/office/drawing/2014/main" id="{D6726837-2202-44F6-97A1-E0E0934E17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2" name="AutoShape 1" descr="Vista previa de toda la pantalla">
          <a:extLst>
            <a:ext uri="{FF2B5EF4-FFF2-40B4-BE49-F238E27FC236}">
              <a16:creationId xmlns:a16="http://schemas.microsoft.com/office/drawing/2014/main" id="{769725C8-409B-43FA-9232-49A32D6963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3" name="AutoShape 1" descr="Vista previa de toda la pantalla">
          <a:extLst>
            <a:ext uri="{FF2B5EF4-FFF2-40B4-BE49-F238E27FC236}">
              <a16:creationId xmlns:a16="http://schemas.microsoft.com/office/drawing/2014/main" id="{2B19EBC8-CC2D-4233-AB8B-F266A65B88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4" name="AutoShape 1" descr="Vista previa de toda la pantalla">
          <a:extLst>
            <a:ext uri="{FF2B5EF4-FFF2-40B4-BE49-F238E27FC236}">
              <a16:creationId xmlns:a16="http://schemas.microsoft.com/office/drawing/2014/main" id="{7C311A13-20A2-4CA8-886B-D2BB208B0F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5" name="AutoShape 1" descr="Vista previa de toda la pantalla">
          <a:extLst>
            <a:ext uri="{FF2B5EF4-FFF2-40B4-BE49-F238E27FC236}">
              <a16:creationId xmlns:a16="http://schemas.microsoft.com/office/drawing/2014/main" id="{50F90BC6-D5F3-47BC-97DA-9FB24772E1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6" name="AutoShape 1" descr="Vista previa de toda la pantalla">
          <a:extLst>
            <a:ext uri="{FF2B5EF4-FFF2-40B4-BE49-F238E27FC236}">
              <a16:creationId xmlns:a16="http://schemas.microsoft.com/office/drawing/2014/main" id="{6FDDD5D3-3C2E-449F-8B37-E9D44E4BE0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7" name="AutoShape 1" descr="Vista previa de toda la pantalla">
          <a:extLst>
            <a:ext uri="{FF2B5EF4-FFF2-40B4-BE49-F238E27FC236}">
              <a16:creationId xmlns:a16="http://schemas.microsoft.com/office/drawing/2014/main" id="{BBA1B2D4-242B-478E-B42A-ACBD922EA6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8" name="AutoShape 1" descr="Vista previa de toda la pantalla">
          <a:extLst>
            <a:ext uri="{FF2B5EF4-FFF2-40B4-BE49-F238E27FC236}">
              <a16:creationId xmlns:a16="http://schemas.microsoft.com/office/drawing/2014/main" id="{8C1E70BB-ACB6-4B08-BB11-8066BF49E9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09" name="AutoShape 1" descr="Vista previa de toda la pantalla">
          <a:extLst>
            <a:ext uri="{FF2B5EF4-FFF2-40B4-BE49-F238E27FC236}">
              <a16:creationId xmlns:a16="http://schemas.microsoft.com/office/drawing/2014/main" id="{E5CD71BC-0B2D-47AB-90AD-3DB24F30C6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0" name="AutoShape 1" descr="Vista previa de toda la pantalla">
          <a:extLst>
            <a:ext uri="{FF2B5EF4-FFF2-40B4-BE49-F238E27FC236}">
              <a16:creationId xmlns:a16="http://schemas.microsoft.com/office/drawing/2014/main" id="{AC339A6E-7D72-458C-9221-D6F2410370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1" name="AutoShape 1" descr="Vista previa de toda la pantalla">
          <a:extLst>
            <a:ext uri="{FF2B5EF4-FFF2-40B4-BE49-F238E27FC236}">
              <a16:creationId xmlns:a16="http://schemas.microsoft.com/office/drawing/2014/main" id="{0B88D83E-9ADC-4778-B152-7B7C75BBE9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2" name="AutoShape 1" descr="Vista previa de toda la pantalla">
          <a:extLst>
            <a:ext uri="{FF2B5EF4-FFF2-40B4-BE49-F238E27FC236}">
              <a16:creationId xmlns:a16="http://schemas.microsoft.com/office/drawing/2014/main" id="{D27850F1-83E5-4622-B28F-76C1E01817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3" name="AutoShape 1" descr="Vista previa de toda la pantalla">
          <a:extLst>
            <a:ext uri="{FF2B5EF4-FFF2-40B4-BE49-F238E27FC236}">
              <a16:creationId xmlns:a16="http://schemas.microsoft.com/office/drawing/2014/main" id="{0CAC36AE-FCAF-4F82-9C76-3DBAE3EF79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4" name="AutoShape 1" descr="Vista previa de toda la pantalla">
          <a:extLst>
            <a:ext uri="{FF2B5EF4-FFF2-40B4-BE49-F238E27FC236}">
              <a16:creationId xmlns:a16="http://schemas.microsoft.com/office/drawing/2014/main" id="{C47643B0-5719-4F7C-A47E-45717B01E7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5" name="AutoShape 1" descr="Vista previa de toda la pantalla">
          <a:extLst>
            <a:ext uri="{FF2B5EF4-FFF2-40B4-BE49-F238E27FC236}">
              <a16:creationId xmlns:a16="http://schemas.microsoft.com/office/drawing/2014/main" id="{58869F7D-5440-4E72-ACE3-46269A033B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6" name="AutoShape 1" descr="Vista previa de toda la pantalla">
          <a:extLst>
            <a:ext uri="{FF2B5EF4-FFF2-40B4-BE49-F238E27FC236}">
              <a16:creationId xmlns:a16="http://schemas.microsoft.com/office/drawing/2014/main" id="{C2E276C2-ED64-4B90-A42B-CDC0522B27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7" name="AutoShape 1" descr="Vista previa de toda la pantalla">
          <a:extLst>
            <a:ext uri="{FF2B5EF4-FFF2-40B4-BE49-F238E27FC236}">
              <a16:creationId xmlns:a16="http://schemas.microsoft.com/office/drawing/2014/main" id="{FE1F5106-C2D4-413B-8CAB-E27D7CB0A4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8" name="AutoShape 1" descr="Vista previa de toda la pantalla">
          <a:extLst>
            <a:ext uri="{FF2B5EF4-FFF2-40B4-BE49-F238E27FC236}">
              <a16:creationId xmlns:a16="http://schemas.microsoft.com/office/drawing/2014/main" id="{4D41846F-899C-4E71-9471-FE47B894B2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19" name="AutoShape 1" descr="Vista previa de toda la pantalla">
          <a:extLst>
            <a:ext uri="{FF2B5EF4-FFF2-40B4-BE49-F238E27FC236}">
              <a16:creationId xmlns:a16="http://schemas.microsoft.com/office/drawing/2014/main" id="{9C3D9FD0-1353-4C9F-B29C-93A8A41767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0" name="AutoShape 1" descr="Vista previa de toda la pantalla">
          <a:extLst>
            <a:ext uri="{FF2B5EF4-FFF2-40B4-BE49-F238E27FC236}">
              <a16:creationId xmlns:a16="http://schemas.microsoft.com/office/drawing/2014/main" id="{60AB146E-A879-4402-92AE-CD66D2FFF0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1" name="AutoShape 1" descr="Vista previa de toda la pantalla">
          <a:extLst>
            <a:ext uri="{FF2B5EF4-FFF2-40B4-BE49-F238E27FC236}">
              <a16:creationId xmlns:a16="http://schemas.microsoft.com/office/drawing/2014/main" id="{63A84731-C825-4BC5-B1E7-8E6884DA15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2" name="AutoShape 1" descr="Vista previa de toda la pantalla">
          <a:extLst>
            <a:ext uri="{FF2B5EF4-FFF2-40B4-BE49-F238E27FC236}">
              <a16:creationId xmlns:a16="http://schemas.microsoft.com/office/drawing/2014/main" id="{1F63EC5C-AC5B-4880-BFAC-0F6EAE0778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3" name="AutoShape 1" descr="Vista previa de toda la pantalla">
          <a:extLst>
            <a:ext uri="{FF2B5EF4-FFF2-40B4-BE49-F238E27FC236}">
              <a16:creationId xmlns:a16="http://schemas.microsoft.com/office/drawing/2014/main" id="{8415403F-223E-47CA-B15C-E2FDF70269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4" name="AutoShape 1" descr="Vista previa de toda la pantalla">
          <a:extLst>
            <a:ext uri="{FF2B5EF4-FFF2-40B4-BE49-F238E27FC236}">
              <a16:creationId xmlns:a16="http://schemas.microsoft.com/office/drawing/2014/main" id="{1215DAC6-499F-4E47-AAD9-CDE70C1B4A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5" name="AutoShape 1" descr="Vista previa de toda la pantalla">
          <a:extLst>
            <a:ext uri="{FF2B5EF4-FFF2-40B4-BE49-F238E27FC236}">
              <a16:creationId xmlns:a16="http://schemas.microsoft.com/office/drawing/2014/main" id="{8FB9E99D-A22E-4B89-8329-0B83AAC0BC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6" name="AutoShape 1" descr="Vista previa de toda la pantalla">
          <a:extLst>
            <a:ext uri="{FF2B5EF4-FFF2-40B4-BE49-F238E27FC236}">
              <a16:creationId xmlns:a16="http://schemas.microsoft.com/office/drawing/2014/main" id="{D5B07B3A-49D6-42B3-98DB-0317094C13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7" name="AutoShape 1" descr="Vista previa de toda la pantalla">
          <a:extLst>
            <a:ext uri="{FF2B5EF4-FFF2-40B4-BE49-F238E27FC236}">
              <a16:creationId xmlns:a16="http://schemas.microsoft.com/office/drawing/2014/main" id="{B576D634-6E10-4574-A160-1D776DE135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8" name="AutoShape 1" descr="Vista previa de toda la pantalla">
          <a:extLst>
            <a:ext uri="{FF2B5EF4-FFF2-40B4-BE49-F238E27FC236}">
              <a16:creationId xmlns:a16="http://schemas.microsoft.com/office/drawing/2014/main" id="{150A9FA0-D1F0-4617-8AAA-241001A5A2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29" name="AutoShape 1" descr="Vista previa de toda la pantalla">
          <a:extLst>
            <a:ext uri="{FF2B5EF4-FFF2-40B4-BE49-F238E27FC236}">
              <a16:creationId xmlns:a16="http://schemas.microsoft.com/office/drawing/2014/main" id="{71CB824C-E396-4991-A308-E15D1D77F8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0" name="AutoShape 1" descr="Vista previa de toda la pantalla">
          <a:extLst>
            <a:ext uri="{FF2B5EF4-FFF2-40B4-BE49-F238E27FC236}">
              <a16:creationId xmlns:a16="http://schemas.microsoft.com/office/drawing/2014/main" id="{0F38F408-0F52-44A3-B6F7-3A2F1A1353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1" name="AutoShape 1" descr="Vista previa de toda la pantalla">
          <a:extLst>
            <a:ext uri="{FF2B5EF4-FFF2-40B4-BE49-F238E27FC236}">
              <a16:creationId xmlns:a16="http://schemas.microsoft.com/office/drawing/2014/main" id="{DCB3048A-C39A-43F4-9C92-21E342504D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2" name="AutoShape 1" descr="Vista previa de toda la pantalla">
          <a:extLst>
            <a:ext uri="{FF2B5EF4-FFF2-40B4-BE49-F238E27FC236}">
              <a16:creationId xmlns:a16="http://schemas.microsoft.com/office/drawing/2014/main" id="{E047649B-865A-45C3-9E0E-8EB15C59CC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3" name="AutoShape 1" descr="Vista previa de toda la pantalla">
          <a:extLst>
            <a:ext uri="{FF2B5EF4-FFF2-40B4-BE49-F238E27FC236}">
              <a16:creationId xmlns:a16="http://schemas.microsoft.com/office/drawing/2014/main" id="{A7DE55E2-03AF-4522-925B-6024A65B9C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4" name="AutoShape 1" descr="Vista previa de toda la pantalla">
          <a:extLst>
            <a:ext uri="{FF2B5EF4-FFF2-40B4-BE49-F238E27FC236}">
              <a16:creationId xmlns:a16="http://schemas.microsoft.com/office/drawing/2014/main" id="{593C2724-409A-4BF8-AE7F-5561005B7F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5" name="AutoShape 1" descr="Vista previa de toda la pantalla">
          <a:extLst>
            <a:ext uri="{FF2B5EF4-FFF2-40B4-BE49-F238E27FC236}">
              <a16:creationId xmlns:a16="http://schemas.microsoft.com/office/drawing/2014/main" id="{EF02D9B9-A419-4036-B845-50B2486DC5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6" name="AutoShape 1" descr="Vista previa de toda la pantalla">
          <a:extLst>
            <a:ext uri="{FF2B5EF4-FFF2-40B4-BE49-F238E27FC236}">
              <a16:creationId xmlns:a16="http://schemas.microsoft.com/office/drawing/2014/main" id="{52EDCF1E-FFBD-4FE8-AD8E-2CB3D4F4CA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7" name="AutoShape 1" descr="Vista previa de toda la pantalla">
          <a:extLst>
            <a:ext uri="{FF2B5EF4-FFF2-40B4-BE49-F238E27FC236}">
              <a16:creationId xmlns:a16="http://schemas.microsoft.com/office/drawing/2014/main" id="{CBE8445B-F8E2-412F-9BB4-AB6681C9F3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8" name="AutoShape 1" descr="Vista previa de toda la pantalla">
          <a:extLst>
            <a:ext uri="{FF2B5EF4-FFF2-40B4-BE49-F238E27FC236}">
              <a16:creationId xmlns:a16="http://schemas.microsoft.com/office/drawing/2014/main" id="{464A0D6D-DAEB-4281-A997-DAEFC19563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39" name="AutoShape 1" descr="Vista previa de toda la pantalla">
          <a:extLst>
            <a:ext uri="{FF2B5EF4-FFF2-40B4-BE49-F238E27FC236}">
              <a16:creationId xmlns:a16="http://schemas.microsoft.com/office/drawing/2014/main" id="{921DBBCA-B36A-40AE-8386-95229A4F6E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0" name="AutoShape 1" descr="Vista previa de toda la pantalla">
          <a:extLst>
            <a:ext uri="{FF2B5EF4-FFF2-40B4-BE49-F238E27FC236}">
              <a16:creationId xmlns:a16="http://schemas.microsoft.com/office/drawing/2014/main" id="{BF8FBE72-4241-44FC-9971-402A52BCE2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1" name="AutoShape 1" descr="Vista previa de toda la pantalla">
          <a:extLst>
            <a:ext uri="{FF2B5EF4-FFF2-40B4-BE49-F238E27FC236}">
              <a16:creationId xmlns:a16="http://schemas.microsoft.com/office/drawing/2014/main" id="{367DEEBD-0145-4584-A69E-941F8E1526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2" name="AutoShape 1" descr="Vista previa de toda la pantalla">
          <a:extLst>
            <a:ext uri="{FF2B5EF4-FFF2-40B4-BE49-F238E27FC236}">
              <a16:creationId xmlns:a16="http://schemas.microsoft.com/office/drawing/2014/main" id="{336088B1-F16C-42B0-B785-5D28484870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3" name="AutoShape 1" descr="Vista previa de toda la pantalla">
          <a:extLst>
            <a:ext uri="{FF2B5EF4-FFF2-40B4-BE49-F238E27FC236}">
              <a16:creationId xmlns:a16="http://schemas.microsoft.com/office/drawing/2014/main" id="{F8AD7FB8-DE86-4DEA-9DFD-E7116954DE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4" name="AutoShape 1" descr="Vista previa de toda la pantalla">
          <a:extLst>
            <a:ext uri="{FF2B5EF4-FFF2-40B4-BE49-F238E27FC236}">
              <a16:creationId xmlns:a16="http://schemas.microsoft.com/office/drawing/2014/main" id="{29FFE192-453D-4E8B-B5F9-8BFB65E879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5" name="AutoShape 1" descr="Vista previa de toda la pantalla">
          <a:extLst>
            <a:ext uri="{FF2B5EF4-FFF2-40B4-BE49-F238E27FC236}">
              <a16:creationId xmlns:a16="http://schemas.microsoft.com/office/drawing/2014/main" id="{A7EAAB00-AC8A-4C79-A542-0511A786F0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6" name="AutoShape 1" descr="Vista previa de toda la pantalla">
          <a:extLst>
            <a:ext uri="{FF2B5EF4-FFF2-40B4-BE49-F238E27FC236}">
              <a16:creationId xmlns:a16="http://schemas.microsoft.com/office/drawing/2014/main" id="{AF0AB0A9-B424-43E9-9505-C3DADE9AC8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7" name="AutoShape 1" descr="Vista previa de toda la pantalla">
          <a:extLst>
            <a:ext uri="{FF2B5EF4-FFF2-40B4-BE49-F238E27FC236}">
              <a16:creationId xmlns:a16="http://schemas.microsoft.com/office/drawing/2014/main" id="{5BEC81A3-C630-4F5E-9B59-A756F27514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8" name="AutoShape 1" descr="Vista previa de toda la pantalla">
          <a:extLst>
            <a:ext uri="{FF2B5EF4-FFF2-40B4-BE49-F238E27FC236}">
              <a16:creationId xmlns:a16="http://schemas.microsoft.com/office/drawing/2014/main" id="{C0E3AF5F-7EA5-4637-8448-DB5C4435A0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49" name="AutoShape 1" descr="Vista previa de toda la pantalla">
          <a:extLst>
            <a:ext uri="{FF2B5EF4-FFF2-40B4-BE49-F238E27FC236}">
              <a16:creationId xmlns:a16="http://schemas.microsoft.com/office/drawing/2014/main" id="{0D79C42F-E71F-4270-ABD9-82659DEE3E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0" name="AutoShape 1" descr="Vista previa de toda la pantalla">
          <a:extLst>
            <a:ext uri="{FF2B5EF4-FFF2-40B4-BE49-F238E27FC236}">
              <a16:creationId xmlns:a16="http://schemas.microsoft.com/office/drawing/2014/main" id="{D8F8A003-D1E4-4F01-A10E-470C715230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1" name="AutoShape 1" descr="Vista previa de toda la pantalla">
          <a:extLst>
            <a:ext uri="{FF2B5EF4-FFF2-40B4-BE49-F238E27FC236}">
              <a16:creationId xmlns:a16="http://schemas.microsoft.com/office/drawing/2014/main" id="{CED1599A-5637-4F24-98D0-8AE7EBE451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2" name="AutoShape 1" descr="Vista previa de toda la pantalla">
          <a:extLst>
            <a:ext uri="{FF2B5EF4-FFF2-40B4-BE49-F238E27FC236}">
              <a16:creationId xmlns:a16="http://schemas.microsoft.com/office/drawing/2014/main" id="{2315414F-74DA-4AA5-BC84-5B86C502BE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3" name="AutoShape 1" descr="Vista previa de toda la pantalla">
          <a:extLst>
            <a:ext uri="{FF2B5EF4-FFF2-40B4-BE49-F238E27FC236}">
              <a16:creationId xmlns:a16="http://schemas.microsoft.com/office/drawing/2014/main" id="{A3314F8B-E6B0-49A1-9F5C-62F239C348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4" name="AutoShape 1" descr="Vista previa de toda la pantalla">
          <a:extLst>
            <a:ext uri="{FF2B5EF4-FFF2-40B4-BE49-F238E27FC236}">
              <a16:creationId xmlns:a16="http://schemas.microsoft.com/office/drawing/2014/main" id="{B0BCFCAD-FAFE-49EA-9D89-39E3D8F55B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5" name="AutoShape 1" descr="Vista previa de toda la pantalla">
          <a:extLst>
            <a:ext uri="{FF2B5EF4-FFF2-40B4-BE49-F238E27FC236}">
              <a16:creationId xmlns:a16="http://schemas.microsoft.com/office/drawing/2014/main" id="{8738F815-FB92-4623-88BD-B825FB4F0F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6" name="AutoShape 1" descr="Vista previa de toda la pantalla">
          <a:extLst>
            <a:ext uri="{FF2B5EF4-FFF2-40B4-BE49-F238E27FC236}">
              <a16:creationId xmlns:a16="http://schemas.microsoft.com/office/drawing/2014/main" id="{9953BBF1-5FD2-4098-8953-FF96FB29BB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7" name="AutoShape 1" descr="Vista previa de toda la pantalla">
          <a:extLst>
            <a:ext uri="{FF2B5EF4-FFF2-40B4-BE49-F238E27FC236}">
              <a16:creationId xmlns:a16="http://schemas.microsoft.com/office/drawing/2014/main" id="{F79A731A-D9F1-4B02-A1F2-F8DCAC163A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8" name="AutoShape 1" descr="Vista previa de toda la pantalla">
          <a:extLst>
            <a:ext uri="{FF2B5EF4-FFF2-40B4-BE49-F238E27FC236}">
              <a16:creationId xmlns:a16="http://schemas.microsoft.com/office/drawing/2014/main" id="{F09882EA-0EA4-42A9-B336-F29AED30A9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59" name="AutoShape 1" descr="Vista previa de toda la pantalla">
          <a:extLst>
            <a:ext uri="{FF2B5EF4-FFF2-40B4-BE49-F238E27FC236}">
              <a16:creationId xmlns:a16="http://schemas.microsoft.com/office/drawing/2014/main" id="{AE33EE09-B6ED-4707-9304-BC7851CA6E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0" name="AutoShape 1" descr="Vista previa de toda la pantalla">
          <a:extLst>
            <a:ext uri="{FF2B5EF4-FFF2-40B4-BE49-F238E27FC236}">
              <a16:creationId xmlns:a16="http://schemas.microsoft.com/office/drawing/2014/main" id="{0FF386C6-15D0-4A3F-B608-776842D0C9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1" name="AutoShape 1" descr="Vista previa de toda la pantalla">
          <a:extLst>
            <a:ext uri="{FF2B5EF4-FFF2-40B4-BE49-F238E27FC236}">
              <a16:creationId xmlns:a16="http://schemas.microsoft.com/office/drawing/2014/main" id="{A23152C4-172F-431C-ACFE-76C8547E07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2" name="AutoShape 1" descr="Vista previa de toda la pantalla">
          <a:extLst>
            <a:ext uri="{FF2B5EF4-FFF2-40B4-BE49-F238E27FC236}">
              <a16:creationId xmlns:a16="http://schemas.microsoft.com/office/drawing/2014/main" id="{CE1643F2-B5EF-416F-B99B-F03BD8BEF4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3" name="AutoShape 1" descr="Vista previa de toda la pantalla">
          <a:extLst>
            <a:ext uri="{FF2B5EF4-FFF2-40B4-BE49-F238E27FC236}">
              <a16:creationId xmlns:a16="http://schemas.microsoft.com/office/drawing/2014/main" id="{9A14BEE2-1E79-4928-B6EE-3E98AE713F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4" name="AutoShape 1" descr="Vista previa de toda la pantalla">
          <a:extLst>
            <a:ext uri="{FF2B5EF4-FFF2-40B4-BE49-F238E27FC236}">
              <a16:creationId xmlns:a16="http://schemas.microsoft.com/office/drawing/2014/main" id="{E4E07FA4-2653-4B03-A068-14744301DA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5" name="AutoShape 1" descr="Vista previa de toda la pantalla">
          <a:extLst>
            <a:ext uri="{FF2B5EF4-FFF2-40B4-BE49-F238E27FC236}">
              <a16:creationId xmlns:a16="http://schemas.microsoft.com/office/drawing/2014/main" id="{2A5D5761-DE6E-4982-A4C5-E6C56EB51D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6" name="AutoShape 1" descr="Vista previa de toda la pantalla">
          <a:extLst>
            <a:ext uri="{FF2B5EF4-FFF2-40B4-BE49-F238E27FC236}">
              <a16:creationId xmlns:a16="http://schemas.microsoft.com/office/drawing/2014/main" id="{7773371B-66AD-4494-8345-2DEC2DFF09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7" name="AutoShape 1" descr="Vista previa de toda la pantalla">
          <a:extLst>
            <a:ext uri="{FF2B5EF4-FFF2-40B4-BE49-F238E27FC236}">
              <a16:creationId xmlns:a16="http://schemas.microsoft.com/office/drawing/2014/main" id="{41D276B4-1A5A-4BC3-9F13-DB0B9E5A28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8" name="AutoShape 1" descr="Vista previa de toda la pantalla">
          <a:extLst>
            <a:ext uri="{FF2B5EF4-FFF2-40B4-BE49-F238E27FC236}">
              <a16:creationId xmlns:a16="http://schemas.microsoft.com/office/drawing/2014/main" id="{7B6BECED-4795-4E8B-92C6-731C74761E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69" name="AutoShape 1" descr="Vista previa de toda la pantalla">
          <a:extLst>
            <a:ext uri="{FF2B5EF4-FFF2-40B4-BE49-F238E27FC236}">
              <a16:creationId xmlns:a16="http://schemas.microsoft.com/office/drawing/2014/main" id="{3954CB22-9533-46B3-B5EF-74417D434C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0" name="AutoShape 1" descr="Vista previa de toda la pantalla">
          <a:extLst>
            <a:ext uri="{FF2B5EF4-FFF2-40B4-BE49-F238E27FC236}">
              <a16:creationId xmlns:a16="http://schemas.microsoft.com/office/drawing/2014/main" id="{2CAEF52F-AFBF-4A07-A93D-602427F9DD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1" name="AutoShape 1" descr="Vista previa de toda la pantalla">
          <a:extLst>
            <a:ext uri="{FF2B5EF4-FFF2-40B4-BE49-F238E27FC236}">
              <a16:creationId xmlns:a16="http://schemas.microsoft.com/office/drawing/2014/main" id="{AE0BD5E2-17AA-47EB-BCFE-24337EB293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2" name="AutoShape 1" descr="Vista previa de toda la pantalla">
          <a:extLst>
            <a:ext uri="{FF2B5EF4-FFF2-40B4-BE49-F238E27FC236}">
              <a16:creationId xmlns:a16="http://schemas.microsoft.com/office/drawing/2014/main" id="{70C4D403-0EDE-4E5E-9DFB-710139F163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3" name="AutoShape 1" descr="Vista previa de toda la pantalla">
          <a:extLst>
            <a:ext uri="{FF2B5EF4-FFF2-40B4-BE49-F238E27FC236}">
              <a16:creationId xmlns:a16="http://schemas.microsoft.com/office/drawing/2014/main" id="{12DB26CB-12C4-4ADF-A636-289E9DD9E4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4" name="AutoShape 1" descr="Vista previa de toda la pantalla">
          <a:extLst>
            <a:ext uri="{FF2B5EF4-FFF2-40B4-BE49-F238E27FC236}">
              <a16:creationId xmlns:a16="http://schemas.microsoft.com/office/drawing/2014/main" id="{64FD321D-1B7D-4152-B379-9DAD84EA59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5" name="AutoShape 1" descr="Vista previa de toda la pantalla">
          <a:extLst>
            <a:ext uri="{FF2B5EF4-FFF2-40B4-BE49-F238E27FC236}">
              <a16:creationId xmlns:a16="http://schemas.microsoft.com/office/drawing/2014/main" id="{039276D0-1564-4DA6-829F-4BDC47D9ED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6" name="AutoShape 1" descr="Vista previa de toda la pantalla">
          <a:extLst>
            <a:ext uri="{FF2B5EF4-FFF2-40B4-BE49-F238E27FC236}">
              <a16:creationId xmlns:a16="http://schemas.microsoft.com/office/drawing/2014/main" id="{84DCC59B-62AD-4FF2-8B06-B23F5C0DA3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7" name="AutoShape 1" descr="Vista previa de toda la pantalla">
          <a:extLst>
            <a:ext uri="{FF2B5EF4-FFF2-40B4-BE49-F238E27FC236}">
              <a16:creationId xmlns:a16="http://schemas.microsoft.com/office/drawing/2014/main" id="{D906C9B8-962D-4585-91B8-1F6A4D18ED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8" name="AutoShape 1" descr="Vista previa de toda la pantalla">
          <a:extLst>
            <a:ext uri="{FF2B5EF4-FFF2-40B4-BE49-F238E27FC236}">
              <a16:creationId xmlns:a16="http://schemas.microsoft.com/office/drawing/2014/main" id="{6659DA12-CD46-405D-942E-9A1456E05F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79" name="AutoShape 1" descr="Vista previa de toda la pantalla">
          <a:extLst>
            <a:ext uri="{FF2B5EF4-FFF2-40B4-BE49-F238E27FC236}">
              <a16:creationId xmlns:a16="http://schemas.microsoft.com/office/drawing/2014/main" id="{385C906E-583C-4E2D-96A5-33122ED0AA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0" name="AutoShape 1" descr="Vista previa de toda la pantalla">
          <a:extLst>
            <a:ext uri="{FF2B5EF4-FFF2-40B4-BE49-F238E27FC236}">
              <a16:creationId xmlns:a16="http://schemas.microsoft.com/office/drawing/2014/main" id="{1DB7B64B-1774-460A-9756-1725CA112F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1" name="AutoShape 1" descr="Vista previa de toda la pantalla">
          <a:extLst>
            <a:ext uri="{FF2B5EF4-FFF2-40B4-BE49-F238E27FC236}">
              <a16:creationId xmlns:a16="http://schemas.microsoft.com/office/drawing/2014/main" id="{C23F8953-CF31-4744-B940-948D33E19D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2" name="AutoShape 1" descr="Vista previa de toda la pantalla">
          <a:extLst>
            <a:ext uri="{FF2B5EF4-FFF2-40B4-BE49-F238E27FC236}">
              <a16:creationId xmlns:a16="http://schemas.microsoft.com/office/drawing/2014/main" id="{2CBE6E29-D60F-46C5-84AF-2DFE96EFC1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3" name="AutoShape 1" descr="Vista previa de toda la pantalla">
          <a:extLst>
            <a:ext uri="{FF2B5EF4-FFF2-40B4-BE49-F238E27FC236}">
              <a16:creationId xmlns:a16="http://schemas.microsoft.com/office/drawing/2014/main" id="{48DE95DF-20F3-4171-AA73-2AD52C3872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4" name="AutoShape 1" descr="Vista previa de toda la pantalla">
          <a:extLst>
            <a:ext uri="{FF2B5EF4-FFF2-40B4-BE49-F238E27FC236}">
              <a16:creationId xmlns:a16="http://schemas.microsoft.com/office/drawing/2014/main" id="{599AD27C-92B3-45CA-83A7-434E96DBFA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5" name="AutoShape 1" descr="Vista previa de toda la pantalla">
          <a:extLst>
            <a:ext uri="{FF2B5EF4-FFF2-40B4-BE49-F238E27FC236}">
              <a16:creationId xmlns:a16="http://schemas.microsoft.com/office/drawing/2014/main" id="{11BE17FA-26ED-444C-AD93-58B6887FC4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6" name="AutoShape 1" descr="Vista previa de toda la pantalla">
          <a:extLst>
            <a:ext uri="{FF2B5EF4-FFF2-40B4-BE49-F238E27FC236}">
              <a16:creationId xmlns:a16="http://schemas.microsoft.com/office/drawing/2014/main" id="{7BF396BD-6E27-4056-B5D6-7C8D00F34E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7" name="AutoShape 1" descr="Vista previa de toda la pantalla">
          <a:extLst>
            <a:ext uri="{FF2B5EF4-FFF2-40B4-BE49-F238E27FC236}">
              <a16:creationId xmlns:a16="http://schemas.microsoft.com/office/drawing/2014/main" id="{5FBB7EFF-8262-4BB0-82A7-F28C1C0BA5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8" name="AutoShape 1" descr="Vista previa de toda la pantalla">
          <a:extLst>
            <a:ext uri="{FF2B5EF4-FFF2-40B4-BE49-F238E27FC236}">
              <a16:creationId xmlns:a16="http://schemas.microsoft.com/office/drawing/2014/main" id="{7CD21C88-4833-4F8F-B116-4AFF6C05CD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89" name="AutoShape 1" descr="Vista previa de toda la pantalla">
          <a:extLst>
            <a:ext uri="{FF2B5EF4-FFF2-40B4-BE49-F238E27FC236}">
              <a16:creationId xmlns:a16="http://schemas.microsoft.com/office/drawing/2014/main" id="{BBB435FB-3D58-4A5F-A72A-E1E29DBC02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0" name="AutoShape 1" descr="Vista previa de toda la pantalla">
          <a:extLst>
            <a:ext uri="{FF2B5EF4-FFF2-40B4-BE49-F238E27FC236}">
              <a16:creationId xmlns:a16="http://schemas.microsoft.com/office/drawing/2014/main" id="{F3B964F7-346B-47EE-BDBD-029BC10EBC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1" name="AutoShape 1" descr="Vista previa de toda la pantalla">
          <a:extLst>
            <a:ext uri="{FF2B5EF4-FFF2-40B4-BE49-F238E27FC236}">
              <a16:creationId xmlns:a16="http://schemas.microsoft.com/office/drawing/2014/main" id="{C2F9B5F7-DC46-447E-B212-44A4FEE1A0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2" name="AutoShape 1" descr="Vista previa de toda la pantalla">
          <a:extLst>
            <a:ext uri="{FF2B5EF4-FFF2-40B4-BE49-F238E27FC236}">
              <a16:creationId xmlns:a16="http://schemas.microsoft.com/office/drawing/2014/main" id="{77FDDDB0-8AB7-4FA1-8AB8-D5C144BAD5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3" name="AutoShape 1" descr="Vista previa de toda la pantalla">
          <a:extLst>
            <a:ext uri="{FF2B5EF4-FFF2-40B4-BE49-F238E27FC236}">
              <a16:creationId xmlns:a16="http://schemas.microsoft.com/office/drawing/2014/main" id="{9047028A-5240-4E19-B790-2BFF9891F0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4" name="AutoShape 1" descr="Vista previa de toda la pantalla">
          <a:extLst>
            <a:ext uri="{FF2B5EF4-FFF2-40B4-BE49-F238E27FC236}">
              <a16:creationId xmlns:a16="http://schemas.microsoft.com/office/drawing/2014/main" id="{0E7655C2-3DBD-4B24-85F8-ED04EC1D5D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5" name="AutoShape 1" descr="Vista previa de toda la pantalla">
          <a:extLst>
            <a:ext uri="{FF2B5EF4-FFF2-40B4-BE49-F238E27FC236}">
              <a16:creationId xmlns:a16="http://schemas.microsoft.com/office/drawing/2014/main" id="{F600EEA7-BC2E-4C6F-99AE-71F68FB064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6" name="AutoShape 1" descr="Vista previa de toda la pantalla">
          <a:extLst>
            <a:ext uri="{FF2B5EF4-FFF2-40B4-BE49-F238E27FC236}">
              <a16:creationId xmlns:a16="http://schemas.microsoft.com/office/drawing/2014/main" id="{CFC37922-73A3-4716-B587-4C4DBBAFF9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7" name="AutoShape 1" descr="Vista previa de toda la pantalla">
          <a:extLst>
            <a:ext uri="{FF2B5EF4-FFF2-40B4-BE49-F238E27FC236}">
              <a16:creationId xmlns:a16="http://schemas.microsoft.com/office/drawing/2014/main" id="{04C15445-BDC0-41AE-AF5F-DD411D5649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8" name="AutoShape 1" descr="Vista previa de toda la pantalla">
          <a:extLst>
            <a:ext uri="{FF2B5EF4-FFF2-40B4-BE49-F238E27FC236}">
              <a16:creationId xmlns:a16="http://schemas.microsoft.com/office/drawing/2014/main" id="{901870DA-FA21-4CD7-881F-27ABF6B3B9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699" name="AutoShape 1" descr="Vista previa de toda la pantalla">
          <a:extLst>
            <a:ext uri="{FF2B5EF4-FFF2-40B4-BE49-F238E27FC236}">
              <a16:creationId xmlns:a16="http://schemas.microsoft.com/office/drawing/2014/main" id="{765654EB-56DF-4C1B-8430-6411801212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0" name="AutoShape 1" descr="Vista previa de toda la pantalla">
          <a:extLst>
            <a:ext uri="{FF2B5EF4-FFF2-40B4-BE49-F238E27FC236}">
              <a16:creationId xmlns:a16="http://schemas.microsoft.com/office/drawing/2014/main" id="{5593D0F7-2EA0-49F0-A3F7-D0828EAC56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1" name="AutoShape 1" descr="Vista previa de toda la pantalla">
          <a:extLst>
            <a:ext uri="{FF2B5EF4-FFF2-40B4-BE49-F238E27FC236}">
              <a16:creationId xmlns:a16="http://schemas.microsoft.com/office/drawing/2014/main" id="{228DE5CD-1D2B-4479-8142-AB0DF6F999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2" name="AutoShape 1" descr="Vista previa de toda la pantalla">
          <a:extLst>
            <a:ext uri="{FF2B5EF4-FFF2-40B4-BE49-F238E27FC236}">
              <a16:creationId xmlns:a16="http://schemas.microsoft.com/office/drawing/2014/main" id="{FC90DE67-4DE0-4781-AEC6-ED60978278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3" name="AutoShape 1" descr="Vista previa de toda la pantalla">
          <a:extLst>
            <a:ext uri="{FF2B5EF4-FFF2-40B4-BE49-F238E27FC236}">
              <a16:creationId xmlns:a16="http://schemas.microsoft.com/office/drawing/2014/main" id="{93161393-73CF-4F41-96DD-06E7324629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4" name="AutoShape 1" descr="Vista previa de toda la pantalla">
          <a:extLst>
            <a:ext uri="{FF2B5EF4-FFF2-40B4-BE49-F238E27FC236}">
              <a16:creationId xmlns:a16="http://schemas.microsoft.com/office/drawing/2014/main" id="{0ACFE6BD-7812-43E1-86D6-CDBF9750FA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5" name="AutoShape 1" descr="Vista previa de toda la pantalla">
          <a:extLst>
            <a:ext uri="{FF2B5EF4-FFF2-40B4-BE49-F238E27FC236}">
              <a16:creationId xmlns:a16="http://schemas.microsoft.com/office/drawing/2014/main" id="{43819ECC-0A05-4CDA-A8F3-AA4E7C7801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6" name="AutoShape 1" descr="Vista previa de toda la pantalla">
          <a:extLst>
            <a:ext uri="{FF2B5EF4-FFF2-40B4-BE49-F238E27FC236}">
              <a16:creationId xmlns:a16="http://schemas.microsoft.com/office/drawing/2014/main" id="{677A61EE-5BBC-4783-95A0-A5BCFD2406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7" name="AutoShape 1" descr="Vista previa de toda la pantalla">
          <a:extLst>
            <a:ext uri="{FF2B5EF4-FFF2-40B4-BE49-F238E27FC236}">
              <a16:creationId xmlns:a16="http://schemas.microsoft.com/office/drawing/2014/main" id="{0AC3E85E-45FB-4216-A8FB-10795DEFB4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8" name="AutoShape 1" descr="Vista previa de toda la pantalla">
          <a:extLst>
            <a:ext uri="{FF2B5EF4-FFF2-40B4-BE49-F238E27FC236}">
              <a16:creationId xmlns:a16="http://schemas.microsoft.com/office/drawing/2014/main" id="{C71F1BD7-A1CF-456C-B5B0-68BE7056DA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09" name="AutoShape 1" descr="Vista previa de toda la pantalla">
          <a:extLst>
            <a:ext uri="{FF2B5EF4-FFF2-40B4-BE49-F238E27FC236}">
              <a16:creationId xmlns:a16="http://schemas.microsoft.com/office/drawing/2014/main" id="{ADE76013-A509-4DA3-98B4-579652D41A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0" name="AutoShape 1" descr="Vista previa de toda la pantalla">
          <a:extLst>
            <a:ext uri="{FF2B5EF4-FFF2-40B4-BE49-F238E27FC236}">
              <a16:creationId xmlns:a16="http://schemas.microsoft.com/office/drawing/2014/main" id="{555DE52D-428F-4DE1-8574-941B3C91C3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1" name="AutoShape 1" descr="Vista previa de toda la pantalla">
          <a:extLst>
            <a:ext uri="{FF2B5EF4-FFF2-40B4-BE49-F238E27FC236}">
              <a16:creationId xmlns:a16="http://schemas.microsoft.com/office/drawing/2014/main" id="{C0C2CFAF-7360-47D3-9A87-57B36AA329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2" name="AutoShape 1" descr="Vista previa de toda la pantalla">
          <a:extLst>
            <a:ext uri="{FF2B5EF4-FFF2-40B4-BE49-F238E27FC236}">
              <a16:creationId xmlns:a16="http://schemas.microsoft.com/office/drawing/2014/main" id="{A2FF9B76-740E-4C83-BDDB-49401143D8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3" name="AutoShape 1" descr="Vista previa de toda la pantalla">
          <a:extLst>
            <a:ext uri="{FF2B5EF4-FFF2-40B4-BE49-F238E27FC236}">
              <a16:creationId xmlns:a16="http://schemas.microsoft.com/office/drawing/2014/main" id="{1DFA9D88-44E6-4946-8DF4-3B2AFEA11E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4" name="AutoShape 1" descr="Vista previa de toda la pantalla">
          <a:extLst>
            <a:ext uri="{FF2B5EF4-FFF2-40B4-BE49-F238E27FC236}">
              <a16:creationId xmlns:a16="http://schemas.microsoft.com/office/drawing/2014/main" id="{50D396F0-55B9-498E-BA90-F829E3CCB8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5" name="AutoShape 1" descr="Vista previa de toda la pantalla">
          <a:extLst>
            <a:ext uri="{FF2B5EF4-FFF2-40B4-BE49-F238E27FC236}">
              <a16:creationId xmlns:a16="http://schemas.microsoft.com/office/drawing/2014/main" id="{AEA1E328-CDDA-4BAB-B4A1-1AABFE17F2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6" name="AutoShape 1" descr="Vista previa de toda la pantalla">
          <a:extLst>
            <a:ext uri="{FF2B5EF4-FFF2-40B4-BE49-F238E27FC236}">
              <a16:creationId xmlns:a16="http://schemas.microsoft.com/office/drawing/2014/main" id="{D03B81B4-3ED2-4E25-9CD8-2622133A05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7" name="AutoShape 1" descr="Vista previa de toda la pantalla">
          <a:extLst>
            <a:ext uri="{FF2B5EF4-FFF2-40B4-BE49-F238E27FC236}">
              <a16:creationId xmlns:a16="http://schemas.microsoft.com/office/drawing/2014/main" id="{73B6D5CF-DD76-4D3F-9849-E6AE8375A8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8" name="AutoShape 1" descr="Vista previa de toda la pantalla">
          <a:extLst>
            <a:ext uri="{FF2B5EF4-FFF2-40B4-BE49-F238E27FC236}">
              <a16:creationId xmlns:a16="http://schemas.microsoft.com/office/drawing/2014/main" id="{229B6FA0-02F6-4F22-8C82-D20AD3F6F4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19" name="AutoShape 1" descr="Vista previa de toda la pantalla">
          <a:extLst>
            <a:ext uri="{FF2B5EF4-FFF2-40B4-BE49-F238E27FC236}">
              <a16:creationId xmlns:a16="http://schemas.microsoft.com/office/drawing/2014/main" id="{6FC3ABCA-E5F6-46DB-9002-70C3F1BEE9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0" name="AutoShape 1" descr="Vista previa de toda la pantalla">
          <a:extLst>
            <a:ext uri="{FF2B5EF4-FFF2-40B4-BE49-F238E27FC236}">
              <a16:creationId xmlns:a16="http://schemas.microsoft.com/office/drawing/2014/main" id="{2557D05F-C24E-4119-919E-1C7EC7347B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1" name="AutoShape 1" descr="Vista previa de toda la pantalla">
          <a:extLst>
            <a:ext uri="{FF2B5EF4-FFF2-40B4-BE49-F238E27FC236}">
              <a16:creationId xmlns:a16="http://schemas.microsoft.com/office/drawing/2014/main" id="{2195CC0F-C0CC-42B9-91B2-EDC334AE80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2" name="AutoShape 1" descr="Vista previa de toda la pantalla">
          <a:extLst>
            <a:ext uri="{FF2B5EF4-FFF2-40B4-BE49-F238E27FC236}">
              <a16:creationId xmlns:a16="http://schemas.microsoft.com/office/drawing/2014/main" id="{37D65409-ECD2-4A93-8D38-1494FF52FC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3" name="AutoShape 1" descr="Vista previa de toda la pantalla">
          <a:extLst>
            <a:ext uri="{FF2B5EF4-FFF2-40B4-BE49-F238E27FC236}">
              <a16:creationId xmlns:a16="http://schemas.microsoft.com/office/drawing/2014/main" id="{4A71CB68-6747-41DB-B5D6-64B7FA4DE4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4" name="AutoShape 1" descr="Vista previa de toda la pantalla">
          <a:extLst>
            <a:ext uri="{FF2B5EF4-FFF2-40B4-BE49-F238E27FC236}">
              <a16:creationId xmlns:a16="http://schemas.microsoft.com/office/drawing/2014/main" id="{22B74669-AA83-41B5-99FB-F5E9F53FD3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5" name="AutoShape 1" descr="Vista previa de toda la pantalla">
          <a:extLst>
            <a:ext uri="{FF2B5EF4-FFF2-40B4-BE49-F238E27FC236}">
              <a16:creationId xmlns:a16="http://schemas.microsoft.com/office/drawing/2014/main" id="{BA5E9CD1-4D9A-4382-8C1E-94CBCE681B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6" name="AutoShape 1" descr="Vista previa de toda la pantalla">
          <a:extLst>
            <a:ext uri="{FF2B5EF4-FFF2-40B4-BE49-F238E27FC236}">
              <a16:creationId xmlns:a16="http://schemas.microsoft.com/office/drawing/2014/main" id="{56769E79-CB7C-4FF4-A9FC-059FF2B203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7" name="AutoShape 1" descr="Vista previa de toda la pantalla">
          <a:extLst>
            <a:ext uri="{FF2B5EF4-FFF2-40B4-BE49-F238E27FC236}">
              <a16:creationId xmlns:a16="http://schemas.microsoft.com/office/drawing/2014/main" id="{561B6DA2-6A36-4FD2-9BEA-48DCCB1C02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8" name="AutoShape 1" descr="Vista previa de toda la pantalla">
          <a:extLst>
            <a:ext uri="{FF2B5EF4-FFF2-40B4-BE49-F238E27FC236}">
              <a16:creationId xmlns:a16="http://schemas.microsoft.com/office/drawing/2014/main" id="{661E1271-2059-42FC-84CA-B9884234FF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29" name="AutoShape 1" descr="Vista previa de toda la pantalla">
          <a:extLst>
            <a:ext uri="{FF2B5EF4-FFF2-40B4-BE49-F238E27FC236}">
              <a16:creationId xmlns:a16="http://schemas.microsoft.com/office/drawing/2014/main" id="{7BC85951-7D58-40C8-8570-92FAC79B0D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0" name="AutoShape 1" descr="Vista previa de toda la pantalla">
          <a:extLst>
            <a:ext uri="{FF2B5EF4-FFF2-40B4-BE49-F238E27FC236}">
              <a16:creationId xmlns:a16="http://schemas.microsoft.com/office/drawing/2014/main" id="{178B3825-2D90-476E-945E-3AABE2EC21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1" name="AutoShape 1" descr="Vista previa de toda la pantalla">
          <a:extLst>
            <a:ext uri="{FF2B5EF4-FFF2-40B4-BE49-F238E27FC236}">
              <a16:creationId xmlns:a16="http://schemas.microsoft.com/office/drawing/2014/main" id="{93B72DC8-E171-4DC2-A5CF-019D31330C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2" name="AutoShape 1" descr="Vista previa de toda la pantalla">
          <a:extLst>
            <a:ext uri="{FF2B5EF4-FFF2-40B4-BE49-F238E27FC236}">
              <a16:creationId xmlns:a16="http://schemas.microsoft.com/office/drawing/2014/main" id="{76CFADED-E37D-498D-BB12-AA0FE57786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3" name="AutoShape 1" descr="Vista previa de toda la pantalla">
          <a:extLst>
            <a:ext uri="{FF2B5EF4-FFF2-40B4-BE49-F238E27FC236}">
              <a16:creationId xmlns:a16="http://schemas.microsoft.com/office/drawing/2014/main" id="{162A4584-15E4-44CE-893F-25A2B37FE6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4" name="AutoShape 1" descr="Vista previa de toda la pantalla">
          <a:extLst>
            <a:ext uri="{FF2B5EF4-FFF2-40B4-BE49-F238E27FC236}">
              <a16:creationId xmlns:a16="http://schemas.microsoft.com/office/drawing/2014/main" id="{AC0C6D92-6870-4A82-B700-B63F83BA60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5" name="AutoShape 1" descr="Vista previa de toda la pantalla">
          <a:extLst>
            <a:ext uri="{FF2B5EF4-FFF2-40B4-BE49-F238E27FC236}">
              <a16:creationId xmlns:a16="http://schemas.microsoft.com/office/drawing/2014/main" id="{39D14AA5-D546-4927-A9ED-355AD62C65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6" name="AutoShape 1" descr="Vista previa de toda la pantalla">
          <a:extLst>
            <a:ext uri="{FF2B5EF4-FFF2-40B4-BE49-F238E27FC236}">
              <a16:creationId xmlns:a16="http://schemas.microsoft.com/office/drawing/2014/main" id="{C9D26DFD-4CEB-484F-8DB8-4832325926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7" name="AutoShape 1" descr="Vista previa de toda la pantalla">
          <a:extLst>
            <a:ext uri="{FF2B5EF4-FFF2-40B4-BE49-F238E27FC236}">
              <a16:creationId xmlns:a16="http://schemas.microsoft.com/office/drawing/2014/main" id="{C4D7099C-E799-44C0-AE52-FBD96D2A40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8" name="AutoShape 1" descr="Vista previa de toda la pantalla">
          <a:extLst>
            <a:ext uri="{FF2B5EF4-FFF2-40B4-BE49-F238E27FC236}">
              <a16:creationId xmlns:a16="http://schemas.microsoft.com/office/drawing/2014/main" id="{63B4A01D-EC09-403A-BAC5-F7C8E1DB4C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39" name="AutoShape 1" descr="Vista previa de toda la pantalla">
          <a:extLst>
            <a:ext uri="{FF2B5EF4-FFF2-40B4-BE49-F238E27FC236}">
              <a16:creationId xmlns:a16="http://schemas.microsoft.com/office/drawing/2014/main" id="{244754F8-AD28-4710-8471-289A2268AE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0" name="AutoShape 1" descr="Vista previa de toda la pantalla">
          <a:extLst>
            <a:ext uri="{FF2B5EF4-FFF2-40B4-BE49-F238E27FC236}">
              <a16:creationId xmlns:a16="http://schemas.microsoft.com/office/drawing/2014/main" id="{9304CFBC-05A7-4B67-9F36-5BCD1188F4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1" name="AutoShape 1" descr="Vista previa de toda la pantalla">
          <a:extLst>
            <a:ext uri="{FF2B5EF4-FFF2-40B4-BE49-F238E27FC236}">
              <a16:creationId xmlns:a16="http://schemas.microsoft.com/office/drawing/2014/main" id="{87B72B7D-4CC2-4173-AE61-3E5F108BE4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2" name="AutoShape 1" descr="Vista previa de toda la pantalla">
          <a:extLst>
            <a:ext uri="{FF2B5EF4-FFF2-40B4-BE49-F238E27FC236}">
              <a16:creationId xmlns:a16="http://schemas.microsoft.com/office/drawing/2014/main" id="{0A1F0155-BC2C-4AB1-8EE8-64DB765A16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3" name="AutoShape 1" descr="Vista previa de toda la pantalla">
          <a:extLst>
            <a:ext uri="{FF2B5EF4-FFF2-40B4-BE49-F238E27FC236}">
              <a16:creationId xmlns:a16="http://schemas.microsoft.com/office/drawing/2014/main" id="{DCC7B7EE-AAF2-436C-B6D7-8B83F718C3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4" name="AutoShape 1" descr="Vista previa de toda la pantalla">
          <a:extLst>
            <a:ext uri="{FF2B5EF4-FFF2-40B4-BE49-F238E27FC236}">
              <a16:creationId xmlns:a16="http://schemas.microsoft.com/office/drawing/2014/main" id="{6B67ACB6-E6C5-4E0B-85EC-9ACC48757C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5" name="AutoShape 1" descr="Vista previa de toda la pantalla">
          <a:extLst>
            <a:ext uri="{FF2B5EF4-FFF2-40B4-BE49-F238E27FC236}">
              <a16:creationId xmlns:a16="http://schemas.microsoft.com/office/drawing/2014/main" id="{DBDC13D2-88F1-4546-82E6-F791B78549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6" name="AutoShape 1" descr="Vista previa de toda la pantalla">
          <a:extLst>
            <a:ext uri="{FF2B5EF4-FFF2-40B4-BE49-F238E27FC236}">
              <a16:creationId xmlns:a16="http://schemas.microsoft.com/office/drawing/2014/main" id="{ABF628DB-635C-433E-9B7A-563533D533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7" name="AutoShape 1" descr="Vista previa de toda la pantalla">
          <a:extLst>
            <a:ext uri="{FF2B5EF4-FFF2-40B4-BE49-F238E27FC236}">
              <a16:creationId xmlns:a16="http://schemas.microsoft.com/office/drawing/2014/main" id="{2412537C-9EB0-416A-8953-56C41B54CE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8" name="AutoShape 1" descr="Vista previa de toda la pantalla">
          <a:extLst>
            <a:ext uri="{FF2B5EF4-FFF2-40B4-BE49-F238E27FC236}">
              <a16:creationId xmlns:a16="http://schemas.microsoft.com/office/drawing/2014/main" id="{367CF41F-C8F9-43AE-9373-3C555719C7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49" name="AutoShape 1" descr="Vista previa de toda la pantalla">
          <a:extLst>
            <a:ext uri="{FF2B5EF4-FFF2-40B4-BE49-F238E27FC236}">
              <a16:creationId xmlns:a16="http://schemas.microsoft.com/office/drawing/2014/main" id="{F4733A16-11CB-4515-8B5F-61BC08EF25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0" name="AutoShape 1" descr="Vista previa de toda la pantalla">
          <a:extLst>
            <a:ext uri="{FF2B5EF4-FFF2-40B4-BE49-F238E27FC236}">
              <a16:creationId xmlns:a16="http://schemas.microsoft.com/office/drawing/2014/main" id="{B560F347-A461-4907-84C0-6E71B4766C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1" name="AutoShape 1" descr="Vista previa de toda la pantalla">
          <a:extLst>
            <a:ext uri="{FF2B5EF4-FFF2-40B4-BE49-F238E27FC236}">
              <a16:creationId xmlns:a16="http://schemas.microsoft.com/office/drawing/2014/main" id="{BD14BFB8-054D-414A-A257-BCFB9440C5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2" name="AutoShape 1" descr="Vista previa de toda la pantalla">
          <a:extLst>
            <a:ext uri="{FF2B5EF4-FFF2-40B4-BE49-F238E27FC236}">
              <a16:creationId xmlns:a16="http://schemas.microsoft.com/office/drawing/2014/main" id="{D874BE10-E0FE-47F4-B427-DE05228CBF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3" name="AutoShape 1" descr="Vista previa de toda la pantalla">
          <a:extLst>
            <a:ext uri="{FF2B5EF4-FFF2-40B4-BE49-F238E27FC236}">
              <a16:creationId xmlns:a16="http://schemas.microsoft.com/office/drawing/2014/main" id="{EAEBE37E-8A9C-4117-89C9-3055CE2BDC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4" name="AutoShape 1" descr="Vista previa de toda la pantalla">
          <a:extLst>
            <a:ext uri="{FF2B5EF4-FFF2-40B4-BE49-F238E27FC236}">
              <a16:creationId xmlns:a16="http://schemas.microsoft.com/office/drawing/2014/main" id="{FD05F1D0-C2E0-4FAB-97CA-FE953C5434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5" name="AutoShape 1" descr="Vista previa de toda la pantalla">
          <a:extLst>
            <a:ext uri="{FF2B5EF4-FFF2-40B4-BE49-F238E27FC236}">
              <a16:creationId xmlns:a16="http://schemas.microsoft.com/office/drawing/2014/main" id="{4D586464-691B-4CDC-8795-A4E6D95E60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6" name="AutoShape 1" descr="Vista previa de toda la pantalla">
          <a:extLst>
            <a:ext uri="{FF2B5EF4-FFF2-40B4-BE49-F238E27FC236}">
              <a16:creationId xmlns:a16="http://schemas.microsoft.com/office/drawing/2014/main" id="{BA5C5C40-973C-4459-86E3-9FDD22F3F3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7" name="AutoShape 1" descr="Vista previa de toda la pantalla">
          <a:extLst>
            <a:ext uri="{FF2B5EF4-FFF2-40B4-BE49-F238E27FC236}">
              <a16:creationId xmlns:a16="http://schemas.microsoft.com/office/drawing/2014/main" id="{B9B43BFA-BF45-4C48-8077-67A89CF72F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8" name="AutoShape 1" descr="Vista previa de toda la pantalla">
          <a:extLst>
            <a:ext uri="{FF2B5EF4-FFF2-40B4-BE49-F238E27FC236}">
              <a16:creationId xmlns:a16="http://schemas.microsoft.com/office/drawing/2014/main" id="{16ECE58C-145C-4500-B947-8AA75ACA41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59" name="AutoShape 1" descr="Vista previa de toda la pantalla">
          <a:extLst>
            <a:ext uri="{FF2B5EF4-FFF2-40B4-BE49-F238E27FC236}">
              <a16:creationId xmlns:a16="http://schemas.microsoft.com/office/drawing/2014/main" id="{1116B379-5003-4F4F-8C66-68E22473EF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0" name="AutoShape 1" descr="Vista previa de toda la pantalla">
          <a:extLst>
            <a:ext uri="{FF2B5EF4-FFF2-40B4-BE49-F238E27FC236}">
              <a16:creationId xmlns:a16="http://schemas.microsoft.com/office/drawing/2014/main" id="{4417690E-0221-4B83-A72F-1D00042FC3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1" name="AutoShape 1" descr="Vista previa de toda la pantalla">
          <a:extLst>
            <a:ext uri="{FF2B5EF4-FFF2-40B4-BE49-F238E27FC236}">
              <a16:creationId xmlns:a16="http://schemas.microsoft.com/office/drawing/2014/main" id="{CFB58133-6DB0-4163-9F20-35EF413F26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2" name="AutoShape 1" descr="Vista previa de toda la pantalla">
          <a:extLst>
            <a:ext uri="{FF2B5EF4-FFF2-40B4-BE49-F238E27FC236}">
              <a16:creationId xmlns:a16="http://schemas.microsoft.com/office/drawing/2014/main" id="{E25E3774-B6B1-4EB2-8AC0-37025F301A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3" name="AutoShape 1" descr="Vista previa de toda la pantalla">
          <a:extLst>
            <a:ext uri="{FF2B5EF4-FFF2-40B4-BE49-F238E27FC236}">
              <a16:creationId xmlns:a16="http://schemas.microsoft.com/office/drawing/2014/main" id="{B2CCE11C-119A-4631-8A5B-13367F14B5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4" name="AutoShape 1" descr="Vista previa de toda la pantalla">
          <a:extLst>
            <a:ext uri="{FF2B5EF4-FFF2-40B4-BE49-F238E27FC236}">
              <a16:creationId xmlns:a16="http://schemas.microsoft.com/office/drawing/2014/main" id="{4F69A2AD-98A0-4E6D-A97F-2054725DDD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5" name="AutoShape 1" descr="Vista previa de toda la pantalla">
          <a:extLst>
            <a:ext uri="{FF2B5EF4-FFF2-40B4-BE49-F238E27FC236}">
              <a16:creationId xmlns:a16="http://schemas.microsoft.com/office/drawing/2014/main" id="{0BC856AA-CEC3-48DF-B984-3AE033D372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6" name="AutoShape 1" descr="Vista previa de toda la pantalla">
          <a:extLst>
            <a:ext uri="{FF2B5EF4-FFF2-40B4-BE49-F238E27FC236}">
              <a16:creationId xmlns:a16="http://schemas.microsoft.com/office/drawing/2014/main" id="{9092EA68-E3BD-4D4B-9694-D69BAC88B2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7" name="AutoShape 1" descr="Vista previa de toda la pantalla">
          <a:extLst>
            <a:ext uri="{FF2B5EF4-FFF2-40B4-BE49-F238E27FC236}">
              <a16:creationId xmlns:a16="http://schemas.microsoft.com/office/drawing/2014/main" id="{0E9FE8DC-CD20-4620-8FA5-D4BC2AC7C0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8" name="AutoShape 1" descr="Vista previa de toda la pantalla">
          <a:extLst>
            <a:ext uri="{FF2B5EF4-FFF2-40B4-BE49-F238E27FC236}">
              <a16:creationId xmlns:a16="http://schemas.microsoft.com/office/drawing/2014/main" id="{BE450338-528B-4341-A8FC-8CC848D4D3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69" name="AutoShape 1" descr="Vista previa de toda la pantalla">
          <a:extLst>
            <a:ext uri="{FF2B5EF4-FFF2-40B4-BE49-F238E27FC236}">
              <a16:creationId xmlns:a16="http://schemas.microsoft.com/office/drawing/2014/main" id="{F74502EF-45F4-4C70-8046-8AF04A5812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0" name="AutoShape 1" descr="Vista previa de toda la pantalla">
          <a:extLst>
            <a:ext uri="{FF2B5EF4-FFF2-40B4-BE49-F238E27FC236}">
              <a16:creationId xmlns:a16="http://schemas.microsoft.com/office/drawing/2014/main" id="{8BEA9522-9C78-496A-9FBA-102CEC5D9A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1" name="AutoShape 1" descr="Vista previa de toda la pantalla">
          <a:extLst>
            <a:ext uri="{FF2B5EF4-FFF2-40B4-BE49-F238E27FC236}">
              <a16:creationId xmlns:a16="http://schemas.microsoft.com/office/drawing/2014/main" id="{3C63F83C-7762-4AD0-83C7-CB2B977EC2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2" name="AutoShape 1" descr="Vista previa de toda la pantalla">
          <a:extLst>
            <a:ext uri="{FF2B5EF4-FFF2-40B4-BE49-F238E27FC236}">
              <a16:creationId xmlns:a16="http://schemas.microsoft.com/office/drawing/2014/main" id="{24569C2C-B24B-485B-A2C4-0721AE6EEB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3" name="AutoShape 1" descr="Vista previa de toda la pantalla">
          <a:extLst>
            <a:ext uri="{FF2B5EF4-FFF2-40B4-BE49-F238E27FC236}">
              <a16:creationId xmlns:a16="http://schemas.microsoft.com/office/drawing/2014/main" id="{E5F452C6-E312-4167-8937-D7EFE30FA4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4" name="AutoShape 1" descr="Vista previa de toda la pantalla">
          <a:extLst>
            <a:ext uri="{FF2B5EF4-FFF2-40B4-BE49-F238E27FC236}">
              <a16:creationId xmlns:a16="http://schemas.microsoft.com/office/drawing/2014/main" id="{7FB7F249-15CC-4DB6-BF50-0871B21B4C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5" name="AutoShape 1" descr="Vista previa de toda la pantalla">
          <a:extLst>
            <a:ext uri="{FF2B5EF4-FFF2-40B4-BE49-F238E27FC236}">
              <a16:creationId xmlns:a16="http://schemas.microsoft.com/office/drawing/2014/main" id="{F7AF2634-AF05-4831-9335-4606CF77F4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6" name="AutoShape 1" descr="Vista previa de toda la pantalla">
          <a:extLst>
            <a:ext uri="{FF2B5EF4-FFF2-40B4-BE49-F238E27FC236}">
              <a16:creationId xmlns:a16="http://schemas.microsoft.com/office/drawing/2014/main" id="{A094ED9A-7F0A-4B05-BB50-900E08E8C7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7" name="AutoShape 1" descr="Vista previa de toda la pantalla">
          <a:extLst>
            <a:ext uri="{FF2B5EF4-FFF2-40B4-BE49-F238E27FC236}">
              <a16:creationId xmlns:a16="http://schemas.microsoft.com/office/drawing/2014/main" id="{6454A48E-381E-4283-84CB-FBDA5C0990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8" name="AutoShape 1" descr="Vista previa de toda la pantalla">
          <a:extLst>
            <a:ext uri="{FF2B5EF4-FFF2-40B4-BE49-F238E27FC236}">
              <a16:creationId xmlns:a16="http://schemas.microsoft.com/office/drawing/2014/main" id="{62624727-4FA3-4A35-AFBC-BCD28969FD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79" name="AutoShape 1" descr="Vista previa de toda la pantalla">
          <a:extLst>
            <a:ext uri="{FF2B5EF4-FFF2-40B4-BE49-F238E27FC236}">
              <a16:creationId xmlns:a16="http://schemas.microsoft.com/office/drawing/2014/main" id="{90C1CC79-00A8-4F79-9331-F27A7C123F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0" name="AutoShape 1" descr="Vista previa de toda la pantalla">
          <a:extLst>
            <a:ext uri="{FF2B5EF4-FFF2-40B4-BE49-F238E27FC236}">
              <a16:creationId xmlns:a16="http://schemas.microsoft.com/office/drawing/2014/main" id="{577F25CA-1348-47B7-8B6A-B8C6BEA07A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1" name="AutoShape 1" descr="Vista previa de toda la pantalla">
          <a:extLst>
            <a:ext uri="{FF2B5EF4-FFF2-40B4-BE49-F238E27FC236}">
              <a16:creationId xmlns:a16="http://schemas.microsoft.com/office/drawing/2014/main" id="{0AE9135D-34F8-425D-A985-F0448E4C98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2" name="AutoShape 1" descr="Vista previa de toda la pantalla">
          <a:extLst>
            <a:ext uri="{FF2B5EF4-FFF2-40B4-BE49-F238E27FC236}">
              <a16:creationId xmlns:a16="http://schemas.microsoft.com/office/drawing/2014/main" id="{53D3E05F-225D-45FA-86A7-11BF537147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3" name="AutoShape 1" descr="Vista previa de toda la pantalla">
          <a:extLst>
            <a:ext uri="{FF2B5EF4-FFF2-40B4-BE49-F238E27FC236}">
              <a16:creationId xmlns:a16="http://schemas.microsoft.com/office/drawing/2014/main" id="{E60877EA-5E65-490E-A1DD-44B2F0C93A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4" name="AutoShape 1" descr="Vista previa de toda la pantalla">
          <a:extLst>
            <a:ext uri="{FF2B5EF4-FFF2-40B4-BE49-F238E27FC236}">
              <a16:creationId xmlns:a16="http://schemas.microsoft.com/office/drawing/2014/main" id="{0BC86F3E-CA5E-41DE-A906-943B1E672C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5" name="AutoShape 1" descr="Vista previa de toda la pantalla">
          <a:extLst>
            <a:ext uri="{FF2B5EF4-FFF2-40B4-BE49-F238E27FC236}">
              <a16:creationId xmlns:a16="http://schemas.microsoft.com/office/drawing/2014/main" id="{2753CFEE-B69F-4279-ADAD-B5FE4114C1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6" name="AutoShape 1" descr="Vista previa de toda la pantalla">
          <a:extLst>
            <a:ext uri="{FF2B5EF4-FFF2-40B4-BE49-F238E27FC236}">
              <a16:creationId xmlns:a16="http://schemas.microsoft.com/office/drawing/2014/main" id="{6EB82BE6-78D6-413D-A266-677DBE3889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7" name="AutoShape 1" descr="Vista previa de toda la pantalla">
          <a:extLst>
            <a:ext uri="{FF2B5EF4-FFF2-40B4-BE49-F238E27FC236}">
              <a16:creationId xmlns:a16="http://schemas.microsoft.com/office/drawing/2014/main" id="{25EC1090-FECD-44CB-B41B-144F07FD33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8" name="AutoShape 1" descr="Vista previa de toda la pantalla">
          <a:extLst>
            <a:ext uri="{FF2B5EF4-FFF2-40B4-BE49-F238E27FC236}">
              <a16:creationId xmlns:a16="http://schemas.microsoft.com/office/drawing/2014/main" id="{A9C7C013-9A63-4C7E-A3E2-8E92F1269D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89" name="AutoShape 1" descr="Vista previa de toda la pantalla">
          <a:extLst>
            <a:ext uri="{FF2B5EF4-FFF2-40B4-BE49-F238E27FC236}">
              <a16:creationId xmlns:a16="http://schemas.microsoft.com/office/drawing/2014/main" id="{C80DE497-5B57-485D-A53F-6ACFA64F3B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0" name="AutoShape 1" descr="Vista previa de toda la pantalla">
          <a:extLst>
            <a:ext uri="{FF2B5EF4-FFF2-40B4-BE49-F238E27FC236}">
              <a16:creationId xmlns:a16="http://schemas.microsoft.com/office/drawing/2014/main" id="{BDBC04A3-BBB0-49DB-B9B4-E00E8153B3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1" name="AutoShape 1" descr="Vista previa de toda la pantalla">
          <a:extLst>
            <a:ext uri="{FF2B5EF4-FFF2-40B4-BE49-F238E27FC236}">
              <a16:creationId xmlns:a16="http://schemas.microsoft.com/office/drawing/2014/main" id="{C9108669-A6D5-480E-94E8-4614EF9CDB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2" name="AutoShape 1" descr="Vista previa de toda la pantalla">
          <a:extLst>
            <a:ext uri="{FF2B5EF4-FFF2-40B4-BE49-F238E27FC236}">
              <a16:creationId xmlns:a16="http://schemas.microsoft.com/office/drawing/2014/main" id="{56338DB7-701B-40D7-AF0E-85AF896214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3" name="AutoShape 1" descr="Vista previa de toda la pantalla">
          <a:extLst>
            <a:ext uri="{FF2B5EF4-FFF2-40B4-BE49-F238E27FC236}">
              <a16:creationId xmlns:a16="http://schemas.microsoft.com/office/drawing/2014/main" id="{6CEA8E7A-A0ED-4060-9A79-86A4CE3FD2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4" name="AutoShape 1" descr="Vista previa de toda la pantalla">
          <a:extLst>
            <a:ext uri="{FF2B5EF4-FFF2-40B4-BE49-F238E27FC236}">
              <a16:creationId xmlns:a16="http://schemas.microsoft.com/office/drawing/2014/main" id="{8CD533C7-1CC3-48E6-8534-F5D6ED2BE5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5" name="AutoShape 1" descr="Vista previa de toda la pantalla">
          <a:extLst>
            <a:ext uri="{FF2B5EF4-FFF2-40B4-BE49-F238E27FC236}">
              <a16:creationId xmlns:a16="http://schemas.microsoft.com/office/drawing/2014/main" id="{1E264699-342A-4C8E-B7B9-7AE19DE5D8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6" name="AutoShape 1" descr="Vista previa de toda la pantalla">
          <a:extLst>
            <a:ext uri="{FF2B5EF4-FFF2-40B4-BE49-F238E27FC236}">
              <a16:creationId xmlns:a16="http://schemas.microsoft.com/office/drawing/2014/main" id="{D078CA78-3098-4C4E-B3FE-4EC7B4CF35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7" name="AutoShape 1" descr="Vista previa de toda la pantalla">
          <a:extLst>
            <a:ext uri="{FF2B5EF4-FFF2-40B4-BE49-F238E27FC236}">
              <a16:creationId xmlns:a16="http://schemas.microsoft.com/office/drawing/2014/main" id="{A1D546FA-E5EF-45EC-998E-406792F1C8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8" name="AutoShape 1" descr="Vista previa de toda la pantalla">
          <a:extLst>
            <a:ext uri="{FF2B5EF4-FFF2-40B4-BE49-F238E27FC236}">
              <a16:creationId xmlns:a16="http://schemas.microsoft.com/office/drawing/2014/main" id="{2CE97CF3-E3D7-4809-8ED3-1022D2DB62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799" name="AutoShape 1" descr="Vista previa de toda la pantalla">
          <a:extLst>
            <a:ext uri="{FF2B5EF4-FFF2-40B4-BE49-F238E27FC236}">
              <a16:creationId xmlns:a16="http://schemas.microsoft.com/office/drawing/2014/main" id="{0C0D8468-C369-42FB-B637-E89435628C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0" name="AutoShape 1" descr="Vista previa de toda la pantalla">
          <a:extLst>
            <a:ext uri="{FF2B5EF4-FFF2-40B4-BE49-F238E27FC236}">
              <a16:creationId xmlns:a16="http://schemas.microsoft.com/office/drawing/2014/main" id="{A7FF7F25-6382-4FB5-86F7-B446D818D6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1" name="AutoShape 1" descr="Vista previa de toda la pantalla">
          <a:extLst>
            <a:ext uri="{FF2B5EF4-FFF2-40B4-BE49-F238E27FC236}">
              <a16:creationId xmlns:a16="http://schemas.microsoft.com/office/drawing/2014/main" id="{DF13087F-5ECC-43F1-ABBC-5C36BA0FBE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2" name="AutoShape 1" descr="Vista previa de toda la pantalla">
          <a:extLst>
            <a:ext uri="{FF2B5EF4-FFF2-40B4-BE49-F238E27FC236}">
              <a16:creationId xmlns:a16="http://schemas.microsoft.com/office/drawing/2014/main" id="{5DD17C0A-6E29-41ED-B900-3E36E0B572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3" name="AutoShape 1" descr="Vista previa de toda la pantalla">
          <a:extLst>
            <a:ext uri="{FF2B5EF4-FFF2-40B4-BE49-F238E27FC236}">
              <a16:creationId xmlns:a16="http://schemas.microsoft.com/office/drawing/2014/main" id="{66B908FF-AA36-42D2-9B77-BBC3EC8DD9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4" name="AutoShape 1" descr="Vista previa de toda la pantalla">
          <a:extLst>
            <a:ext uri="{FF2B5EF4-FFF2-40B4-BE49-F238E27FC236}">
              <a16:creationId xmlns:a16="http://schemas.microsoft.com/office/drawing/2014/main" id="{7766CE23-1B69-484C-AF15-8846A4AA11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5" name="AutoShape 1" descr="Vista previa de toda la pantalla">
          <a:extLst>
            <a:ext uri="{FF2B5EF4-FFF2-40B4-BE49-F238E27FC236}">
              <a16:creationId xmlns:a16="http://schemas.microsoft.com/office/drawing/2014/main" id="{BB4D0AC2-17E6-4AF2-8878-F4B6160FAD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6" name="AutoShape 1" descr="Vista previa de toda la pantalla">
          <a:extLst>
            <a:ext uri="{FF2B5EF4-FFF2-40B4-BE49-F238E27FC236}">
              <a16:creationId xmlns:a16="http://schemas.microsoft.com/office/drawing/2014/main" id="{CA12A251-45D5-4E02-B5A5-DFA3239617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7" name="AutoShape 1" descr="Vista previa de toda la pantalla">
          <a:extLst>
            <a:ext uri="{FF2B5EF4-FFF2-40B4-BE49-F238E27FC236}">
              <a16:creationId xmlns:a16="http://schemas.microsoft.com/office/drawing/2014/main" id="{58E6DDF8-C9F5-48CC-A4B6-4CFB8FAB96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8" name="AutoShape 1" descr="Vista previa de toda la pantalla">
          <a:extLst>
            <a:ext uri="{FF2B5EF4-FFF2-40B4-BE49-F238E27FC236}">
              <a16:creationId xmlns:a16="http://schemas.microsoft.com/office/drawing/2014/main" id="{798F4A57-D2B5-4386-A730-71A2DB131C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09" name="AutoShape 1" descr="Vista previa de toda la pantalla">
          <a:extLst>
            <a:ext uri="{FF2B5EF4-FFF2-40B4-BE49-F238E27FC236}">
              <a16:creationId xmlns:a16="http://schemas.microsoft.com/office/drawing/2014/main" id="{37457C83-7156-447B-8145-3172355A0F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0" name="AutoShape 1" descr="Vista previa de toda la pantalla">
          <a:extLst>
            <a:ext uri="{FF2B5EF4-FFF2-40B4-BE49-F238E27FC236}">
              <a16:creationId xmlns:a16="http://schemas.microsoft.com/office/drawing/2014/main" id="{D313A5F2-0CE2-4627-900B-981D1B3020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1" name="AutoShape 1" descr="Vista previa de toda la pantalla">
          <a:extLst>
            <a:ext uri="{FF2B5EF4-FFF2-40B4-BE49-F238E27FC236}">
              <a16:creationId xmlns:a16="http://schemas.microsoft.com/office/drawing/2014/main" id="{A2C16901-406F-4E90-9DCD-F7E3C99CE4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2" name="AutoShape 1" descr="Vista previa de toda la pantalla">
          <a:extLst>
            <a:ext uri="{FF2B5EF4-FFF2-40B4-BE49-F238E27FC236}">
              <a16:creationId xmlns:a16="http://schemas.microsoft.com/office/drawing/2014/main" id="{98FF3C43-69A0-4039-9924-119A36F18A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3" name="AutoShape 1" descr="Vista previa de toda la pantalla">
          <a:extLst>
            <a:ext uri="{FF2B5EF4-FFF2-40B4-BE49-F238E27FC236}">
              <a16:creationId xmlns:a16="http://schemas.microsoft.com/office/drawing/2014/main" id="{66D234D2-A844-49FE-9BB1-4E029841E7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4" name="AutoShape 1" descr="Vista previa de toda la pantalla">
          <a:extLst>
            <a:ext uri="{FF2B5EF4-FFF2-40B4-BE49-F238E27FC236}">
              <a16:creationId xmlns:a16="http://schemas.microsoft.com/office/drawing/2014/main" id="{2B0893D6-1FB8-4AB5-98E9-919E5CD168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5" name="AutoShape 1" descr="Vista previa de toda la pantalla">
          <a:extLst>
            <a:ext uri="{FF2B5EF4-FFF2-40B4-BE49-F238E27FC236}">
              <a16:creationId xmlns:a16="http://schemas.microsoft.com/office/drawing/2014/main" id="{668FA6F0-1E71-4300-B003-D8A95F0831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6" name="AutoShape 1" descr="Vista previa de toda la pantalla">
          <a:extLst>
            <a:ext uri="{FF2B5EF4-FFF2-40B4-BE49-F238E27FC236}">
              <a16:creationId xmlns:a16="http://schemas.microsoft.com/office/drawing/2014/main" id="{81708A6C-DF4E-40A3-AFBF-8037E2C751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7" name="AutoShape 1" descr="Vista previa de toda la pantalla">
          <a:extLst>
            <a:ext uri="{FF2B5EF4-FFF2-40B4-BE49-F238E27FC236}">
              <a16:creationId xmlns:a16="http://schemas.microsoft.com/office/drawing/2014/main" id="{8809C2C9-1AE4-482B-895B-BD80A75FF4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8" name="AutoShape 1" descr="Vista previa de toda la pantalla">
          <a:extLst>
            <a:ext uri="{FF2B5EF4-FFF2-40B4-BE49-F238E27FC236}">
              <a16:creationId xmlns:a16="http://schemas.microsoft.com/office/drawing/2014/main" id="{7203E0D2-69A7-4E00-8E60-6E509CD84B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19" name="AutoShape 1" descr="Vista previa de toda la pantalla">
          <a:extLst>
            <a:ext uri="{FF2B5EF4-FFF2-40B4-BE49-F238E27FC236}">
              <a16:creationId xmlns:a16="http://schemas.microsoft.com/office/drawing/2014/main" id="{9EF86C88-4AD3-4D55-AFEC-98D7E20D47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0" name="AutoShape 1" descr="Vista previa de toda la pantalla">
          <a:extLst>
            <a:ext uri="{FF2B5EF4-FFF2-40B4-BE49-F238E27FC236}">
              <a16:creationId xmlns:a16="http://schemas.microsoft.com/office/drawing/2014/main" id="{543968E1-0861-462A-9DFC-0A4337CC03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1" name="AutoShape 1" descr="Vista previa de toda la pantalla">
          <a:extLst>
            <a:ext uri="{FF2B5EF4-FFF2-40B4-BE49-F238E27FC236}">
              <a16:creationId xmlns:a16="http://schemas.microsoft.com/office/drawing/2014/main" id="{FE8C6225-F4FF-4ADA-8FB7-5C26F891D4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2" name="AutoShape 1" descr="Vista previa de toda la pantalla">
          <a:extLst>
            <a:ext uri="{FF2B5EF4-FFF2-40B4-BE49-F238E27FC236}">
              <a16:creationId xmlns:a16="http://schemas.microsoft.com/office/drawing/2014/main" id="{43C0C1D0-622F-4AC2-A92D-1CD8483F8D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3" name="AutoShape 1" descr="Vista previa de toda la pantalla">
          <a:extLst>
            <a:ext uri="{FF2B5EF4-FFF2-40B4-BE49-F238E27FC236}">
              <a16:creationId xmlns:a16="http://schemas.microsoft.com/office/drawing/2014/main" id="{6F695BC0-8775-4A96-B6AC-C753F16ED0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4" name="AutoShape 1" descr="Vista previa de toda la pantalla">
          <a:extLst>
            <a:ext uri="{FF2B5EF4-FFF2-40B4-BE49-F238E27FC236}">
              <a16:creationId xmlns:a16="http://schemas.microsoft.com/office/drawing/2014/main" id="{C1EF6AF7-BC7E-4CA1-A74E-BAE8582364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5" name="AutoShape 1" descr="Vista previa de toda la pantalla">
          <a:extLst>
            <a:ext uri="{FF2B5EF4-FFF2-40B4-BE49-F238E27FC236}">
              <a16:creationId xmlns:a16="http://schemas.microsoft.com/office/drawing/2014/main" id="{D99EAAD3-B721-4CCE-AA0E-11F502C939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6" name="AutoShape 1" descr="Vista previa de toda la pantalla">
          <a:extLst>
            <a:ext uri="{FF2B5EF4-FFF2-40B4-BE49-F238E27FC236}">
              <a16:creationId xmlns:a16="http://schemas.microsoft.com/office/drawing/2014/main" id="{D6CA43CA-B60D-43BA-9A28-914E53BC53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7" name="AutoShape 1" descr="Vista previa de toda la pantalla">
          <a:extLst>
            <a:ext uri="{FF2B5EF4-FFF2-40B4-BE49-F238E27FC236}">
              <a16:creationId xmlns:a16="http://schemas.microsoft.com/office/drawing/2014/main" id="{21843B94-E300-41F0-B65F-03FFAEF81A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8" name="AutoShape 1" descr="Vista previa de toda la pantalla">
          <a:extLst>
            <a:ext uri="{FF2B5EF4-FFF2-40B4-BE49-F238E27FC236}">
              <a16:creationId xmlns:a16="http://schemas.microsoft.com/office/drawing/2014/main" id="{F6F44FED-7D48-4486-A46F-6795CA6592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29" name="AutoShape 1" descr="Vista previa de toda la pantalla">
          <a:extLst>
            <a:ext uri="{FF2B5EF4-FFF2-40B4-BE49-F238E27FC236}">
              <a16:creationId xmlns:a16="http://schemas.microsoft.com/office/drawing/2014/main" id="{CC2F0275-ACEB-4E5E-84BB-1862B74F21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0" name="AutoShape 1" descr="Vista previa de toda la pantalla">
          <a:extLst>
            <a:ext uri="{FF2B5EF4-FFF2-40B4-BE49-F238E27FC236}">
              <a16:creationId xmlns:a16="http://schemas.microsoft.com/office/drawing/2014/main" id="{1F4B3BD8-5910-44F1-A7FC-751E6FC2C4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1" name="AutoShape 1" descr="Vista previa de toda la pantalla">
          <a:extLst>
            <a:ext uri="{FF2B5EF4-FFF2-40B4-BE49-F238E27FC236}">
              <a16:creationId xmlns:a16="http://schemas.microsoft.com/office/drawing/2014/main" id="{C441BE9F-7F34-4BEB-83E4-A9F5A0FB7A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2" name="AutoShape 1" descr="Vista previa de toda la pantalla">
          <a:extLst>
            <a:ext uri="{FF2B5EF4-FFF2-40B4-BE49-F238E27FC236}">
              <a16:creationId xmlns:a16="http://schemas.microsoft.com/office/drawing/2014/main" id="{0049DC86-5766-4169-BFE0-457E50ED67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3" name="AutoShape 1" descr="Vista previa de toda la pantalla">
          <a:extLst>
            <a:ext uri="{FF2B5EF4-FFF2-40B4-BE49-F238E27FC236}">
              <a16:creationId xmlns:a16="http://schemas.microsoft.com/office/drawing/2014/main" id="{983D8E58-5D96-4A90-9C31-E4D744EAD6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4" name="AutoShape 1" descr="Vista previa de toda la pantalla">
          <a:extLst>
            <a:ext uri="{FF2B5EF4-FFF2-40B4-BE49-F238E27FC236}">
              <a16:creationId xmlns:a16="http://schemas.microsoft.com/office/drawing/2014/main" id="{3F60D515-89C6-41DE-A1EB-161F747572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5" name="AutoShape 1" descr="Vista previa de toda la pantalla">
          <a:extLst>
            <a:ext uri="{FF2B5EF4-FFF2-40B4-BE49-F238E27FC236}">
              <a16:creationId xmlns:a16="http://schemas.microsoft.com/office/drawing/2014/main" id="{39F391A6-034A-4F93-9E4E-232A84248F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6" name="AutoShape 1" descr="Vista previa de toda la pantalla">
          <a:extLst>
            <a:ext uri="{FF2B5EF4-FFF2-40B4-BE49-F238E27FC236}">
              <a16:creationId xmlns:a16="http://schemas.microsoft.com/office/drawing/2014/main" id="{C9DAE908-AEB7-4761-AF30-4032D7B3B5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7" name="AutoShape 1" descr="Vista previa de toda la pantalla">
          <a:extLst>
            <a:ext uri="{FF2B5EF4-FFF2-40B4-BE49-F238E27FC236}">
              <a16:creationId xmlns:a16="http://schemas.microsoft.com/office/drawing/2014/main" id="{628BCFBA-347F-4EC7-81EC-75E75B04DB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8" name="AutoShape 1" descr="Vista previa de toda la pantalla">
          <a:extLst>
            <a:ext uri="{FF2B5EF4-FFF2-40B4-BE49-F238E27FC236}">
              <a16:creationId xmlns:a16="http://schemas.microsoft.com/office/drawing/2014/main" id="{F03D0A2F-FF5A-484C-AABF-91FB45FF6F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39" name="AutoShape 1" descr="Vista previa de toda la pantalla">
          <a:extLst>
            <a:ext uri="{FF2B5EF4-FFF2-40B4-BE49-F238E27FC236}">
              <a16:creationId xmlns:a16="http://schemas.microsoft.com/office/drawing/2014/main" id="{4D832B6C-B53E-4253-9317-852B8BA45C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0" name="AutoShape 1" descr="Vista previa de toda la pantalla">
          <a:extLst>
            <a:ext uri="{FF2B5EF4-FFF2-40B4-BE49-F238E27FC236}">
              <a16:creationId xmlns:a16="http://schemas.microsoft.com/office/drawing/2014/main" id="{E358BCC0-BCE2-4353-8204-91333F18F2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1" name="AutoShape 1" descr="Vista previa de toda la pantalla">
          <a:extLst>
            <a:ext uri="{FF2B5EF4-FFF2-40B4-BE49-F238E27FC236}">
              <a16:creationId xmlns:a16="http://schemas.microsoft.com/office/drawing/2014/main" id="{A85CF396-3503-481A-89FC-8893A35FED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2" name="AutoShape 1" descr="Vista previa de toda la pantalla">
          <a:extLst>
            <a:ext uri="{FF2B5EF4-FFF2-40B4-BE49-F238E27FC236}">
              <a16:creationId xmlns:a16="http://schemas.microsoft.com/office/drawing/2014/main" id="{386D74D2-87EA-4DF8-8F41-431D12AE41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3" name="AutoShape 1" descr="Vista previa de toda la pantalla">
          <a:extLst>
            <a:ext uri="{FF2B5EF4-FFF2-40B4-BE49-F238E27FC236}">
              <a16:creationId xmlns:a16="http://schemas.microsoft.com/office/drawing/2014/main" id="{532FC5CD-A420-4D05-A58F-2BCFCD3115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4" name="AutoShape 1" descr="Vista previa de toda la pantalla">
          <a:extLst>
            <a:ext uri="{FF2B5EF4-FFF2-40B4-BE49-F238E27FC236}">
              <a16:creationId xmlns:a16="http://schemas.microsoft.com/office/drawing/2014/main" id="{6BD1BF9E-C25A-42BE-9531-1C2914EEF4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5" name="AutoShape 1" descr="Vista previa de toda la pantalla">
          <a:extLst>
            <a:ext uri="{FF2B5EF4-FFF2-40B4-BE49-F238E27FC236}">
              <a16:creationId xmlns:a16="http://schemas.microsoft.com/office/drawing/2014/main" id="{946447CC-1975-4870-B34D-6E9CDE1B9F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6" name="AutoShape 1" descr="Vista previa de toda la pantalla">
          <a:extLst>
            <a:ext uri="{FF2B5EF4-FFF2-40B4-BE49-F238E27FC236}">
              <a16:creationId xmlns:a16="http://schemas.microsoft.com/office/drawing/2014/main" id="{0D9C11FB-AC3D-40A0-96F8-A8EBCDD1C5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7" name="AutoShape 1" descr="Vista previa de toda la pantalla">
          <a:extLst>
            <a:ext uri="{FF2B5EF4-FFF2-40B4-BE49-F238E27FC236}">
              <a16:creationId xmlns:a16="http://schemas.microsoft.com/office/drawing/2014/main" id="{D10B0DBA-240D-4F77-9815-D9B1C53A46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8" name="AutoShape 1" descr="Vista previa de toda la pantalla">
          <a:extLst>
            <a:ext uri="{FF2B5EF4-FFF2-40B4-BE49-F238E27FC236}">
              <a16:creationId xmlns:a16="http://schemas.microsoft.com/office/drawing/2014/main" id="{7B6983C3-EED1-4A04-843B-668428DEC0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49" name="AutoShape 1" descr="Vista previa de toda la pantalla">
          <a:extLst>
            <a:ext uri="{FF2B5EF4-FFF2-40B4-BE49-F238E27FC236}">
              <a16:creationId xmlns:a16="http://schemas.microsoft.com/office/drawing/2014/main" id="{5CE54185-C498-4077-A45D-B7AA6267E5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0" name="AutoShape 1" descr="Vista previa de toda la pantalla">
          <a:extLst>
            <a:ext uri="{FF2B5EF4-FFF2-40B4-BE49-F238E27FC236}">
              <a16:creationId xmlns:a16="http://schemas.microsoft.com/office/drawing/2014/main" id="{C39E2EB5-1672-4D5F-9E5B-10DEB8091C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1" name="AutoShape 1" descr="Vista previa de toda la pantalla">
          <a:extLst>
            <a:ext uri="{FF2B5EF4-FFF2-40B4-BE49-F238E27FC236}">
              <a16:creationId xmlns:a16="http://schemas.microsoft.com/office/drawing/2014/main" id="{1D1EF3C7-F759-46AE-BCE5-10BD450D08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2" name="AutoShape 1" descr="Vista previa de toda la pantalla">
          <a:extLst>
            <a:ext uri="{FF2B5EF4-FFF2-40B4-BE49-F238E27FC236}">
              <a16:creationId xmlns:a16="http://schemas.microsoft.com/office/drawing/2014/main" id="{04273F32-0D10-4D3A-B461-B65DEE75C2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3" name="AutoShape 1" descr="Vista previa de toda la pantalla">
          <a:extLst>
            <a:ext uri="{FF2B5EF4-FFF2-40B4-BE49-F238E27FC236}">
              <a16:creationId xmlns:a16="http://schemas.microsoft.com/office/drawing/2014/main" id="{264654D7-6427-436D-B7DA-51DE78105D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4" name="AutoShape 1" descr="Vista previa de toda la pantalla">
          <a:extLst>
            <a:ext uri="{FF2B5EF4-FFF2-40B4-BE49-F238E27FC236}">
              <a16:creationId xmlns:a16="http://schemas.microsoft.com/office/drawing/2014/main" id="{699A9F73-574C-4AD6-AAEC-3DA23BBC29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5" name="AutoShape 1" descr="Vista previa de toda la pantalla">
          <a:extLst>
            <a:ext uri="{FF2B5EF4-FFF2-40B4-BE49-F238E27FC236}">
              <a16:creationId xmlns:a16="http://schemas.microsoft.com/office/drawing/2014/main" id="{3F3AE8DE-6F4D-458A-BCA7-3809843708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6" name="AutoShape 1" descr="Vista previa de toda la pantalla">
          <a:extLst>
            <a:ext uri="{FF2B5EF4-FFF2-40B4-BE49-F238E27FC236}">
              <a16:creationId xmlns:a16="http://schemas.microsoft.com/office/drawing/2014/main" id="{01603546-4B1E-4D00-96E3-841B3E751F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7" name="AutoShape 1" descr="Vista previa de toda la pantalla">
          <a:extLst>
            <a:ext uri="{FF2B5EF4-FFF2-40B4-BE49-F238E27FC236}">
              <a16:creationId xmlns:a16="http://schemas.microsoft.com/office/drawing/2014/main" id="{CD2A1E89-24C2-4E11-97F2-282C1E985E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8" name="AutoShape 1" descr="Vista previa de toda la pantalla">
          <a:extLst>
            <a:ext uri="{FF2B5EF4-FFF2-40B4-BE49-F238E27FC236}">
              <a16:creationId xmlns:a16="http://schemas.microsoft.com/office/drawing/2014/main" id="{27C06934-2C84-4E78-BA76-059CF6B0A7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59" name="AutoShape 1" descr="Vista previa de toda la pantalla">
          <a:extLst>
            <a:ext uri="{FF2B5EF4-FFF2-40B4-BE49-F238E27FC236}">
              <a16:creationId xmlns:a16="http://schemas.microsoft.com/office/drawing/2014/main" id="{3C24B2CA-5E37-4859-A779-20ED827A25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0" name="AutoShape 1" descr="Vista previa de toda la pantalla">
          <a:extLst>
            <a:ext uri="{FF2B5EF4-FFF2-40B4-BE49-F238E27FC236}">
              <a16:creationId xmlns:a16="http://schemas.microsoft.com/office/drawing/2014/main" id="{43C234BC-C5C2-400C-AEC9-88DDA5AE92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1" name="AutoShape 1" descr="Vista previa de toda la pantalla">
          <a:extLst>
            <a:ext uri="{FF2B5EF4-FFF2-40B4-BE49-F238E27FC236}">
              <a16:creationId xmlns:a16="http://schemas.microsoft.com/office/drawing/2014/main" id="{59F198C6-CD24-4052-9E00-9617AB4B77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2" name="AutoShape 1" descr="Vista previa de toda la pantalla">
          <a:extLst>
            <a:ext uri="{FF2B5EF4-FFF2-40B4-BE49-F238E27FC236}">
              <a16:creationId xmlns:a16="http://schemas.microsoft.com/office/drawing/2014/main" id="{0F062268-1120-40ED-A8E4-141CB4410D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3" name="AutoShape 1" descr="Vista previa de toda la pantalla">
          <a:extLst>
            <a:ext uri="{FF2B5EF4-FFF2-40B4-BE49-F238E27FC236}">
              <a16:creationId xmlns:a16="http://schemas.microsoft.com/office/drawing/2014/main" id="{27D0B12A-03AF-445A-883C-932E15BEF3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4" name="AutoShape 1" descr="Vista previa de toda la pantalla">
          <a:extLst>
            <a:ext uri="{FF2B5EF4-FFF2-40B4-BE49-F238E27FC236}">
              <a16:creationId xmlns:a16="http://schemas.microsoft.com/office/drawing/2014/main" id="{C94DDF3F-A70B-42C4-91DD-FC382A66C7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5" name="AutoShape 1" descr="Vista previa de toda la pantalla">
          <a:extLst>
            <a:ext uri="{FF2B5EF4-FFF2-40B4-BE49-F238E27FC236}">
              <a16:creationId xmlns:a16="http://schemas.microsoft.com/office/drawing/2014/main" id="{7FBA0466-20CA-4ABC-83A1-ED45C1E488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6" name="AutoShape 1" descr="Vista previa de toda la pantalla">
          <a:extLst>
            <a:ext uri="{FF2B5EF4-FFF2-40B4-BE49-F238E27FC236}">
              <a16:creationId xmlns:a16="http://schemas.microsoft.com/office/drawing/2014/main" id="{1496BF85-28EE-4959-915D-4A987A0741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7" name="AutoShape 1" descr="Vista previa de toda la pantalla">
          <a:extLst>
            <a:ext uri="{FF2B5EF4-FFF2-40B4-BE49-F238E27FC236}">
              <a16:creationId xmlns:a16="http://schemas.microsoft.com/office/drawing/2014/main" id="{2875472B-5E25-4E4C-8ED9-24C1944464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8" name="AutoShape 1" descr="Vista previa de toda la pantalla">
          <a:extLst>
            <a:ext uri="{FF2B5EF4-FFF2-40B4-BE49-F238E27FC236}">
              <a16:creationId xmlns:a16="http://schemas.microsoft.com/office/drawing/2014/main" id="{3D752B81-E61A-4A02-B41A-952E036BE4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69" name="AutoShape 1" descr="Vista previa de toda la pantalla">
          <a:extLst>
            <a:ext uri="{FF2B5EF4-FFF2-40B4-BE49-F238E27FC236}">
              <a16:creationId xmlns:a16="http://schemas.microsoft.com/office/drawing/2014/main" id="{3C2B7F16-4A9A-456F-B49B-5807D91750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0" name="AutoShape 1" descr="Vista previa de toda la pantalla">
          <a:extLst>
            <a:ext uri="{FF2B5EF4-FFF2-40B4-BE49-F238E27FC236}">
              <a16:creationId xmlns:a16="http://schemas.microsoft.com/office/drawing/2014/main" id="{9F1E4C83-7EA3-4659-9A16-47F94EAA42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1" name="AutoShape 1" descr="Vista previa de toda la pantalla">
          <a:extLst>
            <a:ext uri="{FF2B5EF4-FFF2-40B4-BE49-F238E27FC236}">
              <a16:creationId xmlns:a16="http://schemas.microsoft.com/office/drawing/2014/main" id="{89807A85-D80B-4B4E-8415-D462197612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2" name="AutoShape 1" descr="Vista previa de toda la pantalla">
          <a:extLst>
            <a:ext uri="{FF2B5EF4-FFF2-40B4-BE49-F238E27FC236}">
              <a16:creationId xmlns:a16="http://schemas.microsoft.com/office/drawing/2014/main" id="{75F1A1C0-BB18-4862-98EA-507B4338D5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3" name="AutoShape 1" descr="Vista previa de toda la pantalla">
          <a:extLst>
            <a:ext uri="{FF2B5EF4-FFF2-40B4-BE49-F238E27FC236}">
              <a16:creationId xmlns:a16="http://schemas.microsoft.com/office/drawing/2014/main" id="{D9BE8D08-EBAE-4D27-B7DC-C95C0D93A0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4" name="AutoShape 1" descr="Vista previa de toda la pantalla">
          <a:extLst>
            <a:ext uri="{FF2B5EF4-FFF2-40B4-BE49-F238E27FC236}">
              <a16:creationId xmlns:a16="http://schemas.microsoft.com/office/drawing/2014/main" id="{3FCF4BB2-262C-4A5D-835A-101C9D7954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5" name="AutoShape 1" descr="Vista previa de toda la pantalla">
          <a:extLst>
            <a:ext uri="{FF2B5EF4-FFF2-40B4-BE49-F238E27FC236}">
              <a16:creationId xmlns:a16="http://schemas.microsoft.com/office/drawing/2014/main" id="{5F2A13DE-3C75-4FD1-96CB-C328092391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6" name="AutoShape 1" descr="Vista previa de toda la pantalla">
          <a:extLst>
            <a:ext uri="{FF2B5EF4-FFF2-40B4-BE49-F238E27FC236}">
              <a16:creationId xmlns:a16="http://schemas.microsoft.com/office/drawing/2014/main" id="{38C23908-FDC1-4D15-A0DB-5DA498D208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7" name="AutoShape 1" descr="Vista previa de toda la pantalla">
          <a:extLst>
            <a:ext uri="{FF2B5EF4-FFF2-40B4-BE49-F238E27FC236}">
              <a16:creationId xmlns:a16="http://schemas.microsoft.com/office/drawing/2014/main" id="{F26CF883-F309-4808-9D09-7F493600FC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8" name="AutoShape 1" descr="Vista previa de toda la pantalla">
          <a:extLst>
            <a:ext uri="{FF2B5EF4-FFF2-40B4-BE49-F238E27FC236}">
              <a16:creationId xmlns:a16="http://schemas.microsoft.com/office/drawing/2014/main" id="{3E571935-606D-4FC1-AFFB-E77AE9DF97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79" name="AutoShape 1" descr="Vista previa de toda la pantalla">
          <a:extLst>
            <a:ext uri="{FF2B5EF4-FFF2-40B4-BE49-F238E27FC236}">
              <a16:creationId xmlns:a16="http://schemas.microsoft.com/office/drawing/2014/main" id="{FB115DDB-ED75-4A00-8AD6-D4EB1DCF43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0" name="AutoShape 1" descr="Vista previa de toda la pantalla">
          <a:extLst>
            <a:ext uri="{FF2B5EF4-FFF2-40B4-BE49-F238E27FC236}">
              <a16:creationId xmlns:a16="http://schemas.microsoft.com/office/drawing/2014/main" id="{EE2E5434-F9FD-485F-87B3-F0384890C2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1" name="AutoShape 1" descr="Vista previa de toda la pantalla">
          <a:extLst>
            <a:ext uri="{FF2B5EF4-FFF2-40B4-BE49-F238E27FC236}">
              <a16:creationId xmlns:a16="http://schemas.microsoft.com/office/drawing/2014/main" id="{0413528A-6312-4F0E-9483-827FEF31D6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2" name="AutoShape 1" descr="Vista previa de toda la pantalla">
          <a:extLst>
            <a:ext uri="{FF2B5EF4-FFF2-40B4-BE49-F238E27FC236}">
              <a16:creationId xmlns:a16="http://schemas.microsoft.com/office/drawing/2014/main" id="{9FCA9B48-D5BB-4B04-949F-4C4DEBE953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3" name="AutoShape 1" descr="Vista previa de toda la pantalla">
          <a:extLst>
            <a:ext uri="{FF2B5EF4-FFF2-40B4-BE49-F238E27FC236}">
              <a16:creationId xmlns:a16="http://schemas.microsoft.com/office/drawing/2014/main" id="{4BCC465C-647A-4341-8DBA-10282EE9CE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4" name="AutoShape 1" descr="Vista previa de toda la pantalla">
          <a:extLst>
            <a:ext uri="{FF2B5EF4-FFF2-40B4-BE49-F238E27FC236}">
              <a16:creationId xmlns:a16="http://schemas.microsoft.com/office/drawing/2014/main" id="{E5C11172-C5E7-413C-9D22-8B431EB0ED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5" name="AutoShape 1" descr="Vista previa de toda la pantalla">
          <a:extLst>
            <a:ext uri="{FF2B5EF4-FFF2-40B4-BE49-F238E27FC236}">
              <a16:creationId xmlns:a16="http://schemas.microsoft.com/office/drawing/2014/main" id="{DDC653C4-9A18-4B7A-88D8-7A2F34C279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6" name="AutoShape 1" descr="Vista previa de toda la pantalla">
          <a:extLst>
            <a:ext uri="{FF2B5EF4-FFF2-40B4-BE49-F238E27FC236}">
              <a16:creationId xmlns:a16="http://schemas.microsoft.com/office/drawing/2014/main" id="{BCBA2EA5-3D2F-4D48-AE51-009CEAFACF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7" name="AutoShape 1" descr="Vista previa de toda la pantalla">
          <a:extLst>
            <a:ext uri="{FF2B5EF4-FFF2-40B4-BE49-F238E27FC236}">
              <a16:creationId xmlns:a16="http://schemas.microsoft.com/office/drawing/2014/main" id="{8649E1C3-2E1F-49C5-A858-607E137AFF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8" name="AutoShape 1" descr="Vista previa de toda la pantalla">
          <a:extLst>
            <a:ext uri="{FF2B5EF4-FFF2-40B4-BE49-F238E27FC236}">
              <a16:creationId xmlns:a16="http://schemas.microsoft.com/office/drawing/2014/main" id="{B46607B9-F11B-467B-8F11-87BFB7FE0A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89" name="AutoShape 1" descr="Vista previa de toda la pantalla">
          <a:extLst>
            <a:ext uri="{FF2B5EF4-FFF2-40B4-BE49-F238E27FC236}">
              <a16:creationId xmlns:a16="http://schemas.microsoft.com/office/drawing/2014/main" id="{374E5570-D70B-4A96-9A52-8EF782E131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0" name="AutoShape 1" descr="Vista previa de toda la pantalla">
          <a:extLst>
            <a:ext uri="{FF2B5EF4-FFF2-40B4-BE49-F238E27FC236}">
              <a16:creationId xmlns:a16="http://schemas.microsoft.com/office/drawing/2014/main" id="{BC2DC3FC-B5A7-4D8E-AAEA-F3962D89B8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1" name="AutoShape 1" descr="Vista previa de toda la pantalla">
          <a:extLst>
            <a:ext uri="{FF2B5EF4-FFF2-40B4-BE49-F238E27FC236}">
              <a16:creationId xmlns:a16="http://schemas.microsoft.com/office/drawing/2014/main" id="{E0BF7CB2-98C8-438E-AF59-3EC3E4C538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2" name="AutoShape 1" descr="Vista previa de toda la pantalla">
          <a:extLst>
            <a:ext uri="{FF2B5EF4-FFF2-40B4-BE49-F238E27FC236}">
              <a16:creationId xmlns:a16="http://schemas.microsoft.com/office/drawing/2014/main" id="{0BD00471-E9D0-4536-BF02-BE6D4D5ECB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3" name="AutoShape 1" descr="Vista previa de toda la pantalla">
          <a:extLst>
            <a:ext uri="{FF2B5EF4-FFF2-40B4-BE49-F238E27FC236}">
              <a16:creationId xmlns:a16="http://schemas.microsoft.com/office/drawing/2014/main" id="{6E116FD4-5D85-4DFA-8ADA-7726C0C59C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4" name="AutoShape 1" descr="Vista previa de toda la pantalla">
          <a:extLst>
            <a:ext uri="{FF2B5EF4-FFF2-40B4-BE49-F238E27FC236}">
              <a16:creationId xmlns:a16="http://schemas.microsoft.com/office/drawing/2014/main" id="{AED6FFAD-5625-4831-9CF8-6978B8CF7D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5" name="AutoShape 1" descr="Vista previa de toda la pantalla">
          <a:extLst>
            <a:ext uri="{FF2B5EF4-FFF2-40B4-BE49-F238E27FC236}">
              <a16:creationId xmlns:a16="http://schemas.microsoft.com/office/drawing/2014/main" id="{1ED31B7D-9619-4BA6-82BA-8405A313FA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6" name="AutoShape 1" descr="Vista previa de toda la pantalla">
          <a:extLst>
            <a:ext uri="{FF2B5EF4-FFF2-40B4-BE49-F238E27FC236}">
              <a16:creationId xmlns:a16="http://schemas.microsoft.com/office/drawing/2014/main" id="{770EFC19-98A8-49A1-A6F9-7EF97B8F15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7" name="AutoShape 1" descr="Vista previa de toda la pantalla">
          <a:extLst>
            <a:ext uri="{FF2B5EF4-FFF2-40B4-BE49-F238E27FC236}">
              <a16:creationId xmlns:a16="http://schemas.microsoft.com/office/drawing/2014/main" id="{D9FBE225-6A4C-44B5-B7DF-25A6945A67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8" name="AutoShape 1" descr="Vista previa de toda la pantalla">
          <a:extLst>
            <a:ext uri="{FF2B5EF4-FFF2-40B4-BE49-F238E27FC236}">
              <a16:creationId xmlns:a16="http://schemas.microsoft.com/office/drawing/2014/main" id="{63ABA128-5A64-43B1-95C4-44AEA35886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899" name="AutoShape 1" descr="Vista previa de toda la pantalla">
          <a:extLst>
            <a:ext uri="{FF2B5EF4-FFF2-40B4-BE49-F238E27FC236}">
              <a16:creationId xmlns:a16="http://schemas.microsoft.com/office/drawing/2014/main" id="{9F52C297-91B0-4C94-A4BD-482C521510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0" name="AutoShape 1" descr="Vista previa de toda la pantalla">
          <a:extLst>
            <a:ext uri="{FF2B5EF4-FFF2-40B4-BE49-F238E27FC236}">
              <a16:creationId xmlns:a16="http://schemas.microsoft.com/office/drawing/2014/main" id="{951A3854-80B8-440A-90B2-1D1605D1D9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1" name="AutoShape 1" descr="Vista previa de toda la pantalla">
          <a:extLst>
            <a:ext uri="{FF2B5EF4-FFF2-40B4-BE49-F238E27FC236}">
              <a16:creationId xmlns:a16="http://schemas.microsoft.com/office/drawing/2014/main" id="{06FDAF37-F4EC-47CA-A01E-32941DFFB2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2" name="AutoShape 1" descr="Vista previa de toda la pantalla">
          <a:extLst>
            <a:ext uri="{FF2B5EF4-FFF2-40B4-BE49-F238E27FC236}">
              <a16:creationId xmlns:a16="http://schemas.microsoft.com/office/drawing/2014/main" id="{6DDE6463-2D45-4273-B643-0AC7C7BE89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3" name="AutoShape 1" descr="Vista previa de toda la pantalla">
          <a:extLst>
            <a:ext uri="{FF2B5EF4-FFF2-40B4-BE49-F238E27FC236}">
              <a16:creationId xmlns:a16="http://schemas.microsoft.com/office/drawing/2014/main" id="{701FC53E-999F-48CB-BA8E-CC90A50491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4" name="AutoShape 1" descr="Vista previa de toda la pantalla">
          <a:extLst>
            <a:ext uri="{FF2B5EF4-FFF2-40B4-BE49-F238E27FC236}">
              <a16:creationId xmlns:a16="http://schemas.microsoft.com/office/drawing/2014/main" id="{2EE37857-044B-4EF2-AFCA-43B2B1E1BE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5" name="AutoShape 1" descr="Vista previa de toda la pantalla">
          <a:extLst>
            <a:ext uri="{FF2B5EF4-FFF2-40B4-BE49-F238E27FC236}">
              <a16:creationId xmlns:a16="http://schemas.microsoft.com/office/drawing/2014/main" id="{F0649E12-0821-4328-9182-3A603F3C83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6" name="AutoShape 1" descr="Vista previa de toda la pantalla">
          <a:extLst>
            <a:ext uri="{FF2B5EF4-FFF2-40B4-BE49-F238E27FC236}">
              <a16:creationId xmlns:a16="http://schemas.microsoft.com/office/drawing/2014/main" id="{8320D576-0D13-4B87-B236-2A40249057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7" name="AutoShape 1" descr="Vista previa de toda la pantalla">
          <a:extLst>
            <a:ext uri="{FF2B5EF4-FFF2-40B4-BE49-F238E27FC236}">
              <a16:creationId xmlns:a16="http://schemas.microsoft.com/office/drawing/2014/main" id="{B0A9FCA1-6BAC-458C-BAE8-17573BD35B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8" name="AutoShape 1" descr="Vista previa de toda la pantalla">
          <a:extLst>
            <a:ext uri="{FF2B5EF4-FFF2-40B4-BE49-F238E27FC236}">
              <a16:creationId xmlns:a16="http://schemas.microsoft.com/office/drawing/2014/main" id="{03B679FD-D83B-4177-A79D-508550CEA6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09" name="AutoShape 1" descr="Vista previa de toda la pantalla">
          <a:extLst>
            <a:ext uri="{FF2B5EF4-FFF2-40B4-BE49-F238E27FC236}">
              <a16:creationId xmlns:a16="http://schemas.microsoft.com/office/drawing/2014/main" id="{7CDB9025-5C88-46DF-9496-EAC7B77D46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10" name="AutoShape 1" descr="Vista previa de toda la pantalla">
          <a:extLst>
            <a:ext uri="{FF2B5EF4-FFF2-40B4-BE49-F238E27FC236}">
              <a16:creationId xmlns:a16="http://schemas.microsoft.com/office/drawing/2014/main" id="{C4E60DDB-D713-48E4-8472-8321EE20B6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11" name="AutoShape 1" descr="Vista previa de toda la pantalla">
          <a:extLst>
            <a:ext uri="{FF2B5EF4-FFF2-40B4-BE49-F238E27FC236}">
              <a16:creationId xmlns:a16="http://schemas.microsoft.com/office/drawing/2014/main" id="{B80850FE-F0C8-4B09-9C8F-04C09F187C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12" name="AutoShape 1" descr="Vista previa de toda la pantalla">
          <a:extLst>
            <a:ext uri="{FF2B5EF4-FFF2-40B4-BE49-F238E27FC236}">
              <a16:creationId xmlns:a16="http://schemas.microsoft.com/office/drawing/2014/main" id="{04F0611E-1D8B-4D78-8CED-492F68ACE5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5913" name="AutoShape 1" descr="Vista previa de toda la pantalla">
          <a:extLst>
            <a:ext uri="{FF2B5EF4-FFF2-40B4-BE49-F238E27FC236}">
              <a16:creationId xmlns:a16="http://schemas.microsoft.com/office/drawing/2014/main" id="{8438D18E-E3DE-4CF0-8FDF-B1EFB27BD648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14" name="AutoShape 1" descr="Vista previa de toda la pantalla">
          <a:extLst>
            <a:ext uri="{FF2B5EF4-FFF2-40B4-BE49-F238E27FC236}">
              <a16:creationId xmlns:a16="http://schemas.microsoft.com/office/drawing/2014/main" id="{567F3C36-05B2-444D-A37F-04004C32B6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15" name="AutoShape 1" descr="Vista previa de toda la pantalla">
          <a:extLst>
            <a:ext uri="{FF2B5EF4-FFF2-40B4-BE49-F238E27FC236}">
              <a16:creationId xmlns:a16="http://schemas.microsoft.com/office/drawing/2014/main" id="{FE262F9A-2AB1-4F30-A491-2291DEF311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16" name="AutoShape 1" descr="Vista previa de toda la pantalla">
          <a:extLst>
            <a:ext uri="{FF2B5EF4-FFF2-40B4-BE49-F238E27FC236}">
              <a16:creationId xmlns:a16="http://schemas.microsoft.com/office/drawing/2014/main" id="{13F48DF9-EF7A-468F-95C2-357B475001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17" name="AutoShape 1" descr="Vista previa de toda la pantalla">
          <a:extLst>
            <a:ext uri="{FF2B5EF4-FFF2-40B4-BE49-F238E27FC236}">
              <a16:creationId xmlns:a16="http://schemas.microsoft.com/office/drawing/2014/main" id="{4689B491-EC52-4D65-A684-B746C7B85C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18" name="AutoShape 1" descr="Vista previa de toda la pantalla">
          <a:extLst>
            <a:ext uri="{FF2B5EF4-FFF2-40B4-BE49-F238E27FC236}">
              <a16:creationId xmlns:a16="http://schemas.microsoft.com/office/drawing/2014/main" id="{063FC775-FFAE-4BFF-AB43-3CF38EA357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19" name="AutoShape 1" descr="Vista previa de toda la pantalla">
          <a:extLst>
            <a:ext uri="{FF2B5EF4-FFF2-40B4-BE49-F238E27FC236}">
              <a16:creationId xmlns:a16="http://schemas.microsoft.com/office/drawing/2014/main" id="{7B7FB3C0-A88C-404D-BF6E-157B8D0A0A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0" name="AutoShape 1" descr="Vista previa de toda la pantalla">
          <a:extLst>
            <a:ext uri="{FF2B5EF4-FFF2-40B4-BE49-F238E27FC236}">
              <a16:creationId xmlns:a16="http://schemas.microsoft.com/office/drawing/2014/main" id="{AF36A892-CEFA-4EE0-A326-8254CEF6C2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1" name="AutoShape 1" descr="Vista previa de toda la pantalla">
          <a:extLst>
            <a:ext uri="{FF2B5EF4-FFF2-40B4-BE49-F238E27FC236}">
              <a16:creationId xmlns:a16="http://schemas.microsoft.com/office/drawing/2014/main" id="{47883647-4327-4389-B366-AD3F4DC150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2" name="AutoShape 1" descr="Vista previa de toda la pantalla">
          <a:extLst>
            <a:ext uri="{FF2B5EF4-FFF2-40B4-BE49-F238E27FC236}">
              <a16:creationId xmlns:a16="http://schemas.microsoft.com/office/drawing/2014/main" id="{AAA73D86-9CB0-47E0-B84E-34BE2787FE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3" name="AutoShape 1" descr="Vista previa de toda la pantalla">
          <a:extLst>
            <a:ext uri="{FF2B5EF4-FFF2-40B4-BE49-F238E27FC236}">
              <a16:creationId xmlns:a16="http://schemas.microsoft.com/office/drawing/2014/main" id="{00F209DF-5395-4582-913C-90566CEE35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4" name="AutoShape 1" descr="Vista previa de toda la pantalla">
          <a:extLst>
            <a:ext uri="{FF2B5EF4-FFF2-40B4-BE49-F238E27FC236}">
              <a16:creationId xmlns:a16="http://schemas.microsoft.com/office/drawing/2014/main" id="{8C32DCE9-95DF-4275-B8AC-25A072A25F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5" name="AutoShape 1" descr="Vista previa de toda la pantalla">
          <a:extLst>
            <a:ext uri="{FF2B5EF4-FFF2-40B4-BE49-F238E27FC236}">
              <a16:creationId xmlns:a16="http://schemas.microsoft.com/office/drawing/2014/main" id="{0BD04D71-8A03-4FF7-B97A-89DF09416C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6" name="AutoShape 1" descr="Vista previa de toda la pantalla">
          <a:extLst>
            <a:ext uri="{FF2B5EF4-FFF2-40B4-BE49-F238E27FC236}">
              <a16:creationId xmlns:a16="http://schemas.microsoft.com/office/drawing/2014/main" id="{165AC08D-4353-408C-8D64-D914296AC0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7" name="AutoShape 1" descr="Vista previa de toda la pantalla">
          <a:extLst>
            <a:ext uri="{FF2B5EF4-FFF2-40B4-BE49-F238E27FC236}">
              <a16:creationId xmlns:a16="http://schemas.microsoft.com/office/drawing/2014/main" id="{D05F97C9-1EC5-45A0-B31C-BF790F99E1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8" name="AutoShape 1" descr="Vista previa de toda la pantalla">
          <a:extLst>
            <a:ext uri="{FF2B5EF4-FFF2-40B4-BE49-F238E27FC236}">
              <a16:creationId xmlns:a16="http://schemas.microsoft.com/office/drawing/2014/main" id="{5BF5D2A4-16C8-4110-9269-C317E1706F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29" name="AutoShape 1" descr="Vista previa de toda la pantalla">
          <a:extLst>
            <a:ext uri="{FF2B5EF4-FFF2-40B4-BE49-F238E27FC236}">
              <a16:creationId xmlns:a16="http://schemas.microsoft.com/office/drawing/2014/main" id="{827765BC-3A6C-4A85-AB00-444F93FEB1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0" name="AutoShape 1" descr="Vista previa de toda la pantalla">
          <a:extLst>
            <a:ext uri="{FF2B5EF4-FFF2-40B4-BE49-F238E27FC236}">
              <a16:creationId xmlns:a16="http://schemas.microsoft.com/office/drawing/2014/main" id="{1DDA491C-E959-413C-9B90-B87B72CA23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1" name="AutoShape 1" descr="Vista previa de toda la pantalla">
          <a:extLst>
            <a:ext uri="{FF2B5EF4-FFF2-40B4-BE49-F238E27FC236}">
              <a16:creationId xmlns:a16="http://schemas.microsoft.com/office/drawing/2014/main" id="{2BF28571-80EE-44E3-9DEE-4F78486F3A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2" name="AutoShape 1" descr="Vista previa de toda la pantalla">
          <a:extLst>
            <a:ext uri="{FF2B5EF4-FFF2-40B4-BE49-F238E27FC236}">
              <a16:creationId xmlns:a16="http://schemas.microsoft.com/office/drawing/2014/main" id="{9DA012CE-6D48-4149-89C8-15A788AF69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3" name="AutoShape 1" descr="Vista previa de toda la pantalla">
          <a:extLst>
            <a:ext uri="{FF2B5EF4-FFF2-40B4-BE49-F238E27FC236}">
              <a16:creationId xmlns:a16="http://schemas.microsoft.com/office/drawing/2014/main" id="{D06CDFD1-1160-4E3B-9B44-69CC6DE206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4" name="AutoShape 1" descr="Vista previa de toda la pantalla">
          <a:extLst>
            <a:ext uri="{FF2B5EF4-FFF2-40B4-BE49-F238E27FC236}">
              <a16:creationId xmlns:a16="http://schemas.microsoft.com/office/drawing/2014/main" id="{763E82A7-3268-4C3C-AE53-F972158538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5" name="AutoShape 1" descr="Vista previa de toda la pantalla">
          <a:extLst>
            <a:ext uri="{FF2B5EF4-FFF2-40B4-BE49-F238E27FC236}">
              <a16:creationId xmlns:a16="http://schemas.microsoft.com/office/drawing/2014/main" id="{FE0A47A0-8D3F-4EA5-B237-9EAF01A868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6" name="AutoShape 1" descr="Vista previa de toda la pantalla">
          <a:extLst>
            <a:ext uri="{FF2B5EF4-FFF2-40B4-BE49-F238E27FC236}">
              <a16:creationId xmlns:a16="http://schemas.microsoft.com/office/drawing/2014/main" id="{DA441F59-E0DA-4916-B9FE-288B5226D2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7" name="AutoShape 1" descr="Vista previa de toda la pantalla">
          <a:extLst>
            <a:ext uri="{FF2B5EF4-FFF2-40B4-BE49-F238E27FC236}">
              <a16:creationId xmlns:a16="http://schemas.microsoft.com/office/drawing/2014/main" id="{601DBB90-5D45-4074-A76B-86168B5A7F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8" name="AutoShape 1" descr="Vista previa de toda la pantalla">
          <a:extLst>
            <a:ext uri="{FF2B5EF4-FFF2-40B4-BE49-F238E27FC236}">
              <a16:creationId xmlns:a16="http://schemas.microsoft.com/office/drawing/2014/main" id="{D1108237-68BD-4572-8146-FA9180F652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39" name="AutoShape 1" descr="Vista previa de toda la pantalla">
          <a:extLst>
            <a:ext uri="{FF2B5EF4-FFF2-40B4-BE49-F238E27FC236}">
              <a16:creationId xmlns:a16="http://schemas.microsoft.com/office/drawing/2014/main" id="{C8B9EAAC-CF06-4E60-AC3E-59E3C90BE2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0" name="AutoShape 1" descr="Vista previa de toda la pantalla">
          <a:extLst>
            <a:ext uri="{FF2B5EF4-FFF2-40B4-BE49-F238E27FC236}">
              <a16:creationId xmlns:a16="http://schemas.microsoft.com/office/drawing/2014/main" id="{8556C582-1BA2-49C8-A5EB-4BD1C5E745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1" name="AutoShape 1" descr="Vista previa de toda la pantalla">
          <a:extLst>
            <a:ext uri="{FF2B5EF4-FFF2-40B4-BE49-F238E27FC236}">
              <a16:creationId xmlns:a16="http://schemas.microsoft.com/office/drawing/2014/main" id="{11C39F71-60BB-4EAB-BCC2-00A10B002A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2" name="AutoShape 1" descr="Vista previa de toda la pantalla">
          <a:extLst>
            <a:ext uri="{FF2B5EF4-FFF2-40B4-BE49-F238E27FC236}">
              <a16:creationId xmlns:a16="http://schemas.microsoft.com/office/drawing/2014/main" id="{A7990F18-3774-42A7-B63E-850D823B5C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3" name="AutoShape 1" descr="Vista previa de toda la pantalla">
          <a:extLst>
            <a:ext uri="{FF2B5EF4-FFF2-40B4-BE49-F238E27FC236}">
              <a16:creationId xmlns:a16="http://schemas.microsoft.com/office/drawing/2014/main" id="{E9001640-CC1B-407C-A6C5-9B45B0FC83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4" name="AutoShape 1" descr="Vista previa de toda la pantalla">
          <a:extLst>
            <a:ext uri="{FF2B5EF4-FFF2-40B4-BE49-F238E27FC236}">
              <a16:creationId xmlns:a16="http://schemas.microsoft.com/office/drawing/2014/main" id="{5BB82D00-AA84-419B-9275-C78DC90482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5" name="AutoShape 1" descr="Vista previa de toda la pantalla">
          <a:extLst>
            <a:ext uri="{FF2B5EF4-FFF2-40B4-BE49-F238E27FC236}">
              <a16:creationId xmlns:a16="http://schemas.microsoft.com/office/drawing/2014/main" id="{47875EF4-80EB-4AB3-BAB6-3B4F5A35C6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6" name="AutoShape 1" descr="Vista previa de toda la pantalla">
          <a:extLst>
            <a:ext uri="{FF2B5EF4-FFF2-40B4-BE49-F238E27FC236}">
              <a16:creationId xmlns:a16="http://schemas.microsoft.com/office/drawing/2014/main" id="{53A7D311-E5DC-4345-8BA4-764A2E8FDA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7" name="AutoShape 1" descr="Vista previa de toda la pantalla">
          <a:extLst>
            <a:ext uri="{FF2B5EF4-FFF2-40B4-BE49-F238E27FC236}">
              <a16:creationId xmlns:a16="http://schemas.microsoft.com/office/drawing/2014/main" id="{FA81990E-6DB5-49DC-BD6D-CB360C10F8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8" name="AutoShape 1" descr="Vista previa de toda la pantalla">
          <a:extLst>
            <a:ext uri="{FF2B5EF4-FFF2-40B4-BE49-F238E27FC236}">
              <a16:creationId xmlns:a16="http://schemas.microsoft.com/office/drawing/2014/main" id="{CB540C97-E2BE-4CB7-9810-6D85AE26A1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49" name="AutoShape 1" descr="Vista previa de toda la pantalla">
          <a:extLst>
            <a:ext uri="{FF2B5EF4-FFF2-40B4-BE49-F238E27FC236}">
              <a16:creationId xmlns:a16="http://schemas.microsoft.com/office/drawing/2014/main" id="{6CC7CAC4-23DC-494F-AF6E-912BF2B09D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0" name="AutoShape 1" descr="Vista previa de toda la pantalla">
          <a:extLst>
            <a:ext uri="{FF2B5EF4-FFF2-40B4-BE49-F238E27FC236}">
              <a16:creationId xmlns:a16="http://schemas.microsoft.com/office/drawing/2014/main" id="{B6ADD08E-0E3E-452D-95C0-F3C2CBA0F3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1" name="AutoShape 1" descr="Vista previa de toda la pantalla">
          <a:extLst>
            <a:ext uri="{FF2B5EF4-FFF2-40B4-BE49-F238E27FC236}">
              <a16:creationId xmlns:a16="http://schemas.microsoft.com/office/drawing/2014/main" id="{82132587-C15F-4CDF-9514-873F350C45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2" name="AutoShape 1" descr="Vista previa de toda la pantalla">
          <a:extLst>
            <a:ext uri="{FF2B5EF4-FFF2-40B4-BE49-F238E27FC236}">
              <a16:creationId xmlns:a16="http://schemas.microsoft.com/office/drawing/2014/main" id="{A8BA773B-532C-4738-AA32-A1D0E552DC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3" name="AutoShape 1" descr="Vista previa de toda la pantalla">
          <a:extLst>
            <a:ext uri="{FF2B5EF4-FFF2-40B4-BE49-F238E27FC236}">
              <a16:creationId xmlns:a16="http://schemas.microsoft.com/office/drawing/2014/main" id="{BB476364-2525-485A-878E-9D35E91B2E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4" name="AutoShape 1" descr="Vista previa de toda la pantalla">
          <a:extLst>
            <a:ext uri="{FF2B5EF4-FFF2-40B4-BE49-F238E27FC236}">
              <a16:creationId xmlns:a16="http://schemas.microsoft.com/office/drawing/2014/main" id="{7C978A1E-42CC-4FB2-919E-37762323F2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5" name="AutoShape 1" descr="Vista previa de toda la pantalla">
          <a:extLst>
            <a:ext uri="{FF2B5EF4-FFF2-40B4-BE49-F238E27FC236}">
              <a16:creationId xmlns:a16="http://schemas.microsoft.com/office/drawing/2014/main" id="{31D59BB5-F8C1-4C76-A680-47BCC3A6F3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6" name="AutoShape 1" descr="Vista previa de toda la pantalla">
          <a:extLst>
            <a:ext uri="{FF2B5EF4-FFF2-40B4-BE49-F238E27FC236}">
              <a16:creationId xmlns:a16="http://schemas.microsoft.com/office/drawing/2014/main" id="{83E1A515-199F-4A77-97E6-BCAF700E3A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7" name="AutoShape 1" descr="Vista previa de toda la pantalla">
          <a:extLst>
            <a:ext uri="{FF2B5EF4-FFF2-40B4-BE49-F238E27FC236}">
              <a16:creationId xmlns:a16="http://schemas.microsoft.com/office/drawing/2014/main" id="{9C164277-CD23-4430-985B-EC4DFAAA67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8" name="AutoShape 1" descr="Vista previa de toda la pantalla">
          <a:extLst>
            <a:ext uri="{FF2B5EF4-FFF2-40B4-BE49-F238E27FC236}">
              <a16:creationId xmlns:a16="http://schemas.microsoft.com/office/drawing/2014/main" id="{931B4726-C405-46D2-A070-942477617E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59" name="AutoShape 1" descr="Vista previa de toda la pantalla">
          <a:extLst>
            <a:ext uri="{FF2B5EF4-FFF2-40B4-BE49-F238E27FC236}">
              <a16:creationId xmlns:a16="http://schemas.microsoft.com/office/drawing/2014/main" id="{08B45524-E666-4533-B2C9-43297D6776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0" name="AutoShape 1" descr="Vista previa de toda la pantalla">
          <a:extLst>
            <a:ext uri="{FF2B5EF4-FFF2-40B4-BE49-F238E27FC236}">
              <a16:creationId xmlns:a16="http://schemas.microsoft.com/office/drawing/2014/main" id="{60EE229E-8AA7-4721-9257-D785D97EC1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1" name="AutoShape 1" descr="Vista previa de toda la pantalla">
          <a:extLst>
            <a:ext uri="{FF2B5EF4-FFF2-40B4-BE49-F238E27FC236}">
              <a16:creationId xmlns:a16="http://schemas.microsoft.com/office/drawing/2014/main" id="{229CD0D7-4C81-4735-9826-C62DDA3EFE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2" name="AutoShape 1" descr="Vista previa de toda la pantalla">
          <a:extLst>
            <a:ext uri="{FF2B5EF4-FFF2-40B4-BE49-F238E27FC236}">
              <a16:creationId xmlns:a16="http://schemas.microsoft.com/office/drawing/2014/main" id="{00152069-4EE4-4BBB-911E-B5B2C5B7C9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3" name="AutoShape 1" descr="Vista previa de toda la pantalla">
          <a:extLst>
            <a:ext uri="{FF2B5EF4-FFF2-40B4-BE49-F238E27FC236}">
              <a16:creationId xmlns:a16="http://schemas.microsoft.com/office/drawing/2014/main" id="{06419C15-9D2F-4224-81F1-F1A22BDBF9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4" name="AutoShape 1" descr="Vista previa de toda la pantalla">
          <a:extLst>
            <a:ext uri="{FF2B5EF4-FFF2-40B4-BE49-F238E27FC236}">
              <a16:creationId xmlns:a16="http://schemas.microsoft.com/office/drawing/2014/main" id="{516A90C5-2E89-40F4-9CA0-7E3DE10FB3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5" name="AutoShape 1" descr="Vista previa de toda la pantalla">
          <a:extLst>
            <a:ext uri="{FF2B5EF4-FFF2-40B4-BE49-F238E27FC236}">
              <a16:creationId xmlns:a16="http://schemas.microsoft.com/office/drawing/2014/main" id="{DFA4F21B-3898-46E6-AF48-D0900A2EA4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6" name="AutoShape 1" descr="Vista previa de toda la pantalla">
          <a:extLst>
            <a:ext uri="{FF2B5EF4-FFF2-40B4-BE49-F238E27FC236}">
              <a16:creationId xmlns:a16="http://schemas.microsoft.com/office/drawing/2014/main" id="{F43D84D5-6415-43F9-8F13-B51AD917F8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7" name="AutoShape 1" descr="Vista previa de toda la pantalla">
          <a:extLst>
            <a:ext uri="{FF2B5EF4-FFF2-40B4-BE49-F238E27FC236}">
              <a16:creationId xmlns:a16="http://schemas.microsoft.com/office/drawing/2014/main" id="{3A315BE0-6000-4603-80BF-8B6FDADFAD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8" name="AutoShape 1" descr="Vista previa de toda la pantalla">
          <a:extLst>
            <a:ext uri="{FF2B5EF4-FFF2-40B4-BE49-F238E27FC236}">
              <a16:creationId xmlns:a16="http://schemas.microsoft.com/office/drawing/2014/main" id="{FE63E6F6-25A4-4B67-8472-8402E18523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69" name="AutoShape 1" descr="Vista previa de toda la pantalla">
          <a:extLst>
            <a:ext uri="{FF2B5EF4-FFF2-40B4-BE49-F238E27FC236}">
              <a16:creationId xmlns:a16="http://schemas.microsoft.com/office/drawing/2014/main" id="{B8D62AA0-09D4-4EAA-9916-1ED5AE72F5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0" name="AutoShape 1" descr="Vista previa de toda la pantalla">
          <a:extLst>
            <a:ext uri="{FF2B5EF4-FFF2-40B4-BE49-F238E27FC236}">
              <a16:creationId xmlns:a16="http://schemas.microsoft.com/office/drawing/2014/main" id="{3E4B3D78-B455-4E1C-AC6A-4C22CBCDA0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1" name="AutoShape 1" descr="Vista previa de toda la pantalla">
          <a:extLst>
            <a:ext uri="{FF2B5EF4-FFF2-40B4-BE49-F238E27FC236}">
              <a16:creationId xmlns:a16="http://schemas.microsoft.com/office/drawing/2014/main" id="{004A3054-A7E7-47E0-A5D2-76298C6244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2" name="AutoShape 1" descr="Vista previa de toda la pantalla">
          <a:extLst>
            <a:ext uri="{FF2B5EF4-FFF2-40B4-BE49-F238E27FC236}">
              <a16:creationId xmlns:a16="http://schemas.microsoft.com/office/drawing/2014/main" id="{0D87437D-8D9C-4825-AF27-3ABE60D1F7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3" name="AutoShape 1" descr="Vista previa de toda la pantalla">
          <a:extLst>
            <a:ext uri="{FF2B5EF4-FFF2-40B4-BE49-F238E27FC236}">
              <a16:creationId xmlns:a16="http://schemas.microsoft.com/office/drawing/2014/main" id="{AFA040E1-BE32-4C35-B1C7-0621C07AA7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4" name="AutoShape 1" descr="Vista previa de toda la pantalla">
          <a:extLst>
            <a:ext uri="{FF2B5EF4-FFF2-40B4-BE49-F238E27FC236}">
              <a16:creationId xmlns:a16="http://schemas.microsoft.com/office/drawing/2014/main" id="{0E3ACDD5-10F8-42E9-88DF-A7A760661D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5" name="AutoShape 1" descr="Vista previa de toda la pantalla">
          <a:extLst>
            <a:ext uri="{FF2B5EF4-FFF2-40B4-BE49-F238E27FC236}">
              <a16:creationId xmlns:a16="http://schemas.microsoft.com/office/drawing/2014/main" id="{4DEC3EC4-3C6C-48F5-BDB6-E97658B971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6" name="AutoShape 1" descr="Vista previa de toda la pantalla">
          <a:extLst>
            <a:ext uri="{FF2B5EF4-FFF2-40B4-BE49-F238E27FC236}">
              <a16:creationId xmlns:a16="http://schemas.microsoft.com/office/drawing/2014/main" id="{C0D624F1-C8C9-4453-8A5B-A66ACFC44B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7" name="AutoShape 1" descr="Vista previa de toda la pantalla">
          <a:extLst>
            <a:ext uri="{FF2B5EF4-FFF2-40B4-BE49-F238E27FC236}">
              <a16:creationId xmlns:a16="http://schemas.microsoft.com/office/drawing/2014/main" id="{00010DF5-2C70-42DC-8F30-A0681E6628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8" name="AutoShape 1" descr="Vista previa de toda la pantalla">
          <a:extLst>
            <a:ext uri="{FF2B5EF4-FFF2-40B4-BE49-F238E27FC236}">
              <a16:creationId xmlns:a16="http://schemas.microsoft.com/office/drawing/2014/main" id="{C91BD92C-C0D7-497A-80A8-D149607108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79" name="AutoShape 1" descr="Vista previa de toda la pantalla">
          <a:extLst>
            <a:ext uri="{FF2B5EF4-FFF2-40B4-BE49-F238E27FC236}">
              <a16:creationId xmlns:a16="http://schemas.microsoft.com/office/drawing/2014/main" id="{9EC84289-FE96-4C67-9F2C-FF11C62CAB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0" name="AutoShape 1" descr="Vista previa de toda la pantalla">
          <a:extLst>
            <a:ext uri="{FF2B5EF4-FFF2-40B4-BE49-F238E27FC236}">
              <a16:creationId xmlns:a16="http://schemas.microsoft.com/office/drawing/2014/main" id="{B52FF88B-E1D4-4CBD-8EC1-02AC324CEF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1" name="AutoShape 1" descr="Vista previa de toda la pantalla">
          <a:extLst>
            <a:ext uri="{FF2B5EF4-FFF2-40B4-BE49-F238E27FC236}">
              <a16:creationId xmlns:a16="http://schemas.microsoft.com/office/drawing/2014/main" id="{C10356B6-61EC-4AFB-9E38-B550D9EB5A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2" name="AutoShape 1" descr="Vista previa de toda la pantalla">
          <a:extLst>
            <a:ext uri="{FF2B5EF4-FFF2-40B4-BE49-F238E27FC236}">
              <a16:creationId xmlns:a16="http://schemas.microsoft.com/office/drawing/2014/main" id="{9BF6BBF2-4297-4AC0-9F6E-99F9DBB19B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3" name="AutoShape 1" descr="Vista previa de toda la pantalla">
          <a:extLst>
            <a:ext uri="{FF2B5EF4-FFF2-40B4-BE49-F238E27FC236}">
              <a16:creationId xmlns:a16="http://schemas.microsoft.com/office/drawing/2014/main" id="{D89B9422-30EF-43A7-B24E-B555346623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4" name="AutoShape 1" descr="Vista previa de toda la pantalla">
          <a:extLst>
            <a:ext uri="{FF2B5EF4-FFF2-40B4-BE49-F238E27FC236}">
              <a16:creationId xmlns:a16="http://schemas.microsoft.com/office/drawing/2014/main" id="{94BF65FC-B9B6-4CBB-820B-42BA3BE5DB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5" name="AutoShape 1" descr="Vista previa de toda la pantalla">
          <a:extLst>
            <a:ext uri="{FF2B5EF4-FFF2-40B4-BE49-F238E27FC236}">
              <a16:creationId xmlns:a16="http://schemas.microsoft.com/office/drawing/2014/main" id="{C5DC8804-A4FA-451E-B895-5AFC386906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6" name="AutoShape 1" descr="Vista previa de toda la pantalla">
          <a:extLst>
            <a:ext uri="{FF2B5EF4-FFF2-40B4-BE49-F238E27FC236}">
              <a16:creationId xmlns:a16="http://schemas.microsoft.com/office/drawing/2014/main" id="{74408798-1DA5-4819-9B12-7A71C8A8C0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7" name="AutoShape 1" descr="Vista previa de toda la pantalla">
          <a:extLst>
            <a:ext uri="{FF2B5EF4-FFF2-40B4-BE49-F238E27FC236}">
              <a16:creationId xmlns:a16="http://schemas.microsoft.com/office/drawing/2014/main" id="{28F2F3BF-17FA-4C56-987D-FD482305DB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8" name="AutoShape 1" descr="Vista previa de toda la pantalla">
          <a:extLst>
            <a:ext uri="{FF2B5EF4-FFF2-40B4-BE49-F238E27FC236}">
              <a16:creationId xmlns:a16="http://schemas.microsoft.com/office/drawing/2014/main" id="{515E5E3E-533C-42B0-86C4-5ED1428174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89" name="AutoShape 1" descr="Vista previa de toda la pantalla">
          <a:extLst>
            <a:ext uri="{FF2B5EF4-FFF2-40B4-BE49-F238E27FC236}">
              <a16:creationId xmlns:a16="http://schemas.microsoft.com/office/drawing/2014/main" id="{12EDC83C-AC15-4D9F-9B1A-D164790D20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0" name="AutoShape 1" descr="Vista previa de toda la pantalla">
          <a:extLst>
            <a:ext uri="{FF2B5EF4-FFF2-40B4-BE49-F238E27FC236}">
              <a16:creationId xmlns:a16="http://schemas.microsoft.com/office/drawing/2014/main" id="{7B35C3B1-278F-4617-BB4B-BB815DBAE4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1" name="AutoShape 1" descr="Vista previa de toda la pantalla">
          <a:extLst>
            <a:ext uri="{FF2B5EF4-FFF2-40B4-BE49-F238E27FC236}">
              <a16:creationId xmlns:a16="http://schemas.microsoft.com/office/drawing/2014/main" id="{B7AB87A0-22F2-4D1C-9F26-27358CB40A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2" name="AutoShape 1" descr="Vista previa de toda la pantalla">
          <a:extLst>
            <a:ext uri="{FF2B5EF4-FFF2-40B4-BE49-F238E27FC236}">
              <a16:creationId xmlns:a16="http://schemas.microsoft.com/office/drawing/2014/main" id="{80A1F9E5-1495-4024-B178-67D278A5CE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3" name="AutoShape 1" descr="Vista previa de toda la pantalla">
          <a:extLst>
            <a:ext uri="{FF2B5EF4-FFF2-40B4-BE49-F238E27FC236}">
              <a16:creationId xmlns:a16="http://schemas.microsoft.com/office/drawing/2014/main" id="{84EA3243-F595-4191-B018-208E76F40F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4" name="AutoShape 1" descr="Vista previa de toda la pantalla">
          <a:extLst>
            <a:ext uri="{FF2B5EF4-FFF2-40B4-BE49-F238E27FC236}">
              <a16:creationId xmlns:a16="http://schemas.microsoft.com/office/drawing/2014/main" id="{45799B45-0F9B-4D73-857C-E3F62D19FB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5" name="AutoShape 1" descr="Vista previa de toda la pantalla">
          <a:extLst>
            <a:ext uri="{FF2B5EF4-FFF2-40B4-BE49-F238E27FC236}">
              <a16:creationId xmlns:a16="http://schemas.microsoft.com/office/drawing/2014/main" id="{D281D7AF-4E13-4E24-8E4C-A96FF49CEC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6" name="AutoShape 1" descr="Vista previa de toda la pantalla">
          <a:extLst>
            <a:ext uri="{FF2B5EF4-FFF2-40B4-BE49-F238E27FC236}">
              <a16:creationId xmlns:a16="http://schemas.microsoft.com/office/drawing/2014/main" id="{8190EDB8-D0BC-44DD-A739-0E6062791B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7" name="AutoShape 1" descr="Vista previa de toda la pantalla">
          <a:extLst>
            <a:ext uri="{FF2B5EF4-FFF2-40B4-BE49-F238E27FC236}">
              <a16:creationId xmlns:a16="http://schemas.microsoft.com/office/drawing/2014/main" id="{D1EB8A83-456E-445F-8E1B-0C8C22D5F1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8" name="AutoShape 1" descr="Vista previa de toda la pantalla">
          <a:extLst>
            <a:ext uri="{FF2B5EF4-FFF2-40B4-BE49-F238E27FC236}">
              <a16:creationId xmlns:a16="http://schemas.microsoft.com/office/drawing/2014/main" id="{D0C82249-1641-4156-825B-4F78B16083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5999" name="AutoShape 1" descr="Vista previa de toda la pantalla">
          <a:extLst>
            <a:ext uri="{FF2B5EF4-FFF2-40B4-BE49-F238E27FC236}">
              <a16:creationId xmlns:a16="http://schemas.microsoft.com/office/drawing/2014/main" id="{74C1EB25-1C70-4473-9F1D-9A51B9A19B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0" name="AutoShape 1" descr="Vista previa de toda la pantalla">
          <a:extLst>
            <a:ext uri="{FF2B5EF4-FFF2-40B4-BE49-F238E27FC236}">
              <a16:creationId xmlns:a16="http://schemas.microsoft.com/office/drawing/2014/main" id="{174C41BD-DF3B-4FF0-AD3B-B3DB6CAFEF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1" name="AutoShape 1" descr="Vista previa de toda la pantalla">
          <a:extLst>
            <a:ext uri="{FF2B5EF4-FFF2-40B4-BE49-F238E27FC236}">
              <a16:creationId xmlns:a16="http://schemas.microsoft.com/office/drawing/2014/main" id="{F73CF215-12DA-400C-8BE4-7417C39E18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2" name="AutoShape 1" descr="Vista previa de toda la pantalla">
          <a:extLst>
            <a:ext uri="{FF2B5EF4-FFF2-40B4-BE49-F238E27FC236}">
              <a16:creationId xmlns:a16="http://schemas.microsoft.com/office/drawing/2014/main" id="{34EB308E-9BD1-49DC-BFFB-E0A04887CF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3" name="AutoShape 1" descr="Vista previa de toda la pantalla">
          <a:extLst>
            <a:ext uri="{FF2B5EF4-FFF2-40B4-BE49-F238E27FC236}">
              <a16:creationId xmlns:a16="http://schemas.microsoft.com/office/drawing/2014/main" id="{52089B10-F6FA-4933-B013-B41FC3006F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4" name="AutoShape 1" descr="Vista previa de toda la pantalla">
          <a:extLst>
            <a:ext uri="{FF2B5EF4-FFF2-40B4-BE49-F238E27FC236}">
              <a16:creationId xmlns:a16="http://schemas.microsoft.com/office/drawing/2014/main" id="{D70E127C-147E-425A-9401-0AC061F436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5" name="AutoShape 1" descr="Vista previa de toda la pantalla">
          <a:extLst>
            <a:ext uri="{FF2B5EF4-FFF2-40B4-BE49-F238E27FC236}">
              <a16:creationId xmlns:a16="http://schemas.microsoft.com/office/drawing/2014/main" id="{3A1831F2-CB6D-4DEA-BBE4-2F45FC8395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6" name="AutoShape 1" descr="Vista previa de toda la pantalla">
          <a:extLst>
            <a:ext uri="{FF2B5EF4-FFF2-40B4-BE49-F238E27FC236}">
              <a16:creationId xmlns:a16="http://schemas.microsoft.com/office/drawing/2014/main" id="{9236A7A3-3E42-49E0-8E95-8E89982058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7" name="AutoShape 1" descr="Vista previa de toda la pantalla">
          <a:extLst>
            <a:ext uri="{FF2B5EF4-FFF2-40B4-BE49-F238E27FC236}">
              <a16:creationId xmlns:a16="http://schemas.microsoft.com/office/drawing/2014/main" id="{6B674921-42CC-4CF4-A862-494B8A42E0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8" name="AutoShape 1" descr="Vista previa de toda la pantalla">
          <a:extLst>
            <a:ext uri="{FF2B5EF4-FFF2-40B4-BE49-F238E27FC236}">
              <a16:creationId xmlns:a16="http://schemas.microsoft.com/office/drawing/2014/main" id="{DEE3BFD5-9ACD-4D93-837E-7FFFA9EBEA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09" name="AutoShape 1" descr="Vista previa de toda la pantalla">
          <a:extLst>
            <a:ext uri="{FF2B5EF4-FFF2-40B4-BE49-F238E27FC236}">
              <a16:creationId xmlns:a16="http://schemas.microsoft.com/office/drawing/2014/main" id="{B1BCD4B0-BB53-43CE-AFBD-78D173BE8C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0" name="AutoShape 1" descr="Vista previa de toda la pantalla">
          <a:extLst>
            <a:ext uri="{FF2B5EF4-FFF2-40B4-BE49-F238E27FC236}">
              <a16:creationId xmlns:a16="http://schemas.microsoft.com/office/drawing/2014/main" id="{FF4403AB-EF5D-4E46-9E93-43C93518D4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1" name="AutoShape 1" descr="Vista previa de toda la pantalla">
          <a:extLst>
            <a:ext uri="{FF2B5EF4-FFF2-40B4-BE49-F238E27FC236}">
              <a16:creationId xmlns:a16="http://schemas.microsoft.com/office/drawing/2014/main" id="{B77AEBB6-974F-446B-B071-B1C0A75773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2" name="AutoShape 1" descr="Vista previa de toda la pantalla">
          <a:extLst>
            <a:ext uri="{FF2B5EF4-FFF2-40B4-BE49-F238E27FC236}">
              <a16:creationId xmlns:a16="http://schemas.microsoft.com/office/drawing/2014/main" id="{0A55D81F-269A-4AA1-8DB7-BD84814BD0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3" name="AutoShape 1" descr="Vista previa de toda la pantalla">
          <a:extLst>
            <a:ext uri="{FF2B5EF4-FFF2-40B4-BE49-F238E27FC236}">
              <a16:creationId xmlns:a16="http://schemas.microsoft.com/office/drawing/2014/main" id="{148F021F-468C-411A-BF35-2F93162DDA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4" name="AutoShape 1" descr="Vista previa de toda la pantalla">
          <a:extLst>
            <a:ext uri="{FF2B5EF4-FFF2-40B4-BE49-F238E27FC236}">
              <a16:creationId xmlns:a16="http://schemas.microsoft.com/office/drawing/2014/main" id="{2B843563-CC40-4C99-A49D-AF7D540657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5" name="AutoShape 1" descr="Vista previa de toda la pantalla">
          <a:extLst>
            <a:ext uri="{FF2B5EF4-FFF2-40B4-BE49-F238E27FC236}">
              <a16:creationId xmlns:a16="http://schemas.microsoft.com/office/drawing/2014/main" id="{02E48A91-DF07-40E8-8720-CBCB11D9AD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6" name="AutoShape 1" descr="Vista previa de toda la pantalla">
          <a:extLst>
            <a:ext uri="{FF2B5EF4-FFF2-40B4-BE49-F238E27FC236}">
              <a16:creationId xmlns:a16="http://schemas.microsoft.com/office/drawing/2014/main" id="{D44052BA-986D-475F-8BBB-8A96C25722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7" name="AutoShape 1" descr="Vista previa de toda la pantalla">
          <a:extLst>
            <a:ext uri="{FF2B5EF4-FFF2-40B4-BE49-F238E27FC236}">
              <a16:creationId xmlns:a16="http://schemas.microsoft.com/office/drawing/2014/main" id="{C5D9D676-4D62-430C-BF0B-19CAE0C72A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8" name="AutoShape 1" descr="Vista previa de toda la pantalla">
          <a:extLst>
            <a:ext uri="{FF2B5EF4-FFF2-40B4-BE49-F238E27FC236}">
              <a16:creationId xmlns:a16="http://schemas.microsoft.com/office/drawing/2014/main" id="{CE5EFA21-13E8-474C-AA8E-937DD3DDA8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19" name="AutoShape 1" descr="Vista previa de toda la pantalla">
          <a:extLst>
            <a:ext uri="{FF2B5EF4-FFF2-40B4-BE49-F238E27FC236}">
              <a16:creationId xmlns:a16="http://schemas.microsoft.com/office/drawing/2014/main" id="{C44178D8-6C98-4019-98C9-8E47ED0B07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0" name="AutoShape 1" descr="Vista previa de toda la pantalla">
          <a:extLst>
            <a:ext uri="{FF2B5EF4-FFF2-40B4-BE49-F238E27FC236}">
              <a16:creationId xmlns:a16="http://schemas.microsoft.com/office/drawing/2014/main" id="{678D083B-CC6C-4B54-8D7D-D34B8BA1C8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1" name="AutoShape 1" descr="Vista previa de toda la pantalla">
          <a:extLst>
            <a:ext uri="{FF2B5EF4-FFF2-40B4-BE49-F238E27FC236}">
              <a16:creationId xmlns:a16="http://schemas.microsoft.com/office/drawing/2014/main" id="{55199B9A-3FB1-4E23-A693-705CC091AF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2" name="AutoShape 1" descr="Vista previa de toda la pantalla">
          <a:extLst>
            <a:ext uri="{FF2B5EF4-FFF2-40B4-BE49-F238E27FC236}">
              <a16:creationId xmlns:a16="http://schemas.microsoft.com/office/drawing/2014/main" id="{4BF488D4-838E-4149-B356-B86101FFAD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3" name="AutoShape 1" descr="Vista previa de toda la pantalla">
          <a:extLst>
            <a:ext uri="{FF2B5EF4-FFF2-40B4-BE49-F238E27FC236}">
              <a16:creationId xmlns:a16="http://schemas.microsoft.com/office/drawing/2014/main" id="{3C80BA4F-B7E2-4E63-BBE1-C3CD4D3973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4" name="AutoShape 1" descr="Vista previa de toda la pantalla">
          <a:extLst>
            <a:ext uri="{FF2B5EF4-FFF2-40B4-BE49-F238E27FC236}">
              <a16:creationId xmlns:a16="http://schemas.microsoft.com/office/drawing/2014/main" id="{13A2E14E-A082-4D24-A68E-AD340FE485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5" name="AutoShape 1" descr="Vista previa de toda la pantalla">
          <a:extLst>
            <a:ext uri="{FF2B5EF4-FFF2-40B4-BE49-F238E27FC236}">
              <a16:creationId xmlns:a16="http://schemas.microsoft.com/office/drawing/2014/main" id="{1A4BDC78-CAF7-40DF-86C3-2C3AECF179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6" name="AutoShape 1" descr="Vista previa de toda la pantalla">
          <a:extLst>
            <a:ext uri="{FF2B5EF4-FFF2-40B4-BE49-F238E27FC236}">
              <a16:creationId xmlns:a16="http://schemas.microsoft.com/office/drawing/2014/main" id="{FD24263F-2C09-4D17-A8F1-25B9FACE81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7" name="AutoShape 1" descr="Vista previa de toda la pantalla">
          <a:extLst>
            <a:ext uri="{FF2B5EF4-FFF2-40B4-BE49-F238E27FC236}">
              <a16:creationId xmlns:a16="http://schemas.microsoft.com/office/drawing/2014/main" id="{4F613DD1-BE78-438C-B7A8-9C59B8F9C1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8" name="AutoShape 1" descr="Vista previa de toda la pantalla">
          <a:extLst>
            <a:ext uri="{FF2B5EF4-FFF2-40B4-BE49-F238E27FC236}">
              <a16:creationId xmlns:a16="http://schemas.microsoft.com/office/drawing/2014/main" id="{D0642152-D4E6-486D-A2F8-9C6F6E479F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29" name="AutoShape 1" descr="Vista previa de toda la pantalla">
          <a:extLst>
            <a:ext uri="{FF2B5EF4-FFF2-40B4-BE49-F238E27FC236}">
              <a16:creationId xmlns:a16="http://schemas.microsoft.com/office/drawing/2014/main" id="{B6D2C2F2-5740-4FC4-A530-591476F1B1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0" name="AutoShape 1" descr="Vista previa de toda la pantalla">
          <a:extLst>
            <a:ext uri="{FF2B5EF4-FFF2-40B4-BE49-F238E27FC236}">
              <a16:creationId xmlns:a16="http://schemas.microsoft.com/office/drawing/2014/main" id="{8EFCF38F-FF0B-4937-9FB0-1F2AAEAA3C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1" name="AutoShape 1" descr="Vista previa de toda la pantalla">
          <a:extLst>
            <a:ext uri="{FF2B5EF4-FFF2-40B4-BE49-F238E27FC236}">
              <a16:creationId xmlns:a16="http://schemas.microsoft.com/office/drawing/2014/main" id="{A5D31B1D-6CE9-4195-9B93-BB64FAE33F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2" name="AutoShape 1" descr="Vista previa de toda la pantalla">
          <a:extLst>
            <a:ext uri="{FF2B5EF4-FFF2-40B4-BE49-F238E27FC236}">
              <a16:creationId xmlns:a16="http://schemas.microsoft.com/office/drawing/2014/main" id="{5F0C0F8C-E34C-4605-B61F-207AFC14FB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3" name="AutoShape 1" descr="Vista previa de toda la pantalla">
          <a:extLst>
            <a:ext uri="{FF2B5EF4-FFF2-40B4-BE49-F238E27FC236}">
              <a16:creationId xmlns:a16="http://schemas.microsoft.com/office/drawing/2014/main" id="{C808AAE2-1BB5-48CE-BFF4-8A906C0142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4" name="AutoShape 1" descr="Vista previa de toda la pantalla">
          <a:extLst>
            <a:ext uri="{FF2B5EF4-FFF2-40B4-BE49-F238E27FC236}">
              <a16:creationId xmlns:a16="http://schemas.microsoft.com/office/drawing/2014/main" id="{CEDF0DC1-7D6D-4C04-B641-E9456DEFEC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5" name="AutoShape 1" descr="Vista previa de toda la pantalla">
          <a:extLst>
            <a:ext uri="{FF2B5EF4-FFF2-40B4-BE49-F238E27FC236}">
              <a16:creationId xmlns:a16="http://schemas.microsoft.com/office/drawing/2014/main" id="{B42C0324-0472-49EA-B97B-6ED16593C2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6" name="AutoShape 1" descr="Vista previa de toda la pantalla">
          <a:extLst>
            <a:ext uri="{FF2B5EF4-FFF2-40B4-BE49-F238E27FC236}">
              <a16:creationId xmlns:a16="http://schemas.microsoft.com/office/drawing/2014/main" id="{D49E9DCB-E5DA-4660-BEBA-1A807C2F9A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7" name="AutoShape 1" descr="Vista previa de toda la pantalla">
          <a:extLst>
            <a:ext uri="{FF2B5EF4-FFF2-40B4-BE49-F238E27FC236}">
              <a16:creationId xmlns:a16="http://schemas.microsoft.com/office/drawing/2014/main" id="{90AB55C8-8EFB-4937-8EBE-827961EC56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8" name="AutoShape 1" descr="Vista previa de toda la pantalla">
          <a:extLst>
            <a:ext uri="{FF2B5EF4-FFF2-40B4-BE49-F238E27FC236}">
              <a16:creationId xmlns:a16="http://schemas.microsoft.com/office/drawing/2014/main" id="{0BC41AF6-3ADB-4590-864B-C215122476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39" name="AutoShape 1" descr="Vista previa de toda la pantalla">
          <a:extLst>
            <a:ext uri="{FF2B5EF4-FFF2-40B4-BE49-F238E27FC236}">
              <a16:creationId xmlns:a16="http://schemas.microsoft.com/office/drawing/2014/main" id="{7A9CBB78-115E-4351-B112-80406877C1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0" name="AutoShape 1" descr="Vista previa de toda la pantalla">
          <a:extLst>
            <a:ext uri="{FF2B5EF4-FFF2-40B4-BE49-F238E27FC236}">
              <a16:creationId xmlns:a16="http://schemas.microsoft.com/office/drawing/2014/main" id="{D0321847-4C9A-4D2B-8B47-68EFAEF57E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1" name="AutoShape 1" descr="Vista previa de toda la pantalla">
          <a:extLst>
            <a:ext uri="{FF2B5EF4-FFF2-40B4-BE49-F238E27FC236}">
              <a16:creationId xmlns:a16="http://schemas.microsoft.com/office/drawing/2014/main" id="{8E727243-8716-492A-8947-E6A69C63AE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2" name="AutoShape 1" descr="Vista previa de toda la pantalla">
          <a:extLst>
            <a:ext uri="{FF2B5EF4-FFF2-40B4-BE49-F238E27FC236}">
              <a16:creationId xmlns:a16="http://schemas.microsoft.com/office/drawing/2014/main" id="{6573F507-E57A-4F32-A77C-1A81432426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3" name="AutoShape 1" descr="Vista previa de toda la pantalla">
          <a:extLst>
            <a:ext uri="{FF2B5EF4-FFF2-40B4-BE49-F238E27FC236}">
              <a16:creationId xmlns:a16="http://schemas.microsoft.com/office/drawing/2014/main" id="{5B038CAD-1A74-48D2-97AF-B9A7CD8832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4" name="AutoShape 1" descr="Vista previa de toda la pantalla">
          <a:extLst>
            <a:ext uri="{FF2B5EF4-FFF2-40B4-BE49-F238E27FC236}">
              <a16:creationId xmlns:a16="http://schemas.microsoft.com/office/drawing/2014/main" id="{9E2907AA-61DA-4C78-83FC-CD28458475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5" name="AutoShape 1" descr="Vista previa de toda la pantalla">
          <a:extLst>
            <a:ext uri="{FF2B5EF4-FFF2-40B4-BE49-F238E27FC236}">
              <a16:creationId xmlns:a16="http://schemas.microsoft.com/office/drawing/2014/main" id="{74BDC828-C9FA-4E17-9BD7-DBC6E238FA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6" name="AutoShape 1" descr="Vista previa de toda la pantalla">
          <a:extLst>
            <a:ext uri="{FF2B5EF4-FFF2-40B4-BE49-F238E27FC236}">
              <a16:creationId xmlns:a16="http://schemas.microsoft.com/office/drawing/2014/main" id="{3578D5CB-8DF5-40A2-B17A-E8F35B17EB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7" name="AutoShape 1" descr="Vista previa de toda la pantalla">
          <a:extLst>
            <a:ext uri="{FF2B5EF4-FFF2-40B4-BE49-F238E27FC236}">
              <a16:creationId xmlns:a16="http://schemas.microsoft.com/office/drawing/2014/main" id="{CBD5BCB8-AFD7-4EC2-9610-5057A70A20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8" name="AutoShape 1" descr="Vista previa de toda la pantalla">
          <a:extLst>
            <a:ext uri="{FF2B5EF4-FFF2-40B4-BE49-F238E27FC236}">
              <a16:creationId xmlns:a16="http://schemas.microsoft.com/office/drawing/2014/main" id="{A2913FBF-E841-47EF-BA53-32DEAF9C0D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49" name="AutoShape 1" descr="Vista previa de toda la pantalla">
          <a:extLst>
            <a:ext uri="{FF2B5EF4-FFF2-40B4-BE49-F238E27FC236}">
              <a16:creationId xmlns:a16="http://schemas.microsoft.com/office/drawing/2014/main" id="{4EA9F8E5-D517-4B56-8269-4B84F679AF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0" name="AutoShape 1" descr="Vista previa de toda la pantalla">
          <a:extLst>
            <a:ext uri="{FF2B5EF4-FFF2-40B4-BE49-F238E27FC236}">
              <a16:creationId xmlns:a16="http://schemas.microsoft.com/office/drawing/2014/main" id="{B8B923E9-43F3-494D-AFA6-4E56019975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1" name="AutoShape 1" descr="Vista previa de toda la pantalla">
          <a:extLst>
            <a:ext uri="{FF2B5EF4-FFF2-40B4-BE49-F238E27FC236}">
              <a16:creationId xmlns:a16="http://schemas.microsoft.com/office/drawing/2014/main" id="{1F35CA92-93A9-42A9-8961-785D5DCA55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2" name="AutoShape 1" descr="Vista previa de toda la pantalla">
          <a:extLst>
            <a:ext uri="{FF2B5EF4-FFF2-40B4-BE49-F238E27FC236}">
              <a16:creationId xmlns:a16="http://schemas.microsoft.com/office/drawing/2014/main" id="{5C90902F-0934-426B-AEC6-F4A9ED68B9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3" name="AutoShape 1" descr="Vista previa de toda la pantalla">
          <a:extLst>
            <a:ext uri="{FF2B5EF4-FFF2-40B4-BE49-F238E27FC236}">
              <a16:creationId xmlns:a16="http://schemas.microsoft.com/office/drawing/2014/main" id="{21BAFD52-0B19-4836-BF80-152B149744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4" name="AutoShape 1" descr="Vista previa de toda la pantalla">
          <a:extLst>
            <a:ext uri="{FF2B5EF4-FFF2-40B4-BE49-F238E27FC236}">
              <a16:creationId xmlns:a16="http://schemas.microsoft.com/office/drawing/2014/main" id="{FF8CD91F-E9A0-4B93-AA14-46A19310D5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5" name="AutoShape 1" descr="Vista previa de toda la pantalla">
          <a:extLst>
            <a:ext uri="{FF2B5EF4-FFF2-40B4-BE49-F238E27FC236}">
              <a16:creationId xmlns:a16="http://schemas.microsoft.com/office/drawing/2014/main" id="{BAF67DFE-3ECC-42E9-836F-AC1FD15860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6" name="AutoShape 1" descr="Vista previa de toda la pantalla">
          <a:extLst>
            <a:ext uri="{FF2B5EF4-FFF2-40B4-BE49-F238E27FC236}">
              <a16:creationId xmlns:a16="http://schemas.microsoft.com/office/drawing/2014/main" id="{AF8824A3-66E4-4241-AB2F-669BA0C2EB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7" name="AutoShape 1" descr="Vista previa de toda la pantalla">
          <a:extLst>
            <a:ext uri="{FF2B5EF4-FFF2-40B4-BE49-F238E27FC236}">
              <a16:creationId xmlns:a16="http://schemas.microsoft.com/office/drawing/2014/main" id="{B657B9BA-BCF4-402F-985A-616255A879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8" name="AutoShape 1" descr="Vista previa de toda la pantalla">
          <a:extLst>
            <a:ext uri="{FF2B5EF4-FFF2-40B4-BE49-F238E27FC236}">
              <a16:creationId xmlns:a16="http://schemas.microsoft.com/office/drawing/2014/main" id="{35008BC0-0EEC-4458-9CE4-84D6AAF051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59" name="AutoShape 1" descr="Vista previa de toda la pantalla">
          <a:extLst>
            <a:ext uri="{FF2B5EF4-FFF2-40B4-BE49-F238E27FC236}">
              <a16:creationId xmlns:a16="http://schemas.microsoft.com/office/drawing/2014/main" id="{86E21602-EAA6-4BC5-BD2A-EB85265CA0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0" name="AutoShape 1" descr="Vista previa de toda la pantalla">
          <a:extLst>
            <a:ext uri="{FF2B5EF4-FFF2-40B4-BE49-F238E27FC236}">
              <a16:creationId xmlns:a16="http://schemas.microsoft.com/office/drawing/2014/main" id="{3396F346-DF52-4594-A1C2-463CBF5912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1" name="AutoShape 1" descr="Vista previa de toda la pantalla">
          <a:extLst>
            <a:ext uri="{FF2B5EF4-FFF2-40B4-BE49-F238E27FC236}">
              <a16:creationId xmlns:a16="http://schemas.microsoft.com/office/drawing/2014/main" id="{0CEAD77E-3705-4B50-B3CF-4265CC23DC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2" name="AutoShape 1" descr="Vista previa de toda la pantalla">
          <a:extLst>
            <a:ext uri="{FF2B5EF4-FFF2-40B4-BE49-F238E27FC236}">
              <a16:creationId xmlns:a16="http://schemas.microsoft.com/office/drawing/2014/main" id="{FEBF7989-123D-4C9F-9456-C35A631663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3" name="AutoShape 1" descr="Vista previa de toda la pantalla">
          <a:extLst>
            <a:ext uri="{FF2B5EF4-FFF2-40B4-BE49-F238E27FC236}">
              <a16:creationId xmlns:a16="http://schemas.microsoft.com/office/drawing/2014/main" id="{B67CBAA7-4BB8-4C67-8423-AAD0D5DCD6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4" name="AutoShape 1" descr="Vista previa de toda la pantalla">
          <a:extLst>
            <a:ext uri="{FF2B5EF4-FFF2-40B4-BE49-F238E27FC236}">
              <a16:creationId xmlns:a16="http://schemas.microsoft.com/office/drawing/2014/main" id="{54A90CAA-EC3C-4BA7-B16D-526C3D44A5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5" name="AutoShape 1" descr="Vista previa de toda la pantalla">
          <a:extLst>
            <a:ext uri="{FF2B5EF4-FFF2-40B4-BE49-F238E27FC236}">
              <a16:creationId xmlns:a16="http://schemas.microsoft.com/office/drawing/2014/main" id="{B71A0A64-1B00-4B12-847F-A3726E2961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6" name="AutoShape 1" descr="Vista previa de toda la pantalla">
          <a:extLst>
            <a:ext uri="{FF2B5EF4-FFF2-40B4-BE49-F238E27FC236}">
              <a16:creationId xmlns:a16="http://schemas.microsoft.com/office/drawing/2014/main" id="{69C4E238-B8F6-4542-9F6D-0350BCC8A7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7" name="AutoShape 1" descr="Vista previa de toda la pantalla">
          <a:extLst>
            <a:ext uri="{FF2B5EF4-FFF2-40B4-BE49-F238E27FC236}">
              <a16:creationId xmlns:a16="http://schemas.microsoft.com/office/drawing/2014/main" id="{BE7CBED2-C5FB-46BA-B033-226E1072F6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8" name="AutoShape 1" descr="Vista previa de toda la pantalla">
          <a:extLst>
            <a:ext uri="{FF2B5EF4-FFF2-40B4-BE49-F238E27FC236}">
              <a16:creationId xmlns:a16="http://schemas.microsoft.com/office/drawing/2014/main" id="{3516EB08-DC5E-4944-A574-1B7A433AB7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69" name="AutoShape 1" descr="Vista previa de toda la pantalla">
          <a:extLst>
            <a:ext uri="{FF2B5EF4-FFF2-40B4-BE49-F238E27FC236}">
              <a16:creationId xmlns:a16="http://schemas.microsoft.com/office/drawing/2014/main" id="{45A84857-9337-4741-83D1-D9A69B6EBF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0" name="AutoShape 1" descr="Vista previa de toda la pantalla">
          <a:extLst>
            <a:ext uri="{FF2B5EF4-FFF2-40B4-BE49-F238E27FC236}">
              <a16:creationId xmlns:a16="http://schemas.microsoft.com/office/drawing/2014/main" id="{E5195C47-16D7-4975-8076-A5EA30943A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1" name="AutoShape 1" descr="Vista previa de toda la pantalla">
          <a:extLst>
            <a:ext uri="{FF2B5EF4-FFF2-40B4-BE49-F238E27FC236}">
              <a16:creationId xmlns:a16="http://schemas.microsoft.com/office/drawing/2014/main" id="{8C2AA7AF-09BD-44E8-BE86-EE86028133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2" name="AutoShape 1" descr="Vista previa de toda la pantalla">
          <a:extLst>
            <a:ext uri="{FF2B5EF4-FFF2-40B4-BE49-F238E27FC236}">
              <a16:creationId xmlns:a16="http://schemas.microsoft.com/office/drawing/2014/main" id="{41BAF21A-ECCD-4A68-BD88-CA7F75EE81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3" name="AutoShape 1" descr="Vista previa de toda la pantalla">
          <a:extLst>
            <a:ext uri="{FF2B5EF4-FFF2-40B4-BE49-F238E27FC236}">
              <a16:creationId xmlns:a16="http://schemas.microsoft.com/office/drawing/2014/main" id="{DCA57B05-B076-45CD-9630-BF8456B1BF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4" name="AutoShape 1" descr="Vista previa de toda la pantalla">
          <a:extLst>
            <a:ext uri="{FF2B5EF4-FFF2-40B4-BE49-F238E27FC236}">
              <a16:creationId xmlns:a16="http://schemas.microsoft.com/office/drawing/2014/main" id="{EC1FCD6E-5A65-4CF8-8A61-A1212DA858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5" name="AutoShape 1" descr="Vista previa de toda la pantalla">
          <a:extLst>
            <a:ext uri="{FF2B5EF4-FFF2-40B4-BE49-F238E27FC236}">
              <a16:creationId xmlns:a16="http://schemas.microsoft.com/office/drawing/2014/main" id="{F24BDE80-2F23-4166-8376-188A314A5F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6" name="AutoShape 1" descr="Vista previa de toda la pantalla">
          <a:extLst>
            <a:ext uri="{FF2B5EF4-FFF2-40B4-BE49-F238E27FC236}">
              <a16:creationId xmlns:a16="http://schemas.microsoft.com/office/drawing/2014/main" id="{09DFA620-486E-4A56-8317-CC6A5D0D69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7" name="AutoShape 1" descr="Vista previa de toda la pantalla">
          <a:extLst>
            <a:ext uri="{FF2B5EF4-FFF2-40B4-BE49-F238E27FC236}">
              <a16:creationId xmlns:a16="http://schemas.microsoft.com/office/drawing/2014/main" id="{82F7FFA3-11A2-45E5-90E6-886C2E694F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8" name="AutoShape 1" descr="Vista previa de toda la pantalla">
          <a:extLst>
            <a:ext uri="{FF2B5EF4-FFF2-40B4-BE49-F238E27FC236}">
              <a16:creationId xmlns:a16="http://schemas.microsoft.com/office/drawing/2014/main" id="{7387B84A-B055-42D5-877D-35A012F20F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79" name="AutoShape 1" descr="Vista previa de toda la pantalla">
          <a:extLst>
            <a:ext uri="{FF2B5EF4-FFF2-40B4-BE49-F238E27FC236}">
              <a16:creationId xmlns:a16="http://schemas.microsoft.com/office/drawing/2014/main" id="{0AC08AC9-B062-4256-89BD-FD12A4993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80" name="AutoShape 1" descr="Vista previa de toda la pantalla">
          <a:extLst>
            <a:ext uri="{FF2B5EF4-FFF2-40B4-BE49-F238E27FC236}">
              <a16:creationId xmlns:a16="http://schemas.microsoft.com/office/drawing/2014/main" id="{59CE1C35-6F9C-426F-A8CB-DD681A963B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81" name="AutoShape 1" descr="Vista previa de toda la pantalla">
          <a:extLst>
            <a:ext uri="{FF2B5EF4-FFF2-40B4-BE49-F238E27FC236}">
              <a16:creationId xmlns:a16="http://schemas.microsoft.com/office/drawing/2014/main" id="{F5A4CEE7-4985-4353-89B5-65BDA09DAD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6082" name="AutoShape 1" descr="Vista previa de toda la pantalla">
          <a:extLst>
            <a:ext uri="{FF2B5EF4-FFF2-40B4-BE49-F238E27FC236}">
              <a16:creationId xmlns:a16="http://schemas.microsoft.com/office/drawing/2014/main" id="{31AC5A74-36E9-4D26-9466-DCF6913E82EC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83" name="AutoShape 1" descr="Vista previa de toda la pantalla">
          <a:extLst>
            <a:ext uri="{FF2B5EF4-FFF2-40B4-BE49-F238E27FC236}">
              <a16:creationId xmlns:a16="http://schemas.microsoft.com/office/drawing/2014/main" id="{8DB3AC54-1616-4507-B802-291B46DD41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84" name="AutoShape 1" descr="Vista previa de toda la pantalla">
          <a:extLst>
            <a:ext uri="{FF2B5EF4-FFF2-40B4-BE49-F238E27FC236}">
              <a16:creationId xmlns:a16="http://schemas.microsoft.com/office/drawing/2014/main" id="{04589FD2-B402-4589-937C-0F2F2CC585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85" name="AutoShape 1" descr="Vista previa de toda la pantalla">
          <a:extLst>
            <a:ext uri="{FF2B5EF4-FFF2-40B4-BE49-F238E27FC236}">
              <a16:creationId xmlns:a16="http://schemas.microsoft.com/office/drawing/2014/main" id="{13AAF6AD-56D5-4F71-84F1-2234B5679C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86" name="AutoShape 1" descr="Vista previa de toda la pantalla">
          <a:extLst>
            <a:ext uri="{FF2B5EF4-FFF2-40B4-BE49-F238E27FC236}">
              <a16:creationId xmlns:a16="http://schemas.microsoft.com/office/drawing/2014/main" id="{9E87A4E7-1462-4AEE-AE74-8B194B9F5C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87" name="AutoShape 1" descr="Vista previa de toda la pantalla">
          <a:extLst>
            <a:ext uri="{FF2B5EF4-FFF2-40B4-BE49-F238E27FC236}">
              <a16:creationId xmlns:a16="http://schemas.microsoft.com/office/drawing/2014/main" id="{8CF31188-5C71-4EBB-8BFD-0183F7AD8C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88" name="AutoShape 1" descr="Vista previa de toda la pantalla">
          <a:extLst>
            <a:ext uri="{FF2B5EF4-FFF2-40B4-BE49-F238E27FC236}">
              <a16:creationId xmlns:a16="http://schemas.microsoft.com/office/drawing/2014/main" id="{7EE5966D-A64C-4940-B5E4-7A1076EBED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89" name="AutoShape 1" descr="Vista previa de toda la pantalla">
          <a:extLst>
            <a:ext uri="{FF2B5EF4-FFF2-40B4-BE49-F238E27FC236}">
              <a16:creationId xmlns:a16="http://schemas.microsoft.com/office/drawing/2014/main" id="{D68AD20B-6F45-4057-B8E6-8855AA75AD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0" name="AutoShape 1" descr="Vista previa de toda la pantalla">
          <a:extLst>
            <a:ext uri="{FF2B5EF4-FFF2-40B4-BE49-F238E27FC236}">
              <a16:creationId xmlns:a16="http://schemas.microsoft.com/office/drawing/2014/main" id="{53B80068-C49E-4AA3-8854-53485D1A5F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1" name="AutoShape 1" descr="Vista previa de toda la pantalla">
          <a:extLst>
            <a:ext uri="{FF2B5EF4-FFF2-40B4-BE49-F238E27FC236}">
              <a16:creationId xmlns:a16="http://schemas.microsoft.com/office/drawing/2014/main" id="{FA457CF4-8649-4B29-AE98-7CFBADA199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2" name="AutoShape 1" descr="Vista previa de toda la pantalla">
          <a:extLst>
            <a:ext uri="{FF2B5EF4-FFF2-40B4-BE49-F238E27FC236}">
              <a16:creationId xmlns:a16="http://schemas.microsoft.com/office/drawing/2014/main" id="{2976A7D5-9AEC-4D70-8449-72D99B629E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3" name="AutoShape 1" descr="Vista previa de toda la pantalla">
          <a:extLst>
            <a:ext uri="{FF2B5EF4-FFF2-40B4-BE49-F238E27FC236}">
              <a16:creationId xmlns:a16="http://schemas.microsoft.com/office/drawing/2014/main" id="{74578657-BD20-423B-9B9F-3037DB561F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4" name="AutoShape 1" descr="Vista previa de toda la pantalla">
          <a:extLst>
            <a:ext uri="{FF2B5EF4-FFF2-40B4-BE49-F238E27FC236}">
              <a16:creationId xmlns:a16="http://schemas.microsoft.com/office/drawing/2014/main" id="{B8F2BBA9-9B5F-4867-9146-D822BAA57C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5" name="AutoShape 1" descr="Vista previa de toda la pantalla">
          <a:extLst>
            <a:ext uri="{FF2B5EF4-FFF2-40B4-BE49-F238E27FC236}">
              <a16:creationId xmlns:a16="http://schemas.microsoft.com/office/drawing/2014/main" id="{F2164A6F-2FB4-43F1-8839-34F161457C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6" name="AutoShape 1" descr="Vista previa de toda la pantalla">
          <a:extLst>
            <a:ext uri="{FF2B5EF4-FFF2-40B4-BE49-F238E27FC236}">
              <a16:creationId xmlns:a16="http://schemas.microsoft.com/office/drawing/2014/main" id="{D7D4F551-2AC4-470E-966E-8958EA011D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7" name="AutoShape 1" descr="Vista previa de toda la pantalla">
          <a:extLst>
            <a:ext uri="{FF2B5EF4-FFF2-40B4-BE49-F238E27FC236}">
              <a16:creationId xmlns:a16="http://schemas.microsoft.com/office/drawing/2014/main" id="{AD705130-F2DB-4F1A-A330-7FDC605122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8" name="AutoShape 1" descr="Vista previa de toda la pantalla">
          <a:extLst>
            <a:ext uri="{FF2B5EF4-FFF2-40B4-BE49-F238E27FC236}">
              <a16:creationId xmlns:a16="http://schemas.microsoft.com/office/drawing/2014/main" id="{C38DC294-E851-442A-9E53-14B89033FF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099" name="AutoShape 1" descr="Vista previa de toda la pantalla">
          <a:extLst>
            <a:ext uri="{FF2B5EF4-FFF2-40B4-BE49-F238E27FC236}">
              <a16:creationId xmlns:a16="http://schemas.microsoft.com/office/drawing/2014/main" id="{EA28F75E-93D6-4004-AB93-FBFC7E0878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0" name="AutoShape 1" descr="Vista previa de toda la pantalla">
          <a:extLst>
            <a:ext uri="{FF2B5EF4-FFF2-40B4-BE49-F238E27FC236}">
              <a16:creationId xmlns:a16="http://schemas.microsoft.com/office/drawing/2014/main" id="{C37005B7-89EA-4DA4-9C4E-35EEFDFC11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1" name="AutoShape 1" descr="Vista previa de toda la pantalla">
          <a:extLst>
            <a:ext uri="{FF2B5EF4-FFF2-40B4-BE49-F238E27FC236}">
              <a16:creationId xmlns:a16="http://schemas.microsoft.com/office/drawing/2014/main" id="{51B7C1A8-1EB0-4630-A106-6D41B0B65D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2" name="AutoShape 1" descr="Vista previa de toda la pantalla">
          <a:extLst>
            <a:ext uri="{FF2B5EF4-FFF2-40B4-BE49-F238E27FC236}">
              <a16:creationId xmlns:a16="http://schemas.microsoft.com/office/drawing/2014/main" id="{D81524F0-A6CC-4BE2-A998-21478FA69A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3" name="AutoShape 1" descr="Vista previa de toda la pantalla">
          <a:extLst>
            <a:ext uri="{FF2B5EF4-FFF2-40B4-BE49-F238E27FC236}">
              <a16:creationId xmlns:a16="http://schemas.microsoft.com/office/drawing/2014/main" id="{2C33464D-89BC-4AD0-AE2E-F57881B06C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4" name="AutoShape 1" descr="Vista previa de toda la pantalla">
          <a:extLst>
            <a:ext uri="{FF2B5EF4-FFF2-40B4-BE49-F238E27FC236}">
              <a16:creationId xmlns:a16="http://schemas.microsoft.com/office/drawing/2014/main" id="{E83E5C52-B38D-44CA-8298-3FC966EA8A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5" name="AutoShape 1" descr="Vista previa de toda la pantalla">
          <a:extLst>
            <a:ext uri="{FF2B5EF4-FFF2-40B4-BE49-F238E27FC236}">
              <a16:creationId xmlns:a16="http://schemas.microsoft.com/office/drawing/2014/main" id="{C39700FE-EC37-4653-8EE8-13D53935CA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6" name="AutoShape 1" descr="Vista previa de toda la pantalla">
          <a:extLst>
            <a:ext uri="{FF2B5EF4-FFF2-40B4-BE49-F238E27FC236}">
              <a16:creationId xmlns:a16="http://schemas.microsoft.com/office/drawing/2014/main" id="{D9D6D1D5-DFE6-426A-92EA-B9726302CA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7" name="AutoShape 1" descr="Vista previa de toda la pantalla">
          <a:extLst>
            <a:ext uri="{FF2B5EF4-FFF2-40B4-BE49-F238E27FC236}">
              <a16:creationId xmlns:a16="http://schemas.microsoft.com/office/drawing/2014/main" id="{0FEFEC53-CA9D-450F-B0CE-125CDA0100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8" name="AutoShape 1" descr="Vista previa de toda la pantalla">
          <a:extLst>
            <a:ext uri="{FF2B5EF4-FFF2-40B4-BE49-F238E27FC236}">
              <a16:creationId xmlns:a16="http://schemas.microsoft.com/office/drawing/2014/main" id="{79E86773-A99E-47F6-8C72-1D001F4855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09" name="AutoShape 1" descr="Vista previa de toda la pantalla">
          <a:extLst>
            <a:ext uri="{FF2B5EF4-FFF2-40B4-BE49-F238E27FC236}">
              <a16:creationId xmlns:a16="http://schemas.microsoft.com/office/drawing/2014/main" id="{71ECBC38-3CD0-46FD-94D5-05A5845C26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0" name="AutoShape 1" descr="Vista previa de toda la pantalla">
          <a:extLst>
            <a:ext uri="{FF2B5EF4-FFF2-40B4-BE49-F238E27FC236}">
              <a16:creationId xmlns:a16="http://schemas.microsoft.com/office/drawing/2014/main" id="{B5869478-FA84-4104-82E3-7BD76540DC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1" name="AutoShape 1" descr="Vista previa de toda la pantalla">
          <a:extLst>
            <a:ext uri="{FF2B5EF4-FFF2-40B4-BE49-F238E27FC236}">
              <a16:creationId xmlns:a16="http://schemas.microsoft.com/office/drawing/2014/main" id="{68F4F565-CF99-411C-A8FB-2058FC8C2C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2" name="AutoShape 1" descr="Vista previa de toda la pantalla">
          <a:extLst>
            <a:ext uri="{FF2B5EF4-FFF2-40B4-BE49-F238E27FC236}">
              <a16:creationId xmlns:a16="http://schemas.microsoft.com/office/drawing/2014/main" id="{5E8D7315-0C61-4FD2-B527-8F8FF2B5D0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3" name="AutoShape 1" descr="Vista previa de toda la pantalla">
          <a:extLst>
            <a:ext uri="{FF2B5EF4-FFF2-40B4-BE49-F238E27FC236}">
              <a16:creationId xmlns:a16="http://schemas.microsoft.com/office/drawing/2014/main" id="{233EEF1F-6329-44BC-BE81-DC6FFCCA96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4" name="AutoShape 1" descr="Vista previa de toda la pantalla">
          <a:extLst>
            <a:ext uri="{FF2B5EF4-FFF2-40B4-BE49-F238E27FC236}">
              <a16:creationId xmlns:a16="http://schemas.microsoft.com/office/drawing/2014/main" id="{889309D3-EE5E-4AE7-BC89-199E257FC5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5" name="AutoShape 1" descr="Vista previa de toda la pantalla">
          <a:extLst>
            <a:ext uri="{FF2B5EF4-FFF2-40B4-BE49-F238E27FC236}">
              <a16:creationId xmlns:a16="http://schemas.microsoft.com/office/drawing/2014/main" id="{75F3A474-B971-4826-96AC-FC964A6904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6" name="AutoShape 1" descr="Vista previa de toda la pantalla">
          <a:extLst>
            <a:ext uri="{FF2B5EF4-FFF2-40B4-BE49-F238E27FC236}">
              <a16:creationId xmlns:a16="http://schemas.microsoft.com/office/drawing/2014/main" id="{F19C5EF4-1739-418C-80CE-93B827900F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7" name="AutoShape 1" descr="Vista previa de toda la pantalla">
          <a:extLst>
            <a:ext uri="{FF2B5EF4-FFF2-40B4-BE49-F238E27FC236}">
              <a16:creationId xmlns:a16="http://schemas.microsoft.com/office/drawing/2014/main" id="{D72EF6B6-143C-4570-B049-31750FEC14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8" name="AutoShape 1" descr="Vista previa de toda la pantalla">
          <a:extLst>
            <a:ext uri="{FF2B5EF4-FFF2-40B4-BE49-F238E27FC236}">
              <a16:creationId xmlns:a16="http://schemas.microsoft.com/office/drawing/2014/main" id="{0BCF45B4-C723-4F10-B210-748F4FE086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19" name="AutoShape 1" descr="Vista previa de toda la pantalla">
          <a:extLst>
            <a:ext uri="{FF2B5EF4-FFF2-40B4-BE49-F238E27FC236}">
              <a16:creationId xmlns:a16="http://schemas.microsoft.com/office/drawing/2014/main" id="{1C31FC20-6B01-4C84-9D7C-6263253368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0" name="AutoShape 1" descr="Vista previa de toda la pantalla">
          <a:extLst>
            <a:ext uri="{FF2B5EF4-FFF2-40B4-BE49-F238E27FC236}">
              <a16:creationId xmlns:a16="http://schemas.microsoft.com/office/drawing/2014/main" id="{EB16CB90-16C6-4AED-AA38-4F9B6F8213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1" name="AutoShape 1" descr="Vista previa de toda la pantalla">
          <a:extLst>
            <a:ext uri="{FF2B5EF4-FFF2-40B4-BE49-F238E27FC236}">
              <a16:creationId xmlns:a16="http://schemas.microsoft.com/office/drawing/2014/main" id="{81BF1ED4-D45F-48FB-8C46-ECD770F894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2" name="AutoShape 1" descr="Vista previa de toda la pantalla">
          <a:extLst>
            <a:ext uri="{FF2B5EF4-FFF2-40B4-BE49-F238E27FC236}">
              <a16:creationId xmlns:a16="http://schemas.microsoft.com/office/drawing/2014/main" id="{4DDDFDFE-F4F0-4479-85B3-499E1D14B2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3" name="AutoShape 1" descr="Vista previa de toda la pantalla">
          <a:extLst>
            <a:ext uri="{FF2B5EF4-FFF2-40B4-BE49-F238E27FC236}">
              <a16:creationId xmlns:a16="http://schemas.microsoft.com/office/drawing/2014/main" id="{E91A9CCA-AC64-4197-AB6A-674BF11E67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4" name="AutoShape 1" descr="Vista previa de toda la pantalla">
          <a:extLst>
            <a:ext uri="{FF2B5EF4-FFF2-40B4-BE49-F238E27FC236}">
              <a16:creationId xmlns:a16="http://schemas.microsoft.com/office/drawing/2014/main" id="{86E7B7DB-DA68-470A-8C09-07C19E5B47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5" name="AutoShape 1" descr="Vista previa de toda la pantalla">
          <a:extLst>
            <a:ext uri="{FF2B5EF4-FFF2-40B4-BE49-F238E27FC236}">
              <a16:creationId xmlns:a16="http://schemas.microsoft.com/office/drawing/2014/main" id="{6FC86765-1624-485C-9772-EF23415D8F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6" name="AutoShape 1" descr="Vista previa de toda la pantalla">
          <a:extLst>
            <a:ext uri="{FF2B5EF4-FFF2-40B4-BE49-F238E27FC236}">
              <a16:creationId xmlns:a16="http://schemas.microsoft.com/office/drawing/2014/main" id="{613EC57B-1207-499D-B261-FB1413A765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7" name="AutoShape 1" descr="Vista previa de toda la pantalla">
          <a:extLst>
            <a:ext uri="{FF2B5EF4-FFF2-40B4-BE49-F238E27FC236}">
              <a16:creationId xmlns:a16="http://schemas.microsoft.com/office/drawing/2014/main" id="{496C63F5-B65E-4803-AF35-7EA6E4DD11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8" name="AutoShape 1" descr="Vista previa de toda la pantalla">
          <a:extLst>
            <a:ext uri="{FF2B5EF4-FFF2-40B4-BE49-F238E27FC236}">
              <a16:creationId xmlns:a16="http://schemas.microsoft.com/office/drawing/2014/main" id="{B685665E-26CA-4300-B2A9-3C3FB6C170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29" name="AutoShape 1" descr="Vista previa de toda la pantalla">
          <a:extLst>
            <a:ext uri="{FF2B5EF4-FFF2-40B4-BE49-F238E27FC236}">
              <a16:creationId xmlns:a16="http://schemas.microsoft.com/office/drawing/2014/main" id="{252F6CE3-7C71-411B-AF83-F411833103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0" name="AutoShape 1" descr="Vista previa de toda la pantalla">
          <a:extLst>
            <a:ext uri="{FF2B5EF4-FFF2-40B4-BE49-F238E27FC236}">
              <a16:creationId xmlns:a16="http://schemas.microsoft.com/office/drawing/2014/main" id="{0993CB55-C9A2-485D-9467-1978C58612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1" name="AutoShape 1" descr="Vista previa de toda la pantalla">
          <a:extLst>
            <a:ext uri="{FF2B5EF4-FFF2-40B4-BE49-F238E27FC236}">
              <a16:creationId xmlns:a16="http://schemas.microsoft.com/office/drawing/2014/main" id="{F5DECA80-E090-43A5-846A-90C76D00C8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2" name="AutoShape 1" descr="Vista previa de toda la pantalla">
          <a:extLst>
            <a:ext uri="{FF2B5EF4-FFF2-40B4-BE49-F238E27FC236}">
              <a16:creationId xmlns:a16="http://schemas.microsoft.com/office/drawing/2014/main" id="{869A1DCF-AFAA-4772-A4EC-FA1F05AC87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3" name="AutoShape 1" descr="Vista previa de toda la pantalla">
          <a:extLst>
            <a:ext uri="{FF2B5EF4-FFF2-40B4-BE49-F238E27FC236}">
              <a16:creationId xmlns:a16="http://schemas.microsoft.com/office/drawing/2014/main" id="{269C1F2E-8ADA-4310-A3E9-1F3E212106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4" name="AutoShape 1" descr="Vista previa de toda la pantalla">
          <a:extLst>
            <a:ext uri="{FF2B5EF4-FFF2-40B4-BE49-F238E27FC236}">
              <a16:creationId xmlns:a16="http://schemas.microsoft.com/office/drawing/2014/main" id="{D6A3F2FF-6DFA-4846-AF31-B6283A69FE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5" name="AutoShape 1" descr="Vista previa de toda la pantalla">
          <a:extLst>
            <a:ext uri="{FF2B5EF4-FFF2-40B4-BE49-F238E27FC236}">
              <a16:creationId xmlns:a16="http://schemas.microsoft.com/office/drawing/2014/main" id="{1AD846C4-3951-4F40-A9FA-EA1614F348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6" name="AutoShape 1" descr="Vista previa de toda la pantalla">
          <a:extLst>
            <a:ext uri="{FF2B5EF4-FFF2-40B4-BE49-F238E27FC236}">
              <a16:creationId xmlns:a16="http://schemas.microsoft.com/office/drawing/2014/main" id="{6FFC3095-5C51-4858-8B28-A215AFE9CE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7" name="AutoShape 1" descr="Vista previa de toda la pantalla">
          <a:extLst>
            <a:ext uri="{FF2B5EF4-FFF2-40B4-BE49-F238E27FC236}">
              <a16:creationId xmlns:a16="http://schemas.microsoft.com/office/drawing/2014/main" id="{DBDC5F0A-2811-45DE-A3E1-031C0D08BC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8" name="AutoShape 1" descr="Vista previa de toda la pantalla">
          <a:extLst>
            <a:ext uri="{FF2B5EF4-FFF2-40B4-BE49-F238E27FC236}">
              <a16:creationId xmlns:a16="http://schemas.microsoft.com/office/drawing/2014/main" id="{EE10C4A7-9B72-48BE-84F7-E560EF6060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39" name="AutoShape 1" descr="Vista previa de toda la pantalla">
          <a:extLst>
            <a:ext uri="{FF2B5EF4-FFF2-40B4-BE49-F238E27FC236}">
              <a16:creationId xmlns:a16="http://schemas.microsoft.com/office/drawing/2014/main" id="{ECBE2A91-F0C3-49F7-9428-47691263A8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0" name="AutoShape 1" descr="Vista previa de toda la pantalla">
          <a:extLst>
            <a:ext uri="{FF2B5EF4-FFF2-40B4-BE49-F238E27FC236}">
              <a16:creationId xmlns:a16="http://schemas.microsoft.com/office/drawing/2014/main" id="{C2FBC991-93CB-47CC-B73A-31CE7A5400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1" name="AutoShape 1" descr="Vista previa de toda la pantalla">
          <a:extLst>
            <a:ext uri="{FF2B5EF4-FFF2-40B4-BE49-F238E27FC236}">
              <a16:creationId xmlns:a16="http://schemas.microsoft.com/office/drawing/2014/main" id="{509246CD-B454-4E3B-89DE-258B4E5641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2" name="AutoShape 1" descr="Vista previa de toda la pantalla">
          <a:extLst>
            <a:ext uri="{FF2B5EF4-FFF2-40B4-BE49-F238E27FC236}">
              <a16:creationId xmlns:a16="http://schemas.microsoft.com/office/drawing/2014/main" id="{2303484A-EB12-4C57-B890-4FFF46190A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3" name="AutoShape 1" descr="Vista previa de toda la pantalla">
          <a:extLst>
            <a:ext uri="{FF2B5EF4-FFF2-40B4-BE49-F238E27FC236}">
              <a16:creationId xmlns:a16="http://schemas.microsoft.com/office/drawing/2014/main" id="{4EDBA389-31CC-495A-A325-67F27A4492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4" name="AutoShape 1" descr="Vista previa de toda la pantalla">
          <a:extLst>
            <a:ext uri="{FF2B5EF4-FFF2-40B4-BE49-F238E27FC236}">
              <a16:creationId xmlns:a16="http://schemas.microsoft.com/office/drawing/2014/main" id="{1E421DAA-8EFA-4F4F-A322-DA3DA47F19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5" name="AutoShape 1" descr="Vista previa de toda la pantalla">
          <a:extLst>
            <a:ext uri="{FF2B5EF4-FFF2-40B4-BE49-F238E27FC236}">
              <a16:creationId xmlns:a16="http://schemas.microsoft.com/office/drawing/2014/main" id="{671F7BBB-8E21-4C31-8C9E-8A74F6EC2C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6" name="AutoShape 1" descr="Vista previa de toda la pantalla">
          <a:extLst>
            <a:ext uri="{FF2B5EF4-FFF2-40B4-BE49-F238E27FC236}">
              <a16:creationId xmlns:a16="http://schemas.microsoft.com/office/drawing/2014/main" id="{46305BE4-27EA-4B6C-8163-F68526F4CB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7" name="AutoShape 1" descr="Vista previa de toda la pantalla">
          <a:extLst>
            <a:ext uri="{FF2B5EF4-FFF2-40B4-BE49-F238E27FC236}">
              <a16:creationId xmlns:a16="http://schemas.microsoft.com/office/drawing/2014/main" id="{3129C1E6-5C41-41A3-8A01-1735DCB8D6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8" name="AutoShape 1" descr="Vista previa de toda la pantalla">
          <a:extLst>
            <a:ext uri="{FF2B5EF4-FFF2-40B4-BE49-F238E27FC236}">
              <a16:creationId xmlns:a16="http://schemas.microsoft.com/office/drawing/2014/main" id="{8551D87D-F998-4B17-B6B8-0C1A373139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49" name="AutoShape 1" descr="Vista previa de toda la pantalla">
          <a:extLst>
            <a:ext uri="{FF2B5EF4-FFF2-40B4-BE49-F238E27FC236}">
              <a16:creationId xmlns:a16="http://schemas.microsoft.com/office/drawing/2014/main" id="{472341FB-8617-46C9-AECB-8C4F91A832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0" name="AutoShape 1" descr="Vista previa de toda la pantalla">
          <a:extLst>
            <a:ext uri="{FF2B5EF4-FFF2-40B4-BE49-F238E27FC236}">
              <a16:creationId xmlns:a16="http://schemas.microsoft.com/office/drawing/2014/main" id="{B62C24F8-F7E9-43B6-9841-D47C07B5E8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1" name="AutoShape 1" descr="Vista previa de toda la pantalla">
          <a:extLst>
            <a:ext uri="{FF2B5EF4-FFF2-40B4-BE49-F238E27FC236}">
              <a16:creationId xmlns:a16="http://schemas.microsoft.com/office/drawing/2014/main" id="{157779AB-97DB-46F3-954C-E94A3CC149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2" name="AutoShape 1" descr="Vista previa de toda la pantalla">
          <a:extLst>
            <a:ext uri="{FF2B5EF4-FFF2-40B4-BE49-F238E27FC236}">
              <a16:creationId xmlns:a16="http://schemas.microsoft.com/office/drawing/2014/main" id="{C2CCD6E3-6CAD-4F26-9D78-0DBF14B9C3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3" name="AutoShape 1" descr="Vista previa de toda la pantalla">
          <a:extLst>
            <a:ext uri="{FF2B5EF4-FFF2-40B4-BE49-F238E27FC236}">
              <a16:creationId xmlns:a16="http://schemas.microsoft.com/office/drawing/2014/main" id="{CC718DD8-A5FB-4D7C-A5E8-E309B07EA3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4" name="AutoShape 1" descr="Vista previa de toda la pantalla">
          <a:extLst>
            <a:ext uri="{FF2B5EF4-FFF2-40B4-BE49-F238E27FC236}">
              <a16:creationId xmlns:a16="http://schemas.microsoft.com/office/drawing/2014/main" id="{8B755082-7222-498C-B3B2-BAECA07E53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5" name="AutoShape 1" descr="Vista previa de toda la pantalla">
          <a:extLst>
            <a:ext uri="{FF2B5EF4-FFF2-40B4-BE49-F238E27FC236}">
              <a16:creationId xmlns:a16="http://schemas.microsoft.com/office/drawing/2014/main" id="{F981735B-DF82-4ACF-8AB7-CE2B259A5D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6" name="AutoShape 1" descr="Vista previa de toda la pantalla">
          <a:extLst>
            <a:ext uri="{FF2B5EF4-FFF2-40B4-BE49-F238E27FC236}">
              <a16:creationId xmlns:a16="http://schemas.microsoft.com/office/drawing/2014/main" id="{5AC4CA82-1ACE-4CBE-8E13-BB95D41BB5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7" name="AutoShape 1" descr="Vista previa de toda la pantalla">
          <a:extLst>
            <a:ext uri="{FF2B5EF4-FFF2-40B4-BE49-F238E27FC236}">
              <a16:creationId xmlns:a16="http://schemas.microsoft.com/office/drawing/2014/main" id="{BAD3B722-0353-49B8-978E-9D6D12B89E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8" name="AutoShape 1" descr="Vista previa de toda la pantalla">
          <a:extLst>
            <a:ext uri="{FF2B5EF4-FFF2-40B4-BE49-F238E27FC236}">
              <a16:creationId xmlns:a16="http://schemas.microsoft.com/office/drawing/2014/main" id="{58382392-AE91-4091-A6ED-C3C08FEFCF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59" name="AutoShape 1" descr="Vista previa de toda la pantalla">
          <a:extLst>
            <a:ext uri="{FF2B5EF4-FFF2-40B4-BE49-F238E27FC236}">
              <a16:creationId xmlns:a16="http://schemas.microsoft.com/office/drawing/2014/main" id="{529983A5-061A-4024-9371-3F69FDAB9F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0" name="AutoShape 1" descr="Vista previa de toda la pantalla">
          <a:extLst>
            <a:ext uri="{FF2B5EF4-FFF2-40B4-BE49-F238E27FC236}">
              <a16:creationId xmlns:a16="http://schemas.microsoft.com/office/drawing/2014/main" id="{CB3FA91F-5EFD-48F5-B203-21EA55E052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1" name="AutoShape 1" descr="Vista previa de toda la pantalla">
          <a:extLst>
            <a:ext uri="{FF2B5EF4-FFF2-40B4-BE49-F238E27FC236}">
              <a16:creationId xmlns:a16="http://schemas.microsoft.com/office/drawing/2014/main" id="{9385B2D0-F8EE-4063-9EEA-6CD9677AD1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2" name="AutoShape 1" descr="Vista previa de toda la pantalla">
          <a:extLst>
            <a:ext uri="{FF2B5EF4-FFF2-40B4-BE49-F238E27FC236}">
              <a16:creationId xmlns:a16="http://schemas.microsoft.com/office/drawing/2014/main" id="{41BCF070-FAEC-4D07-91B7-D8D31CC6FB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3" name="AutoShape 1" descr="Vista previa de toda la pantalla">
          <a:extLst>
            <a:ext uri="{FF2B5EF4-FFF2-40B4-BE49-F238E27FC236}">
              <a16:creationId xmlns:a16="http://schemas.microsoft.com/office/drawing/2014/main" id="{ECE5BF4B-C3B2-4AFD-A639-22CDE59887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4" name="AutoShape 1" descr="Vista previa de toda la pantalla">
          <a:extLst>
            <a:ext uri="{FF2B5EF4-FFF2-40B4-BE49-F238E27FC236}">
              <a16:creationId xmlns:a16="http://schemas.microsoft.com/office/drawing/2014/main" id="{34DE2DDE-F1E1-4600-99B7-4617E9A9DB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5" name="AutoShape 1" descr="Vista previa de toda la pantalla">
          <a:extLst>
            <a:ext uri="{FF2B5EF4-FFF2-40B4-BE49-F238E27FC236}">
              <a16:creationId xmlns:a16="http://schemas.microsoft.com/office/drawing/2014/main" id="{BB7DFECE-6088-4208-9D30-ACE4646B28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6" name="AutoShape 1" descr="Vista previa de toda la pantalla">
          <a:extLst>
            <a:ext uri="{FF2B5EF4-FFF2-40B4-BE49-F238E27FC236}">
              <a16:creationId xmlns:a16="http://schemas.microsoft.com/office/drawing/2014/main" id="{0D8FDB9D-1D66-428D-AA06-C0DA4C4783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7" name="AutoShape 1" descr="Vista previa de toda la pantalla">
          <a:extLst>
            <a:ext uri="{FF2B5EF4-FFF2-40B4-BE49-F238E27FC236}">
              <a16:creationId xmlns:a16="http://schemas.microsoft.com/office/drawing/2014/main" id="{E2315058-4D56-44AA-BDC1-52C9D2D993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8" name="AutoShape 1" descr="Vista previa de toda la pantalla">
          <a:extLst>
            <a:ext uri="{FF2B5EF4-FFF2-40B4-BE49-F238E27FC236}">
              <a16:creationId xmlns:a16="http://schemas.microsoft.com/office/drawing/2014/main" id="{3BB424AA-59CF-4355-B027-11A9830A6D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69" name="AutoShape 1" descr="Vista previa de toda la pantalla">
          <a:extLst>
            <a:ext uri="{FF2B5EF4-FFF2-40B4-BE49-F238E27FC236}">
              <a16:creationId xmlns:a16="http://schemas.microsoft.com/office/drawing/2014/main" id="{1D813FCA-819B-4378-A32B-6187695502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0" name="AutoShape 1" descr="Vista previa de toda la pantalla">
          <a:extLst>
            <a:ext uri="{FF2B5EF4-FFF2-40B4-BE49-F238E27FC236}">
              <a16:creationId xmlns:a16="http://schemas.microsoft.com/office/drawing/2014/main" id="{5C746D47-3288-47AB-83AF-BA7C3301F8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1" name="AutoShape 1" descr="Vista previa de toda la pantalla">
          <a:extLst>
            <a:ext uri="{FF2B5EF4-FFF2-40B4-BE49-F238E27FC236}">
              <a16:creationId xmlns:a16="http://schemas.microsoft.com/office/drawing/2014/main" id="{C28EDB50-D70A-481A-A33F-673271FE54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2" name="AutoShape 1" descr="Vista previa de toda la pantalla">
          <a:extLst>
            <a:ext uri="{FF2B5EF4-FFF2-40B4-BE49-F238E27FC236}">
              <a16:creationId xmlns:a16="http://schemas.microsoft.com/office/drawing/2014/main" id="{2C56FE86-DDA0-4A8F-B97C-0BBA10B43E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3" name="AutoShape 1" descr="Vista previa de toda la pantalla">
          <a:extLst>
            <a:ext uri="{FF2B5EF4-FFF2-40B4-BE49-F238E27FC236}">
              <a16:creationId xmlns:a16="http://schemas.microsoft.com/office/drawing/2014/main" id="{DE8B260B-68FD-4EA4-AF45-5CF2777577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4" name="AutoShape 1" descr="Vista previa de toda la pantalla">
          <a:extLst>
            <a:ext uri="{FF2B5EF4-FFF2-40B4-BE49-F238E27FC236}">
              <a16:creationId xmlns:a16="http://schemas.microsoft.com/office/drawing/2014/main" id="{086B39E5-8E3C-435E-B304-13F2F1CF50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5" name="AutoShape 1" descr="Vista previa de toda la pantalla">
          <a:extLst>
            <a:ext uri="{FF2B5EF4-FFF2-40B4-BE49-F238E27FC236}">
              <a16:creationId xmlns:a16="http://schemas.microsoft.com/office/drawing/2014/main" id="{109147ED-301B-41E9-8286-77577686AF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6" name="AutoShape 1" descr="Vista previa de toda la pantalla">
          <a:extLst>
            <a:ext uri="{FF2B5EF4-FFF2-40B4-BE49-F238E27FC236}">
              <a16:creationId xmlns:a16="http://schemas.microsoft.com/office/drawing/2014/main" id="{723DFD99-737C-49EC-8688-F1D33133CD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7" name="AutoShape 1" descr="Vista previa de toda la pantalla">
          <a:extLst>
            <a:ext uri="{FF2B5EF4-FFF2-40B4-BE49-F238E27FC236}">
              <a16:creationId xmlns:a16="http://schemas.microsoft.com/office/drawing/2014/main" id="{F2D841B7-7DC2-44C7-A289-CACFD2FA68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8" name="AutoShape 1" descr="Vista previa de toda la pantalla">
          <a:extLst>
            <a:ext uri="{FF2B5EF4-FFF2-40B4-BE49-F238E27FC236}">
              <a16:creationId xmlns:a16="http://schemas.microsoft.com/office/drawing/2014/main" id="{095A2315-90AE-49F6-82C7-E75231C52B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79" name="AutoShape 1" descr="Vista previa de toda la pantalla">
          <a:extLst>
            <a:ext uri="{FF2B5EF4-FFF2-40B4-BE49-F238E27FC236}">
              <a16:creationId xmlns:a16="http://schemas.microsoft.com/office/drawing/2014/main" id="{501A0C5B-AB38-4C6B-B457-17C1B52CF5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0" name="AutoShape 1" descr="Vista previa de toda la pantalla">
          <a:extLst>
            <a:ext uri="{FF2B5EF4-FFF2-40B4-BE49-F238E27FC236}">
              <a16:creationId xmlns:a16="http://schemas.microsoft.com/office/drawing/2014/main" id="{9F8FB190-5C02-48DA-838F-E4E418F5E2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1" name="AutoShape 1" descr="Vista previa de toda la pantalla">
          <a:extLst>
            <a:ext uri="{FF2B5EF4-FFF2-40B4-BE49-F238E27FC236}">
              <a16:creationId xmlns:a16="http://schemas.microsoft.com/office/drawing/2014/main" id="{B574C7D5-73D0-410F-BEF1-74D1DB85F8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2" name="AutoShape 1" descr="Vista previa de toda la pantalla">
          <a:extLst>
            <a:ext uri="{FF2B5EF4-FFF2-40B4-BE49-F238E27FC236}">
              <a16:creationId xmlns:a16="http://schemas.microsoft.com/office/drawing/2014/main" id="{018D31CA-D32A-4E26-B685-D45BB3D52E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3" name="AutoShape 1" descr="Vista previa de toda la pantalla">
          <a:extLst>
            <a:ext uri="{FF2B5EF4-FFF2-40B4-BE49-F238E27FC236}">
              <a16:creationId xmlns:a16="http://schemas.microsoft.com/office/drawing/2014/main" id="{9E332005-AD61-459F-B921-66229B334C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4" name="AutoShape 1" descr="Vista previa de toda la pantalla">
          <a:extLst>
            <a:ext uri="{FF2B5EF4-FFF2-40B4-BE49-F238E27FC236}">
              <a16:creationId xmlns:a16="http://schemas.microsoft.com/office/drawing/2014/main" id="{616E1C88-15D4-478C-8839-8AEF075459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5" name="AutoShape 1" descr="Vista previa de toda la pantalla">
          <a:extLst>
            <a:ext uri="{FF2B5EF4-FFF2-40B4-BE49-F238E27FC236}">
              <a16:creationId xmlns:a16="http://schemas.microsoft.com/office/drawing/2014/main" id="{D1ED1EEE-9823-4A59-8100-E426B20C75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6" name="AutoShape 1" descr="Vista previa de toda la pantalla">
          <a:extLst>
            <a:ext uri="{FF2B5EF4-FFF2-40B4-BE49-F238E27FC236}">
              <a16:creationId xmlns:a16="http://schemas.microsoft.com/office/drawing/2014/main" id="{A962C33B-611D-49AE-9067-62BFB6349B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7" name="AutoShape 1" descr="Vista previa de toda la pantalla">
          <a:extLst>
            <a:ext uri="{FF2B5EF4-FFF2-40B4-BE49-F238E27FC236}">
              <a16:creationId xmlns:a16="http://schemas.microsoft.com/office/drawing/2014/main" id="{83C36076-9322-42D8-B2E1-FA3BC050F4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8" name="AutoShape 1" descr="Vista previa de toda la pantalla">
          <a:extLst>
            <a:ext uri="{FF2B5EF4-FFF2-40B4-BE49-F238E27FC236}">
              <a16:creationId xmlns:a16="http://schemas.microsoft.com/office/drawing/2014/main" id="{8DABEAE0-65CD-49F0-87A4-31DCA246F9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89" name="AutoShape 1" descr="Vista previa de toda la pantalla">
          <a:extLst>
            <a:ext uri="{FF2B5EF4-FFF2-40B4-BE49-F238E27FC236}">
              <a16:creationId xmlns:a16="http://schemas.microsoft.com/office/drawing/2014/main" id="{5FDEC414-5D1C-4931-9FE9-E0AAF7A7BD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0" name="AutoShape 1" descr="Vista previa de toda la pantalla">
          <a:extLst>
            <a:ext uri="{FF2B5EF4-FFF2-40B4-BE49-F238E27FC236}">
              <a16:creationId xmlns:a16="http://schemas.microsoft.com/office/drawing/2014/main" id="{D41E986D-A91C-44A9-8941-14D0FF3375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1" name="AutoShape 1" descr="Vista previa de toda la pantalla">
          <a:extLst>
            <a:ext uri="{FF2B5EF4-FFF2-40B4-BE49-F238E27FC236}">
              <a16:creationId xmlns:a16="http://schemas.microsoft.com/office/drawing/2014/main" id="{B8C746D0-72E2-46C7-BFCF-CA03EB180D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2" name="AutoShape 1" descr="Vista previa de toda la pantalla">
          <a:extLst>
            <a:ext uri="{FF2B5EF4-FFF2-40B4-BE49-F238E27FC236}">
              <a16:creationId xmlns:a16="http://schemas.microsoft.com/office/drawing/2014/main" id="{5F3C1C61-B264-4A7D-A2F1-3E4D1D748A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3" name="AutoShape 1" descr="Vista previa de toda la pantalla">
          <a:extLst>
            <a:ext uri="{FF2B5EF4-FFF2-40B4-BE49-F238E27FC236}">
              <a16:creationId xmlns:a16="http://schemas.microsoft.com/office/drawing/2014/main" id="{AEDDF77C-D838-492E-B93A-4AE7D69047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4" name="AutoShape 1" descr="Vista previa de toda la pantalla">
          <a:extLst>
            <a:ext uri="{FF2B5EF4-FFF2-40B4-BE49-F238E27FC236}">
              <a16:creationId xmlns:a16="http://schemas.microsoft.com/office/drawing/2014/main" id="{1EA6C8BA-4738-4F19-AFB0-333E9E9E77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5" name="AutoShape 1" descr="Vista previa de toda la pantalla">
          <a:extLst>
            <a:ext uri="{FF2B5EF4-FFF2-40B4-BE49-F238E27FC236}">
              <a16:creationId xmlns:a16="http://schemas.microsoft.com/office/drawing/2014/main" id="{FCA6BACE-875E-4C46-AEE6-1ED678F3EF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6" name="AutoShape 1" descr="Vista previa de toda la pantalla">
          <a:extLst>
            <a:ext uri="{FF2B5EF4-FFF2-40B4-BE49-F238E27FC236}">
              <a16:creationId xmlns:a16="http://schemas.microsoft.com/office/drawing/2014/main" id="{7315F42C-A2D9-4C6A-87C6-6F5939B8A4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7" name="AutoShape 1" descr="Vista previa de toda la pantalla">
          <a:extLst>
            <a:ext uri="{FF2B5EF4-FFF2-40B4-BE49-F238E27FC236}">
              <a16:creationId xmlns:a16="http://schemas.microsoft.com/office/drawing/2014/main" id="{E3C2ED3C-D803-4F3F-9D71-59524D3D76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8" name="AutoShape 1" descr="Vista previa de toda la pantalla">
          <a:extLst>
            <a:ext uri="{FF2B5EF4-FFF2-40B4-BE49-F238E27FC236}">
              <a16:creationId xmlns:a16="http://schemas.microsoft.com/office/drawing/2014/main" id="{2ECCDA32-11DD-4A6E-BB79-732DAED49C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199" name="AutoShape 1" descr="Vista previa de toda la pantalla">
          <a:extLst>
            <a:ext uri="{FF2B5EF4-FFF2-40B4-BE49-F238E27FC236}">
              <a16:creationId xmlns:a16="http://schemas.microsoft.com/office/drawing/2014/main" id="{BFEACC3D-4F5A-4FA1-8B19-6F2D22BDCE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0" name="AutoShape 1" descr="Vista previa de toda la pantalla">
          <a:extLst>
            <a:ext uri="{FF2B5EF4-FFF2-40B4-BE49-F238E27FC236}">
              <a16:creationId xmlns:a16="http://schemas.microsoft.com/office/drawing/2014/main" id="{5D91C930-B079-4AD5-B383-298AB23647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1" name="AutoShape 1" descr="Vista previa de toda la pantalla">
          <a:extLst>
            <a:ext uri="{FF2B5EF4-FFF2-40B4-BE49-F238E27FC236}">
              <a16:creationId xmlns:a16="http://schemas.microsoft.com/office/drawing/2014/main" id="{D40E7EE9-FAAB-4B3B-8D9F-4894AA133B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2" name="AutoShape 1" descr="Vista previa de toda la pantalla">
          <a:extLst>
            <a:ext uri="{FF2B5EF4-FFF2-40B4-BE49-F238E27FC236}">
              <a16:creationId xmlns:a16="http://schemas.microsoft.com/office/drawing/2014/main" id="{C20337AD-8432-400B-9663-BDAAC2BC16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3" name="AutoShape 1" descr="Vista previa de toda la pantalla">
          <a:extLst>
            <a:ext uri="{FF2B5EF4-FFF2-40B4-BE49-F238E27FC236}">
              <a16:creationId xmlns:a16="http://schemas.microsoft.com/office/drawing/2014/main" id="{93A88D0A-B487-462A-8E3C-F3CCCC09E0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4" name="AutoShape 1" descr="Vista previa de toda la pantalla">
          <a:extLst>
            <a:ext uri="{FF2B5EF4-FFF2-40B4-BE49-F238E27FC236}">
              <a16:creationId xmlns:a16="http://schemas.microsoft.com/office/drawing/2014/main" id="{123D4019-B1E6-4EE1-973F-E7EE8C081D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5" name="AutoShape 1" descr="Vista previa de toda la pantalla">
          <a:extLst>
            <a:ext uri="{FF2B5EF4-FFF2-40B4-BE49-F238E27FC236}">
              <a16:creationId xmlns:a16="http://schemas.microsoft.com/office/drawing/2014/main" id="{CC5E0381-0E22-4D81-9A96-955BA477F5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6" name="AutoShape 1" descr="Vista previa de toda la pantalla">
          <a:extLst>
            <a:ext uri="{FF2B5EF4-FFF2-40B4-BE49-F238E27FC236}">
              <a16:creationId xmlns:a16="http://schemas.microsoft.com/office/drawing/2014/main" id="{ECBD32A5-2D63-4F4B-BBF1-FBCE7F4BFD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7" name="AutoShape 1" descr="Vista previa de toda la pantalla">
          <a:extLst>
            <a:ext uri="{FF2B5EF4-FFF2-40B4-BE49-F238E27FC236}">
              <a16:creationId xmlns:a16="http://schemas.microsoft.com/office/drawing/2014/main" id="{81E75E30-C4A2-4109-98DA-A2F6C21F82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8" name="AutoShape 1" descr="Vista previa de toda la pantalla">
          <a:extLst>
            <a:ext uri="{FF2B5EF4-FFF2-40B4-BE49-F238E27FC236}">
              <a16:creationId xmlns:a16="http://schemas.microsoft.com/office/drawing/2014/main" id="{B9549903-6437-4F15-AC66-2C480DD79B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09" name="AutoShape 1" descr="Vista previa de toda la pantalla">
          <a:extLst>
            <a:ext uri="{FF2B5EF4-FFF2-40B4-BE49-F238E27FC236}">
              <a16:creationId xmlns:a16="http://schemas.microsoft.com/office/drawing/2014/main" id="{D73B5AF4-FDF4-45A6-9D6B-DDEF85AC77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0" name="AutoShape 1" descr="Vista previa de toda la pantalla">
          <a:extLst>
            <a:ext uri="{FF2B5EF4-FFF2-40B4-BE49-F238E27FC236}">
              <a16:creationId xmlns:a16="http://schemas.microsoft.com/office/drawing/2014/main" id="{B1B99AE3-A44A-480B-89E7-5ED2DBC67C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1" name="AutoShape 1" descr="Vista previa de toda la pantalla">
          <a:extLst>
            <a:ext uri="{FF2B5EF4-FFF2-40B4-BE49-F238E27FC236}">
              <a16:creationId xmlns:a16="http://schemas.microsoft.com/office/drawing/2014/main" id="{1452C6F9-A9F7-412E-9800-3147717433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2" name="AutoShape 1" descr="Vista previa de toda la pantalla">
          <a:extLst>
            <a:ext uri="{FF2B5EF4-FFF2-40B4-BE49-F238E27FC236}">
              <a16:creationId xmlns:a16="http://schemas.microsoft.com/office/drawing/2014/main" id="{A4E23846-28D5-46EA-B174-71CF83E29E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3" name="AutoShape 1" descr="Vista previa de toda la pantalla">
          <a:extLst>
            <a:ext uri="{FF2B5EF4-FFF2-40B4-BE49-F238E27FC236}">
              <a16:creationId xmlns:a16="http://schemas.microsoft.com/office/drawing/2014/main" id="{51E085B6-4C81-4103-BFB1-4E4013455E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4" name="AutoShape 1" descr="Vista previa de toda la pantalla">
          <a:extLst>
            <a:ext uri="{FF2B5EF4-FFF2-40B4-BE49-F238E27FC236}">
              <a16:creationId xmlns:a16="http://schemas.microsoft.com/office/drawing/2014/main" id="{B6AE90B9-ECAE-4218-8D17-E7EF0243E6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5" name="AutoShape 1" descr="Vista previa de toda la pantalla">
          <a:extLst>
            <a:ext uri="{FF2B5EF4-FFF2-40B4-BE49-F238E27FC236}">
              <a16:creationId xmlns:a16="http://schemas.microsoft.com/office/drawing/2014/main" id="{CF0D393B-D68C-4213-9EC1-F3DF7164C1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6" name="AutoShape 1" descr="Vista previa de toda la pantalla">
          <a:extLst>
            <a:ext uri="{FF2B5EF4-FFF2-40B4-BE49-F238E27FC236}">
              <a16:creationId xmlns:a16="http://schemas.microsoft.com/office/drawing/2014/main" id="{AFF49DFA-2804-49C3-B9C3-6650507ED3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7" name="AutoShape 1" descr="Vista previa de toda la pantalla">
          <a:extLst>
            <a:ext uri="{FF2B5EF4-FFF2-40B4-BE49-F238E27FC236}">
              <a16:creationId xmlns:a16="http://schemas.microsoft.com/office/drawing/2014/main" id="{1DD7AF68-A982-421A-895A-C032074EED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8" name="AutoShape 1" descr="Vista previa de toda la pantalla">
          <a:extLst>
            <a:ext uri="{FF2B5EF4-FFF2-40B4-BE49-F238E27FC236}">
              <a16:creationId xmlns:a16="http://schemas.microsoft.com/office/drawing/2014/main" id="{09AFFB76-DD67-4268-8201-5172BBB1E4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19" name="AutoShape 1" descr="Vista previa de toda la pantalla">
          <a:extLst>
            <a:ext uri="{FF2B5EF4-FFF2-40B4-BE49-F238E27FC236}">
              <a16:creationId xmlns:a16="http://schemas.microsoft.com/office/drawing/2014/main" id="{23C24BAF-D7F1-48BF-B23C-B9165050CF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0" name="AutoShape 1" descr="Vista previa de toda la pantalla">
          <a:extLst>
            <a:ext uri="{FF2B5EF4-FFF2-40B4-BE49-F238E27FC236}">
              <a16:creationId xmlns:a16="http://schemas.microsoft.com/office/drawing/2014/main" id="{09DBF090-D1C6-472D-BB2A-14570324FA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1" name="AutoShape 1" descr="Vista previa de toda la pantalla">
          <a:extLst>
            <a:ext uri="{FF2B5EF4-FFF2-40B4-BE49-F238E27FC236}">
              <a16:creationId xmlns:a16="http://schemas.microsoft.com/office/drawing/2014/main" id="{A66AF74B-CFD6-4DF4-867E-DCEC7B4E95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2" name="AutoShape 1" descr="Vista previa de toda la pantalla">
          <a:extLst>
            <a:ext uri="{FF2B5EF4-FFF2-40B4-BE49-F238E27FC236}">
              <a16:creationId xmlns:a16="http://schemas.microsoft.com/office/drawing/2014/main" id="{D4E9F3DE-D5AA-4215-B7EA-3DA64E3DF4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3" name="AutoShape 1" descr="Vista previa de toda la pantalla">
          <a:extLst>
            <a:ext uri="{FF2B5EF4-FFF2-40B4-BE49-F238E27FC236}">
              <a16:creationId xmlns:a16="http://schemas.microsoft.com/office/drawing/2014/main" id="{ED2CE7F1-A3A6-40D5-9698-F8C4FBAF55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4" name="AutoShape 1" descr="Vista previa de toda la pantalla">
          <a:extLst>
            <a:ext uri="{FF2B5EF4-FFF2-40B4-BE49-F238E27FC236}">
              <a16:creationId xmlns:a16="http://schemas.microsoft.com/office/drawing/2014/main" id="{94117082-0E74-403F-81EB-031CC3F971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5" name="AutoShape 1" descr="Vista previa de toda la pantalla">
          <a:extLst>
            <a:ext uri="{FF2B5EF4-FFF2-40B4-BE49-F238E27FC236}">
              <a16:creationId xmlns:a16="http://schemas.microsoft.com/office/drawing/2014/main" id="{54884AC6-35D0-4F36-A6B2-723A4988A7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6" name="AutoShape 1" descr="Vista previa de toda la pantalla">
          <a:extLst>
            <a:ext uri="{FF2B5EF4-FFF2-40B4-BE49-F238E27FC236}">
              <a16:creationId xmlns:a16="http://schemas.microsoft.com/office/drawing/2014/main" id="{191AC2A8-C2BF-41D0-8A41-0609CE29FD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7" name="AutoShape 1" descr="Vista previa de toda la pantalla">
          <a:extLst>
            <a:ext uri="{FF2B5EF4-FFF2-40B4-BE49-F238E27FC236}">
              <a16:creationId xmlns:a16="http://schemas.microsoft.com/office/drawing/2014/main" id="{B53AB2EF-97BE-40D8-BDF4-A777835C18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8" name="AutoShape 1" descr="Vista previa de toda la pantalla">
          <a:extLst>
            <a:ext uri="{FF2B5EF4-FFF2-40B4-BE49-F238E27FC236}">
              <a16:creationId xmlns:a16="http://schemas.microsoft.com/office/drawing/2014/main" id="{E388E5E5-5FDD-415E-9060-4A68A6B407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29" name="AutoShape 1" descr="Vista previa de toda la pantalla">
          <a:extLst>
            <a:ext uri="{FF2B5EF4-FFF2-40B4-BE49-F238E27FC236}">
              <a16:creationId xmlns:a16="http://schemas.microsoft.com/office/drawing/2014/main" id="{7F5E17AF-BDE3-40DE-8876-A5BBE1CA08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0" name="AutoShape 1" descr="Vista previa de toda la pantalla">
          <a:extLst>
            <a:ext uri="{FF2B5EF4-FFF2-40B4-BE49-F238E27FC236}">
              <a16:creationId xmlns:a16="http://schemas.microsoft.com/office/drawing/2014/main" id="{C15030A5-89A5-4408-99B5-1B05E9428B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1" name="AutoShape 1" descr="Vista previa de toda la pantalla">
          <a:extLst>
            <a:ext uri="{FF2B5EF4-FFF2-40B4-BE49-F238E27FC236}">
              <a16:creationId xmlns:a16="http://schemas.microsoft.com/office/drawing/2014/main" id="{75850296-C2F6-4D37-ABB8-1EF22C779E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2" name="AutoShape 1" descr="Vista previa de toda la pantalla">
          <a:extLst>
            <a:ext uri="{FF2B5EF4-FFF2-40B4-BE49-F238E27FC236}">
              <a16:creationId xmlns:a16="http://schemas.microsoft.com/office/drawing/2014/main" id="{FDCF20AE-53F7-49EA-A144-00A0C43946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3" name="AutoShape 1" descr="Vista previa de toda la pantalla">
          <a:extLst>
            <a:ext uri="{FF2B5EF4-FFF2-40B4-BE49-F238E27FC236}">
              <a16:creationId xmlns:a16="http://schemas.microsoft.com/office/drawing/2014/main" id="{B1B03A05-D7B9-4E47-9A2F-58DADE2565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4" name="AutoShape 1" descr="Vista previa de toda la pantalla">
          <a:extLst>
            <a:ext uri="{FF2B5EF4-FFF2-40B4-BE49-F238E27FC236}">
              <a16:creationId xmlns:a16="http://schemas.microsoft.com/office/drawing/2014/main" id="{0EC6498B-D5F8-4592-8CD2-E4B3A245DF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5" name="AutoShape 1" descr="Vista previa de toda la pantalla">
          <a:extLst>
            <a:ext uri="{FF2B5EF4-FFF2-40B4-BE49-F238E27FC236}">
              <a16:creationId xmlns:a16="http://schemas.microsoft.com/office/drawing/2014/main" id="{27A1D176-7B7E-4EB6-880D-4E0723B835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6" name="AutoShape 1" descr="Vista previa de toda la pantalla">
          <a:extLst>
            <a:ext uri="{FF2B5EF4-FFF2-40B4-BE49-F238E27FC236}">
              <a16:creationId xmlns:a16="http://schemas.microsoft.com/office/drawing/2014/main" id="{5B58EA5C-CB86-423A-8F51-1E7999271C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7" name="AutoShape 1" descr="Vista previa de toda la pantalla">
          <a:extLst>
            <a:ext uri="{FF2B5EF4-FFF2-40B4-BE49-F238E27FC236}">
              <a16:creationId xmlns:a16="http://schemas.microsoft.com/office/drawing/2014/main" id="{BEFB453F-3A1D-48C7-9B15-DE3A1861CE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8" name="AutoShape 1" descr="Vista previa de toda la pantalla">
          <a:extLst>
            <a:ext uri="{FF2B5EF4-FFF2-40B4-BE49-F238E27FC236}">
              <a16:creationId xmlns:a16="http://schemas.microsoft.com/office/drawing/2014/main" id="{90FD8847-AF07-49B8-9154-C3664AF8A8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39" name="AutoShape 1" descr="Vista previa de toda la pantalla">
          <a:extLst>
            <a:ext uri="{FF2B5EF4-FFF2-40B4-BE49-F238E27FC236}">
              <a16:creationId xmlns:a16="http://schemas.microsoft.com/office/drawing/2014/main" id="{9B8B4671-117D-47BB-BBCC-428678DCAE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0" name="AutoShape 1" descr="Vista previa de toda la pantalla">
          <a:extLst>
            <a:ext uri="{FF2B5EF4-FFF2-40B4-BE49-F238E27FC236}">
              <a16:creationId xmlns:a16="http://schemas.microsoft.com/office/drawing/2014/main" id="{0B0AD042-F07D-44D5-91AE-6BD5D161ED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1" name="AutoShape 1" descr="Vista previa de toda la pantalla">
          <a:extLst>
            <a:ext uri="{FF2B5EF4-FFF2-40B4-BE49-F238E27FC236}">
              <a16:creationId xmlns:a16="http://schemas.microsoft.com/office/drawing/2014/main" id="{24214F1C-E7B6-4BAD-8FE4-539A957354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2" name="AutoShape 1" descr="Vista previa de toda la pantalla">
          <a:extLst>
            <a:ext uri="{FF2B5EF4-FFF2-40B4-BE49-F238E27FC236}">
              <a16:creationId xmlns:a16="http://schemas.microsoft.com/office/drawing/2014/main" id="{7487A21B-6949-42BB-B0CD-35E06C0B34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3" name="AutoShape 1" descr="Vista previa de toda la pantalla">
          <a:extLst>
            <a:ext uri="{FF2B5EF4-FFF2-40B4-BE49-F238E27FC236}">
              <a16:creationId xmlns:a16="http://schemas.microsoft.com/office/drawing/2014/main" id="{0ED213B2-77B1-47EC-B3AC-FC6D2052D9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4" name="AutoShape 1" descr="Vista previa de toda la pantalla">
          <a:extLst>
            <a:ext uri="{FF2B5EF4-FFF2-40B4-BE49-F238E27FC236}">
              <a16:creationId xmlns:a16="http://schemas.microsoft.com/office/drawing/2014/main" id="{D4C296E0-61CC-405B-B25F-9B63C83E8B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5" name="AutoShape 1" descr="Vista previa de toda la pantalla">
          <a:extLst>
            <a:ext uri="{FF2B5EF4-FFF2-40B4-BE49-F238E27FC236}">
              <a16:creationId xmlns:a16="http://schemas.microsoft.com/office/drawing/2014/main" id="{B5AB88EF-6369-4078-842F-57ABF928FA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6" name="AutoShape 1" descr="Vista previa de toda la pantalla">
          <a:extLst>
            <a:ext uri="{FF2B5EF4-FFF2-40B4-BE49-F238E27FC236}">
              <a16:creationId xmlns:a16="http://schemas.microsoft.com/office/drawing/2014/main" id="{D5AFC4AD-CD49-461B-AAB1-7CCB6B3F23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7" name="AutoShape 1" descr="Vista previa de toda la pantalla">
          <a:extLst>
            <a:ext uri="{FF2B5EF4-FFF2-40B4-BE49-F238E27FC236}">
              <a16:creationId xmlns:a16="http://schemas.microsoft.com/office/drawing/2014/main" id="{3BAE63CF-0C67-4D11-92F0-6C5B902FA2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8" name="AutoShape 1" descr="Vista previa de toda la pantalla">
          <a:extLst>
            <a:ext uri="{FF2B5EF4-FFF2-40B4-BE49-F238E27FC236}">
              <a16:creationId xmlns:a16="http://schemas.microsoft.com/office/drawing/2014/main" id="{3E4D73B5-985D-4A8B-860A-085A3582D3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49" name="AutoShape 1" descr="Vista previa de toda la pantalla">
          <a:extLst>
            <a:ext uri="{FF2B5EF4-FFF2-40B4-BE49-F238E27FC236}">
              <a16:creationId xmlns:a16="http://schemas.microsoft.com/office/drawing/2014/main" id="{DE25620C-646B-411D-B20D-0A790F307E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50" name="AutoShape 1" descr="Vista previa de toda la pantalla">
          <a:extLst>
            <a:ext uri="{FF2B5EF4-FFF2-40B4-BE49-F238E27FC236}">
              <a16:creationId xmlns:a16="http://schemas.microsoft.com/office/drawing/2014/main" id="{BDCC250C-F7E8-411B-8FD4-DB6615CBCD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6251" name="AutoShape 1" descr="Vista previa de toda la pantalla">
          <a:extLst>
            <a:ext uri="{FF2B5EF4-FFF2-40B4-BE49-F238E27FC236}">
              <a16:creationId xmlns:a16="http://schemas.microsoft.com/office/drawing/2014/main" id="{754D3BD4-ECDB-4B30-87D9-BD43771E374D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52" name="AutoShape 1" descr="Vista previa de toda la pantalla">
          <a:extLst>
            <a:ext uri="{FF2B5EF4-FFF2-40B4-BE49-F238E27FC236}">
              <a16:creationId xmlns:a16="http://schemas.microsoft.com/office/drawing/2014/main" id="{6B5E4C09-19F1-460B-958D-9B8AA8DACF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53" name="AutoShape 1" descr="Vista previa de toda la pantalla">
          <a:extLst>
            <a:ext uri="{FF2B5EF4-FFF2-40B4-BE49-F238E27FC236}">
              <a16:creationId xmlns:a16="http://schemas.microsoft.com/office/drawing/2014/main" id="{371ABE5A-41C7-4F65-8492-E57A133F96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54" name="AutoShape 1" descr="Vista previa de toda la pantalla">
          <a:extLst>
            <a:ext uri="{FF2B5EF4-FFF2-40B4-BE49-F238E27FC236}">
              <a16:creationId xmlns:a16="http://schemas.microsoft.com/office/drawing/2014/main" id="{310B189F-EA49-4B90-A3AE-A914BCA7A4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55" name="AutoShape 1" descr="Vista previa de toda la pantalla">
          <a:extLst>
            <a:ext uri="{FF2B5EF4-FFF2-40B4-BE49-F238E27FC236}">
              <a16:creationId xmlns:a16="http://schemas.microsoft.com/office/drawing/2014/main" id="{C706DF4E-6AEC-4587-A2EE-AAB7BC09DF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56" name="AutoShape 1" descr="Vista previa de toda la pantalla">
          <a:extLst>
            <a:ext uri="{FF2B5EF4-FFF2-40B4-BE49-F238E27FC236}">
              <a16:creationId xmlns:a16="http://schemas.microsoft.com/office/drawing/2014/main" id="{7CD2A2A8-FA63-4B6A-99BC-F2A881DBAB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57" name="AutoShape 1" descr="Vista previa de toda la pantalla">
          <a:extLst>
            <a:ext uri="{FF2B5EF4-FFF2-40B4-BE49-F238E27FC236}">
              <a16:creationId xmlns:a16="http://schemas.microsoft.com/office/drawing/2014/main" id="{61C2BECD-DED7-423E-AE54-191C5F6554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58" name="AutoShape 1" descr="Vista previa de toda la pantalla">
          <a:extLst>
            <a:ext uri="{FF2B5EF4-FFF2-40B4-BE49-F238E27FC236}">
              <a16:creationId xmlns:a16="http://schemas.microsoft.com/office/drawing/2014/main" id="{611ECDF9-AB04-40B6-BE8B-FA27F45CAE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59" name="AutoShape 1" descr="Vista previa de toda la pantalla">
          <a:extLst>
            <a:ext uri="{FF2B5EF4-FFF2-40B4-BE49-F238E27FC236}">
              <a16:creationId xmlns:a16="http://schemas.microsoft.com/office/drawing/2014/main" id="{4B659711-6E44-4312-9694-31DAD6820E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0" name="AutoShape 1" descr="Vista previa de toda la pantalla">
          <a:extLst>
            <a:ext uri="{FF2B5EF4-FFF2-40B4-BE49-F238E27FC236}">
              <a16:creationId xmlns:a16="http://schemas.microsoft.com/office/drawing/2014/main" id="{4312380E-E6F1-43D7-9227-52C425811B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1" name="AutoShape 1" descr="Vista previa de toda la pantalla">
          <a:extLst>
            <a:ext uri="{FF2B5EF4-FFF2-40B4-BE49-F238E27FC236}">
              <a16:creationId xmlns:a16="http://schemas.microsoft.com/office/drawing/2014/main" id="{84B8C1A9-7674-45F1-9279-6E373B9BA7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2" name="AutoShape 1" descr="Vista previa de toda la pantalla">
          <a:extLst>
            <a:ext uri="{FF2B5EF4-FFF2-40B4-BE49-F238E27FC236}">
              <a16:creationId xmlns:a16="http://schemas.microsoft.com/office/drawing/2014/main" id="{92FC515C-379C-4808-A55A-D661D63707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3" name="AutoShape 1" descr="Vista previa de toda la pantalla">
          <a:extLst>
            <a:ext uri="{FF2B5EF4-FFF2-40B4-BE49-F238E27FC236}">
              <a16:creationId xmlns:a16="http://schemas.microsoft.com/office/drawing/2014/main" id="{152025CC-426E-4270-A888-060E682942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4" name="AutoShape 1" descr="Vista previa de toda la pantalla">
          <a:extLst>
            <a:ext uri="{FF2B5EF4-FFF2-40B4-BE49-F238E27FC236}">
              <a16:creationId xmlns:a16="http://schemas.microsoft.com/office/drawing/2014/main" id="{ADC9DA88-E5AB-4189-BC71-C67B1232AD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5" name="AutoShape 1" descr="Vista previa de toda la pantalla">
          <a:extLst>
            <a:ext uri="{FF2B5EF4-FFF2-40B4-BE49-F238E27FC236}">
              <a16:creationId xmlns:a16="http://schemas.microsoft.com/office/drawing/2014/main" id="{AE136B71-B986-47C5-A588-7C99A7F08A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6" name="AutoShape 1" descr="Vista previa de toda la pantalla">
          <a:extLst>
            <a:ext uri="{FF2B5EF4-FFF2-40B4-BE49-F238E27FC236}">
              <a16:creationId xmlns:a16="http://schemas.microsoft.com/office/drawing/2014/main" id="{747CC427-AEA7-4B27-A630-FEF33B22B5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7" name="AutoShape 1" descr="Vista previa de toda la pantalla">
          <a:extLst>
            <a:ext uri="{FF2B5EF4-FFF2-40B4-BE49-F238E27FC236}">
              <a16:creationId xmlns:a16="http://schemas.microsoft.com/office/drawing/2014/main" id="{99AAFC52-4957-4BF3-8E28-DBBEFB839B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8" name="AutoShape 1" descr="Vista previa de toda la pantalla">
          <a:extLst>
            <a:ext uri="{FF2B5EF4-FFF2-40B4-BE49-F238E27FC236}">
              <a16:creationId xmlns:a16="http://schemas.microsoft.com/office/drawing/2014/main" id="{2CA28F63-60FD-4F8E-8209-8D7EEBD8C3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69" name="AutoShape 1" descr="Vista previa de toda la pantalla">
          <a:extLst>
            <a:ext uri="{FF2B5EF4-FFF2-40B4-BE49-F238E27FC236}">
              <a16:creationId xmlns:a16="http://schemas.microsoft.com/office/drawing/2014/main" id="{1215DC4B-EFD5-4682-BA58-0F435FADC0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0" name="AutoShape 1" descr="Vista previa de toda la pantalla">
          <a:extLst>
            <a:ext uri="{FF2B5EF4-FFF2-40B4-BE49-F238E27FC236}">
              <a16:creationId xmlns:a16="http://schemas.microsoft.com/office/drawing/2014/main" id="{01B74957-1CB7-4356-AB64-2AD9864264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1" name="AutoShape 1" descr="Vista previa de toda la pantalla">
          <a:extLst>
            <a:ext uri="{FF2B5EF4-FFF2-40B4-BE49-F238E27FC236}">
              <a16:creationId xmlns:a16="http://schemas.microsoft.com/office/drawing/2014/main" id="{07830B00-7A9D-4356-9F3B-5D39BA9A8F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2" name="AutoShape 1" descr="Vista previa de toda la pantalla">
          <a:extLst>
            <a:ext uri="{FF2B5EF4-FFF2-40B4-BE49-F238E27FC236}">
              <a16:creationId xmlns:a16="http://schemas.microsoft.com/office/drawing/2014/main" id="{2BAC5DF4-254D-4EBE-98C8-7973E02ED6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3" name="AutoShape 1" descr="Vista previa de toda la pantalla">
          <a:extLst>
            <a:ext uri="{FF2B5EF4-FFF2-40B4-BE49-F238E27FC236}">
              <a16:creationId xmlns:a16="http://schemas.microsoft.com/office/drawing/2014/main" id="{C118A870-2369-4B69-A08D-F67D59F68F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4" name="AutoShape 1" descr="Vista previa de toda la pantalla">
          <a:extLst>
            <a:ext uri="{FF2B5EF4-FFF2-40B4-BE49-F238E27FC236}">
              <a16:creationId xmlns:a16="http://schemas.microsoft.com/office/drawing/2014/main" id="{7B636DA4-8B73-4774-8733-2E0F9BF9EE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5" name="AutoShape 1" descr="Vista previa de toda la pantalla">
          <a:extLst>
            <a:ext uri="{FF2B5EF4-FFF2-40B4-BE49-F238E27FC236}">
              <a16:creationId xmlns:a16="http://schemas.microsoft.com/office/drawing/2014/main" id="{4C95528B-CAE4-4F5E-9A4E-88D120E1BE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6" name="AutoShape 1" descr="Vista previa de toda la pantalla">
          <a:extLst>
            <a:ext uri="{FF2B5EF4-FFF2-40B4-BE49-F238E27FC236}">
              <a16:creationId xmlns:a16="http://schemas.microsoft.com/office/drawing/2014/main" id="{99440353-3516-4045-8D3C-9783E5A32A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7" name="AutoShape 1" descr="Vista previa de toda la pantalla">
          <a:extLst>
            <a:ext uri="{FF2B5EF4-FFF2-40B4-BE49-F238E27FC236}">
              <a16:creationId xmlns:a16="http://schemas.microsoft.com/office/drawing/2014/main" id="{A86BAA9B-B594-4E36-B308-93EEDB7136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8" name="AutoShape 1" descr="Vista previa de toda la pantalla">
          <a:extLst>
            <a:ext uri="{FF2B5EF4-FFF2-40B4-BE49-F238E27FC236}">
              <a16:creationId xmlns:a16="http://schemas.microsoft.com/office/drawing/2014/main" id="{62D981B9-E067-4808-A8A8-217D9C71CB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79" name="AutoShape 1" descr="Vista previa de toda la pantalla">
          <a:extLst>
            <a:ext uri="{FF2B5EF4-FFF2-40B4-BE49-F238E27FC236}">
              <a16:creationId xmlns:a16="http://schemas.microsoft.com/office/drawing/2014/main" id="{5E0ADB46-B6A1-44AC-A00F-7B5C65ABFB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0" name="AutoShape 1" descr="Vista previa de toda la pantalla">
          <a:extLst>
            <a:ext uri="{FF2B5EF4-FFF2-40B4-BE49-F238E27FC236}">
              <a16:creationId xmlns:a16="http://schemas.microsoft.com/office/drawing/2014/main" id="{2C8EB1A4-D3C0-4AEE-83AF-7D73F61459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1" name="AutoShape 1" descr="Vista previa de toda la pantalla">
          <a:extLst>
            <a:ext uri="{FF2B5EF4-FFF2-40B4-BE49-F238E27FC236}">
              <a16:creationId xmlns:a16="http://schemas.microsoft.com/office/drawing/2014/main" id="{F73F8BB7-CF02-4AD1-954E-59959DFDF7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2" name="AutoShape 1" descr="Vista previa de toda la pantalla">
          <a:extLst>
            <a:ext uri="{FF2B5EF4-FFF2-40B4-BE49-F238E27FC236}">
              <a16:creationId xmlns:a16="http://schemas.microsoft.com/office/drawing/2014/main" id="{5357DF43-CCB1-424C-9A51-1F5A9D0274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3" name="AutoShape 1" descr="Vista previa de toda la pantalla">
          <a:extLst>
            <a:ext uri="{FF2B5EF4-FFF2-40B4-BE49-F238E27FC236}">
              <a16:creationId xmlns:a16="http://schemas.microsoft.com/office/drawing/2014/main" id="{893D69F0-CED1-41BC-ACDB-D5D89829D4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4" name="AutoShape 1" descr="Vista previa de toda la pantalla">
          <a:extLst>
            <a:ext uri="{FF2B5EF4-FFF2-40B4-BE49-F238E27FC236}">
              <a16:creationId xmlns:a16="http://schemas.microsoft.com/office/drawing/2014/main" id="{E0CDA481-586F-4C88-AD4B-EB0BD6E2A6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5" name="AutoShape 1" descr="Vista previa de toda la pantalla">
          <a:extLst>
            <a:ext uri="{FF2B5EF4-FFF2-40B4-BE49-F238E27FC236}">
              <a16:creationId xmlns:a16="http://schemas.microsoft.com/office/drawing/2014/main" id="{EB37F13E-7DDC-4284-80DB-6398615195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6" name="AutoShape 1" descr="Vista previa de toda la pantalla">
          <a:extLst>
            <a:ext uri="{FF2B5EF4-FFF2-40B4-BE49-F238E27FC236}">
              <a16:creationId xmlns:a16="http://schemas.microsoft.com/office/drawing/2014/main" id="{43C39E11-54D5-4756-B92D-9479C832F5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7" name="AutoShape 1" descr="Vista previa de toda la pantalla">
          <a:extLst>
            <a:ext uri="{FF2B5EF4-FFF2-40B4-BE49-F238E27FC236}">
              <a16:creationId xmlns:a16="http://schemas.microsoft.com/office/drawing/2014/main" id="{7A0FDB30-0003-439E-92E3-4AA2CBD828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8" name="AutoShape 1" descr="Vista previa de toda la pantalla">
          <a:extLst>
            <a:ext uri="{FF2B5EF4-FFF2-40B4-BE49-F238E27FC236}">
              <a16:creationId xmlns:a16="http://schemas.microsoft.com/office/drawing/2014/main" id="{3826BB62-74F4-4EF7-BB42-510C52997A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89" name="AutoShape 1" descr="Vista previa de toda la pantalla">
          <a:extLst>
            <a:ext uri="{FF2B5EF4-FFF2-40B4-BE49-F238E27FC236}">
              <a16:creationId xmlns:a16="http://schemas.microsoft.com/office/drawing/2014/main" id="{7F1108E8-CA52-4F79-A1A7-0830B4A6C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0" name="AutoShape 1" descr="Vista previa de toda la pantalla">
          <a:extLst>
            <a:ext uri="{FF2B5EF4-FFF2-40B4-BE49-F238E27FC236}">
              <a16:creationId xmlns:a16="http://schemas.microsoft.com/office/drawing/2014/main" id="{8EB6B3BB-0A3C-4309-82D9-48E24F2C0D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1" name="AutoShape 1" descr="Vista previa de toda la pantalla">
          <a:extLst>
            <a:ext uri="{FF2B5EF4-FFF2-40B4-BE49-F238E27FC236}">
              <a16:creationId xmlns:a16="http://schemas.microsoft.com/office/drawing/2014/main" id="{8AEDDE35-E5D6-4484-A371-46E0DE2F00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2" name="AutoShape 1" descr="Vista previa de toda la pantalla">
          <a:extLst>
            <a:ext uri="{FF2B5EF4-FFF2-40B4-BE49-F238E27FC236}">
              <a16:creationId xmlns:a16="http://schemas.microsoft.com/office/drawing/2014/main" id="{BE4004C0-64F9-4CF0-9BDA-0B8AB8ACE0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3" name="AutoShape 1" descr="Vista previa de toda la pantalla">
          <a:extLst>
            <a:ext uri="{FF2B5EF4-FFF2-40B4-BE49-F238E27FC236}">
              <a16:creationId xmlns:a16="http://schemas.microsoft.com/office/drawing/2014/main" id="{CE5796B8-27F2-4CE3-8978-3C50D6F0EC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4" name="AutoShape 1" descr="Vista previa de toda la pantalla">
          <a:extLst>
            <a:ext uri="{FF2B5EF4-FFF2-40B4-BE49-F238E27FC236}">
              <a16:creationId xmlns:a16="http://schemas.microsoft.com/office/drawing/2014/main" id="{2365CFA9-5E5F-4E7A-8BE6-EC262341AC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5" name="AutoShape 1" descr="Vista previa de toda la pantalla">
          <a:extLst>
            <a:ext uri="{FF2B5EF4-FFF2-40B4-BE49-F238E27FC236}">
              <a16:creationId xmlns:a16="http://schemas.microsoft.com/office/drawing/2014/main" id="{0AEF4CA7-6674-4523-99B6-B71FC38A90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6" name="AutoShape 1" descr="Vista previa de toda la pantalla">
          <a:extLst>
            <a:ext uri="{FF2B5EF4-FFF2-40B4-BE49-F238E27FC236}">
              <a16:creationId xmlns:a16="http://schemas.microsoft.com/office/drawing/2014/main" id="{6865FDE2-6B9D-4044-938F-858E7DF50E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7" name="AutoShape 1" descr="Vista previa de toda la pantalla">
          <a:extLst>
            <a:ext uri="{FF2B5EF4-FFF2-40B4-BE49-F238E27FC236}">
              <a16:creationId xmlns:a16="http://schemas.microsoft.com/office/drawing/2014/main" id="{0BB59A2B-00FD-4482-8178-FAB85ADF98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8" name="AutoShape 1" descr="Vista previa de toda la pantalla">
          <a:extLst>
            <a:ext uri="{FF2B5EF4-FFF2-40B4-BE49-F238E27FC236}">
              <a16:creationId xmlns:a16="http://schemas.microsoft.com/office/drawing/2014/main" id="{C16F0760-BF23-4A8D-908C-504FB138AA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299" name="AutoShape 1" descr="Vista previa de toda la pantalla">
          <a:extLst>
            <a:ext uri="{FF2B5EF4-FFF2-40B4-BE49-F238E27FC236}">
              <a16:creationId xmlns:a16="http://schemas.microsoft.com/office/drawing/2014/main" id="{176C5F04-D0E5-486D-AC37-88986D8710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0" name="AutoShape 1" descr="Vista previa de toda la pantalla">
          <a:extLst>
            <a:ext uri="{FF2B5EF4-FFF2-40B4-BE49-F238E27FC236}">
              <a16:creationId xmlns:a16="http://schemas.microsoft.com/office/drawing/2014/main" id="{FB74A36D-D93D-40EC-A195-6369301D63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1" name="AutoShape 1" descr="Vista previa de toda la pantalla">
          <a:extLst>
            <a:ext uri="{FF2B5EF4-FFF2-40B4-BE49-F238E27FC236}">
              <a16:creationId xmlns:a16="http://schemas.microsoft.com/office/drawing/2014/main" id="{E1F83E8B-18DC-4F37-BEE5-ADDB5CE941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2" name="AutoShape 1" descr="Vista previa de toda la pantalla">
          <a:extLst>
            <a:ext uri="{FF2B5EF4-FFF2-40B4-BE49-F238E27FC236}">
              <a16:creationId xmlns:a16="http://schemas.microsoft.com/office/drawing/2014/main" id="{0AF969E5-E019-4AB8-989A-21BC840D16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3" name="AutoShape 1" descr="Vista previa de toda la pantalla">
          <a:extLst>
            <a:ext uri="{FF2B5EF4-FFF2-40B4-BE49-F238E27FC236}">
              <a16:creationId xmlns:a16="http://schemas.microsoft.com/office/drawing/2014/main" id="{DD61CBB3-EA10-4A9D-AF27-2718E6DD11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4" name="AutoShape 1" descr="Vista previa de toda la pantalla">
          <a:extLst>
            <a:ext uri="{FF2B5EF4-FFF2-40B4-BE49-F238E27FC236}">
              <a16:creationId xmlns:a16="http://schemas.microsoft.com/office/drawing/2014/main" id="{7E4DAB58-8734-4B65-A297-41EA55AA81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5" name="AutoShape 1" descr="Vista previa de toda la pantalla">
          <a:extLst>
            <a:ext uri="{FF2B5EF4-FFF2-40B4-BE49-F238E27FC236}">
              <a16:creationId xmlns:a16="http://schemas.microsoft.com/office/drawing/2014/main" id="{81A91041-9315-4158-A714-02D959B21F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6" name="AutoShape 1" descr="Vista previa de toda la pantalla">
          <a:extLst>
            <a:ext uri="{FF2B5EF4-FFF2-40B4-BE49-F238E27FC236}">
              <a16:creationId xmlns:a16="http://schemas.microsoft.com/office/drawing/2014/main" id="{9A1A3595-DC93-4412-B1A2-E5634E8D8F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7" name="AutoShape 1" descr="Vista previa de toda la pantalla">
          <a:extLst>
            <a:ext uri="{FF2B5EF4-FFF2-40B4-BE49-F238E27FC236}">
              <a16:creationId xmlns:a16="http://schemas.microsoft.com/office/drawing/2014/main" id="{B2CE406C-EE95-4CE4-9C18-417487AB32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8" name="AutoShape 1" descr="Vista previa de toda la pantalla">
          <a:extLst>
            <a:ext uri="{FF2B5EF4-FFF2-40B4-BE49-F238E27FC236}">
              <a16:creationId xmlns:a16="http://schemas.microsoft.com/office/drawing/2014/main" id="{5D624300-8584-455B-9DAD-250B453E55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09" name="AutoShape 1" descr="Vista previa de toda la pantalla">
          <a:extLst>
            <a:ext uri="{FF2B5EF4-FFF2-40B4-BE49-F238E27FC236}">
              <a16:creationId xmlns:a16="http://schemas.microsoft.com/office/drawing/2014/main" id="{6F44415E-6EB9-42E7-A852-17AFE774EB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0" name="AutoShape 1" descr="Vista previa de toda la pantalla">
          <a:extLst>
            <a:ext uri="{FF2B5EF4-FFF2-40B4-BE49-F238E27FC236}">
              <a16:creationId xmlns:a16="http://schemas.microsoft.com/office/drawing/2014/main" id="{17FB1AB5-B58A-48DA-BA34-BBA4A2D054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1" name="AutoShape 1" descr="Vista previa de toda la pantalla">
          <a:extLst>
            <a:ext uri="{FF2B5EF4-FFF2-40B4-BE49-F238E27FC236}">
              <a16:creationId xmlns:a16="http://schemas.microsoft.com/office/drawing/2014/main" id="{42F78AAA-34A2-410F-AE40-3BD795B157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2" name="AutoShape 1" descr="Vista previa de toda la pantalla">
          <a:extLst>
            <a:ext uri="{FF2B5EF4-FFF2-40B4-BE49-F238E27FC236}">
              <a16:creationId xmlns:a16="http://schemas.microsoft.com/office/drawing/2014/main" id="{BD02537E-46E5-4ADD-BD38-7EC1C30376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3" name="AutoShape 1" descr="Vista previa de toda la pantalla">
          <a:extLst>
            <a:ext uri="{FF2B5EF4-FFF2-40B4-BE49-F238E27FC236}">
              <a16:creationId xmlns:a16="http://schemas.microsoft.com/office/drawing/2014/main" id="{43705246-B073-428C-846F-34264550B4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4" name="AutoShape 1" descr="Vista previa de toda la pantalla">
          <a:extLst>
            <a:ext uri="{FF2B5EF4-FFF2-40B4-BE49-F238E27FC236}">
              <a16:creationId xmlns:a16="http://schemas.microsoft.com/office/drawing/2014/main" id="{C6BD469D-5105-4AF4-8901-7BDDD00450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5" name="AutoShape 1" descr="Vista previa de toda la pantalla">
          <a:extLst>
            <a:ext uri="{FF2B5EF4-FFF2-40B4-BE49-F238E27FC236}">
              <a16:creationId xmlns:a16="http://schemas.microsoft.com/office/drawing/2014/main" id="{0A19CAF0-5E55-42ED-9361-E0353442A4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6" name="AutoShape 1" descr="Vista previa de toda la pantalla">
          <a:extLst>
            <a:ext uri="{FF2B5EF4-FFF2-40B4-BE49-F238E27FC236}">
              <a16:creationId xmlns:a16="http://schemas.microsoft.com/office/drawing/2014/main" id="{CAFF5EEC-CA39-4295-8426-69D8EE3912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7" name="AutoShape 1" descr="Vista previa de toda la pantalla">
          <a:extLst>
            <a:ext uri="{FF2B5EF4-FFF2-40B4-BE49-F238E27FC236}">
              <a16:creationId xmlns:a16="http://schemas.microsoft.com/office/drawing/2014/main" id="{6126B41E-2C9B-4E43-BD84-1827B14161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8" name="AutoShape 1" descr="Vista previa de toda la pantalla">
          <a:extLst>
            <a:ext uri="{FF2B5EF4-FFF2-40B4-BE49-F238E27FC236}">
              <a16:creationId xmlns:a16="http://schemas.microsoft.com/office/drawing/2014/main" id="{2773128A-FD00-4FF9-B6E6-188A398FB3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19" name="AutoShape 1" descr="Vista previa de toda la pantalla">
          <a:extLst>
            <a:ext uri="{FF2B5EF4-FFF2-40B4-BE49-F238E27FC236}">
              <a16:creationId xmlns:a16="http://schemas.microsoft.com/office/drawing/2014/main" id="{EFC2BD26-8056-4B1F-B215-11CE2390DC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0" name="AutoShape 1" descr="Vista previa de toda la pantalla">
          <a:extLst>
            <a:ext uri="{FF2B5EF4-FFF2-40B4-BE49-F238E27FC236}">
              <a16:creationId xmlns:a16="http://schemas.microsoft.com/office/drawing/2014/main" id="{0CFF8699-979A-40B5-AC07-37DFD8265E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1" name="AutoShape 1" descr="Vista previa de toda la pantalla">
          <a:extLst>
            <a:ext uri="{FF2B5EF4-FFF2-40B4-BE49-F238E27FC236}">
              <a16:creationId xmlns:a16="http://schemas.microsoft.com/office/drawing/2014/main" id="{5E53F11A-B5E7-40AF-8FA0-E736C68913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2" name="AutoShape 1" descr="Vista previa de toda la pantalla">
          <a:extLst>
            <a:ext uri="{FF2B5EF4-FFF2-40B4-BE49-F238E27FC236}">
              <a16:creationId xmlns:a16="http://schemas.microsoft.com/office/drawing/2014/main" id="{C9AD3AD5-CADE-4985-816E-C8E8D6C8DC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3" name="AutoShape 1" descr="Vista previa de toda la pantalla">
          <a:extLst>
            <a:ext uri="{FF2B5EF4-FFF2-40B4-BE49-F238E27FC236}">
              <a16:creationId xmlns:a16="http://schemas.microsoft.com/office/drawing/2014/main" id="{A228534D-82F2-4D04-AD3F-AEC5FF66DD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4" name="AutoShape 1" descr="Vista previa de toda la pantalla">
          <a:extLst>
            <a:ext uri="{FF2B5EF4-FFF2-40B4-BE49-F238E27FC236}">
              <a16:creationId xmlns:a16="http://schemas.microsoft.com/office/drawing/2014/main" id="{2403F341-B01D-483B-B800-2D9EA1B813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5" name="AutoShape 1" descr="Vista previa de toda la pantalla">
          <a:extLst>
            <a:ext uri="{FF2B5EF4-FFF2-40B4-BE49-F238E27FC236}">
              <a16:creationId xmlns:a16="http://schemas.microsoft.com/office/drawing/2014/main" id="{C3C67CD8-FF26-4A7C-9CC0-452631164F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6" name="AutoShape 1" descr="Vista previa de toda la pantalla">
          <a:extLst>
            <a:ext uri="{FF2B5EF4-FFF2-40B4-BE49-F238E27FC236}">
              <a16:creationId xmlns:a16="http://schemas.microsoft.com/office/drawing/2014/main" id="{AAAF3FAC-6E67-4ED1-9268-D47E8D8510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7" name="AutoShape 1" descr="Vista previa de toda la pantalla">
          <a:extLst>
            <a:ext uri="{FF2B5EF4-FFF2-40B4-BE49-F238E27FC236}">
              <a16:creationId xmlns:a16="http://schemas.microsoft.com/office/drawing/2014/main" id="{51DC8921-B019-4FBC-97F6-3B0F365D45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8" name="AutoShape 1" descr="Vista previa de toda la pantalla">
          <a:extLst>
            <a:ext uri="{FF2B5EF4-FFF2-40B4-BE49-F238E27FC236}">
              <a16:creationId xmlns:a16="http://schemas.microsoft.com/office/drawing/2014/main" id="{88F7F2CA-9F15-4815-AC2C-5CE094834B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29" name="AutoShape 1" descr="Vista previa de toda la pantalla">
          <a:extLst>
            <a:ext uri="{FF2B5EF4-FFF2-40B4-BE49-F238E27FC236}">
              <a16:creationId xmlns:a16="http://schemas.microsoft.com/office/drawing/2014/main" id="{D2B1E5C1-282D-4927-A034-1C5A39B606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0" name="AutoShape 1" descr="Vista previa de toda la pantalla">
          <a:extLst>
            <a:ext uri="{FF2B5EF4-FFF2-40B4-BE49-F238E27FC236}">
              <a16:creationId xmlns:a16="http://schemas.microsoft.com/office/drawing/2014/main" id="{447ACFDF-EF74-471D-9887-BCCD189A86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1" name="AutoShape 1" descr="Vista previa de toda la pantalla">
          <a:extLst>
            <a:ext uri="{FF2B5EF4-FFF2-40B4-BE49-F238E27FC236}">
              <a16:creationId xmlns:a16="http://schemas.microsoft.com/office/drawing/2014/main" id="{30079336-3942-44C6-BD53-A5963701B5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2" name="AutoShape 1" descr="Vista previa de toda la pantalla">
          <a:extLst>
            <a:ext uri="{FF2B5EF4-FFF2-40B4-BE49-F238E27FC236}">
              <a16:creationId xmlns:a16="http://schemas.microsoft.com/office/drawing/2014/main" id="{F7265A3E-CC41-4675-A257-08FF022FDF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3" name="AutoShape 1" descr="Vista previa de toda la pantalla">
          <a:extLst>
            <a:ext uri="{FF2B5EF4-FFF2-40B4-BE49-F238E27FC236}">
              <a16:creationId xmlns:a16="http://schemas.microsoft.com/office/drawing/2014/main" id="{F5917B2F-DBAF-4A93-85C5-413E60D37F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4" name="AutoShape 1" descr="Vista previa de toda la pantalla">
          <a:extLst>
            <a:ext uri="{FF2B5EF4-FFF2-40B4-BE49-F238E27FC236}">
              <a16:creationId xmlns:a16="http://schemas.microsoft.com/office/drawing/2014/main" id="{98312B1C-12ED-4047-8826-7213CB8621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5" name="AutoShape 1" descr="Vista previa de toda la pantalla">
          <a:extLst>
            <a:ext uri="{FF2B5EF4-FFF2-40B4-BE49-F238E27FC236}">
              <a16:creationId xmlns:a16="http://schemas.microsoft.com/office/drawing/2014/main" id="{694E7BC4-F070-4D67-A5D7-6FF5CC421C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6" name="AutoShape 1" descr="Vista previa de toda la pantalla">
          <a:extLst>
            <a:ext uri="{FF2B5EF4-FFF2-40B4-BE49-F238E27FC236}">
              <a16:creationId xmlns:a16="http://schemas.microsoft.com/office/drawing/2014/main" id="{22CBE402-E760-451A-87FC-B36C2E33FE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7" name="AutoShape 1" descr="Vista previa de toda la pantalla">
          <a:extLst>
            <a:ext uri="{FF2B5EF4-FFF2-40B4-BE49-F238E27FC236}">
              <a16:creationId xmlns:a16="http://schemas.microsoft.com/office/drawing/2014/main" id="{A96EA735-4AD6-4928-87CF-F5C1C67626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8" name="AutoShape 1" descr="Vista previa de toda la pantalla">
          <a:extLst>
            <a:ext uri="{FF2B5EF4-FFF2-40B4-BE49-F238E27FC236}">
              <a16:creationId xmlns:a16="http://schemas.microsoft.com/office/drawing/2014/main" id="{E88F2E94-6142-4BCE-9D33-161A3B1FA3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39" name="AutoShape 1" descr="Vista previa de toda la pantalla">
          <a:extLst>
            <a:ext uri="{FF2B5EF4-FFF2-40B4-BE49-F238E27FC236}">
              <a16:creationId xmlns:a16="http://schemas.microsoft.com/office/drawing/2014/main" id="{E540425B-25EA-4B1C-8297-82F41C0B8E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0" name="AutoShape 1" descr="Vista previa de toda la pantalla">
          <a:extLst>
            <a:ext uri="{FF2B5EF4-FFF2-40B4-BE49-F238E27FC236}">
              <a16:creationId xmlns:a16="http://schemas.microsoft.com/office/drawing/2014/main" id="{03304AD7-FFE0-4275-ABDF-89D41AD1E1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1" name="AutoShape 1" descr="Vista previa de toda la pantalla">
          <a:extLst>
            <a:ext uri="{FF2B5EF4-FFF2-40B4-BE49-F238E27FC236}">
              <a16:creationId xmlns:a16="http://schemas.microsoft.com/office/drawing/2014/main" id="{832F259F-C4A6-434D-B0FF-0636F9B338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2" name="AutoShape 1" descr="Vista previa de toda la pantalla">
          <a:extLst>
            <a:ext uri="{FF2B5EF4-FFF2-40B4-BE49-F238E27FC236}">
              <a16:creationId xmlns:a16="http://schemas.microsoft.com/office/drawing/2014/main" id="{79DDC085-92BE-4420-B965-C02E2588BB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3" name="AutoShape 1" descr="Vista previa de toda la pantalla">
          <a:extLst>
            <a:ext uri="{FF2B5EF4-FFF2-40B4-BE49-F238E27FC236}">
              <a16:creationId xmlns:a16="http://schemas.microsoft.com/office/drawing/2014/main" id="{DBE4FD8A-019C-4F69-BB8B-746D499880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4" name="AutoShape 1" descr="Vista previa de toda la pantalla">
          <a:extLst>
            <a:ext uri="{FF2B5EF4-FFF2-40B4-BE49-F238E27FC236}">
              <a16:creationId xmlns:a16="http://schemas.microsoft.com/office/drawing/2014/main" id="{AB846763-F790-4E76-9566-044D76B1E9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5" name="AutoShape 1" descr="Vista previa de toda la pantalla">
          <a:extLst>
            <a:ext uri="{FF2B5EF4-FFF2-40B4-BE49-F238E27FC236}">
              <a16:creationId xmlns:a16="http://schemas.microsoft.com/office/drawing/2014/main" id="{1D07A96E-1805-4A2B-8764-081C7AC83E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6" name="AutoShape 1" descr="Vista previa de toda la pantalla">
          <a:extLst>
            <a:ext uri="{FF2B5EF4-FFF2-40B4-BE49-F238E27FC236}">
              <a16:creationId xmlns:a16="http://schemas.microsoft.com/office/drawing/2014/main" id="{9246CC46-C605-407E-85FF-0004064621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7" name="AutoShape 1" descr="Vista previa de toda la pantalla">
          <a:extLst>
            <a:ext uri="{FF2B5EF4-FFF2-40B4-BE49-F238E27FC236}">
              <a16:creationId xmlns:a16="http://schemas.microsoft.com/office/drawing/2014/main" id="{64332B09-14F2-4E0F-A1EA-20D2439AFB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8" name="AutoShape 1" descr="Vista previa de toda la pantalla">
          <a:extLst>
            <a:ext uri="{FF2B5EF4-FFF2-40B4-BE49-F238E27FC236}">
              <a16:creationId xmlns:a16="http://schemas.microsoft.com/office/drawing/2014/main" id="{75FDC269-FF50-46EF-87D9-605520161A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49" name="AutoShape 1" descr="Vista previa de toda la pantalla">
          <a:extLst>
            <a:ext uri="{FF2B5EF4-FFF2-40B4-BE49-F238E27FC236}">
              <a16:creationId xmlns:a16="http://schemas.microsoft.com/office/drawing/2014/main" id="{919ABCE2-8594-48A3-A955-65E9FAF837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0" name="AutoShape 1" descr="Vista previa de toda la pantalla">
          <a:extLst>
            <a:ext uri="{FF2B5EF4-FFF2-40B4-BE49-F238E27FC236}">
              <a16:creationId xmlns:a16="http://schemas.microsoft.com/office/drawing/2014/main" id="{075B6D0A-FA71-4EF5-90E0-B66F8CA69F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1" name="AutoShape 1" descr="Vista previa de toda la pantalla">
          <a:extLst>
            <a:ext uri="{FF2B5EF4-FFF2-40B4-BE49-F238E27FC236}">
              <a16:creationId xmlns:a16="http://schemas.microsoft.com/office/drawing/2014/main" id="{358B0A0D-D3C8-4F87-95A0-774EBEB705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2" name="AutoShape 1" descr="Vista previa de toda la pantalla">
          <a:extLst>
            <a:ext uri="{FF2B5EF4-FFF2-40B4-BE49-F238E27FC236}">
              <a16:creationId xmlns:a16="http://schemas.microsoft.com/office/drawing/2014/main" id="{7F263C6D-BD52-4678-AB66-31125A6923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3" name="AutoShape 1" descr="Vista previa de toda la pantalla">
          <a:extLst>
            <a:ext uri="{FF2B5EF4-FFF2-40B4-BE49-F238E27FC236}">
              <a16:creationId xmlns:a16="http://schemas.microsoft.com/office/drawing/2014/main" id="{DCB763BD-E2CD-4727-9B55-C8C5F0ADA3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4" name="AutoShape 1" descr="Vista previa de toda la pantalla">
          <a:extLst>
            <a:ext uri="{FF2B5EF4-FFF2-40B4-BE49-F238E27FC236}">
              <a16:creationId xmlns:a16="http://schemas.microsoft.com/office/drawing/2014/main" id="{3C179D1B-C2A6-4623-A33D-04BFF5E5B6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5" name="AutoShape 1" descr="Vista previa de toda la pantalla">
          <a:extLst>
            <a:ext uri="{FF2B5EF4-FFF2-40B4-BE49-F238E27FC236}">
              <a16:creationId xmlns:a16="http://schemas.microsoft.com/office/drawing/2014/main" id="{1CBD282A-3AD0-4441-92E2-98E83061B9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6" name="AutoShape 1" descr="Vista previa de toda la pantalla">
          <a:extLst>
            <a:ext uri="{FF2B5EF4-FFF2-40B4-BE49-F238E27FC236}">
              <a16:creationId xmlns:a16="http://schemas.microsoft.com/office/drawing/2014/main" id="{F32E871A-1F41-4066-9899-430655D413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7" name="AutoShape 1" descr="Vista previa de toda la pantalla">
          <a:extLst>
            <a:ext uri="{FF2B5EF4-FFF2-40B4-BE49-F238E27FC236}">
              <a16:creationId xmlns:a16="http://schemas.microsoft.com/office/drawing/2014/main" id="{A0754909-D89D-4C41-AC5A-6B18FC42D5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8" name="AutoShape 1" descr="Vista previa de toda la pantalla">
          <a:extLst>
            <a:ext uri="{FF2B5EF4-FFF2-40B4-BE49-F238E27FC236}">
              <a16:creationId xmlns:a16="http://schemas.microsoft.com/office/drawing/2014/main" id="{6D65AAB8-D779-47D3-9E27-48AE2A84DE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59" name="AutoShape 1" descr="Vista previa de toda la pantalla">
          <a:extLst>
            <a:ext uri="{FF2B5EF4-FFF2-40B4-BE49-F238E27FC236}">
              <a16:creationId xmlns:a16="http://schemas.microsoft.com/office/drawing/2014/main" id="{31750126-CEC2-473A-AF42-E5EFB7C94C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0" name="AutoShape 1" descr="Vista previa de toda la pantalla">
          <a:extLst>
            <a:ext uri="{FF2B5EF4-FFF2-40B4-BE49-F238E27FC236}">
              <a16:creationId xmlns:a16="http://schemas.microsoft.com/office/drawing/2014/main" id="{44A64FBC-90F9-4B9B-8167-734A1A8462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1" name="AutoShape 1" descr="Vista previa de toda la pantalla">
          <a:extLst>
            <a:ext uri="{FF2B5EF4-FFF2-40B4-BE49-F238E27FC236}">
              <a16:creationId xmlns:a16="http://schemas.microsoft.com/office/drawing/2014/main" id="{B5FC6E80-0D17-4939-B33E-083A825B5F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2" name="AutoShape 1" descr="Vista previa de toda la pantalla">
          <a:extLst>
            <a:ext uri="{FF2B5EF4-FFF2-40B4-BE49-F238E27FC236}">
              <a16:creationId xmlns:a16="http://schemas.microsoft.com/office/drawing/2014/main" id="{14C36E7E-BA90-4434-ACD9-EFFD615F44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3" name="AutoShape 1" descr="Vista previa de toda la pantalla">
          <a:extLst>
            <a:ext uri="{FF2B5EF4-FFF2-40B4-BE49-F238E27FC236}">
              <a16:creationId xmlns:a16="http://schemas.microsoft.com/office/drawing/2014/main" id="{618651F0-EC40-4E81-A48B-C3FC82D8F0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4" name="AutoShape 1" descr="Vista previa de toda la pantalla">
          <a:extLst>
            <a:ext uri="{FF2B5EF4-FFF2-40B4-BE49-F238E27FC236}">
              <a16:creationId xmlns:a16="http://schemas.microsoft.com/office/drawing/2014/main" id="{736A6B7B-35D7-4D40-B734-137D06748B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5" name="AutoShape 1" descr="Vista previa de toda la pantalla">
          <a:extLst>
            <a:ext uri="{FF2B5EF4-FFF2-40B4-BE49-F238E27FC236}">
              <a16:creationId xmlns:a16="http://schemas.microsoft.com/office/drawing/2014/main" id="{96821F92-2438-45C7-A7ED-9DAA74B171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6" name="AutoShape 1" descr="Vista previa de toda la pantalla">
          <a:extLst>
            <a:ext uri="{FF2B5EF4-FFF2-40B4-BE49-F238E27FC236}">
              <a16:creationId xmlns:a16="http://schemas.microsoft.com/office/drawing/2014/main" id="{EE927DC2-FFDD-4550-A8EB-9D7B0B77CD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7" name="AutoShape 1" descr="Vista previa de toda la pantalla">
          <a:extLst>
            <a:ext uri="{FF2B5EF4-FFF2-40B4-BE49-F238E27FC236}">
              <a16:creationId xmlns:a16="http://schemas.microsoft.com/office/drawing/2014/main" id="{A8D717DB-5E0B-408B-8163-C82714B687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8" name="AutoShape 1" descr="Vista previa de toda la pantalla">
          <a:extLst>
            <a:ext uri="{FF2B5EF4-FFF2-40B4-BE49-F238E27FC236}">
              <a16:creationId xmlns:a16="http://schemas.microsoft.com/office/drawing/2014/main" id="{BA229EED-45F1-4CC5-91B8-19CF18A6BF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69" name="AutoShape 1" descr="Vista previa de toda la pantalla">
          <a:extLst>
            <a:ext uri="{FF2B5EF4-FFF2-40B4-BE49-F238E27FC236}">
              <a16:creationId xmlns:a16="http://schemas.microsoft.com/office/drawing/2014/main" id="{64CA29E2-BCD9-4B16-88F5-96D56205FC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0" name="AutoShape 1" descr="Vista previa de toda la pantalla">
          <a:extLst>
            <a:ext uri="{FF2B5EF4-FFF2-40B4-BE49-F238E27FC236}">
              <a16:creationId xmlns:a16="http://schemas.microsoft.com/office/drawing/2014/main" id="{7DD9BF44-8421-44B5-9BAD-D78226A6DC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1" name="AutoShape 1" descr="Vista previa de toda la pantalla">
          <a:extLst>
            <a:ext uri="{FF2B5EF4-FFF2-40B4-BE49-F238E27FC236}">
              <a16:creationId xmlns:a16="http://schemas.microsoft.com/office/drawing/2014/main" id="{B5682C58-6DC1-4973-ADA7-11DBDD6D77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2" name="AutoShape 1" descr="Vista previa de toda la pantalla">
          <a:extLst>
            <a:ext uri="{FF2B5EF4-FFF2-40B4-BE49-F238E27FC236}">
              <a16:creationId xmlns:a16="http://schemas.microsoft.com/office/drawing/2014/main" id="{C3E75697-1AA7-460B-A731-A7C78DF4AD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3" name="AutoShape 1" descr="Vista previa de toda la pantalla">
          <a:extLst>
            <a:ext uri="{FF2B5EF4-FFF2-40B4-BE49-F238E27FC236}">
              <a16:creationId xmlns:a16="http://schemas.microsoft.com/office/drawing/2014/main" id="{126B5E0E-2727-4DDA-B978-0B53C7F05A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4" name="AutoShape 1" descr="Vista previa de toda la pantalla">
          <a:extLst>
            <a:ext uri="{FF2B5EF4-FFF2-40B4-BE49-F238E27FC236}">
              <a16:creationId xmlns:a16="http://schemas.microsoft.com/office/drawing/2014/main" id="{E6CDC69A-5869-42AC-A0A8-9688333170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5" name="AutoShape 1" descr="Vista previa de toda la pantalla">
          <a:extLst>
            <a:ext uri="{FF2B5EF4-FFF2-40B4-BE49-F238E27FC236}">
              <a16:creationId xmlns:a16="http://schemas.microsoft.com/office/drawing/2014/main" id="{318B5DF6-FE7B-4DE7-843F-202BC312AA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6" name="AutoShape 1" descr="Vista previa de toda la pantalla">
          <a:extLst>
            <a:ext uri="{FF2B5EF4-FFF2-40B4-BE49-F238E27FC236}">
              <a16:creationId xmlns:a16="http://schemas.microsoft.com/office/drawing/2014/main" id="{587AE671-F17C-413D-890A-70D41EDBAE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7" name="AutoShape 1" descr="Vista previa de toda la pantalla">
          <a:extLst>
            <a:ext uri="{FF2B5EF4-FFF2-40B4-BE49-F238E27FC236}">
              <a16:creationId xmlns:a16="http://schemas.microsoft.com/office/drawing/2014/main" id="{C09368A1-5731-40FA-ADCB-1F83EAA75E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8" name="AutoShape 1" descr="Vista previa de toda la pantalla">
          <a:extLst>
            <a:ext uri="{FF2B5EF4-FFF2-40B4-BE49-F238E27FC236}">
              <a16:creationId xmlns:a16="http://schemas.microsoft.com/office/drawing/2014/main" id="{7AFE3F8F-1E04-4808-8860-41A91E2B1A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79" name="AutoShape 1" descr="Vista previa de toda la pantalla">
          <a:extLst>
            <a:ext uri="{FF2B5EF4-FFF2-40B4-BE49-F238E27FC236}">
              <a16:creationId xmlns:a16="http://schemas.microsoft.com/office/drawing/2014/main" id="{9CFEEC82-EBEC-40AF-9427-62CCB10759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80" name="AutoShape 1" descr="Vista previa de toda la pantalla">
          <a:extLst>
            <a:ext uri="{FF2B5EF4-FFF2-40B4-BE49-F238E27FC236}">
              <a16:creationId xmlns:a16="http://schemas.microsoft.com/office/drawing/2014/main" id="{3EBCAD5A-7EB7-404D-9B48-3928B61D31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81" name="AutoShape 1" descr="Vista previa de toda la pantalla">
          <a:extLst>
            <a:ext uri="{FF2B5EF4-FFF2-40B4-BE49-F238E27FC236}">
              <a16:creationId xmlns:a16="http://schemas.microsoft.com/office/drawing/2014/main" id="{BB98CAFF-B1A9-4BE8-9A03-2DE381B0FE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82" name="AutoShape 1" descr="Vista previa de toda la pantalla">
          <a:extLst>
            <a:ext uri="{FF2B5EF4-FFF2-40B4-BE49-F238E27FC236}">
              <a16:creationId xmlns:a16="http://schemas.microsoft.com/office/drawing/2014/main" id="{763DD965-5C2B-4830-89A6-9BBF09807A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83" name="AutoShape 1" descr="Vista previa de toda la pantalla">
          <a:extLst>
            <a:ext uri="{FF2B5EF4-FFF2-40B4-BE49-F238E27FC236}">
              <a16:creationId xmlns:a16="http://schemas.microsoft.com/office/drawing/2014/main" id="{A729D54E-F1F8-40D9-AA57-2D0E3205AD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84" name="AutoShape 1" descr="Vista previa de toda la pantalla">
          <a:extLst>
            <a:ext uri="{FF2B5EF4-FFF2-40B4-BE49-F238E27FC236}">
              <a16:creationId xmlns:a16="http://schemas.microsoft.com/office/drawing/2014/main" id="{9323C2F8-06E3-4ECB-A4B2-31043E7BB9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85" name="AutoShape 1" descr="Vista previa de toda la pantalla">
          <a:extLst>
            <a:ext uri="{FF2B5EF4-FFF2-40B4-BE49-F238E27FC236}">
              <a16:creationId xmlns:a16="http://schemas.microsoft.com/office/drawing/2014/main" id="{F45E99B8-85CF-44A4-A4CD-AF99C5E506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86" name="AutoShape 1" descr="Vista previa de toda la pantalla">
          <a:extLst>
            <a:ext uri="{FF2B5EF4-FFF2-40B4-BE49-F238E27FC236}">
              <a16:creationId xmlns:a16="http://schemas.microsoft.com/office/drawing/2014/main" id="{6506644F-3957-4133-8210-FC313D6968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87" name="AutoShape 1" descr="Vista previa de toda la pantalla">
          <a:extLst>
            <a:ext uri="{FF2B5EF4-FFF2-40B4-BE49-F238E27FC236}">
              <a16:creationId xmlns:a16="http://schemas.microsoft.com/office/drawing/2014/main" id="{65AA94E8-EBEB-47D1-B523-2ABE2EC129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88" name="AutoShape 1" descr="Vista previa de toda la pantalla">
          <a:extLst>
            <a:ext uri="{FF2B5EF4-FFF2-40B4-BE49-F238E27FC236}">
              <a16:creationId xmlns:a16="http://schemas.microsoft.com/office/drawing/2014/main" id="{504D05A3-D6AC-4D95-B24D-5B720D788D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89" name="AutoShape 1" descr="Vista previa de toda la pantalla">
          <a:extLst>
            <a:ext uri="{FF2B5EF4-FFF2-40B4-BE49-F238E27FC236}">
              <a16:creationId xmlns:a16="http://schemas.microsoft.com/office/drawing/2014/main" id="{8709EAB8-92B1-4D39-94A0-923B364FDD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90" name="AutoShape 1" descr="Vista previa de toda la pantalla">
          <a:extLst>
            <a:ext uri="{FF2B5EF4-FFF2-40B4-BE49-F238E27FC236}">
              <a16:creationId xmlns:a16="http://schemas.microsoft.com/office/drawing/2014/main" id="{7FD96ECD-B787-4212-A69E-BC3648C64B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91" name="AutoShape 1" descr="Vista previa de toda la pantalla">
          <a:extLst>
            <a:ext uri="{FF2B5EF4-FFF2-40B4-BE49-F238E27FC236}">
              <a16:creationId xmlns:a16="http://schemas.microsoft.com/office/drawing/2014/main" id="{BE1A461C-9389-4B41-9B59-9B84476408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92" name="AutoShape 1" descr="Vista previa de toda la pantalla">
          <a:extLst>
            <a:ext uri="{FF2B5EF4-FFF2-40B4-BE49-F238E27FC236}">
              <a16:creationId xmlns:a16="http://schemas.microsoft.com/office/drawing/2014/main" id="{7BC88A5D-BF5A-435D-889D-4C44E03718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93" name="AutoShape 1" descr="Vista previa de toda la pantalla">
          <a:extLst>
            <a:ext uri="{FF2B5EF4-FFF2-40B4-BE49-F238E27FC236}">
              <a16:creationId xmlns:a16="http://schemas.microsoft.com/office/drawing/2014/main" id="{0B11281C-B2A8-4559-8360-F6393B4099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94" name="AutoShape 1" descr="Vista previa de toda la pantalla">
          <a:extLst>
            <a:ext uri="{FF2B5EF4-FFF2-40B4-BE49-F238E27FC236}">
              <a16:creationId xmlns:a16="http://schemas.microsoft.com/office/drawing/2014/main" id="{AF68E722-7A16-4B67-A263-DBB0DD3907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95" name="AutoShape 1" descr="Vista previa de toda la pantalla">
          <a:extLst>
            <a:ext uri="{FF2B5EF4-FFF2-40B4-BE49-F238E27FC236}">
              <a16:creationId xmlns:a16="http://schemas.microsoft.com/office/drawing/2014/main" id="{4FAF7545-1ED9-4152-9715-D8EF91FC93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96" name="AutoShape 1" descr="Vista previa de toda la pantalla">
          <a:extLst>
            <a:ext uri="{FF2B5EF4-FFF2-40B4-BE49-F238E27FC236}">
              <a16:creationId xmlns:a16="http://schemas.microsoft.com/office/drawing/2014/main" id="{FB9EB87F-58DE-418D-9F4C-ACB7B1750C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97" name="AutoShape 1" descr="Vista previa de toda la pantalla">
          <a:extLst>
            <a:ext uri="{FF2B5EF4-FFF2-40B4-BE49-F238E27FC236}">
              <a16:creationId xmlns:a16="http://schemas.microsoft.com/office/drawing/2014/main" id="{906984C6-C99A-43DF-AB0D-912FF60398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98" name="AutoShape 1" descr="Vista previa de toda la pantalla">
          <a:extLst>
            <a:ext uri="{FF2B5EF4-FFF2-40B4-BE49-F238E27FC236}">
              <a16:creationId xmlns:a16="http://schemas.microsoft.com/office/drawing/2014/main" id="{9E29F5AF-6268-4356-A103-FB096DBA3E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399" name="AutoShape 1" descr="Vista previa de toda la pantalla">
          <a:extLst>
            <a:ext uri="{FF2B5EF4-FFF2-40B4-BE49-F238E27FC236}">
              <a16:creationId xmlns:a16="http://schemas.microsoft.com/office/drawing/2014/main" id="{71C58F17-9013-44BC-B091-DF15005D3C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00" name="AutoShape 1" descr="Vista previa de toda la pantalla">
          <a:extLst>
            <a:ext uri="{FF2B5EF4-FFF2-40B4-BE49-F238E27FC236}">
              <a16:creationId xmlns:a16="http://schemas.microsoft.com/office/drawing/2014/main" id="{25B7A504-28A8-4D8E-A88A-AD7DE253D7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01" name="AutoShape 1" descr="Vista previa de toda la pantalla">
          <a:extLst>
            <a:ext uri="{FF2B5EF4-FFF2-40B4-BE49-F238E27FC236}">
              <a16:creationId xmlns:a16="http://schemas.microsoft.com/office/drawing/2014/main" id="{B4B032EB-FF10-4630-BEDC-7AEB13EB08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02" name="AutoShape 1" descr="Vista previa de toda la pantalla">
          <a:extLst>
            <a:ext uri="{FF2B5EF4-FFF2-40B4-BE49-F238E27FC236}">
              <a16:creationId xmlns:a16="http://schemas.microsoft.com/office/drawing/2014/main" id="{01643710-28B0-4968-8066-BE2A9D8FE4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03" name="AutoShape 1" descr="Vista previa de toda la pantalla">
          <a:extLst>
            <a:ext uri="{FF2B5EF4-FFF2-40B4-BE49-F238E27FC236}">
              <a16:creationId xmlns:a16="http://schemas.microsoft.com/office/drawing/2014/main" id="{463D1C0B-9914-4B68-8362-035C8DA1D2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04" name="AutoShape 1" descr="Vista previa de toda la pantalla">
          <a:extLst>
            <a:ext uri="{FF2B5EF4-FFF2-40B4-BE49-F238E27FC236}">
              <a16:creationId xmlns:a16="http://schemas.microsoft.com/office/drawing/2014/main" id="{A17F8D3C-9D1D-468A-990C-AA5B60F3B0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05" name="AutoShape 1" descr="Vista previa de toda la pantalla">
          <a:extLst>
            <a:ext uri="{FF2B5EF4-FFF2-40B4-BE49-F238E27FC236}">
              <a16:creationId xmlns:a16="http://schemas.microsoft.com/office/drawing/2014/main" id="{B5A31DDC-207F-4C1A-B80E-249DDC5D2F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06" name="AutoShape 1" descr="Vista previa de toda la pantalla">
          <a:extLst>
            <a:ext uri="{FF2B5EF4-FFF2-40B4-BE49-F238E27FC236}">
              <a16:creationId xmlns:a16="http://schemas.microsoft.com/office/drawing/2014/main" id="{7B3BCB0D-8DF8-4E06-83CE-8D80063CC2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07" name="AutoShape 1" descr="Vista previa de toda la pantalla">
          <a:extLst>
            <a:ext uri="{FF2B5EF4-FFF2-40B4-BE49-F238E27FC236}">
              <a16:creationId xmlns:a16="http://schemas.microsoft.com/office/drawing/2014/main" id="{5142F4AC-97B9-4CAB-B69F-4BC9F179F4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08" name="AutoShape 1" descr="Vista previa de toda la pantalla">
          <a:extLst>
            <a:ext uri="{FF2B5EF4-FFF2-40B4-BE49-F238E27FC236}">
              <a16:creationId xmlns:a16="http://schemas.microsoft.com/office/drawing/2014/main" id="{8DF16B8F-EBE4-4B85-8886-BB126B521F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09" name="AutoShape 1" descr="Vista previa de toda la pantalla">
          <a:extLst>
            <a:ext uri="{FF2B5EF4-FFF2-40B4-BE49-F238E27FC236}">
              <a16:creationId xmlns:a16="http://schemas.microsoft.com/office/drawing/2014/main" id="{650FE1FF-5E21-4C47-BBE8-A7DC048E9F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10" name="AutoShape 1" descr="Vista previa de toda la pantalla">
          <a:extLst>
            <a:ext uri="{FF2B5EF4-FFF2-40B4-BE49-F238E27FC236}">
              <a16:creationId xmlns:a16="http://schemas.microsoft.com/office/drawing/2014/main" id="{50D3A4BA-EA0A-4D99-95E5-A0958AF004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11" name="AutoShape 1" descr="Vista previa de toda la pantalla">
          <a:extLst>
            <a:ext uri="{FF2B5EF4-FFF2-40B4-BE49-F238E27FC236}">
              <a16:creationId xmlns:a16="http://schemas.microsoft.com/office/drawing/2014/main" id="{1A8AA6E0-4CEB-4FED-8AD7-8FE35D7154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12" name="AutoShape 1" descr="Vista previa de toda la pantalla">
          <a:extLst>
            <a:ext uri="{FF2B5EF4-FFF2-40B4-BE49-F238E27FC236}">
              <a16:creationId xmlns:a16="http://schemas.microsoft.com/office/drawing/2014/main" id="{649FDBAF-E1C8-4079-B9A3-2BA77CDFB0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13" name="AutoShape 1" descr="Vista previa de toda la pantalla">
          <a:extLst>
            <a:ext uri="{FF2B5EF4-FFF2-40B4-BE49-F238E27FC236}">
              <a16:creationId xmlns:a16="http://schemas.microsoft.com/office/drawing/2014/main" id="{9FB93EC4-02F2-4327-B310-6D7F7417A2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14" name="AutoShape 1" descr="Vista previa de toda la pantalla">
          <a:extLst>
            <a:ext uri="{FF2B5EF4-FFF2-40B4-BE49-F238E27FC236}">
              <a16:creationId xmlns:a16="http://schemas.microsoft.com/office/drawing/2014/main" id="{5787391F-C446-4D90-ABEB-B5B98BAE95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15" name="AutoShape 1" descr="Vista previa de toda la pantalla">
          <a:extLst>
            <a:ext uri="{FF2B5EF4-FFF2-40B4-BE49-F238E27FC236}">
              <a16:creationId xmlns:a16="http://schemas.microsoft.com/office/drawing/2014/main" id="{7A7546DB-F594-45D4-AB1C-5FDABB3B89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16" name="AutoShape 1" descr="Vista previa de toda la pantalla">
          <a:extLst>
            <a:ext uri="{FF2B5EF4-FFF2-40B4-BE49-F238E27FC236}">
              <a16:creationId xmlns:a16="http://schemas.microsoft.com/office/drawing/2014/main" id="{BF3DEE46-8DCF-47CB-AEEE-B8B7C074C6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17" name="AutoShape 1" descr="Vista previa de toda la pantalla">
          <a:extLst>
            <a:ext uri="{FF2B5EF4-FFF2-40B4-BE49-F238E27FC236}">
              <a16:creationId xmlns:a16="http://schemas.microsoft.com/office/drawing/2014/main" id="{CA3CA1CD-8DFC-4B4C-9438-104620B765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18" name="AutoShape 1" descr="Vista previa de toda la pantalla">
          <a:extLst>
            <a:ext uri="{FF2B5EF4-FFF2-40B4-BE49-F238E27FC236}">
              <a16:creationId xmlns:a16="http://schemas.microsoft.com/office/drawing/2014/main" id="{27B776CF-7C50-48AC-8DE4-14474CF2C2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19" name="AutoShape 1" descr="Vista previa de toda la pantalla">
          <a:extLst>
            <a:ext uri="{FF2B5EF4-FFF2-40B4-BE49-F238E27FC236}">
              <a16:creationId xmlns:a16="http://schemas.microsoft.com/office/drawing/2014/main" id="{705D6247-6C48-48CF-9522-6C51F485E2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20" name="AutoShape 1" descr="Vista previa de toda la pantalla">
          <a:extLst>
            <a:ext uri="{FF2B5EF4-FFF2-40B4-BE49-F238E27FC236}">
              <a16:creationId xmlns:a16="http://schemas.microsoft.com/office/drawing/2014/main" id="{94F1CAEE-620A-4210-AF50-756C92F528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21" name="AutoShape 1" descr="Vista previa de toda la pantalla">
          <a:extLst>
            <a:ext uri="{FF2B5EF4-FFF2-40B4-BE49-F238E27FC236}">
              <a16:creationId xmlns:a16="http://schemas.microsoft.com/office/drawing/2014/main" id="{68FD20C3-860E-45D1-AF8B-A817CD10EB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22" name="AutoShape 1" descr="Vista previa de toda la pantalla">
          <a:extLst>
            <a:ext uri="{FF2B5EF4-FFF2-40B4-BE49-F238E27FC236}">
              <a16:creationId xmlns:a16="http://schemas.microsoft.com/office/drawing/2014/main" id="{37A16837-DCA7-4898-A51B-B6AC1D64A9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23" name="AutoShape 1" descr="Vista previa de toda la pantalla">
          <a:extLst>
            <a:ext uri="{FF2B5EF4-FFF2-40B4-BE49-F238E27FC236}">
              <a16:creationId xmlns:a16="http://schemas.microsoft.com/office/drawing/2014/main" id="{32F9567E-B604-4B67-8150-70B364F83C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24" name="AutoShape 1" descr="Vista previa de toda la pantalla">
          <a:extLst>
            <a:ext uri="{FF2B5EF4-FFF2-40B4-BE49-F238E27FC236}">
              <a16:creationId xmlns:a16="http://schemas.microsoft.com/office/drawing/2014/main" id="{9E57C4FF-03A4-4FA9-B620-7E89461B4F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25" name="AutoShape 1" descr="Vista previa de toda la pantalla">
          <a:extLst>
            <a:ext uri="{FF2B5EF4-FFF2-40B4-BE49-F238E27FC236}">
              <a16:creationId xmlns:a16="http://schemas.microsoft.com/office/drawing/2014/main" id="{CD813205-0AFC-467D-9200-C257CA516A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26" name="AutoShape 1" descr="Vista previa de toda la pantalla">
          <a:extLst>
            <a:ext uri="{FF2B5EF4-FFF2-40B4-BE49-F238E27FC236}">
              <a16:creationId xmlns:a16="http://schemas.microsoft.com/office/drawing/2014/main" id="{9532DB84-6A34-4B35-B92C-FE4E3E7DC5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27" name="AutoShape 1" descr="Vista previa de toda la pantalla">
          <a:extLst>
            <a:ext uri="{FF2B5EF4-FFF2-40B4-BE49-F238E27FC236}">
              <a16:creationId xmlns:a16="http://schemas.microsoft.com/office/drawing/2014/main" id="{1E44F80C-E1A6-4688-91C2-D340EDDAA4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28" name="AutoShape 1" descr="Vista previa de toda la pantalla">
          <a:extLst>
            <a:ext uri="{FF2B5EF4-FFF2-40B4-BE49-F238E27FC236}">
              <a16:creationId xmlns:a16="http://schemas.microsoft.com/office/drawing/2014/main" id="{5DADE10E-366F-498B-9471-9C79B8B09D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29" name="AutoShape 1" descr="Vista previa de toda la pantalla">
          <a:extLst>
            <a:ext uri="{FF2B5EF4-FFF2-40B4-BE49-F238E27FC236}">
              <a16:creationId xmlns:a16="http://schemas.microsoft.com/office/drawing/2014/main" id="{20AC7B34-13D1-49E6-8CB3-F8D3876A4A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30" name="AutoShape 1" descr="Vista previa de toda la pantalla">
          <a:extLst>
            <a:ext uri="{FF2B5EF4-FFF2-40B4-BE49-F238E27FC236}">
              <a16:creationId xmlns:a16="http://schemas.microsoft.com/office/drawing/2014/main" id="{1DF28F47-13BE-4878-B601-6082CD9CFE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31" name="AutoShape 1" descr="Vista previa de toda la pantalla">
          <a:extLst>
            <a:ext uri="{FF2B5EF4-FFF2-40B4-BE49-F238E27FC236}">
              <a16:creationId xmlns:a16="http://schemas.microsoft.com/office/drawing/2014/main" id="{9FED8748-9C99-4D52-B4CA-047BEE9534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32" name="AutoShape 1" descr="Vista previa de toda la pantalla">
          <a:extLst>
            <a:ext uri="{FF2B5EF4-FFF2-40B4-BE49-F238E27FC236}">
              <a16:creationId xmlns:a16="http://schemas.microsoft.com/office/drawing/2014/main" id="{725FFCFF-0073-499E-A5D2-5DBB55CAEA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33" name="AutoShape 1" descr="Vista previa de toda la pantalla">
          <a:extLst>
            <a:ext uri="{FF2B5EF4-FFF2-40B4-BE49-F238E27FC236}">
              <a16:creationId xmlns:a16="http://schemas.microsoft.com/office/drawing/2014/main" id="{9DFBDAAC-F42F-440B-B9BF-C86FE82ADA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34" name="AutoShape 1" descr="Vista previa de toda la pantalla">
          <a:extLst>
            <a:ext uri="{FF2B5EF4-FFF2-40B4-BE49-F238E27FC236}">
              <a16:creationId xmlns:a16="http://schemas.microsoft.com/office/drawing/2014/main" id="{9AAEF4AB-7D39-446F-B4D5-7004E3D644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35" name="AutoShape 1" descr="Vista previa de toda la pantalla">
          <a:extLst>
            <a:ext uri="{FF2B5EF4-FFF2-40B4-BE49-F238E27FC236}">
              <a16:creationId xmlns:a16="http://schemas.microsoft.com/office/drawing/2014/main" id="{C0294236-DA06-48DF-8F00-62A688ED25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36" name="AutoShape 1" descr="Vista previa de toda la pantalla">
          <a:extLst>
            <a:ext uri="{FF2B5EF4-FFF2-40B4-BE49-F238E27FC236}">
              <a16:creationId xmlns:a16="http://schemas.microsoft.com/office/drawing/2014/main" id="{655D02B1-4ED4-4B6A-8B06-DE6D3DC83E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37" name="AutoShape 1" descr="Vista previa de toda la pantalla">
          <a:extLst>
            <a:ext uri="{FF2B5EF4-FFF2-40B4-BE49-F238E27FC236}">
              <a16:creationId xmlns:a16="http://schemas.microsoft.com/office/drawing/2014/main" id="{22D03D05-5802-4023-8196-230166B2B8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38" name="AutoShape 1" descr="Vista previa de toda la pantalla">
          <a:extLst>
            <a:ext uri="{FF2B5EF4-FFF2-40B4-BE49-F238E27FC236}">
              <a16:creationId xmlns:a16="http://schemas.microsoft.com/office/drawing/2014/main" id="{1B3B2621-55A5-42AA-9E04-06FD8E968B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39" name="AutoShape 1" descr="Vista previa de toda la pantalla">
          <a:extLst>
            <a:ext uri="{FF2B5EF4-FFF2-40B4-BE49-F238E27FC236}">
              <a16:creationId xmlns:a16="http://schemas.microsoft.com/office/drawing/2014/main" id="{EC7A7886-3C16-4E25-8952-1DEB6CF9FF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40" name="AutoShape 1" descr="Vista previa de toda la pantalla">
          <a:extLst>
            <a:ext uri="{FF2B5EF4-FFF2-40B4-BE49-F238E27FC236}">
              <a16:creationId xmlns:a16="http://schemas.microsoft.com/office/drawing/2014/main" id="{6A240D25-3F0D-47E6-880E-26BFF0806F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41" name="AutoShape 1" descr="Vista previa de toda la pantalla">
          <a:extLst>
            <a:ext uri="{FF2B5EF4-FFF2-40B4-BE49-F238E27FC236}">
              <a16:creationId xmlns:a16="http://schemas.microsoft.com/office/drawing/2014/main" id="{321C0DCE-4D6F-4920-B589-DCBC2E027A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42" name="AutoShape 1" descr="Vista previa de toda la pantalla">
          <a:extLst>
            <a:ext uri="{FF2B5EF4-FFF2-40B4-BE49-F238E27FC236}">
              <a16:creationId xmlns:a16="http://schemas.microsoft.com/office/drawing/2014/main" id="{B9365CC6-F0E5-4A61-86FE-A19C7D3D29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43" name="AutoShape 1" descr="Vista previa de toda la pantalla">
          <a:extLst>
            <a:ext uri="{FF2B5EF4-FFF2-40B4-BE49-F238E27FC236}">
              <a16:creationId xmlns:a16="http://schemas.microsoft.com/office/drawing/2014/main" id="{C02FF361-39CF-47AF-B4D9-D71237D031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44" name="AutoShape 1" descr="Vista previa de toda la pantalla">
          <a:extLst>
            <a:ext uri="{FF2B5EF4-FFF2-40B4-BE49-F238E27FC236}">
              <a16:creationId xmlns:a16="http://schemas.microsoft.com/office/drawing/2014/main" id="{AC82B952-93A0-4DEA-A554-A43810F5AB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45" name="AutoShape 1" descr="Vista previa de toda la pantalla">
          <a:extLst>
            <a:ext uri="{FF2B5EF4-FFF2-40B4-BE49-F238E27FC236}">
              <a16:creationId xmlns:a16="http://schemas.microsoft.com/office/drawing/2014/main" id="{9F5A2146-F646-4B34-8A7D-29CFBD71B6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46" name="AutoShape 1" descr="Vista previa de toda la pantalla">
          <a:extLst>
            <a:ext uri="{FF2B5EF4-FFF2-40B4-BE49-F238E27FC236}">
              <a16:creationId xmlns:a16="http://schemas.microsoft.com/office/drawing/2014/main" id="{313F7FDB-0358-4EFC-9746-205A386A11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47" name="AutoShape 1" descr="Vista previa de toda la pantalla">
          <a:extLst>
            <a:ext uri="{FF2B5EF4-FFF2-40B4-BE49-F238E27FC236}">
              <a16:creationId xmlns:a16="http://schemas.microsoft.com/office/drawing/2014/main" id="{F2111A97-9C92-47D2-A284-F3F7740724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48" name="AutoShape 1" descr="Vista previa de toda la pantalla">
          <a:extLst>
            <a:ext uri="{FF2B5EF4-FFF2-40B4-BE49-F238E27FC236}">
              <a16:creationId xmlns:a16="http://schemas.microsoft.com/office/drawing/2014/main" id="{F972DBE4-0CA7-4F9C-9134-31238AECC9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49" name="AutoShape 1" descr="Vista previa de toda la pantalla">
          <a:extLst>
            <a:ext uri="{FF2B5EF4-FFF2-40B4-BE49-F238E27FC236}">
              <a16:creationId xmlns:a16="http://schemas.microsoft.com/office/drawing/2014/main" id="{6A6E6F14-4222-45F8-B3D1-6051E51136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50" name="AutoShape 1" descr="Vista previa de toda la pantalla">
          <a:extLst>
            <a:ext uri="{FF2B5EF4-FFF2-40B4-BE49-F238E27FC236}">
              <a16:creationId xmlns:a16="http://schemas.microsoft.com/office/drawing/2014/main" id="{B9BBF34B-88BC-4787-8D2D-A4B8ABACED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51" name="AutoShape 1" descr="Vista previa de toda la pantalla">
          <a:extLst>
            <a:ext uri="{FF2B5EF4-FFF2-40B4-BE49-F238E27FC236}">
              <a16:creationId xmlns:a16="http://schemas.microsoft.com/office/drawing/2014/main" id="{14E27C56-8DDC-46CE-8CB2-3B0BFC0C4E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52" name="AutoShape 1" descr="Vista previa de toda la pantalla">
          <a:extLst>
            <a:ext uri="{FF2B5EF4-FFF2-40B4-BE49-F238E27FC236}">
              <a16:creationId xmlns:a16="http://schemas.microsoft.com/office/drawing/2014/main" id="{16523DDD-F1BA-4141-90C2-E77BC5BA25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53" name="AutoShape 1" descr="Vista previa de toda la pantalla">
          <a:extLst>
            <a:ext uri="{FF2B5EF4-FFF2-40B4-BE49-F238E27FC236}">
              <a16:creationId xmlns:a16="http://schemas.microsoft.com/office/drawing/2014/main" id="{B111529B-CBC9-48E6-802B-AFB02A3660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54" name="AutoShape 1" descr="Vista previa de toda la pantalla">
          <a:extLst>
            <a:ext uri="{FF2B5EF4-FFF2-40B4-BE49-F238E27FC236}">
              <a16:creationId xmlns:a16="http://schemas.microsoft.com/office/drawing/2014/main" id="{91A9971D-1EA8-4F18-950C-B13A1659AB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55" name="AutoShape 1" descr="Vista previa de toda la pantalla">
          <a:extLst>
            <a:ext uri="{FF2B5EF4-FFF2-40B4-BE49-F238E27FC236}">
              <a16:creationId xmlns:a16="http://schemas.microsoft.com/office/drawing/2014/main" id="{AB2FD6FF-545E-467A-A0F2-025036F0A2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56" name="AutoShape 1" descr="Vista previa de toda la pantalla">
          <a:extLst>
            <a:ext uri="{FF2B5EF4-FFF2-40B4-BE49-F238E27FC236}">
              <a16:creationId xmlns:a16="http://schemas.microsoft.com/office/drawing/2014/main" id="{24BAF6FA-4F75-407E-8224-3F0C95F594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57" name="AutoShape 1" descr="Vista previa de toda la pantalla">
          <a:extLst>
            <a:ext uri="{FF2B5EF4-FFF2-40B4-BE49-F238E27FC236}">
              <a16:creationId xmlns:a16="http://schemas.microsoft.com/office/drawing/2014/main" id="{8C8465DC-D23D-47E1-9335-A22C1CD050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58" name="AutoShape 1" descr="Vista previa de toda la pantalla">
          <a:extLst>
            <a:ext uri="{FF2B5EF4-FFF2-40B4-BE49-F238E27FC236}">
              <a16:creationId xmlns:a16="http://schemas.microsoft.com/office/drawing/2014/main" id="{42FCD858-190A-4589-AFAA-E2AC7453D9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59" name="AutoShape 1" descr="Vista previa de toda la pantalla">
          <a:extLst>
            <a:ext uri="{FF2B5EF4-FFF2-40B4-BE49-F238E27FC236}">
              <a16:creationId xmlns:a16="http://schemas.microsoft.com/office/drawing/2014/main" id="{B5AB8F5F-CAC2-46C9-8CB8-7B82DDD8DB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60" name="AutoShape 1" descr="Vista previa de toda la pantalla">
          <a:extLst>
            <a:ext uri="{FF2B5EF4-FFF2-40B4-BE49-F238E27FC236}">
              <a16:creationId xmlns:a16="http://schemas.microsoft.com/office/drawing/2014/main" id="{C31C108B-6EB2-4EF4-971A-D039DA198D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61" name="AutoShape 1" descr="Vista previa de toda la pantalla">
          <a:extLst>
            <a:ext uri="{FF2B5EF4-FFF2-40B4-BE49-F238E27FC236}">
              <a16:creationId xmlns:a16="http://schemas.microsoft.com/office/drawing/2014/main" id="{6DE85C1D-5C34-4F61-83C2-296006C4BF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62" name="AutoShape 1" descr="Vista previa de toda la pantalla">
          <a:extLst>
            <a:ext uri="{FF2B5EF4-FFF2-40B4-BE49-F238E27FC236}">
              <a16:creationId xmlns:a16="http://schemas.microsoft.com/office/drawing/2014/main" id="{D59C2A62-6766-4884-A09C-DB5F5101A5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63" name="AutoShape 1" descr="Vista previa de toda la pantalla">
          <a:extLst>
            <a:ext uri="{FF2B5EF4-FFF2-40B4-BE49-F238E27FC236}">
              <a16:creationId xmlns:a16="http://schemas.microsoft.com/office/drawing/2014/main" id="{791977C7-FA95-4686-B9C0-2AEA2319F1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64" name="AutoShape 1" descr="Vista previa de toda la pantalla">
          <a:extLst>
            <a:ext uri="{FF2B5EF4-FFF2-40B4-BE49-F238E27FC236}">
              <a16:creationId xmlns:a16="http://schemas.microsoft.com/office/drawing/2014/main" id="{737CB596-EA44-42C3-9E8B-F7FE4AFC46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65" name="AutoShape 1" descr="Vista previa de toda la pantalla">
          <a:extLst>
            <a:ext uri="{FF2B5EF4-FFF2-40B4-BE49-F238E27FC236}">
              <a16:creationId xmlns:a16="http://schemas.microsoft.com/office/drawing/2014/main" id="{2568E654-B41F-4A76-94E8-6BC90579DE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66" name="AutoShape 1" descr="Vista previa de toda la pantalla">
          <a:extLst>
            <a:ext uri="{FF2B5EF4-FFF2-40B4-BE49-F238E27FC236}">
              <a16:creationId xmlns:a16="http://schemas.microsoft.com/office/drawing/2014/main" id="{48F994D7-5ABF-42B7-A89C-3617B6DF31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67" name="AutoShape 1" descr="Vista previa de toda la pantalla">
          <a:extLst>
            <a:ext uri="{FF2B5EF4-FFF2-40B4-BE49-F238E27FC236}">
              <a16:creationId xmlns:a16="http://schemas.microsoft.com/office/drawing/2014/main" id="{B61B96E3-4DEC-4A98-AA60-9CBA539E21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68" name="AutoShape 1" descr="Vista previa de toda la pantalla">
          <a:extLst>
            <a:ext uri="{FF2B5EF4-FFF2-40B4-BE49-F238E27FC236}">
              <a16:creationId xmlns:a16="http://schemas.microsoft.com/office/drawing/2014/main" id="{3578C2AF-5637-48B3-85E1-DAE742AFCC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69" name="AutoShape 1" descr="Vista previa de toda la pantalla">
          <a:extLst>
            <a:ext uri="{FF2B5EF4-FFF2-40B4-BE49-F238E27FC236}">
              <a16:creationId xmlns:a16="http://schemas.microsoft.com/office/drawing/2014/main" id="{B1E9E17E-EB70-443E-A40C-0FC687F48A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70" name="AutoShape 1" descr="Vista previa de toda la pantalla">
          <a:extLst>
            <a:ext uri="{FF2B5EF4-FFF2-40B4-BE49-F238E27FC236}">
              <a16:creationId xmlns:a16="http://schemas.microsoft.com/office/drawing/2014/main" id="{C466FE52-B348-43FA-A0D0-C2B91DAC57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71" name="AutoShape 1" descr="Vista previa de toda la pantalla">
          <a:extLst>
            <a:ext uri="{FF2B5EF4-FFF2-40B4-BE49-F238E27FC236}">
              <a16:creationId xmlns:a16="http://schemas.microsoft.com/office/drawing/2014/main" id="{BE0A0189-4F14-4C80-AF4D-5E31FB6112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72" name="AutoShape 1" descr="Vista previa de toda la pantalla">
          <a:extLst>
            <a:ext uri="{FF2B5EF4-FFF2-40B4-BE49-F238E27FC236}">
              <a16:creationId xmlns:a16="http://schemas.microsoft.com/office/drawing/2014/main" id="{67C9CA01-45AB-42EC-BA57-109F4BD6BF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73" name="AutoShape 1" descr="Vista previa de toda la pantalla">
          <a:extLst>
            <a:ext uri="{FF2B5EF4-FFF2-40B4-BE49-F238E27FC236}">
              <a16:creationId xmlns:a16="http://schemas.microsoft.com/office/drawing/2014/main" id="{7C3C7976-FD10-4263-8FD2-D3619AD307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74" name="AutoShape 1" descr="Vista previa de toda la pantalla">
          <a:extLst>
            <a:ext uri="{FF2B5EF4-FFF2-40B4-BE49-F238E27FC236}">
              <a16:creationId xmlns:a16="http://schemas.microsoft.com/office/drawing/2014/main" id="{59813AF9-9AFC-4216-BE29-C2F3532C21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75" name="AutoShape 1" descr="Vista previa de toda la pantalla">
          <a:extLst>
            <a:ext uri="{FF2B5EF4-FFF2-40B4-BE49-F238E27FC236}">
              <a16:creationId xmlns:a16="http://schemas.microsoft.com/office/drawing/2014/main" id="{E7AFE7EB-C8BB-4C02-8FF1-9CA4175920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76" name="AutoShape 1" descr="Vista previa de toda la pantalla">
          <a:extLst>
            <a:ext uri="{FF2B5EF4-FFF2-40B4-BE49-F238E27FC236}">
              <a16:creationId xmlns:a16="http://schemas.microsoft.com/office/drawing/2014/main" id="{2B8CB70C-3BA6-452A-AB38-BD4084DB62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77" name="AutoShape 1" descr="Vista previa de toda la pantalla">
          <a:extLst>
            <a:ext uri="{FF2B5EF4-FFF2-40B4-BE49-F238E27FC236}">
              <a16:creationId xmlns:a16="http://schemas.microsoft.com/office/drawing/2014/main" id="{3AB5D965-2D11-4DD6-8225-9EA4DABDDD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78" name="AutoShape 1" descr="Vista previa de toda la pantalla">
          <a:extLst>
            <a:ext uri="{FF2B5EF4-FFF2-40B4-BE49-F238E27FC236}">
              <a16:creationId xmlns:a16="http://schemas.microsoft.com/office/drawing/2014/main" id="{EDFCB9A5-2A43-4A30-B28F-7E4B79836F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79" name="AutoShape 1" descr="Vista previa de toda la pantalla">
          <a:extLst>
            <a:ext uri="{FF2B5EF4-FFF2-40B4-BE49-F238E27FC236}">
              <a16:creationId xmlns:a16="http://schemas.microsoft.com/office/drawing/2014/main" id="{F9092B16-25B9-4A37-A959-907BF38AEF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80" name="AutoShape 1" descr="Vista previa de toda la pantalla">
          <a:extLst>
            <a:ext uri="{FF2B5EF4-FFF2-40B4-BE49-F238E27FC236}">
              <a16:creationId xmlns:a16="http://schemas.microsoft.com/office/drawing/2014/main" id="{59DABCC3-2793-4CB9-84E3-D844ED5820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81" name="AutoShape 1" descr="Vista previa de toda la pantalla">
          <a:extLst>
            <a:ext uri="{FF2B5EF4-FFF2-40B4-BE49-F238E27FC236}">
              <a16:creationId xmlns:a16="http://schemas.microsoft.com/office/drawing/2014/main" id="{9659B750-7934-4CB8-AEDC-A943C22E4C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82" name="AutoShape 1" descr="Vista previa de toda la pantalla">
          <a:extLst>
            <a:ext uri="{FF2B5EF4-FFF2-40B4-BE49-F238E27FC236}">
              <a16:creationId xmlns:a16="http://schemas.microsoft.com/office/drawing/2014/main" id="{9C711437-0EF5-4927-BE35-D29C3FA806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83" name="AutoShape 1" descr="Vista previa de toda la pantalla">
          <a:extLst>
            <a:ext uri="{FF2B5EF4-FFF2-40B4-BE49-F238E27FC236}">
              <a16:creationId xmlns:a16="http://schemas.microsoft.com/office/drawing/2014/main" id="{F9362BEA-E754-433A-85D7-7E3DEAED1A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84" name="AutoShape 1" descr="Vista previa de toda la pantalla">
          <a:extLst>
            <a:ext uri="{FF2B5EF4-FFF2-40B4-BE49-F238E27FC236}">
              <a16:creationId xmlns:a16="http://schemas.microsoft.com/office/drawing/2014/main" id="{75466CD5-B85B-4C6C-9AE7-2E00ADA44A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85" name="AutoShape 1" descr="Vista previa de toda la pantalla">
          <a:extLst>
            <a:ext uri="{FF2B5EF4-FFF2-40B4-BE49-F238E27FC236}">
              <a16:creationId xmlns:a16="http://schemas.microsoft.com/office/drawing/2014/main" id="{4F23A4F3-3292-4ADD-AEEB-71CDC3C39A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86" name="AutoShape 1" descr="Vista previa de toda la pantalla">
          <a:extLst>
            <a:ext uri="{FF2B5EF4-FFF2-40B4-BE49-F238E27FC236}">
              <a16:creationId xmlns:a16="http://schemas.microsoft.com/office/drawing/2014/main" id="{59FB96B3-5654-4255-834F-93B754CA74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87" name="AutoShape 1" descr="Vista previa de toda la pantalla">
          <a:extLst>
            <a:ext uri="{FF2B5EF4-FFF2-40B4-BE49-F238E27FC236}">
              <a16:creationId xmlns:a16="http://schemas.microsoft.com/office/drawing/2014/main" id="{4572901E-D610-4E2C-A70B-E43509F15A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88" name="AutoShape 1" descr="Vista previa de toda la pantalla">
          <a:extLst>
            <a:ext uri="{FF2B5EF4-FFF2-40B4-BE49-F238E27FC236}">
              <a16:creationId xmlns:a16="http://schemas.microsoft.com/office/drawing/2014/main" id="{848D3758-CDC8-4FE6-96B7-A9B2611DF4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89" name="AutoShape 1" descr="Vista previa de toda la pantalla">
          <a:extLst>
            <a:ext uri="{FF2B5EF4-FFF2-40B4-BE49-F238E27FC236}">
              <a16:creationId xmlns:a16="http://schemas.microsoft.com/office/drawing/2014/main" id="{027F265A-9308-4853-8960-2676964E5B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90" name="AutoShape 1" descr="Vista previa de toda la pantalla">
          <a:extLst>
            <a:ext uri="{FF2B5EF4-FFF2-40B4-BE49-F238E27FC236}">
              <a16:creationId xmlns:a16="http://schemas.microsoft.com/office/drawing/2014/main" id="{45575CA0-75E3-4C8C-91C7-F72D516C93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91" name="AutoShape 1" descr="Vista previa de toda la pantalla">
          <a:extLst>
            <a:ext uri="{FF2B5EF4-FFF2-40B4-BE49-F238E27FC236}">
              <a16:creationId xmlns:a16="http://schemas.microsoft.com/office/drawing/2014/main" id="{7B08F290-116D-4F91-AA1F-E5054476B1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92" name="AutoShape 1" descr="Vista previa de toda la pantalla">
          <a:extLst>
            <a:ext uri="{FF2B5EF4-FFF2-40B4-BE49-F238E27FC236}">
              <a16:creationId xmlns:a16="http://schemas.microsoft.com/office/drawing/2014/main" id="{BCF6E6EB-51BE-4926-9131-AAA199BE33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93" name="AutoShape 1" descr="Vista previa de toda la pantalla">
          <a:extLst>
            <a:ext uri="{FF2B5EF4-FFF2-40B4-BE49-F238E27FC236}">
              <a16:creationId xmlns:a16="http://schemas.microsoft.com/office/drawing/2014/main" id="{FB7157CD-DFC3-4553-8C31-C3DB1DEE6A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94" name="AutoShape 1" descr="Vista previa de toda la pantalla">
          <a:extLst>
            <a:ext uri="{FF2B5EF4-FFF2-40B4-BE49-F238E27FC236}">
              <a16:creationId xmlns:a16="http://schemas.microsoft.com/office/drawing/2014/main" id="{23405EB6-8385-41D4-9B73-4520411AB0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95" name="AutoShape 1" descr="Vista previa de toda la pantalla">
          <a:extLst>
            <a:ext uri="{FF2B5EF4-FFF2-40B4-BE49-F238E27FC236}">
              <a16:creationId xmlns:a16="http://schemas.microsoft.com/office/drawing/2014/main" id="{B3E2A089-2183-4220-B73C-DD7F997E49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96" name="AutoShape 1" descr="Vista previa de toda la pantalla">
          <a:extLst>
            <a:ext uri="{FF2B5EF4-FFF2-40B4-BE49-F238E27FC236}">
              <a16:creationId xmlns:a16="http://schemas.microsoft.com/office/drawing/2014/main" id="{A5D64C8D-18F7-4CF8-8741-1C0BE48CEF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97" name="AutoShape 1" descr="Vista previa de toda la pantalla">
          <a:extLst>
            <a:ext uri="{FF2B5EF4-FFF2-40B4-BE49-F238E27FC236}">
              <a16:creationId xmlns:a16="http://schemas.microsoft.com/office/drawing/2014/main" id="{BB19DD9C-C943-4F49-A159-7716396ABE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98" name="AutoShape 1" descr="Vista previa de toda la pantalla">
          <a:extLst>
            <a:ext uri="{FF2B5EF4-FFF2-40B4-BE49-F238E27FC236}">
              <a16:creationId xmlns:a16="http://schemas.microsoft.com/office/drawing/2014/main" id="{0BB13EE9-77D3-42DE-A9F7-842CEF8EEF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499" name="AutoShape 1" descr="Vista previa de toda la pantalla">
          <a:extLst>
            <a:ext uri="{FF2B5EF4-FFF2-40B4-BE49-F238E27FC236}">
              <a16:creationId xmlns:a16="http://schemas.microsoft.com/office/drawing/2014/main" id="{128D2425-9ECC-4BF0-9F5C-AECF0EB8C1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00" name="AutoShape 1" descr="Vista previa de toda la pantalla">
          <a:extLst>
            <a:ext uri="{FF2B5EF4-FFF2-40B4-BE49-F238E27FC236}">
              <a16:creationId xmlns:a16="http://schemas.microsoft.com/office/drawing/2014/main" id="{9944F03D-3903-4F51-99AE-558FA1F14A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01" name="AutoShape 1" descr="Vista previa de toda la pantalla">
          <a:extLst>
            <a:ext uri="{FF2B5EF4-FFF2-40B4-BE49-F238E27FC236}">
              <a16:creationId xmlns:a16="http://schemas.microsoft.com/office/drawing/2014/main" id="{474ADA88-DC86-46C5-92DF-0A402D7C4E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02" name="AutoShape 1" descr="Vista previa de toda la pantalla">
          <a:extLst>
            <a:ext uri="{FF2B5EF4-FFF2-40B4-BE49-F238E27FC236}">
              <a16:creationId xmlns:a16="http://schemas.microsoft.com/office/drawing/2014/main" id="{02843141-F54E-436A-8E2A-CF50FF1C1B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03" name="AutoShape 1" descr="Vista previa de toda la pantalla">
          <a:extLst>
            <a:ext uri="{FF2B5EF4-FFF2-40B4-BE49-F238E27FC236}">
              <a16:creationId xmlns:a16="http://schemas.microsoft.com/office/drawing/2014/main" id="{54D2FA59-F4A8-40C9-B997-B0BBFBB4B0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04" name="AutoShape 1" descr="Vista previa de toda la pantalla">
          <a:extLst>
            <a:ext uri="{FF2B5EF4-FFF2-40B4-BE49-F238E27FC236}">
              <a16:creationId xmlns:a16="http://schemas.microsoft.com/office/drawing/2014/main" id="{4FC487FB-2A1E-4F8D-A734-B52B8E70E1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05" name="AutoShape 1" descr="Vista previa de toda la pantalla">
          <a:extLst>
            <a:ext uri="{FF2B5EF4-FFF2-40B4-BE49-F238E27FC236}">
              <a16:creationId xmlns:a16="http://schemas.microsoft.com/office/drawing/2014/main" id="{CCC3B19A-841D-4C55-8300-A3AFA84BAF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06" name="AutoShape 1" descr="Vista previa de toda la pantalla">
          <a:extLst>
            <a:ext uri="{FF2B5EF4-FFF2-40B4-BE49-F238E27FC236}">
              <a16:creationId xmlns:a16="http://schemas.microsoft.com/office/drawing/2014/main" id="{16E56A38-DEF2-4B67-BD1F-8F6DA43B86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07" name="AutoShape 1" descr="Vista previa de toda la pantalla">
          <a:extLst>
            <a:ext uri="{FF2B5EF4-FFF2-40B4-BE49-F238E27FC236}">
              <a16:creationId xmlns:a16="http://schemas.microsoft.com/office/drawing/2014/main" id="{0162167F-520A-4914-A068-DDD0410E76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08" name="AutoShape 1" descr="Vista previa de toda la pantalla">
          <a:extLst>
            <a:ext uri="{FF2B5EF4-FFF2-40B4-BE49-F238E27FC236}">
              <a16:creationId xmlns:a16="http://schemas.microsoft.com/office/drawing/2014/main" id="{27137822-73CC-4D1D-9A62-0A79E083BF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09" name="AutoShape 1" descr="Vista previa de toda la pantalla">
          <a:extLst>
            <a:ext uri="{FF2B5EF4-FFF2-40B4-BE49-F238E27FC236}">
              <a16:creationId xmlns:a16="http://schemas.microsoft.com/office/drawing/2014/main" id="{9D0E931C-31E0-4B8B-B1EA-1E39EFA0C9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10" name="AutoShape 1" descr="Vista previa de toda la pantalla">
          <a:extLst>
            <a:ext uri="{FF2B5EF4-FFF2-40B4-BE49-F238E27FC236}">
              <a16:creationId xmlns:a16="http://schemas.microsoft.com/office/drawing/2014/main" id="{C84AEEAF-507B-4123-ADE5-7C47B10C19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11" name="AutoShape 1" descr="Vista previa de toda la pantalla">
          <a:extLst>
            <a:ext uri="{FF2B5EF4-FFF2-40B4-BE49-F238E27FC236}">
              <a16:creationId xmlns:a16="http://schemas.microsoft.com/office/drawing/2014/main" id="{26E2240A-CB38-493C-ADC6-DBE2C2CA88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12" name="AutoShape 1" descr="Vista previa de toda la pantalla">
          <a:extLst>
            <a:ext uri="{FF2B5EF4-FFF2-40B4-BE49-F238E27FC236}">
              <a16:creationId xmlns:a16="http://schemas.microsoft.com/office/drawing/2014/main" id="{08F66E63-4C5B-4CF3-B50C-49D877EBD4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13" name="AutoShape 1" descr="Vista previa de toda la pantalla">
          <a:extLst>
            <a:ext uri="{FF2B5EF4-FFF2-40B4-BE49-F238E27FC236}">
              <a16:creationId xmlns:a16="http://schemas.microsoft.com/office/drawing/2014/main" id="{B0AEB8BA-FD8C-45F4-83C2-CA47950FC1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14" name="AutoShape 1" descr="Vista previa de toda la pantalla">
          <a:extLst>
            <a:ext uri="{FF2B5EF4-FFF2-40B4-BE49-F238E27FC236}">
              <a16:creationId xmlns:a16="http://schemas.microsoft.com/office/drawing/2014/main" id="{4B7408F7-42FE-4E13-9CDD-326C77FB1C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15" name="AutoShape 1" descr="Vista previa de toda la pantalla">
          <a:extLst>
            <a:ext uri="{FF2B5EF4-FFF2-40B4-BE49-F238E27FC236}">
              <a16:creationId xmlns:a16="http://schemas.microsoft.com/office/drawing/2014/main" id="{1AFE28AC-6446-4025-ABE1-87B60DF0CA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16" name="AutoShape 1" descr="Vista previa de toda la pantalla">
          <a:extLst>
            <a:ext uri="{FF2B5EF4-FFF2-40B4-BE49-F238E27FC236}">
              <a16:creationId xmlns:a16="http://schemas.microsoft.com/office/drawing/2014/main" id="{68632E04-09EF-44CC-81E9-0267AD219C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17" name="AutoShape 1" descr="Vista previa de toda la pantalla">
          <a:extLst>
            <a:ext uri="{FF2B5EF4-FFF2-40B4-BE49-F238E27FC236}">
              <a16:creationId xmlns:a16="http://schemas.microsoft.com/office/drawing/2014/main" id="{3C7E4282-8EFA-419A-B0E1-AA633AF17E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18" name="AutoShape 1" descr="Vista previa de toda la pantalla">
          <a:extLst>
            <a:ext uri="{FF2B5EF4-FFF2-40B4-BE49-F238E27FC236}">
              <a16:creationId xmlns:a16="http://schemas.microsoft.com/office/drawing/2014/main" id="{7DF406BA-24B6-4213-978E-CEE60025AA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19" name="AutoShape 1" descr="Vista previa de toda la pantalla">
          <a:extLst>
            <a:ext uri="{FF2B5EF4-FFF2-40B4-BE49-F238E27FC236}">
              <a16:creationId xmlns:a16="http://schemas.microsoft.com/office/drawing/2014/main" id="{476D89F0-84F0-4419-AB2C-A545C5A646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20" name="AutoShape 1" descr="Vista previa de toda la pantalla">
          <a:extLst>
            <a:ext uri="{FF2B5EF4-FFF2-40B4-BE49-F238E27FC236}">
              <a16:creationId xmlns:a16="http://schemas.microsoft.com/office/drawing/2014/main" id="{6DC1C94E-EBE7-4A8B-9115-8076E36AE0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21" name="AutoShape 1" descr="Vista previa de toda la pantalla">
          <a:extLst>
            <a:ext uri="{FF2B5EF4-FFF2-40B4-BE49-F238E27FC236}">
              <a16:creationId xmlns:a16="http://schemas.microsoft.com/office/drawing/2014/main" id="{BAC849DF-AF2A-4805-A1FA-33256D0562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22" name="AutoShape 1" descr="Vista previa de toda la pantalla">
          <a:extLst>
            <a:ext uri="{FF2B5EF4-FFF2-40B4-BE49-F238E27FC236}">
              <a16:creationId xmlns:a16="http://schemas.microsoft.com/office/drawing/2014/main" id="{0D3B9635-751B-467A-870A-0A898DDD62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23" name="AutoShape 1" descr="Vista previa de toda la pantalla">
          <a:extLst>
            <a:ext uri="{FF2B5EF4-FFF2-40B4-BE49-F238E27FC236}">
              <a16:creationId xmlns:a16="http://schemas.microsoft.com/office/drawing/2014/main" id="{13BA6A14-A36B-4469-BDA9-3505E4E136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24" name="AutoShape 1" descr="Vista previa de toda la pantalla">
          <a:extLst>
            <a:ext uri="{FF2B5EF4-FFF2-40B4-BE49-F238E27FC236}">
              <a16:creationId xmlns:a16="http://schemas.microsoft.com/office/drawing/2014/main" id="{F7F2604F-5C69-4EB7-BDDF-DDC7571561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25" name="AutoShape 1" descr="Vista previa de toda la pantalla">
          <a:extLst>
            <a:ext uri="{FF2B5EF4-FFF2-40B4-BE49-F238E27FC236}">
              <a16:creationId xmlns:a16="http://schemas.microsoft.com/office/drawing/2014/main" id="{0A2FDC4F-0A3D-4171-BFB8-4952441F2D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26" name="AutoShape 1" descr="Vista previa de toda la pantalla">
          <a:extLst>
            <a:ext uri="{FF2B5EF4-FFF2-40B4-BE49-F238E27FC236}">
              <a16:creationId xmlns:a16="http://schemas.microsoft.com/office/drawing/2014/main" id="{FDC5150A-9047-4E22-997D-5FF801952F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27" name="AutoShape 1" descr="Vista previa de toda la pantalla">
          <a:extLst>
            <a:ext uri="{FF2B5EF4-FFF2-40B4-BE49-F238E27FC236}">
              <a16:creationId xmlns:a16="http://schemas.microsoft.com/office/drawing/2014/main" id="{3B07BEA8-A279-4DB6-BE54-B624A43759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28" name="AutoShape 1" descr="Vista previa de toda la pantalla">
          <a:extLst>
            <a:ext uri="{FF2B5EF4-FFF2-40B4-BE49-F238E27FC236}">
              <a16:creationId xmlns:a16="http://schemas.microsoft.com/office/drawing/2014/main" id="{DE0F3F86-2145-489C-8625-D4E9B4B597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29" name="AutoShape 1" descr="Vista previa de toda la pantalla">
          <a:extLst>
            <a:ext uri="{FF2B5EF4-FFF2-40B4-BE49-F238E27FC236}">
              <a16:creationId xmlns:a16="http://schemas.microsoft.com/office/drawing/2014/main" id="{4CE028BE-6601-4783-ADDA-E3A76016E8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0" name="AutoShape 1" descr="Vista previa de toda la pantalla">
          <a:extLst>
            <a:ext uri="{FF2B5EF4-FFF2-40B4-BE49-F238E27FC236}">
              <a16:creationId xmlns:a16="http://schemas.microsoft.com/office/drawing/2014/main" id="{E4CE1AC1-03B8-4310-8896-89156B714E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1" name="AutoShape 1" descr="Vista previa de toda la pantalla">
          <a:extLst>
            <a:ext uri="{FF2B5EF4-FFF2-40B4-BE49-F238E27FC236}">
              <a16:creationId xmlns:a16="http://schemas.microsoft.com/office/drawing/2014/main" id="{B325B495-6333-4417-B4CD-56C45D1BBE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2" name="AutoShape 1" descr="Vista previa de toda la pantalla">
          <a:extLst>
            <a:ext uri="{FF2B5EF4-FFF2-40B4-BE49-F238E27FC236}">
              <a16:creationId xmlns:a16="http://schemas.microsoft.com/office/drawing/2014/main" id="{1414ED66-18D0-41A6-B84C-3E61E58720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3" name="AutoShape 1" descr="Vista previa de toda la pantalla">
          <a:extLst>
            <a:ext uri="{FF2B5EF4-FFF2-40B4-BE49-F238E27FC236}">
              <a16:creationId xmlns:a16="http://schemas.microsoft.com/office/drawing/2014/main" id="{C31F1A24-43BC-49A0-AB95-3BFA502CA6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4" name="AutoShape 1" descr="Vista previa de toda la pantalla">
          <a:extLst>
            <a:ext uri="{FF2B5EF4-FFF2-40B4-BE49-F238E27FC236}">
              <a16:creationId xmlns:a16="http://schemas.microsoft.com/office/drawing/2014/main" id="{6E7B78C0-6D7B-4A46-9552-939AFB3052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5" name="AutoShape 1" descr="Vista previa de toda la pantalla">
          <a:extLst>
            <a:ext uri="{FF2B5EF4-FFF2-40B4-BE49-F238E27FC236}">
              <a16:creationId xmlns:a16="http://schemas.microsoft.com/office/drawing/2014/main" id="{04778531-82B6-4595-A9D1-7C8A0359D3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6" name="AutoShape 1" descr="Vista previa de toda la pantalla">
          <a:extLst>
            <a:ext uri="{FF2B5EF4-FFF2-40B4-BE49-F238E27FC236}">
              <a16:creationId xmlns:a16="http://schemas.microsoft.com/office/drawing/2014/main" id="{FBEF579E-AB58-488A-94D5-BE83787DB8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7" name="AutoShape 1" descr="Vista previa de toda la pantalla">
          <a:extLst>
            <a:ext uri="{FF2B5EF4-FFF2-40B4-BE49-F238E27FC236}">
              <a16:creationId xmlns:a16="http://schemas.microsoft.com/office/drawing/2014/main" id="{8C827BB5-F2B9-4C13-B928-81A8733F02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8" name="AutoShape 1" descr="Vista previa de toda la pantalla">
          <a:extLst>
            <a:ext uri="{FF2B5EF4-FFF2-40B4-BE49-F238E27FC236}">
              <a16:creationId xmlns:a16="http://schemas.microsoft.com/office/drawing/2014/main" id="{9598E4BE-C474-41C4-9A0A-0E47CE46B8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39" name="AutoShape 1" descr="Vista previa de toda la pantalla">
          <a:extLst>
            <a:ext uri="{FF2B5EF4-FFF2-40B4-BE49-F238E27FC236}">
              <a16:creationId xmlns:a16="http://schemas.microsoft.com/office/drawing/2014/main" id="{4051EB85-E7DC-4094-971D-FA5A55C6B5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0" name="AutoShape 1" descr="Vista previa de toda la pantalla">
          <a:extLst>
            <a:ext uri="{FF2B5EF4-FFF2-40B4-BE49-F238E27FC236}">
              <a16:creationId xmlns:a16="http://schemas.microsoft.com/office/drawing/2014/main" id="{359CD3FE-09C3-4950-8445-DF19F84959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1" name="AutoShape 1" descr="Vista previa de toda la pantalla">
          <a:extLst>
            <a:ext uri="{FF2B5EF4-FFF2-40B4-BE49-F238E27FC236}">
              <a16:creationId xmlns:a16="http://schemas.microsoft.com/office/drawing/2014/main" id="{4077001E-03F3-4265-8816-FE69FDCF45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2" name="AutoShape 1" descr="Vista previa de toda la pantalla">
          <a:extLst>
            <a:ext uri="{FF2B5EF4-FFF2-40B4-BE49-F238E27FC236}">
              <a16:creationId xmlns:a16="http://schemas.microsoft.com/office/drawing/2014/main" id="{2FFC0DDE-5478-4D8A-B01F-D26F682054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3" name="AutoShape 1" descr="Vista previa de toda la pantalla">
          <a:extLst>
            <a:ext uri="{FF2B5EF4-FFF2-40B4-BE49-F238E27FC236}">
              <a16:creationId xmlns:a16="http://schemas.microsoft.com/office/drawing/2014/main" id="{F598B045-1111-4E9D-9FDC-460C4C7F49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4" name="AutoShape 1" descr="Vista previa de toda la pantalla">
          <a:extLst>
            <a:ext uri="{FF2B5EF4-FFF2-40B4-BE49-F238E27FC236}">
              <a16:creationId xmlns:a16="http://schemas.microsoft.com/office/drawing/2014/main" id="{74AA20EF-2373-4D52-951E-BCB98D1CD0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5" name="AutoShape 1" descr="Vista previa de toda la pantalla">
          <a:extLst>
            <a:ext uri="{FF2B5EF4-FFF2-40B4-BE49-F238E27FC236}">
              <a16:creationId xmlns:a16="http://schemas.microsoft.com/office/drawing/2014/main" id="{B5104C43-EEFF-4F2E-86C4-A570A9A70A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6" name="AutoShape 1" descr="Vista previa de toda la pantalla">
          <a:extLst>
            <a:ext uri="{FF2B5EF4-FFF2-40B4-BE49-F238E27FC236}">
              <a16:creationId xmlns:a16="http://schemas.microsoft.com/office/drawing/2014/main" id="{C25A7047-2306-4ABD-AD83-045D5AC498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7" name="AutoShape 1" descr="Vista previa de toda la pantalla">
          <a:extLst>
            <a:ext uri="{FF2B5EF4-FFF2-40B4-BE49-F238E27FC236}">
              <a16:creationId xmlns:a16="http://schemas.microsoft.com/office/drawing/2014/main" id="{334DA920-0817-432F-9795-8E6AA8ADD6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8" name="AutoShape 1" descr="Vista previa de toda la pantalla">
          <a:extLst>
            <a:ext uri="{FF2B5EF4-FFF2-40B4-BE49-F238E27FC236}">
              <a16:creationId xmlns:a16="http://schemas.microsoft.com/office/drawing/2014/main" id="{E92003A3-7F61-4BE3-810B-7FEB9DCE30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49" name="AutoShape 1" descr="Vista previa de toda la pantalla">
          <a:extLst>
            <a:ext uri="{FF2B5EF4-FFF2-40B4-BE49-F238E27FC236}">
              <a16:creationId xmlns:a16="http://schemas.microsoft.com/office/drawing/2014/main" id="{E172B2AF-E22D-4496-B0EF-B8704AFD12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0" name="AutoShape 1" descr="Vista previa de toda la pantalla">
          <a:extLst>
            <a:ext uri="{FF2B5EF4-FFF2-40B4-BE49-F238E27FC236}">
              <a16:creationId xmlns:a16="http://schemas.microsoft.com/office/drawing/2014/main" id="{AA9AE8CD-891B-4E64-AD86-CBBDA861A0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1" name="AutoShape 1" descr="Vista previa de toda la pantalla">
          <a:extLst>
            <a:ext uri="{FF2B5EF4-FFF2-40B4-BE49-F238E27FC236}">
              <a16:creationId xmlns:a16="http://schemas.microsoft.com/office/drawing/2014/main" id="{CBDAE558-CEF8-4584-8044-2D2117ACF6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2" name="AutoShape 1" descr="Vista previa de toda la pantalla">
          <a:extLst>
            <a:ext uri="{FF2B5EF4-FFF2-40B4-BE49-F238E27FC236}">
              <a16:creationId xmlns:a16="http://schemas.microsoft.com/office/drawing/2014/main" id="{5BDA6FA0-01A4-453F-84DF-CA10027F67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3" name="AutoShape 1" descr="Vista previa de toda la pantalla">
          <a:extLst>
            <a:ext uri="{FF2B5EF4-FFF2-40B4-BE49-F238E27FC236}">
              <a16:creationId xmlns:a16="http://schemas.microsoft.com/office/drawing/2014/main" id="{D4B43252-4213-4DEE-91B3-773A75A270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4" name="AutoShape 1" descr="Vista previa de toda la pantalla">
          <a:extLst>
            <a:ext uri="{FF2B5EF4-FFF2-40B4-BE49-F238E27FC236}">
              <a16:creationId xmlns:a16="http://schemas.microsoft.com/office/drawing/2014/main" id="{8AC22AC0-BA7D-4F59-9DD6-2E5E979BBD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5" name="AutoShape 1" descr="Vista previa de toda la pantalla">
          <a:extLst>
            <a:ext uri="{FF2B5EF4-FFF2-40B4-BE49-F238E27FC236}">
              <a16:creationId xmlns:a16="http://schemas.microsoft.com/office/drawing/2014/main" id="{0DA4EB47-AC75-49C1-A9FC-BF2365F589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6" name="AutoShape 1" descr="Vista previa de toda la pantalla">
          <a:extLst>
            <a:ext uri="{FF2B5EF4-FFF2-40B4-BE49-F238E27FC236}">
              <a16:creationId xmlns:a16="http://schemas.microsoft.com/office/drawing/2014/main" id="{E21B3F31-33D4-4BB4-98CB-6B649A9AA7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7" name="AutoShape 1" descr="Vista previa de toda la pantalla">
          <a:extLst>
            <a:ext uri="{FF2B5EF4-FFF2-40B4-BE49-F238E27FC236}">
              <a16:creationId xmlns:a16="http://schemas.microsoft.com/office/drawing/2014/main" id="{11DFC770-3DBB-4033-9092-0177391EFA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8" name="AutoShape 1" descr="Vista previa de toda la pantalla">
          <a:extLst>
            <a:ext uri="{FF2B5EF4-FFF2-40B4-BE49-F238E27FC236}">
              <a16:creationId xmlns:a16="http://schemas.microsoft.com/office/drawing/2014/main" id="{CEEF42A3-A1FD-4A18-88E9-C83E5D5AC8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59" name="AutoShape 1" descr="Vista previa de toda la pantalla">
          <a:extLst>
            <a:ext uri="{FF2B5EF4-FFF2-40B4-BE49-F238E27FC236}">
              <a16:creationId xmlns:a16="http://schemas.microsoft.com/office/drawing/2014/main" id="{620666AE-729F-4D1A-871A-8DC475DBA7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0" name="AutoShape 1" descr="Vista previa de toda la pantalla">
          <a:extLst>
            <a:ext uri="{FF2B5EF4-FFF2-40B4-BE49-F238E27FC236}">
              <a16:creationId xmlns:a16="http://schemas.microsoft.com/office/drawing/2014/main" id="{5F4B9254-93A3-4D27-B331-742924F3B8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1" name="AutoShape 1" descr="Vista previa de toda la pantalla">
          <a:extLst>
            <a:ext uri="{FF2B5EF4-FFF2-40B4-BE49-F238E27FC236}">
              <a16:creationId xmlns:a16="http://schemas.microsoft.com/office/drawing/2014/main" id="{748B445B-A6D1-4F02-849D-AB3172FD81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2" name="AutoShape 1" descr="Vista previa de toda la pantalla">
          <a:extLst>
            <a:ext uri="{FF2B5EF4-FFF2-40B4-BE49-F238E27FC236}">
              <a16:creationId xmlns:a16="http://schemas.microsoft.com/office/drawing/2014/main" id="{F3607CE4-0C0A-4D61-BEB9-BBFDBF983C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3" name="AutoShape 1" descr="Vista previa de toda la pantalla">
          <a:extLst>
            <a:ext uri="{FF2B5EF4-FFF2-40B4-BE49-F238E27FC236}">
              <a16:creationId xmlns:a16="http://schemas.microsoft.com/office/drawing/2014/main" id="{6A32706B-7959-4EA7-B1AD-FE4DA5C0B1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4" name="AutoShape 1" descr="Vista previa de toda la pantalla">
          <a:extLst>
            <a:ext uri="{FF2B5EF4-FFF2-40B4-BE49-F238E27FC236}">
              <a16:creationId xmlns:a16="http://schemas.microsoft.com/office/drawing/2014/main" id="{D991C13B-D0C8-4D3D-9CB2-C7638FDDE4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5" name="AutoShape 1" descr="Vista previa de toda la pantalla">
          <a:extLst>
            <a:ext uri="{FF2B5EF4-FFF2-40B4-BE49-F238E27FC236}">
              <a16:creationId xmlns:a16="http://schemas.microsoft.com/office/drawing/2014/main" id="{7811578F-ECF9-4ACC-B862-DF19898C9B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6" name="AutoShape 1" descr="Vista previa de toda la pantalla">
          <a:extLst>
            <a:ext uri="{FF2B5EF4-FFF2-40B4-BE49-F238E27FC236}">
              <a16:creationId xmlns:a16="http://schemas.microsoft.com/office/drawing/2014/main" id="{DB938B29-F8FF-45CF-A36D-53B0A0DE86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7" name="AutoShape 1" descr="Vista previa de toda la pantalla">
          <a:extLst>
            <a:ext uri="{FF2B5EF4-FFF2-40B4-BE49-F238E27FC236}">
              <a16:creationId xmlns:a16="http://schemas.microsoft.com/office/drawing/2014/main" id="{13999E44-5A06-495D-8346-1F140AF7DD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8" name="AutoShape 1" descr="Vista previa de toda la pantalla">
          <a:extLst>
            <a:ext uri="{FF2B5EF4-FFF2-40B4-BE49-F238E27FC236}">
              <a16:creationId xmlns:a16="http://schemas.microsoft.com/office/drawing/2014/main" id="{52BE7FAA-C4C0-41A0-A18E-4841DD247D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69" name="AutoShape 1" descr="Vista previa de toda la pantalla">
          <a:extLst>
            <a:ext uri="{FF2B5EF4-FFF2-40B4-BE49-F238E27FC236}">
              <a16:creationId xmlns:a16="http://schemas.microsoft.com/office/drawing/2014/main" id="{F505D92B-4E16-4203-B358-DCE44BC921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0" name="AutoShape 1" descr="Vista previa de toda la pantalla">
          <a:extLst>
            <a:ext uri="{FF2B5EF4-FFF2-40B4-BE49-F238E27FC236}">
              <a16:creationId xmlns:a16="http://schemas.microsoft.com/office/drawing/2014/main" id="{8B3F66DF-790B-40F0-96DD-2FC27F3DC2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1" name="AutoShape 1" descr="Vista previa de toda la pantalla">
          <a:extLst>
            <a:ext uri="{FF2B5EF4-FFF2-40B4-BE49-F238E27FC236}">
              <a16:creationId xmlns:a16="http://schemas.microsoft.com/office/drawing/2014/main" id="{5AFAD4CC-5A06-43C8-90F3-700E89B1C7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2" name="AutoShape 1" descr="Vista previa de toda la pantalla">
          <a:extLst>
            <a:ext uri="{FF2B5EF4-FFF2-40B4-BE49-F238E27FC236}">
              <a16:creationId xmlns:a16="http://schemas.microsoft.com/office/drawing/2014/main" id="{5855C228-0CE5-4461-BB14-4115FB9866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3" name="AutoShape 1" descr="Vista previa de toda la pantalla">
          <a:extLst>
            <a:ext uri="{FF2B5EF4-FFF2-40B4-BE49-F238E27FC236}">
              <a16:creationId xmlns:a16="http://schemas.microsoft.com/office/drawing/2014/main" id="{9031FD40-15F6-4856-8C19-3E8F14448A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4" name="AutoShape 1" descr="Vista previa de toda la pantalla">
          <a:extLst>
            <a:ext uri="{FF2B5EF4-FFF2-40B4-BE49-F238E27FC236}">
              <a16:creationId xmlns:a16="http://schemas.microsoft.com/office/drawing/2014/main" id="{A5E290C7-2A7F-4718-ABF6-DC42978ACD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5" name="AutoShape 1" descr="Vista previa de toda la pantalla">
          <a:extLst>
            <a:ext uri="{FF2B5EF4-FFF2-40B4-BE49-F238E27FC236}">
              <a16:creationId xmlns:a16="http://schemas.microsoft.com/office/drawing/2014/main" id="{12070BA6-C1FD-4B0A-868A-276FDF05E0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6" name="AutoShape 1" descr="Vista previa de toda la pantalla">
          <a:extLst>
            <a:ext uri="{FF2B5EF4-FFF2-40B4-BE49-F238E27FC236}">
              <a16:creationId xmlns:a16="http://schemas.microsoft.com/office/drawing/2014/main" id="{F3313313-8763-47CD-BE25-1EC872802B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7" name="AutoShape 1" descr="Vista previa de toda la pantalla">
          <a:extLst>
            <a:ext uri="{FF2B5EF4-FFF2-40B4-BE49-F238E27FC236}">
              <a16:creationId xmlns:a16="http://schemas.microsoft.com/office/drawing/2014/main" id="{3FD47111-53B8-43F9-91CF-FF3A92C3E4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8" name="AutoShape 1" descr="Vista previa de toda la pantalla">
          <a:extLst>
            <a:ext uri="{FF2B5EF4-FFF2-40B4-BE49-F238E27FC236}">
              <a16:creationId xmlns:a16="http://schemas.microsoft.com/office/drawing/2014/main" id="{07AFDEB6-4BAD-4746-A41F-8BD08D7F0C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79" name="AutoShape 1" descr="Vista previa de toda la pantalla">
          <a:extLst>
            <a:ext uri="{FF2B5EF4-FFF2-40B4-BE49-F238E27FC236}">
              <a16:creationId xmlns:a16="http://schemas.microsoft.com/office/drawing/2014/main" id="{B72B904C-1675-4639-A1C4-935F1AC0C6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80" name="AutoShape 1" descr="Vista previa de toda la pantalla">
          <a:extLst>
            <a:ext uri="{FF2B5EF4-FFF2-40B4-BE49-F238E27FC236}">
              <a16:creationId xmlns:a16="http://schemas.microsoft.com/office/drawing/2014/main" id="{86021A54-14F7-46C9-ABC6-D77FE795C3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81" name="AutoShape 1" descr="Vista previa de toda la pantalla">
          <a:extLst>
            <a:ext uri="{FF2B5EF4-FFF2-40B4-BE49-F238E27FC236}">
              <a16:creationId xmlns:a16="http://schemas.microsoft.com/office/drawing/2014/main" id="{EBB9F586-91AD-4583-B0B6-7BA3787BA9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82" name="AutoShape 1" descr="Vista previa de toda la pantalla">
          <a:extLst>
            <a:ext uri="{FF2B5EF4-FFF2-40B4-BE49-F238E27FC236}">
              <a16:creationId xmlns:a16="http://schemas.microsoft.com/office/drawing/2014/main" id="{8A2480BD-50B0-45EE-8C0B-74F9117C3B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83" name="AutoShape 1" descr="Vista previa de toda la pantalla">
          <a:extLst>
            <a:ext uri="{FF2B5EF4-FFF2-40B4-BE49-F238E27FC236}">
              <a16:creationId xmlns:a16="http://schemas.microsoft.com/office/drawing/2014/main" id="{1DEF272A-6071-4F91-AA82-FABE481D9A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84" name="AutoShape 1" descr="Vista previa de toda la pantalla">
          <a:extLst>
            <a:ext uri="{FF2B5EF4-FFF2-40B4-BE49-F238E27FC236}">
              <a16:creationId xmlns:a16="http://schemas.microsoft.com/office/drawing/2014/main" id="{B605DF4A-3F70-4215-AA40-0CBD918A7B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85" name="AutoShape 1" descr="Vista previa de toda la pantalla">
          <a:extLst>
            <a:ext uri="{FF2B5EF4-FFF2-40B4-BE49-F238E27FC236}">
              <a16:creationId xmlns:a16="http://schemas.microsoft.com/office/drawing/2014/main" id="{B9F789F5-44AF-4E71-9870-03EAA355CC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86" name="AutoShape 1" descr="Vista previa de toda la pantalla">
          <a:extLst>
            <a:ext uri="{FF2B5EF4-FFF2-40B4-BE49-F238E27FC236}">
              <a16:creationId xmlns:a16="http://schemas.microsoft.com/office/drawing/2014/main" id="{FCEF0B92-3FC1-4760-8ECF-DD6EB3BD0F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87" name="AutoShape 1" descr="Vista previa de toda la pantalla">
          <a:extLst>
            <a:ext uri="{FF2B5EF4-FFF2-40B4-BE49-F238E27FC236}">
              <a16:creationId xmlns:a16="http://schemas.microsoft.com/office/drawing/2014/main" id="{D3B7BD60-62B0-4C5B-8C13-37B6DD6EFA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6588" name="AutoShape 1" descr="Vista previa de toda la pantalla">
          <a:extLst>
            <a:ext uri="{FF2B5EF4-FFF2-40B4-BE49-F238E27FC236}">
              <a16:creationId xmlns:a16="http://schemas.microsoft.com/office/drawing/2014/main" id="{00414CDB-B5F3-48DB-983E-BE77D0CCDFE7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89" name="AutoShape 1" descr="Vista previa de toda la pantalla">
          <a:extLst>
            <a:ext uri="{FF2B5EF4-FFF2-40B4-BE49-F238E27FC236}">
              <a16:creationId xmlns:a16="http://schemas.microsoft.com/office/drawing/2014/main" id="{B6846B22-1BE6-4CDC-89CB-E2AADA6020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0" name="AutoShape 1" descr="Vista previa de toda la pantalla">
          <a:extLst>
            <a:ext uri="{FF2B5EF4-FFF2-40B4-BE49-F238E27FC236}">
              <a16:creationId xmlns:a16="http://schemas.microsoft.com/office/drawing/2014/main" id="{4C4EF682-CE34-429E-973B-7DF0CA1CE2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1" name="AutoShape 1" descr="Vista previa de toda la pantalla">
          <a:extLst>
            <a:ext uri="{FF2B5EF4-FFF2-40B4-BE49-F238E27FC236}">
              <a16:creationId xmlns:a16="http://schemas.microsoft.com/office/drawing/2014/main" id="{0C58BBA2-D640-46FC-97B4-0E40ADE799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2" name="AutoShape 1" descr="Vista previa de toda la pantalla">
          <a:extLst>
            <a:ext uri="{FF2B5EF4-FFF2-40B4-BE49-F238E27FC236}">
              <a16:creationId xmlns:a16="http://schemas.microsoft.com/office/drawing/2014/main" id="{44749114-D20A-47B4-82C2-B571438CDB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3" name="AutoShape 1" descr="Vista previa de toda la pantalla">
          <a:extLst>
            <a:ext uri="{FF2B5EF4-FFF2-40B4-BE49-F238E27FC236}">
              <a16:creationId xmlns:a16="http://schemas.microsoft.com/office/drawing/2014/main" id="{F76B69CC-3E07-49B6-B257-6FEB35DAE2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4" name="AutoShape 1" descr="Vista previa de toda la pantalla">
          <a:extLst>
            <a:ext uri="{FF2B5EF4-FFF2-40B4-BE49-F238E27FC236}">
              <a16:creationId xmlns:a16="http://schemas.microsoft.com/office/drawing/2014/main" id="{7E64CD01-2B75-4E07-91E4-811062C4DC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5" name="AutoShape 1" descr="Vista previa de toda la pantalla">
          <a:extLst>
            <a:ext uri="{FF2B5EF4-FFF2-40B4-BE49-F238E27FC236}">
              <a16:creationId xmlns:a16="http://schemas.microsoft.com/office/drawing/2014/main" id="{3DB5E0B8-7D7D-4CB4-93DF-ED09DA8ED1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6" name="AutoShape 1" descr="Vista previa de toda la pantalla">
          <a:extLst>
            <a:ext uri="{FF2B5EF4-FFF2-40B4-BE49-F238E27FC236}">
              <a16:creationId xmlns:a16="http://schemas.microsoft.com/office/drawing/2014/main" id="{64CE9ED3-7AE7-4BDA-9C9E-780932D8E4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7" name="AutoShape 1" descr="Vista previa de toda la pantalla">
          <a:extLst>
            <a:ext uri="{FF2B5EF4-FFF2-40B4-BE49-F238E27FC236}">
              <a16:creationId xmlns:a16="http://schemas.microsoft.com/office/drawing/2014/main" id="{3D00633D-EF2E-4BC7-B37E-1E97F9E9F5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8" name="AutoShape 1" descr="Vista previa de toda la pantalla">
          <a:extLst>
            <a:ext uri="{FF2B5EF4-FFF2-40B4-BE49-F238E27FC236}">
              <a16:creationId xmlns:a16="http://schemas.microsoft.com/office/drawing/2014/main" id="{7EDAB178-BC13-4C81-AB7F-2996863519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599" name="AutoShape 1" descr="Vista previa de toda la pantalla">
          <a:extLst>
            <a:ext uri="{FF2B5EF4-FFF2-40B4-BE49-F238E27FC236}">
              <a16:creationId xmlns:a16="http://schemas.microsoft.com/office/drawing/2014/main" id="{0C9FA370-89A2-4F8E-B3F8-1A6A91F2A9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0" name="AutoShape 1" descr="Vista previa de toda la pantalla">
          <a:extLst>
            <a:ext uri="{FF2B5EF4-FFF2-40B4-BE49-F238E27FC236}">
              <a16:creationId xmlns:a16="http://schemas.microsoft.com/office/drawing/2014/main" id="{F7B56D69-D081-4810-A3D1-91E8567602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1" name="AutoShape 1" descr="Vista previa de toda la pantalla">
          <a:extLst>
            <a:ext uri="{FF2B5EF4-FFF2-40B4-BE49-F238E27FC236}">
              <a16:creationId xmlns:a16="http://schemas.microsoft.com/office/drawing/2014/main" id="{70F4C8A3-08F3-4964-8524-BC163A3D4E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2" name="AutoShape 1" descr="Vista previa de toda la pantalla">
          <a:extLst>
            <a:ext uri="{FF2B5EF4-FFF2-40B4-BE49-F238E27FC236}">
              <a16:creationId xmlns:a16="http://schemas.microsoft.com/office/drawing/2014/main" id="{9BE96D80-E8C3-48AD-9F56-D6F182C9A7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3" name="AutoShape 1" descr="Vista previa de toda la pantalla">
          <a:extLst>
            <a:ext uri="{FF2B5EF4-FFF2-40B4-BE49-F238E27FC236}">
              <a16:creationId xmlns:a16="http://schemas.microsoft.com/office/drawing/2014/main" id="{12638431-2139-4FB9-B660-B7B3695928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4" name="AutoShape 1" descr="Vista previa de toda la pantalla">
          <a:extLst>
            <a:ext uri="{FF2B5EF4-FFF2-40B4-BE49-F238E27FC236}">
              <a16:creationId xmlns:a16="http://schemas.microsoft.com/office/drawing/2014/main" id="{93A82F11-74B6-414F-8EA3-F45A421BBF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5" name="AutoShape 1" descr="Vista previa de toda la pantalla">
          <a:extLst>
            <a:ext uri="{FF2B5EF4-FFF2-40B4-BE49-F238E27FC236}">
              <a16:creationId xmlns:a16="http://schemas.microsoft.com/office/drawing/2014/main" id="{6245E5CD-2C44-43BD-B751-0AD161C5B1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6" name="AutoShape 1" descr="Vista previa de toda la pantalla">
          <a:extLst>
            <a:ext uri="{FF2B5EF4-FFF2-40B4-BE49-F238E27FC236}">
              <a16:creationId xmlns:a16="http://schemas.microsoft.com/office/drawing/2014/main" id="{3652E5DF-9004-48E2-8A7E-336B42AF2B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7" name="AutoShape 1" descr="Vista previa de toda la pantalla">
          <a:extLst>
            <a:ext uri="{FF2B5EF4-FFF2-40B4-BE49-F238E27FC236}">
              <a16:creationId xmlns:a16="http://schemas.microsoft.com/office/drawing/2014/main" id="{C64C4A24-B808-4A96-90AB-D1DEBC5777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8" name="AutoShape 1" descr="Vista previa de toda la pantalla">
          <a:extLst>
            <a:ext uri="{FF2B5EF4-FFF2-40B4-BE49-F238E27FC236}">
              <a16:creationId xmlns:a16="http://schemas.microsoft.com/office/drawing/2014/main" id="{345D9D22-773C-4FA2-B88E-3C4A5218A9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09" name="AutoShape 1" descr="Vista previa de toda la pantalla">
          <a:extLst>
            <a:ext uri="{FF2B5EF4-FFF2-40B4-BE49-F238E27FC236}">
              <a16:creationId xmlns:a16="http://schemas.microsoft.com/office/drawing/2014/main" id="{2ACCF0FC-931B-4F0D-9D2A-A3AE9AC5F9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0" name="AutoShape 1" descr="Vista previa de toda la pantalla">
          <a:extLst>
            <a:ext uri="{FF2B5EF4-FFF2-40B4-BE49-F238E27FC236}">
              <a16:creationId xmlns:a16="http://schemas.microsoft.com/office/drawing/2014/main" id="{ADEE195A-C045-4473-860C-4DEE519E9E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1" name="AutoShape 1" descr="Vista previa de toda la pantalla">
          <a:extLst>
            <a:ext uri="{FF2B5EF4-FFF2-40B4-BE49-F238E27FC236}">
              <a16:creationId xmlns:a16="http://schemas.microsoft.com/office/drawing/2014/main" id="{76D3466F-17D3-4D7A-ADB3-47D149D755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2" name="AutoShape 1" descr="Vista previa de toda la pantalla">
          <a:extLst>
            <a:ext uri="{FF2B5EF4-FFF2-40B4-BE49-F238E27FC236}">
              <a16:creationId xmlns:a16="http://schemas.microsoft.com/office/drawing/2014/main" id="{A6DF2954-B985-4AA0-A67B-BEDA2B1B09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3" name="AutoShape 1" descr="Vista previa de toda la pantalla">
          <a:extLst>
            <a:ext uri="{FF2B5EF4-FFF2-40B4-BE49-F238E27FC236}">
              <a16:creationId xmlns:a16="http://schemas.microsoft.com/office/drawing/2014/main" id="{1964B708-1282-4360-B58C-445192A8CB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4" name="AutoShape 1" descr="Vista previa de toda la pantalla">
          <a:extLst>
            <a:ext uri="{FF2B5EF4-FFF2-40B4-BE49-F238E27FC236}">
              <a16:creationId xmlns:a16="http://schemas.microsoft.com/office/drawing/2014/main" id="{61932A4D-E61D-492B-A94C-36FA9D4385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5" name="AutoShape 1" descr="Vista previa de toda la pantalla">
          <a:extLst>
            <a:ext uri="{FF2B5EF4-FFF2-40B4-BE49-F238E27FC236}">
              <a16:creationId xmlns:a16="http://schemas.microsoft.com/office/drawing/2014/main" id="{D9DE5A71-78A3-483C-BCDF-7703574E9B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6" name="AutoShape 1" descr="Vista previa de toda la pantalla">
          <a:extLst>
            <a:ext uri="{FF2B5EF4-FFF2-40B4-BE49-F238E27FC236}">
              <a16:creationId xmlns:a16="http://schemas.microsoft.com/office/drawing/2014/main" id="{05942D3F-AA4C-4744-B6B6-A686A20C31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7" name="AutoShape 1" descr="Vista previa de toda la pantalla">
          <a:extLst>
            <a:ext uri="{FF2B5EF4-FFF2-40B4-BE49-F238E27FC236}">
              <a16:creationId xmlns:a16="http://schemas.microsoft.com/office/drawing/2014/main" id="{7FA4351D-EB04-45F2-9CF5-3DCABBC242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8" name="AutoShape 1" descr="Vista previa de toda la pantalla">
          <a:extLst>
            <a:ext uri="{FF2B5EF4-FFF2-40B4-BE49-F238E27FC236}">
              <a16:creationId xmlns:a16="http://schemas.microsoft.com/office/drawing/2014/main" id="{F81A5F16-5C2D-4ABB-98BA-7A82346B45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19" name="AutoShape 1" descr="Vista previa de toda la pantalla">
          <a:extLst>
            <a:ext uri="{FF2B5EF4-FFF2-40B4-BE49-F238E27FC236}">
              <a16:creationId xmlns:a16="http://schemas.microsoft.com/office/drawing/2014/main" id="{86464E09-0FEE-4702-B43B-A418B16DE6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0" name="AutoShape 1" descr="Vista previa de toda la pantalla">
          <a:extLst>
            <a:ext uri="{FF2B5EF4-FFF2-40B4-BE49-F238E27FC236}">
              <a16:creationId xmlns:a16="http://schemas.microsoft.com/office/drawing/2014/main" id="{2DAB5867-1C95-4B06-8A05-67688E4EA6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1" name="AutoShape 1" descr="Vista previa de toda la pantalla">
          <a:extLst>
            <a:ext uri="{FF2B5EF4-FFF2-40B4-BE49-F238E27FC236}">
              <a16:creationId xmlns:a16="http://schemas.microsoft.com/office/drawing/2014/main" id="{F2311732-9DF5-487F-9ADA-7EF86687D5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2" name="AutoShape 1" descr="Vista previa de toda la pantalla">
          <a:extLst>
            <a:ext uri="{FF2B5EF4-FFF2-40B4-BE49-F238E27FC236}">
              <a16:creationId xmlns:a16="http://schemas.microsoft.com/office/drawing/2014/main" id="{5F12B23D-7D65-437E-A4BD-B73FE2B926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3" name="AutoShape 1" descr="Vista previa de toda la pantalla">
          <a:extLst>
            <a:ext uri="{FF2B5EF4-FFF2-40B4-BE49-F238E27FC236}">
              <a16:creationId xmlns:a16="http://schemas.microsoft.com/office/drawing/2014/main" id="{1295498C-E6EC-425F-93E8-088D988729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4" name="AutoShape 1" descr="Vista previa de toda la pantalla">
          <a:extLst>
            <a:ext uri="{FF2B5EF4-FFF2-40B4-BE49-F238E27FC236}">
              <a16:creationId xmlns:a16="http://schemas.microsoft.com/office/drawing/2014/main" id="{E560CC54-9424-4EF6-8F5D-25453C77CC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5" name="AutoShape 1" descr="Vista previa de toda la pantalla">
          <a:extLst>
            <a:ext uri="{FF2B5EF4-FFF2-40B4-BE49-F238E27FC236}">
              <a16:creationId xmlns:a16="http://schemas.microsoft.com/office/drawing/2014/main" id="{2D8D02EE-71FD-4BDD-8E5B-BC8D78FFCF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6" name="AutoShape 1" descr="Vista previa de toda la pantalla">
          <a:extLst>
            <a:ext uri="{FF2B5EF4-FFF2-40B4-BE49-F238E27FC236}">
              <a16:creationId xmlns:a16="http://schemas.microsoft.com/office/drawing/2014/main" id="{2A405B75-9D63-4D08-BAFF-347D585306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7" name="AutoShape 1" descr="Vista previa de toda la pantalla">
          <a:extLst>
            <a:ext uri="{FF2B5EF4-FFF2-40B4-BE49-F238E27FC236}">
              <a16:creationId xmlns:a16="http://schemas.microsoft.com/office/drawing/2014/main" id="{062F169E-542B-436D-9C85-534785A4B3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8" name="AutoShape 1" descr="Vista previa de toda la pantalla">
          <a:extLst>
            <a:ext uri="{FF2B5EF4-FFF2-40B4-BE49-F238E27FC236}">
              <a16:creationId xmlns:a16="http://schemas.microsoft.com/office/drawing/2014/main" id="{F14B34AB-1E2F-4ADE-9645-1055E01004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29" name="AutoShape 1" descr="Vista previa de toda la pantalla">
          <a:extLst>
            <a:ext uri="{FF2B5EF4-FFF2-40B4-BE49-F238E27FC236}">
              <a16:creationId xmlns:a16="http://schemas.microsoft.com/office/drawing/2014/main" id="{3462A9FC-1E48-44BE-B27C-5CD8FEBD49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0" name="AutoShape 1" descr="Vista previa de toda la pantalla">
          <a:extLst>
            <a:ext uri="{FF2B5EF4-FFF2-40B4-BE49-F238E27FC236}">
              <a16:creationId xmlns:a16="http://schemas.microsoft.com/office/drawing/2014/main" id="{108B8A41-28EC-4271-A9AD-E24B5F1888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1" name="AutoShape 1" descr="Vista previa de toda la pantalla">
          <a:extLst>
            <a:ext uri="{FF2B5EF4-FFF2-40B4-BE49-F238E27FC236}">
              <a16:creationId xmlns:a16="http://schemas.microsoft.com/office/drawing/2014/main" id="{275EAE2D-3865-4833-BDC1-EF66AA35AB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2" name="AutoShape 1" descr="Vista previa de toda la pantalla">
          <a:extLst>
            <a:ext uri="{FF2B5EF4-FFF2-40B4-BE49-F238E27FC236}">
              <a16:creationId xmlns:a16="http://schemas.microsoft.com/office/drawing/2014/main" id="{36628A7B-1A0E-4C04-86CC-F1D9A4B81A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3" name="AutoShape 1" descr="Vista previa de toda la pantalla">
          <a:extLst>
            <a:ext uri="{FF2B5EF4-FFF2-40B4-BE49-F238E27FC236}">
              <a16:creationId xmlns:a16="http://schemas.microsoft.com/office/drawing/2014/main" id="{E6FB75A5-4048-4F27-B53F-5202AD09FA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4" name="AutoShape 1" descr="Vista previa de toda la pantalla">
          <a:extLst>
            <a:ext uri="{FF2B5EF4-FFF2-40B4-BE49-F238E27FC236}">
              <a16:creationId xmlns:a16="http://schemas.microsoft.com/office/drawing/2014/main" id="{B5C03C29-BDBA-454C-80A6-B8320C20B9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5" name="AutoShape 1" descr="Vista previa de toda la pantalla">
          <a:extLst>
            <a:ext uri="{FF2B5EF4-FFF2-40B4-BE49-F238E27FC236}">
              <a16:creationId xmlns:a16="http://schemas.microsoft.com/office/drawing/2014/main" id="{1619A7A9-492D-48AA-82D5-7E8CE22D11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6" name="AutoShape 1" descr="Vista previa de toda la pantalla">
          <a:extLst>
            <a:ext uri="{FF2B5EF4-FFF2-40B4-BE49-F238E27FC236}">
              <a16:creationId xmlns:a16="http://schemas.microsoft.com/office/drawing/2014/main" id="{EC841247-E8FD-4ADE-96B9-D0A9BC9229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7" name="AutoShape 1" descr="Vista previa de toda la pantalla">
          <a:extLst>
            <a:ext uri="{FF2B5EF4-FFF2-40B4-BE49-F238E27FC236}">
              <a16:creationId xmlns:a16="http://schemas.microsoft.com/office/drawing/2014/main" id="{B93F9062-145D-4F78-A1C7-3825AEF416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8" name="AutoShape 1" descr="Vista previa de toda la pantalla">
          <a:extLst>
            <a:ext uri="{FF2B5EF4-FFF2-40B4-BE49-F238E27FC236}">
              <a16:creationId xmlns:a16="http://schemas.microsoft.com/office/drawing/2014/main" id="{B64BC18D-CB0F-4887-A396-606A2E7658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39" name="AutoShape 1" descr="Vista previa de toda la pantalla">
          <a:extLst>
            <a:ext uri="{FF2B5EF4-FFF2-40B4-BE49-F238E27FC236}">
              <a16:creationId xmlns:a16="http://schemas.microsoft.com/office/drawing/2014/main" id="{BAD191CA-8C72-408D-A819-B0DD8AC7E7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0" name="AutoShape 1" descr="Vista previa de toda la pantalla">
          <a:extLst>
            <a:ext uri="{FF2B5EF4-FFF2-40B4-BE49-F238E27FC236}">
              <a16:creationId xmlns:a16="http://schemas.microsoft.com/office/drawing/2014/main" id="{0285F0E5-35D5-49F0-B69D-050284CAE6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1" name="AutoShape 1" descr="Vista previa de toda la pantalla">
          <a:extLst>
            <a:ext uri="{FF2B5EF4-FFF2-40B4-BE49-F238E27FC236}">
              <a16:creationId xmlns:a16="http://schemas.microsoft.com/office/drawing/2014/main" id="{4B45F132-D34E-451B-A687-D832CA51E2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2" name="AutoShape 1" descr="Vista previa de toda la pantalla">
          <a:extLst>
            <a:ext uri="{FF2B5EF4-FFF2-40B4-BE49-F238E27FC236}">
              <a16:creationId xmlns:a16="http://schemas.microsoft.com/office/drawing/2014/main" id="{78F9F927-78D8-4875-8DAA-B3878E5FCD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3" name="AutoShape 1" descr="Vista previa de toda la pantalla">
          <a:extLst>
            <a:ext uri="{FF2B5EF4-FFF2-40B4-BE49-F238E27FC236}">
              <a16:creationId xmlns:a16="http://schemas.microsoft.com/office/drawing/2014/main" id="{A627147C-E6B6-4576-9C6C-98728AA9AE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4" name="AutoShape 1" descr="Vista previa de toda la pantalla">
          <a:extLst>
            <a:ext uri="{FF2B5EF4-FFF2-40B4-BE49-F238E27FC236}">
              <a16:creationId xmlns:a16="http://schemas.microsoft.com/office/drawing/2014/main" id="{4F8BD022-FB19-407A-9743-8C924A7BDF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5" name="AutoShape 1" descr="Vista previa de toda la pantalla">
          <a:extLst>
            <a:ext uri="{FF2B5EF4-FFF2-40B4-BE49-F238E27FC236}">
              <a16:creationId xmlns:a16="http://schemas.microsoft.com/office/drawing/2014/main" id="{D6F8339A-4114-47CF-83E4-CE96036D31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6" name="AutoShape 1" descr="Vista previa de toda la pantalla">
          <a:extLst>
            <a:ext uri="{FF2B5EF4-FFF2-40B4-BE49-F238E27FC236}">
              <a16:creationId xmlns:a16="http://schemas.microsoft.com/office/drawing/2014/main" id="{D6D9C0FF-2270-491E-99D0-07A560024D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7" name="AutoShape 1" descr="Vista previa de toda la pantalla">
          <a:extLst>
            <a:ext uri="{FF2B5EF4-FFF2-40B4-BE49-F238E27FC236}">
              <a16:creationId xmlns:a16="http://schemas.microsoft.com/office/drawing/2014/main" id="{3279F404-2569-4674-9CD6-DCC8AF35C5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8" name="AutoShape 1" descr="Vista previa de toda la pantalla">
          <a:extLst>
            <a:ext uri="{FF2B5EF4-FFF2-40B4-BE49-F238E27FC236}">
              <a16:creationId xmlns:a16="http://schemas.microsoft.com/office/drawing/2014/main" id="{215BD70D-D32B-4BDC-99D8-5D4333C0CD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49" name="AutoShape 1" descr="Vista previa de toda la pantalla">
          <a:extLst>
            <a:ext uri="{FF2B5EF4-FFF2-40B4-BE49-F238E27FC236}">
              <a16:creationId xmlns:a16="http://schemas.microsoft.com/office/drawing/2014/main" id="{5DE2BD24-24A7-4BF5-8B3A-B9E39BFBFB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0" name="AutoShape 1" descr="Vista previa de toda la pantalla">
          <a:extLst>
            <a:ext uri="{FF2B5EF4-FFF2-40B4-BE49-F238E27FC236}">
              <a16:creationId xmlns:a16="http://schemas.microsoft.com/office/drawing/2014/main" id="{4705A5A5-B838-4FC2-A372-2DE6B6EFB0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1" name="AutoShape 1" descr="Vista previa de toda la pantalla">
          <a:extLst>
            <a:ext uri="{FF2B5EF4-FFF2-40B4-BE49-F238E27FC236}">
              <a16:creationId xmlns:a16="http://schemas.microsoft.com/office/drawing/2014/main" id="{5979251B-8457-4C99-A753-5EC23FCD87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2" name="AutoShape 1" descr="Vista previa de toda la pantalla">
          <a:extLst>
            <a:ext uri="{FF2B5EF4-FFF2-40B4-BE49-F238E27FC236}">
              <a16:creationId xmlns:a16="http://schemas.microsoft.com/office/drawing/2014/main" id="{46ECCB26-642E-459C-8F47-BD4EBEFC36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3" name="AutoShape 1" descr="Vista previa de toda la pantalla">
          <a:extLst>
            <a:ext uri="{FF2B5EF4-FFF2-40B4-BE49-F238E27FC236}">
              <a16:creationId xmlns:a16="http://schemas.microsoft.com/office/drawing/2014/main" id="{B14D9A2E-C0EF-4365-9E82-5B7D541F99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4" name="AutoShape 1" descr="Vista previa de toda la pantalla">
          <a:extLst>
            <a:ext uri="{FF2B5EF4-FFF2-40B4-BE49-F238E27FC236}">
              <a16:creationId xmlns:a16="http://schemas.microsoft.com/office/drawing/2014/main" id="{07FE18AF-F086-4557-8ED3-7A32766380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5" name="AutoShape 1" descr="Vista previa de toda la pantalla">
          <a:extLst>
            <a:ext uri="{FF2B5EF4-FFF2-40B4-BE49-F238E27FC236}">
              <a16:creationId xmlns:a16="http://schemas.microsoft.com/office/drawing/2014/main" id="{1701DFC8-38F3-48BC-B2E4-CE7046F08C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6" name="AutoShape 1" descr="Vista previa de toda la pantalla">
          <a:extLst>
            <a:ext uri="{FF2B5EF4-FFF2-40B4-BE49-F238E27FC236}">
              <a16:creationId xmlns:a16="http://schemas.microsoft.com/office/drawing/2014/main" id="{09D08AA1-182E-49E5-B06F-9CFD24FF9B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7" name="AutoShape 1" descr="Vista previa de toda la pantalla">
          <a:extLst>
            <a:ext uri="{FF2B5EF4-FFF2-40B4-BE49-F238E27FC236}">
              <a16:creationId xmlns:a16="http://schemas.microsoft.com/office/drawing/2014/main" id="{BB2A037D-1231-4401-9250-57FE37178D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8" name="AutoShape 1" descr="Vista previa de toda la pantalla">
          <a:extLst>
            <a:ext uri="{FF2B5EF4-FFF2-40B4-BE49-F238E27FC236}">
              <a16:creationId xmlns:a16="http://schemas.microsoft.com/office/drawing/2014/main" id="{8FACAA58-E2D1-4ACC-9107-5C665CB499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59" name="AutoShape 1" descr="Vista previa de toda la pantalla">
          <a:extLst>
            <a:ext uri="{FF2B5EF4-FFF2-40B4-BE49-F238E27FC236}">
              <a16:creationId xmlns:a16="http://schemas.microsoft.com/office/drawing/2014/main" id="{FBC9E790-CC46-414F-B159-0EB8E63FCB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0" name="AutoShape 1" descr="Vista previa de toda la pantalla">
          <a:extLst>
            <a:ext uri="{FF2B5EF4-FFF2-40B4-BE49-F238E27FC236}">
              <a16:creationId xmlns:a16="http://schemas.microsoft.com/office/drawing/2014/main" id="{466959AC-E892-461E-B480-0562B2651D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1" name="AutoShape 1" descr="Vista previa de toda la pantalla">
          <a:extLst>
            <a:ext uri="{FF2B5EF4-FFF2-40B4-BE49-F238E27FC236}">
              <a16:creationId xmlns:a16="http://schemas.microsoft.com/office/drawing/2014/main" id="{90D5A064-E3B4-4544-AE5E-846634984A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2" name="AutoShape 1" descr="Vista previa de toda la pantalla">
          <a:extLst>
            <a:ext uri="{FF2B5EF4-FFF2-40B4-BE49-F238E27FC236}">
              <a16:creationId xmlns:a16="http://schemas.microsoft.com/office/drawing/2014/main" id="{FEDE5C87-D037-4276-8EF8-213D184439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3" name="AutoShape 1" descr="Vista previa de toda la pantalla">
          <a:extLst>
            <a:ext uri="{FF2B5EF4-FFF2-40B4-BE49-F238E27FC236}">
              <a16:creationId xmlns:a16="http://schemas.microsoft.com/office/drawing/2014/main" id="{35B58F1E-BA90-434E-BCB2-5843F96F20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4" name="AutoShape 1" descr="Vista previa de toda la pantalla">
          <a:extLst>
            <a:ext uri="{FF2B5EF4-FFF2-40B4-BE49-F238E27FC236}">
              <a16:creationId xmlns:a16="http://schemas.microsoft.com/office/drawing/2014/main" id="{18F9285F-8D49-4AF3-A9DB-BBD8F71342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5" name="AutoShape 1" descr="Vista previa de toda la pantalla">
          <a:extLst>
            <a:ext uri="{FF2B5EF4-FFF2-40B4-BE49-F238E27FC236}">
              <a16:creationId xmlns:a16="http://schemas.microsoft.com/office/drawing/2014/main" id="{BECB6C64-39E3-4F3C-B4CC-2A2E852E09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6" name="AutoShape 1" descr="Vista previa de toda la pantalla">
          <a:extLst>
            <a:ext uri="{FF2B5EF4-FFF2-40B4-BE49-F238E27FC236}">
              <a16:creationId xmlns:a16="http://schemas.microsoft.com/office/drawing/2014/main" id="{071A1A5E-723E-480A-B9A0-4F617ADB2E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7" name="AutoShape 1" descr="Vista previa de toda la pantalla">
          <a:extLst>
            <a:ext uri="{FF2B5EF4-FFF2-40B4-BE49-F238E27FC236}">
              <a16:creationId xmlns:a16="http://schemas.microsoft.com/office/drawing/2014/main" id="{E94AE226-CE03-423C-A703-756E1B9106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8" name="AutoShape 1" descr="Vista previa de toda la pantalla">
          <a:extLst>
            <a:ext uri="{FF2B5EF4-FFF2-40B4-BE49-F238E27FC236}">
              <a16:creationId xmlns:a16="http://schemas.microsoft.com/office/drawing/2014/main" id="{B2BE9F6A-B718-4C7D-A610-BC1DE22AE2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69" name="AutoShape 1" descr="Vista previa de toda la pantalla">
          <a:extLst>
            <a:ext uri="{FF2B5EF4-FFF2-40B4-BE49-F238E27FC236}">
              <a16:creationId xmlns:a16="http://schemas.microsoft.com/office/drawing/2014/main" id="{28FF496C-7946-417A-A2D8-160EEBE75D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0" name="AutoShape 1" descr="Vista previa de toda la pantalla">
          <a:extLst>
            <a:ext uri="{FF2B5EF4-FFF2-40B4-BE49-F238E27FC236}">
              <a16:creationId xmlns:a16="http://schemas.microsoft.com/office/drawing/2014/main" id="{B71D74A7-7AB3-40F6-9133-6F99D3A2F1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1" name="AutoShape 1" descr="Vista previa de toda la pantalla">
          <a:extLst>
            <a:ext uri="{FF2B5EF4-FFF2-40B4-BE49-F238E27FC236}">
              <a16:creationId xmlns:a16="http://schemas.microsoft.com/office/drawing/2014/main" id="{E374CB9B-DD72-4642-964F-E59B63D982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2" name="AutoShape 1" descr="Vista previa de toda la pantalla">
          <a:extLst>
            <a:ext uri="{FF2B5EF4-FFF2-40B4-BE49-F238E27FC236}">
              <a16:creationId xmlns:a16="http://schemas.microsoft.com/office/drawing/2014/main" id="{7FE17A29-36C8-4DF2-A72B-32218700D5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3" name="AutoShape 1" descr="Vista previa de toda la pantalla">
          <a:extLst>
            <a:ext uri="{FF2B5EF4-FFF2-40B4-BE49-F238E27FC236}">
              <a16:creationId xmlns:a16="http://schemas.microsoft.com/office/drawing/2014/main" id="{B04D89C4-C5F0-4976-8A43-C7F3F06B36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4" name="AutoShape 1" descr="Vista previa de toda la pantalla">
          <a:extLst>
            <a:ext uri="{FF2B5EF4-FFF2-40B4-BE49-F238E27FC236}">
              <a16:creationId xmlns:a16="http://schemas.microsoft.com/office/drawing/2014/main" id="{E62113CC-D67C-4A68-B259-48EADF8A20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5" name="AutoShape 1" descr="Vista previa de toda la pantalla">
          <a:extLst>
            <a:ext uri="{FF2B5EF4-FFF2-40B4-BE49-F238E27FC236}">
              <a16:creationId xmlns:a16="http://schemas.microsoft.com/office/drawing/2014/main" id="{1582ABBD-430A-4FD2-A102-CA3ECAF951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6" name="AutoShape 1" descr="Vista previa de toda la pantalla">
          <a:extLst>
            <a:ext uri="{FF2B5EF4-FFF2-40B4-BE49-F238E27FC236}">
              <a16:creationId xmlns:a16="http://schemas.microsoft.com/office/drawing/2014/main" id="{0CB71C62-AB2F-438F-B74E-F666E34052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7" name="AutoShape 1" descr="Vista previa de toda la pantalla">
          <a:extLst>
            <a:ext uri="{FF2B5EF4-FFF2-40B4-BE49-F238E27FC236}">
              <a16:creationId xmlns:a16="http://schemas.microsoft.com/office/drawing/2014/main" id="{A5280054-EE4F-4CD0-A147-889F94DD2D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8" name="AutoShape 1" descr="Vista previa de toda la pantalla">
          <a:extLst>
            <a:ext uri="{FF2B5EF4-FFF2-40B4-BE49-F238E27FC236}">
              <a16:creationId xmlns:a16="http://schemas.microsoft.com/office/drawing/2014/main" id="{248AB189-9D81-478D-B2F8-610360A152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79" name="AutoShape 1" descr="Vista previa de toda la pantalla">
          <a:extLst>
            <a:ext uri="{FF2B5EF4-FFF2-40B4-BE49-F238E27FC236}">
              <a16:creationId xmlns:a16="http://schemas.microsoft.com/office/drawing/2014/main" id="{9C7B1367-1908-44C5-8541-2ED78520AB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0" name="AutoShape 1" descr="Vista previa de toda la pantalla">
          <a:extLst>
            <a:ext uri="{FF2B5EF4-FFF2-40B4-BE49-F238E27FC236}">
              <a16:creationId xmlns:a16="http://schemas.microsoft.com/office/drawing/2014/main" id="{8BCCAA45-8970-47F3-83C1-F6CCB38EF3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1" name="AutoShape 1" descr="Vista previa de toda la pantalla">
          <a:extLst>
            <a:ext uri="{FF2B5EF4-FFF2-40B4-BE49-F238E27FC236}">
              <a16:creationId xmlns:a16="http://schemas.microsoft.com/office/drawing/2014/main" id="{5FD09A5B-6B56-4AD1-B384-044966F66E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2" name="AutoShape 1" descr="Vista previa de toda la pantalla">
          <a:extLst>
            <a:ext uri="{FF2B5EF4-FFF2-40B4-BE49-F238E27FC236}">
              <a16:creationId xmlns:a16="http://schemas.microsoft.com/office/drawing/2014/main" id="{68AA5963-F4B3-43F5-97F3-A1944C6CBD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3" name="AutoShape 1" descr="Vista previa de toda la pantalla">
          <a:extLst>
            <a:ext uri="{FF2B5EF4-FFF2-40B4-BE49-F238E27FC236}">
              <a16:creationId xmlns:a16="http://schemas.microsoft.com/office/drawing/2014/main" id="{480C4975-B4D6-4AA3-B6D1-1A28DFDCA0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4" name="AutoShape 1" descr="Vista previa de toda la pantalla">
          <a:extLst>
            <a:ext uri="{FF2B5EF4-FFF2-40B4-BE49-F238E27FC236}">
              <a16:creationId xmlns:a16="http://schemas.microsoft.com/office/drawing/2014/main" id="{199D4AD5-FDC8-4469-969B-8EA1020BB5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5" name="AutoShape 1" descr="Vista previa de toda la pantalla">
          <a:extLst>
            <a:ext uri="{FF2B5EF4-FFF2-40B4-BE49-F238E27FC236}">
              <a16:creationId xmlns:a16="http://schemas.microsoft.com/office/drawing/2014/main" id="{6734CE5A-F069-46C1-9D38-8F1EB551F5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6" name="AutoShape 1" descr="Vista previa de toda la pantalla">
          <a:extLst>
            <a:ext uri="{FF2B5EF4-FFF2-40B4-BE49-F238E27FC236}">
              <a16:creationId xmlns:a16="http://schemas.microsoft.com/office/drawing/2014/main" id="{2FEC49A3-EA4E-4C81-85D9-077CCCF1E6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7" name="AutoShape 1" descr="Vista previa de toda la pantalla">
          <a:extLst>
            <a:ext uri="{FF2B5EF4-FFF2-40B4-BE49-F238E27FC236}">
              <a16:creationId xmlns:a16="http://schemas.microsoft.com/office/drawing/2014/main" id="{803C1288-E414-4AF6-9F97-11CBD7331A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8" name="AutoShape 1" descr="Vista previa de toda la pantalla">
          <a:extLst>
            <a:ext uri="{FF2B5EF4-FFF2-40B4-BE49-F238E27FC236}">
              <a16:creationId xmlns:a16="http://schemas.microsoft.com/office/drawing/2014/main" id="{C670BDA9-6E36-4805-982C-78F2E08106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89" name="AutoShape 1" descr="Vista previa de toda la pantalla">
          <a:extLst>
            <a:ext uri="{FF2B5EF4-FFF2-40B4-BE49-F238E27FC236}">
              <a16:creationId xmlns:a16="http://schemas.microsoft.com/office/drawing/2014/main" id="{949CCEA2-83DE-4A9A-A788-E013F82016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0" name="AutoShape 1" descr="Vista previa de toda la pantalla">
          <a:extLst>
            <a:ext uri="{FF2B5EF4-FFF2-40B4-BE49-F238E27FC236}">
              <a16:creationId xmlns:a16="http://schemas.microsoft.com/office/drawing/2014/main" id="{334EDF97-FC7D-4794-8B30-B92BCB5F8F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1" name="AutoShape 1" descr="Vista previa de toda la pantalla">
          <a:extLst>
            <a:ext uri="{FF2B5EF4-FFF2-40B4-BE49-F238E27FC236}">
              <a16:creationId xmlns:a16="http://schemas.microsoft.com/office/drawing/2014/main" id="{2308653B-6E7C-4340-96B5-B0E9886FFF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2" name="AutoShape 1" descr="Vista previa de toda la pantalla">
          <a:extLst>
            <a:ext uri="{FF2B5EF4-FFF2-40B4-BE49-F238E27FC236}">
              <a16:creationId xmlns:a16="http://schemas.microsoft.com/office/drawing/2014/main" id="{64B98EFB-1171-4234-A2DF-A2E47F7C16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3" name="AutoShape 1" descr="Vista previa de toda la pantalla">
          <a:extLst>
            <a:ext uri="{FF2B5EF4-FFF2-40B4-BE49-F238E27FC236}">
              <a16:creationId xmlns:a16="http://schemas.microsoft.com/office/drawing/2014/main" id="{F33F8A09-31F8-4E25-B687-4A6B3D2E7F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4" name="AutoShape 1" descr="Vista previa de toda la pantalla">
          <a:extLst>
            <a:ext uri="{FF2B5EF4-FFF2-40B4-BE49-F238E27FC236}">
              <a16:creationId xmlns:a16="http://schemas.microsoft.com/office/drawing/2014/main" id="{3BCEBAA0-1E60-4C50-AFBB-F14BA00597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5" name="AutoShape 1" descr="Vista previa de toda la pantalla">
          <a:extLst>
            <a:ext uri="{FF2B5EF4-FFF2-40B4-BE49-F238E27FC236}">
              <a16:creationId xmlns:a16="http://schemas.microsoft.com/office/drawing/2014/main" id="{3CFBC7AE-97AF-4205-9CE8-A712A01A3A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6" name="AutoShape 1" descr="Vista previa de toda la pantalla">
          <a:extLst>
            <a:ext uri="{FF2B5EF4-FFF2-40B4-BE49-F238E27FC236}">
              <a16:creationId xmlns:a16="http://schemas.microsoft.com/office/drawing/2014/main" id="{096F205B-2DBC-474C-83A9-DACB9036B4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7" name="AutoShape 1" descr="Vista previa de toda la pantalla">
          <a:extLst>
            <a:ext uri="{FF2B5EF4-FFF2-40B4-BE49-F238E27FC236}">
              <a16:creationId xmlns:a16="http://schemas.microsoft.com/office/drawing/2014/main" id="{EF01A487-313C-4B59-8B6C-21BDEDA419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8" name="AutoShape 1" descr="Vista previa de toda la pantalla">
          <a:extLst>
            <a:ext uri="{FF2B5EF4-FFF2-40B4-BE49-F238E27FC236}">
              <a16:creationId xmlns:a16="http://schemas.microsoft.com/office/drawing/2014/main" id="{72B183CD-D44C-46FF-AD9A-6E044674C6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699" name="AutoShape 1" descr="Vista previa de toda la pantalla">
          <a:extLst>
            <a:ext uri="{FF2B5EF4-FFF2-40B4-BE49-F238E27FC236}">
              <a16:creationId xmlns:a16="http://schemas.microsoft.com/office/drawing/2014/main" id="{6AE1FDD0-ED4F-483F-A424-B6BB193CB9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0" name="AutoShape 1" descr="Vista previa de toda la pantalla">
          <a:extLst>
            <a:ext uri="{FF2B5EF4-FFF2-40B4-BE49-F238E27FC236}">
              <a16:creationId xmlns:a16="http://schemas.microsoft.com/office/drawing/2014/main" id="{6399B3EA-5832-4E59-BF95-0A838690FE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1" name="AutoShape 1" descr="Vista previa de toda la pantalla">
          <a:extLst>
            <a:ext uri="{FF2B5EF4-FFF2-40B4-BE49-F238E27FC236}">
              <a16:creationId xmlns:a16="http://schemas.microsoft.com/office/drawing/2014/main" id="{04F666CB-7112-4E12-8C19-5404EFAAC0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2" name="AutoShape 1" descr="Vista previa de toda la pantalla">
          <a:extLst>
            <a:ext uri="{FF2B5EF4-FFF2-40B4-BE49-F238E27FC236}">
              <a16:creationId xmlns:a16="http://schemas.microsoft.com/office/drawing/2014/main" id="{4F7DBD27-751D-49F6-B53B-EC9849B854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3" name="AutoShape 1" descr="Vista previa de toda la pantalla">
          <a:extLst>
            <a:ext uri="{FF2B5EF4-FFF2-40B4-BE49-F238E27FC236}">
              <a16:creationId xmlns:a16="http://schemas.microsoft.com/office/drawing/2014/main" id="{DDFDA0EB-E46B-4030-A1B2-7F53A77D6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4" name="AutoShape 1" descr="Vista previa de toda la pantalla">
          <a:extLst>
            <a:ext uri="{FF2B5EF4-FFF2-40B4-BE49-F238E27FC236}">
              <a16:creationId xmlns:a16="http://schemas.microsoft.com/office/drawing/2014/main" id="{547AA37D-8F3A-460A-8912-AB22F00D23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5" name="AutoShape 1" descr="Vista previa de toda la pantalla">
          <a:extLst>
            <a:ext uri="{FF2B5EF4-FFF2-40B4-BE49-F238E27FC236}">
              <a16:creationId xmlns:a16="http://schemas.microsoft.com/office/drawing/2014/main" id="{3DB8D1F2-23E8-474C-8387-D15BEDE828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6" name="AutoShape 1" descr="Vista previa de toda la pantalla">
          <a:extLst>
            <a:ext uri="{FF2B5EF4-FFF2-40B4-BE49-F238E27FC236}">
              <a16:creationId xmlns:a16="http://schemas.microsoft.com/office/drawing/2014/main" id="{99F84529-3E9A-4975-9FA5-61595665B9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7" name="AutoShape 1" descr="Vista previa de toda la pantalla">
          <a:extLst>
            <a:ext uri="{FF2B5EF4-FFF2-40B4-BE49-F238E27FC236}">
              <a16:creationId xmlns:a16="http://schemas.microsoft.com/office/drawing/2014/main" id="{5F8D591A-37EB-4518-AABE-393713849D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8" name="AutoShape 1" descr="Vista previa de toda la pantalla">
          <a:extLst>
            <a:ext uri="{FF2B5EF4-FFF2-40B4-BE49-F238E27FC236}">
              <a16:creationId xmlns:a16="http://schemas.microsoft.com/office/drawing/2014/main" id="{7A18E6C8-3D92-4285-AC0C-88874073A8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09" name="AutoShape 1" descr="Vista previa de toda la pantalla">
          <a:extLst>
            <a:ext uri="{FF2B5EF4-FFF2-40B4-BE49-F238E27FC236}">
              <a16:creationId xmlns:a16="http://schemas.microsoft.com/office/drawing/2014/main" id="{28DB61B5-51A2-414A-B4B6-67FC867C1C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0" name="AutoShape 1" descr="Vista previa de toda la pantalla">
          <a:extLst>
            <a:ext uri="{FF2B5EF4-FFF2-40B4-BE49-F238E27FC236}">
              <a16:creationId xmlns:a16="http://schemas.microsoft.com/office/drawing/2014/main" id="{DF5DAEF4-AA2A-421E-894E-AD513F97D4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1" name="AutoShape 1" descr="Vista previa de toda la pantalla">
          <a:extLst>
            <a:ext uri="{FF2B5EF4-FFF2-40B4-BE49-F238E27FC236}">
              <a16:creationId xmlns:a16="http://schemas.microsoft.com/office/drawing/2014/main" id="{2970E53D-BD78-4FF1-90E2-DD74EF1D3F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2" name="AutoShape 1" descr="Vista previa de toda la pantalla">
          <a:extLst>
            <a:ext uri="{FF2B5EF4-FFF2-40B4-BE49-F238E27FC236}">
              <a16:creationId xmlns:a16="http://schemas.microsoft.com/office/drawing/2014/main" id="{D21964B9-9111-4B9D-A236-1E8E715B4B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3" name="AutoShape 1" descr="Vista previa de toda la pantalla">
          <a:extLst>
            <a:ext uri="{FF2B5EF4-FFF2-40B4-BE49-F238E27FC236}">
              <a16:creationId xmlns:a16="http://schemas.microsoft.com/office/drawing/2014/main" id="{0A567133-BECE-476A-B1CF-C610D8BDF1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4" name="AutoShape 1" descr="Vista previa de toda la pantalla">
          <a:extLst>
            <a:ext uri="{FF2B5EF4-FFF2-40B4-BE49-F238E27FC236}">
              <a16:creationId xmlns:a16="http://schemas.microsoft.com/office/drawing/2014/main" id="{5552689A-F251-485A-A097-16A3F0637A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5" name="AutoShape 1" descr="Vista previa de toda la pantalla">
          <a:extLst>
            <a:ext uri="{FF2B5EF4-FFF2-40B4-BE49-F238E27FC236}">
              <a16:creationId xmlns:a16="http://schemas.microsoft.com/office/drawing/2014/main" id="{326DC93A-68A7-474C-8BA1-A4513FA2AE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6" name="AutoShape 1" descr="Vista previa de toda la pantalla">
          <a:extLst>
            <a:ext uri="{FF2B5EF4-FFF2-40B4-BE49-F238E27FC236}">
              <a16:creationId xmlns:a16="http://schemas.microsoft.com/office/drawing/2014/main" id="{99017EB6-CC33-4249-AE53-485A477B06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7" name="AutoShape 1" descr="Vista previa de toda la pantalla">
          <a:extLst>
            <a:ext uri="{FF2B5EF4-FFF2-40B4-BE49-F238E27FC236}">
              <a16:creationId xmlns:a16="http://schemas.microsoft.com/office/drawing/2014/main" id="{F73149EF-830C-4EE8-B511-D8AC89369A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8" name="AutoShape 1" descr="Vista previa de toda la pantalla">
          <a:extLst>
            <a:ext uri="{FF2B5EF4-FFF2-40B4-BE49-F238E27FC236}">
              <a16:creationId xmlns:a16="http://schemas.microsoft.com/office/drawing/2014/main" id="{104ED902-9C24-4455-99B5-E452964A27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19" name="AutoShape 1" descr="Vista previa de toda la pantalla">
          <a:extLst>
            <a:ext uri="{FF2B5EF4-FFF2-40B4-BE49-F238E27FC236}">
              <a16:creationId xmlns:a16="http://schemas.microsoft.com/office/drawing/2014/main" id="{2A26638A-D261-4C39-81EF-3FB1E1AE94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0" name="AutoShape 1" descr="Vista previa de toda la pantalla">
          <a:extLst>
            <a:ext uri="{FF2B5EF4-FFF2-40B4-BE49-F238E27FC236}">
              <a16:creationId xmlns:a16="http://schemas.microsoft.com/office/drawing/2014/main" id="{96DEAFB8-64CD-42A0-8412-FC0C0E8FDA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1" name="AutoShape 1" descr="Vista previa de toda la pantalla">
          <a:extLst>
            <a:ext uri="{FF2B5EF4-FFF2-40B4-BE49-F238E27FC236}">
              <a16:creationId xmlns:a16="http://schemas.microsoft.com/office/drawing/2014/main" id="{9A122F55-C936-4215-AD2B-86478B4E76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2" name="AutoShape 1" descr="Vista previa de toda la pantalla">
          <a:extLst>
            <a:ext uri="{FF2B5EF4-FFF2-40B4-BE49-F238E27FC236}">
              <a16:creationId xmlns:a16="http://schemas.microsoft.com/office/drawing/2014/main" id="{BD4E83A7-96A2-4DEB-BF4C-AD2AEB4D89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3" name="AutoShape 1" descr="Vista previa de toda la pantalla">
          <a:extLst>
            <a:ext uri="{FF2B5EF4-FFF2-40B4-BE49-F238E27FC236}">
              <a16:creationId xmlns:a16="http://schemas.microsoft.com/office/drawing/2014/main" id="{11547B6D-6364-4983-919C-C59F583B90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4" name="AutoShape 1" descr="Vista previa de toda la pantalla">
          <a:extLst>
            <a:ext uri="{FF2B5EF4-FFF2-40B4-BE49-F238E27FC236}">
              <a16:creationId xmlns:a16="http://schemas.microsoft.com/office/drawing/2014/main" id="{2B39A9BB-7036-4DE5-9FF3-5A3960C709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5" name="AutoShape 1" descr="Vista previa de toda la pantalla">
          <a:extLst>
            <a:ext uri="{FF2B5EF4-FFF2-40B4-BE49-F238E27FC236}">
              <a16:creationId xmlns:a16="http://schemas.microsoft.com/office/drawing/2014/main" id="{B23DC094-BB4A-4198-A574-3CF48ECEEB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6" name="AutoShape 1" descr="Vista previa de toda la pantalla">
          <a:extLst>
            <a:ext uri="{FF2B5EF4-FFF2-40B4-BE49-F238E27FC236}">
              <a16:creationId xmlns:a16="http://schemas.microsoft.com/office/drawing/2014/main" id="{35E398D6-272A-4654-9F04-28BFA0E5CA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7" name="AutoShape 1" descr="Vista previa de toda la pantalla">
          <a:extLst>
            <a:ext uri="{FF2B5EF4-FFF2-40B4-BE49-F238E27FC236}">
              <a16:creationId xmlns:a16="http://schemas.microsoft.com/office/drawing/2014/main" id="{D0774E77-6734-4523-9F69-15F85F1C0B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8" name="AutoShape 1" descr="Vista previa de toda la pantalla">
          <a:extLst>
            <a:ext uri="{FF2B5EF4-FFF2-40B4-BE49-F238E27FC236}">
              <a16:creationId xmlns:a16="http://schemas.microsoft.com/office/drawing/2014/main" id="{7DC3D615-C033-4BA0-A28B-20065B0984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29" name="AutoShape 1" descr="Vista previa de toda la pantalla">
          <a:extLst>
            <a:ext uri="{FF2B5EF4-FFF2-40B4-BE49-F238E27FC236}">
              <a16:creationId xmlns:a16="http://schemas.microsoft.com/office/drawing/2014/main" id="{7AB35761-BC64-4E77-BCC9-26AF02B625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0" name="AutoShape 1" descr="Vista previa de toda la pantalla">
          <a:extLst>
            <a:ext uri="{FF2B5EF4-FFF2-40B4-BE49-F238E27FC236}">
              <a16:creationId xmlns:a16="http://schemas.microsoft.com/office/drawing/2014/main" id="{789476F8-3E16-4FC2-B459-283428F1C0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1" name="AutoShape 1" descr="Vista previa de toda la pantalla">
          <a:extLst>
            <a:ext uri="{FF2B5EF4-FFF2-40B4-BE49-F238E27FC236}">
              <a16:creationId xmlns:a16="http://schemas.microsoft.com/office/drawing/2014/main" id="{7B01E841-657D-4111-870E-B8A2F8D480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2" name="AutoShape 1" descr="Vista previa de toda la pantalla">
          <a:extLst>
            <a:ext uri="{FF2B5EF4-FFF2-40B4-BE49-F238E27FC236}">
              <a16:creationId xmlns:a16="http://schemas.microsoft.com/office/drawing/2014/main" id="{75C20A9D-000F-4B25-B4A3-00D36A508E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3" name="AutoShape 1" descr="Vista previa de toda la pantalla">
          <a:extLst>
            <a:ext uri="{FF2B5EF4-FFF2-40B4-BE49-F238E27FC236}">
              <a16:creationId xmlns:a16="http://schemas.microsoft.com/office/drawing/2014/main" id="{28FA0D57-106A-4F31-B07B-B9080243C6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4" name="AutoShape 1" descr="Vista previa de toda la pantalla">
          <a:extLst>
            <a:ext uri="{FF2B5EF4-FFF2-40B4-BE49-F238E27FC236}">
              <a16:creationId xmlns:a16="http://schemas.microsoft.com/office/drawing/2014/main" id="{88D7FCEC-E767-4245-84E8-F9121805E5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5" name="AutoShape 1" descr="Vista previa de toda la pantalla">
          <a:extLst>
            <a:ext uri="{FF2B5EF4-FFF2-40B4-BE49-F238E27FC236}">
              <a16:creationId xmlns:a16="http://schemas.microsoft.com/office/drawing/2014/main" id="{1B05786A-3110-4DD1-A18E-C4EBD07D12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6" name="AutoShape 1" descr="Vista previa de toda la pantalla">
          <a:extLst>
            <a:ext uri="{FF2B5EF4-FFF2-40B4-BE49-F238E27FC236}">
              <a16:creationId xmlns:a16="http://schemas.microsoft.com/office/drawing/2014/main" id="{6321314D-8147-469E-B303-59EB76ECDA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7" name="AutoShape 1" descr="Vista previa de toda la pantalla">
          <a:extLst>
            <a:ext uri="{FF2B5EF4-FFF2-40B4-BE49-F238E27FC236}">
              <a16:creationId xmlns:a16="http://schemas.microsoft.com/office/drawing/2014/main" id="{9618B561-72E4-488B-AAD1-6D708FFA15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8" name="AutoShape 1" descr="Vista previa de toda la pantalla">
          <a:extLst>
            <a:ext uri="{FF2B5EF4-FFF2-40B4-BE49-F238E27FC236}">
              <a16:creationId xmlns:a16="http://schemas.microsoft.com/office/drawing/2014/main" id="{FEA17534-76DE-4346-A684-FCE4204F78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39" name="AutoShape 1" descr="Vista previa de toda la pantalla">
          <a:extLst>
            <a:ext uri="{FF2B5EF4-FFF2-40B4-BE49-F238E27FC236}">
              <a16:creationId xmlns:a16="http://schemas.microsoft.com/office/drawing/2014/main" id="{330BC5DE-24F7-47E6-993B-FA937E22EA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0" name="AutoShape 1" descr="Vista previa de toda la pantalla">
          <a:extLst>
            <a:ext uri="{FF2B5EF4-FFF2-40B4-BE49-F238E27FC236}">
              <a16:creationId xmlns:a16="http://schemas.microsoft.com/office/drawing/2014/main" id="{E1B34A04-1B71-49CC-B884-62AAB42831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1" name="AutoShape 1" descr="Vista previa de toda la pantalla">
          <a:extLst>
            <a:ext uri="{FF2B5EF4-FFF2-40B4-BE49-F238E27FC236}">
              <a16:creationId xmlns:a16="http://schemas.microsoft.com/office/drawing/2014/main" id="{7E0633FC-56D8-4970-909F-0E22986781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2" name="AutoShape 1" descr="Vista previa de toda la pantalla">
          <a:extLst>
            <a:ext uri="{FF2B5EF4-FFF2-40B4-BE49-F238E27FC236}">
              <a16:creationId xmlns:a16="http://schemas.microsoft.com/office/drawing/2014/main" id="{08721062-C043-45D6-841C-255A8F2C68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3" name="AutoShape 1" descr="Vista previa de toda la pantalla">
          <a:extLst>
            <a:ext uri="{FF2B5EF4-FFF2-40B4-BE49-F238E27FC236}">
              <a16:creationId xmlns:a16="http://schemas.microsoft.com/office/drawing/2014/main" id="{00B67007-26AE-4FD4-B4F7-778908228C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4" name="AutoShape 1" descr="Vista previa de toda la pantalla">
          <a:extLst>
            <a:ext uri="{FF2B5EF4-FFF2-40B4-BE49-F238E27FC236}">
              <a16:creationId xmlns:a16="http://schemas.microsoft.com/office/drawing/2014/main" id="{D27CE13B-E4D1-40EA-9CF5-44131677F2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5" name="AutoShape 1" descr="Vista previa de toda la pantalla">
          <a:extLst>
            <a:ext uri="{FF2B5EF4-FFF2-40B4-BE49-F238E27FC236}">
              <a16:creationId xmlns:a16="http://schemas.microsoft.com/office/drawing/2014/main" id="{413B5991-493C-4464-925D-9B02929630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6" name="AutoShape 1" descr="Vista previa de toda la pantalla">
          <a:extLst>
            <a:ext uri="{FF2B5EF4-FFF2-40B4-BE49-F238E27FC236}">
              <a16:creationId xmlns:a16="http://schemas.microsoft.com/office/drawing/2014/main" id="{B2B641A7-DDC0-4564-A1CD-3D6C170FF0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7" name="AutoShape 1" descr="Vista previa de toda la pantalla">
          <a:extLst>
            <a:ext uri="{FF2B5EF4-FFF2-40B4-BE49-F238E27FC236}">
              <a16:creationId xmlns:a16="http://schemas.microsoft.com/office/drawing/2014/main" id="{CA04160C-7760-47B9-A377-E37EDCCDA0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8" name="AutoShape 1" descr="Vista previa de toda la pantalla">
          <a:extLst>
            <a:ext uri="{FF2B5EF4-FFF2-40B4-BE49-F238E27FC236}">
              <a16:creationId xmlns:a16="http://schemas.microsoft.com/office/drawing/2014/main" id="{E2CC55FB-6AAD-49A7-B46E-83412566E9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49" name="AutoShape 1" descr="Vista previa de toda la pantalla">
          <a:extLst>
            <a:ext uri="{FF2B5EF4-FFF2-40B4-BE49-F238E27FC236}">
              <a16:creationId xmlns:a16="http://schemas.microsoft.com/office/drawing/2014/main" id="{3AEF43D5-28DD-4D8C-A3D2-315E18D95B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50" name="AutoShape 1" descr="Vista previa de toda la pantalla">
          <a:extLst>
            <a:ext uri="{FF2B5EF4-FFF2-40B4-BE49-F238E27FC236}">
              <a16:creationId xmlns:a16="http://schemas.microsoft.com/office/drawing/2014/main" id="{F10E0411-798B-4F8D-80D5-0DE0347C59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51" name="AutoShape 1" descr="Vista previa de toda la pantalla">
          <a:extLst>
            <a:ext uri="{FF2B5EF4-FFF2-40B4-BE49-F238E27FC236}">
              <a16:creationId xmlns:a16="http://schemas.microsoft.com/office/drawing/2014/main" id="{38BD957D-3CE8-459B-A921-4FBFC55C2E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52" name="AutoShape 1" descr="Vista previa de toda la pantalla">
          <a:extLst>
            <a:ext uri="{FF2B5EF4-FFF2-40B4-BE49-F238E27FC236}">
              <a16:creationId xmlns:a16="http://schemas.microsoft.com/office/drawing/2014/main" id="{8474219B-19FE-4140-AFC5-00B3AE119F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53" name="AutoShape 1" descr="Vista previa de toda la pantalla">
          <a:extLst>
            <a:ext uri="{FF2B5EF4-FFF2-40B4-BE49-F238E27FC236}">
              <a16:creationId xmlns:a16="http://schemas.microsoft.com/office/drawing/2014/main" id="{55A16372-D684-477A-82B3-7F94E6AFE8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54" name="AutoShape 1" descr="Vista previa de toda la pantalla">
          <a:extLst>
            <a:ext uri="{FF2B5EF4-FFF2-40B4-BE49-F238E27FC236}">
              <a16:creationId xmlns:a16="http://schemas.microsoft.com/office/drawing/2014/main" id="{6A913F8A-1CE3-4BB4-B1F1-C493A73A9D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55" name="AutoShape 1" descr="Vista previa de toda la pantalla">
          <a:extLst>
            <a:ext uri="{FF2B5EF4-FFF2-40B4-BE49-F238E27FC236}">
              <a16:creationId xmlns:a16="http://schemas.microsoft.com/office/drawing/2014/main" id="{0069CD92-5580-4CDE-A9F4-B0431C9F05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56" name="AutoShape 1" descr="Vista previa de toda la pantalla">
          <a:extLst>
            <a:ext uri="{FF2B5EF4-FFF2-40B4-BE49-F238E27FC236}">
              <a16:creationId xmlns:a16="http://schemas.microsoft.com/office/drawing/2014/main" id="{6486F49C-F11A-4302-BCC1-9DD8FD6513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6757" name="AutoShape 1" descr="Vista previa de toda la pantalla">
          <a:extLst>
            <a:ext uri="{FF2B5EF4-FFF2-40B4-BE49-F238E27FC236}">
              <a16:creationId xmlns:a16="http://schemas.microsoft.com/office/drawing/2014/main" id="{46733D39-46A9-4F7E-82E2-8A7AEFE1F0A2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58" name="AutoShape 1" descr="Vista previa de toda la pantalla">
          <a:extLst>
            <a:ext uri="{FF2B5EF4-FFF2-40B4-BE49-F238E27FC236}">
              <a16:creationId xmlns:a16="http://schemas.microsoft.com/office/drawing/2014/main" id="{F481D4A3-7ACF-4272-987D-194C391480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59" name="AutoShape 1" descr="Vista previa de toda la pantalla">
          <a:extLst>
            <a:ext uri="{FF2B5EF4-FFF2-40B4-BE49-F238E27FC236}">
              <a16:creationId xmlns:a16="http://schemas.microsoft.com/office/drawing/2014/main" id="{38658F65-37F2-4304-90F1-0DD7C9ADDD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0" name="AutoShape 1" descr="Vista previa de toda la pantalla">
          <a:extLst>
            <a:ext uri="{FF2B5EF4-FFF2-40B4-BE49-F238E27FC236}">
              <a16:creationId xmlns:a16="http://schemas.microsoft.com/office/drawing/2014/main" id="{CCD30EC4-7D9B-4607-9C8A-09CAED4200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1" name="AutoShape 1" descr="Vista previa de toda la pantalla">
          <a:extLst>
            <a:ext uri="{FF2B5EF4-FFF2-40B4-BE49-F238E27FC236}">
              <a16:creationId xmlns:a16="http://schemas.microsoft.com/office/drawing/2014/main" id="{3125E83C-098C-4A45-A8DA-01FCA0B3F9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2" name="AutoShape 1" descr="Vista previa de toda la pantalla">
          <a:extLst>
            <a:ext uri="{FF2B5EF4-FFF2-40B4-BE49-F238E27FC236}">
              <a16:creationId xmlns:a16="http://schemas.microsoft.com/office/drawing/2014/main" id="{387EE42A-481F-42D7-BA29-7B8A1391BE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3" name="AutoShape 1" descr="Vista previa de toda la pantalla">
          <a:extLst>
            <a:ext uri="{FF2B5EF4-FFF2-40B4-BE49-F238E27FC236}">
              <a16:creationId xmlns:a16="http://schemas.microsoft.com/office/drawing/2014/main" id="{7B2D3096-6753-41C6-A3FE-23A11F3632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4" name="AutoShape 1" descr="Vista previa de toda la pantalla">
          <a:extLst>
            <a:ext uri="{FF2B5EF4-FFF2-40B4-BE49-F238E27FC236}">
              <a16:creationId xmlns:a16="http://schemas.microsoft.com/office/drawing/2014/main" id="{2ED95FC8-F970-412F-AC85-20BA87A69E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5" name="AutoShape 1" descr="Vista previa de toda la pantalla">
          <a:extLst>
            <a:ext uri="{FF2B5EF4-FFF2-40B4-BE49-F238E27FC236}">
              <a16:creationId xmlns:a16="http://schemas.microsoft.com/office/drawing/2014/main" id="{E85E7B84-C5F3-4740-AD2D-32D8505794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6" name="AutoShape 1" descr="Vista previa de toda la pantalla">
          <a:extLst>
            <a:ext uri="{FF2B5EF4-FFF2-40B4-BE49-F238E27FC236}">
              <a16:creationId xmlns:a16="http://schemas.microsoft.com/office/drawing/2014/main" id="{95A7933B-84FF-4376-B825-DAF32731CA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7" name="AutoShape 1" descr="Vista previa de toda la pantalla">
          <a:extLst>
            <a:ext uri="{FF2B5EF4-FFF2-40B4-BE49-F238E27FC236}">
              <a16:creationId xmlns:a16="http://schemas.microsoft.com/office/drawing/2014/main" id="{8D239A1F-0404-49E7-9706-252F6F3E2A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8" name="AutoShape 1" descr="Vista previa de toda la pantalla">
          <a:extLst>
            <a:ext uri="{FF2B5EF4-FFF2-40B4-BE49-F238E27FC236}">
              <a16:creationId xmlns:a16="http://schemas.microsoft.com/office/drawing/2014/main" id="{0170A629-3434-4116-AE44-DCD2648923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69" name="AutoShape 1" descr="Vista previa de toda la pantalla">
          <a:extLst>
            <a:ext uri="{FF2B5EF4-FFF2-40B4-BE49-F238E27FC236}">
              <a16:creationId xmlns:a16="http://schemas.microsoft.com/office/drawing/2014/main" id="{F002975A-F276-4D39-B70B-60C39C4830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0" name="AutoShape 1" descr="Vista previa de toda la pantalla">
          <a:extLst>
            <a:ext uri="{FF2B5EF4-FFF2-40B4-BE49-F238E27FC236}">
              <a16:creationId xmlns:a16="http://schemas.microsoft.com/office/drawing/2014/main" id="{1317F115-74EA-48D9-8F2C-174379B4B5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1" name="AutoShape 1" descr="Vista previa de toda la pantalla">
          <a:extLst>
            <a:ext uri="{FF2B5EF4-FFF2-40B4-BE49-F238E27FC236}">
              <a16:creationId xmlns:a16="http://schemas.microsoft.com/office/drawing/2014/main" id="{7516ACBB-788D-4F2F-A6F2-E8F284CA18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2" name="AutoShape 1" descr="Vista previa de toda la pantalla">
          <a:extLst>
            <a:ext uri="{FF2B5EF4-FFF2-40B4-BE49-F238E27FC236}">
              <a16:creationId xmlns:a16="http://schemas.microsoft.com/office/drawing/2014/main" id="{669CDEE1-3362-4389-A157-1928C179F3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3" name="AutoShape 1" descr="Vista previa de toda la pantalla">
          <a:extLst>
            <a:ext uri="{FF2B5EF4-FFF2-40B4-BE49-F238E27FC236}">
              <a16:creationId xmlns:a16="http://schemas.microsoft.com/office/drawing/2014/main" id="{67F38D56-D398-4E8C-B4CE-EBF5E94037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4" name="AutoShape 1" descr="Vista previa de toda la pantalla">
          <a:extLst>
            <a:ext uri="{FF2B5EF4-FFF2-40B4-BE49-F238E27FC236}">
              <a16:creationId xmlns:a16="http://schemas.microsoft.com/office/drawing/2014/main" id="{215317F0-17F6-468E-B827-BDE4525F04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5" name="AutoShape 1" descr="Vista previa de toda la pantalla">
          <a:extLst>
            <a:ext uri="{FF2B5EF4-FFF2-40B4-BE49-F238E27FC236}">
              <a16:creationId xmlns:a16="http://schemas.microsoft.com/office/drawing/2014/main" id="{29F94ED5-0610-4F46-A30B-08F7404C26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6" name="AutoShape 1" descr="Vista previa de toda la pantalla">
          <a:extLst>
            <a:ext uri="{FF2B5EF4-FFF2-40B4-BE49-F238E27FC236}">
              <a16:creationId xmlns:a16="http://schemas.microsoft.com/office/drawing/2014/main" id="{D069B097-8776-4566-924B-CEF46D85B5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7" name="AutoShape 1" descr="Vista previa de toda la pantalla">
          <a:extLst>
            <a:ext uri="{FF2B5EF4-FFF2-40B4-BE49-F238E27FC236}">
              <a16:creationId xmlns:a16="http://schemas.microsoft.com/office/drawing/2014/main" id="{E9CB9CCE-9F42-4EB6-86C2-5D4FFD6E99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8" name="AutoShape 1" descr="Vista previa de toda la pantalla">
          <a:extLst>
            <a:ext uri="{FF2B5EF4-FFF2-40B4-BE49-F238E27FC236}">
              <a16:creationId xmlns:a16="http://schemas.microsoft.com/office/drawing/2014/main" id="{B8462F5E-8A71-496A-819A-78105577CA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79" name="AutoShape 1" descr="Vista previa de toda la pantalla">
          <a:extLst>
            <a:ext uri="{FF2B5EF4-FFF2-40B4-BE49-F238E27FC236}">
              <a16:creationId xmlns:a16="http://schemas.microsoft.com/office/drawing/2014/main" id="{DADB3F48-CCED-4C47-8461-ACF3F0F7C4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0" name="AutoShape 1" descr="Vista previa de toda la pantalla">
          <a:extLst>
            <a:ext uri="{FF2B5EF4-FFF2-40B4-BE49-F238E27FC236}">
              <a16:creationId xmlns:a16="http://schemas.microsoft.com/office/drawing/2014/main" id="{B8708B95-908B-4EDC-928A-F2F3937C3D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1" name="AutoShape 1" descr="Vista previa de toda la pantalla">
          <a:extLst>
            <a:ext uri="{FF2B5EF4-FFF2-40B4-BE49-F238E27FC236}">
              <a16:creationId xmlns:a16="http://schemas.microsoft.com/office/drawing/2014/main" id="{880AB360-A375-45BA-A543-F8921EE0F0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2" name="AutoShape 1" descr="Vista previa de toda la pantalla">
          <a:extLst>
            <a:ext uri="{FF2B5EF4-FFF2-40B4-BE49-F238E27FC236}">
              <a16:creationId xmlns:a16="http://schemas.microsoft.com/office/drawing/2014/main" id="{89E72BA2-4799-44DA-82BA-64F9F89AF4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3" name="AutoShape 1" descr="Vista previa de toda la pantalla">
          <a:extLst>
            <a:ext uri="{FF2B5EF4-FFF2-40B4-BE49-F238E27FC236}">
              <a16:creationId xmlns:a16="http://schemas.microsoft.com/office/drawing/2014/main" id="{DE726DAD-F78B-4330-A8C9-C8452E6E34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4" name="AutoShape 1" descr="Vista previa de toda la pantalla">
          <a:extLst>
            <a:ext uri="{FF2B5EF4-FFF2-40B4-BE49-F238E27FC236}">
              <a16:creationId xmlns:a16="http://schemas.microsoft.com/office/drawing/2014/main" id="{B85607FD-A816-4545-84D1-9A18D6CCB5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5" name="AutoShape 1" descr="Vista previa de toda la pantalla">
          <a:extLst>
            <a:ext uri="{FF2B5EF4-FFF2-40B4-BE49-F238E27FC236}">
              <a16:creationId xmlns:a16="http://schemas.microsoft.com/office/drawing/2014/main" id="{5727B65E-C85D-415C-BE4E-5BEE09FF95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6" name="AutoShape 1" descr="Vista previa de toda la pantalla">
          <a:extLst>
            <a:ext uri="{FF2B5EF4-FFF2-40B4-BE49-F238E27FC236}">
              <a16:creationId xmlns:a16="http://schemas.microsoft.com/office/drawing/2014/main" id="{C0804081-19A4-4EBA-B6F9-8D26F309D7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7" name="AutoShape 1" descr="Vista previa de toda la pantalla">
          <a:extLst>
            <a:ext uri="{FF2B5EF4-FFF2-40B4-BE49-F238E27FC236}">
              <a16:creationId xmlns:a16="http://schemas.microsoft.com/office/drawing/2014/main" id="{2BFBEDD1-FE7A-4CC7-8308-50D019A30F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8" name="AutoShape 1" descr="Vista previa de toda la pantalla">
          <a:extLst>
            <a:ext uri="{FF2B5EF4-FFF2-40B4-BE49-F238E27FC236}">
              <a16:creationId xmlns:a16="http://schemas.microsoft.com/office/drawing/2014/main" id="{9FFBA3DF-9D0F-4FD6-A3D9-46A234485F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89" name="AutoShape 1" descr="Vista previa de toda la pantalla">
          <a:extLst>
            <a:ext uri="{FF2B5EF4-FFF2-40B4-BE49-F238E27FC236}">
              <a16:creationId xmlns:a16="http://schemas.microsoft.com/office/drawing/2014/main" id="{99CC9155-216B-4D4C-878E-0B7D94432E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0" name="AutoShape 1" descr="Vista previa de toda la pantalla">
          <a:extLst>
            <a:ext uri="{FF2B5EF4-FFF2-40B4-BE49-F238E27FC236}">
              <a16:creationId xmlns:a16="http://schemas.microsoft.com/office/drawing/2014/main" id="{15D74CD4-F4E4-452A-86A9-5A4E817457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1" name="AutoShape 1" descr="Vista previa de toda la pantalla">
          <a:extLst>
            <a:ext uri="{FF2B5EF4-FFF2-40B4-BE49-F238E27FC236}">
              <a16:creationId xmlns:a16="http://schemas.microsoft.com/office/drawing/2014/main" id="{E6B468A0-6399-46D8-8915-D7E4A692F1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2" name="AutoShape 1" descr="Vista previa de toda la pantalla">
          <a:extLst>
            <a:ext uri="{FF2B5EF4-FFF2-40B4-BE49-F238E27FC236}">
              <a16:creationId xmlns:a16="http://schemas.microsoft.com/office/drawing/2014/main" id="{8E65633B-3BB4-45A6-A033-385C506FCF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3" name="AutoShape 1" descr="Vista previa de toda la pantalla">
          <a:extLst>
            <a:ext uri="{FF2B5EF4-FFF2-40B4-BE49-F238E27FC236}">
              <a16:creationId xmlns:a16="http://schemas.microsoft.com/office/drawing/2014/main" id="{11F7F1A7-5999-477E-8829-53638E297A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4" name="AutoShape 1" descr="Vista previa de toda la pantalla">
          <a:extLst>
            <a:ext uri="{FF2B5EF4-FFF2-40B4-BE49-F238E27FC236}">
              <a16:creationId xmlns:a16="http://schemas.microsoft.com/office/drawing/2014/main" id="{5DA99AC3-1930-4D91-B221-B16C738055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5" name="AutoShape 1" descr="Vista previa de toda la pantalla">
          <a:extLst>
            <a:ext uri="{FF2B5EF4-FFF2-40B4-BE49-F238E27FC236}">
              <a16:creationId xmlns:a16="http://schemas.microsoft.com/office/drawing/2014/main" id="{BC3BBE46-1B8C-47F4-86DB-EDA434316A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6" name="AutoShape 1" descr="Vista previa de toda la pantalla">
          <a:extLst>
            <a:ext uri="{FF2B5EF4-FFF2-40B4-BE49-F238E27FC236}">
              <a16:creationId xmlns:a16="http://schemas.microsoft.com/office/drawing/2014/main" id="{C1A8279E-B397-43E7-9BA0-FC7B26ADF0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7" name="AutoShape 1" descr="Vista previa de toda la pantalla">
          <a:extLst>
            <a:ext uri="{FF2B5EF4-FFF2-40B4-BE49-F238E27FC236}">
              <a16:creationId xmlns:a16="http://schemas.microsoft.com/office/drawing/2014/main" id="{A54A8A30-2A2F-4828-A23B-9CCE17B395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8" name="AutoShape 1" descr="Vista previa de toda la pantalla">
          <a:extLst>
            <a:ext uri="{FF2B5EF4-FFF2-40B4-BE49-F238E27FC236}">
              <a16:creationId xmlns:a16="http://schemas.microsoft.com/office/drawing/2014/main" id="{00046767-D3BA-405C-85C4-0CC8CA0F78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799" name="AutoShape 1" descr="Vista previa de toda la pantalla">
          <a:extLst>
            <a:ext uri="{FF2B5EF4-FFF2-40B4-BE49-F238E27FC236}">
              <a16:creationId xmlns:a16="http://schemas.microsoft.com/office/drawing/2014/main" id="{D84675A6-CC36-4742-A0C0-2991863682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0" name="AutoShape 1" descr="Vista previa de toda la pantalla">
          <a:extLst>
            <a:ext uri="{FF2B5EF4-FFF2-40B4-BE49-F238E27FC236}">
              <a16:creationId xmlns:a16="http://schemas.microsoft.com/office/drawing/2014/main" id="{14315439-F3CB-45F9-A3B2-5B4D3B5F47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1" name="AutoShape 1" descr="Vista previa de toda la pantalla">
          <a:extLst>
            <a:ext uri="{FF2B5EF4-FFF2-40B4-BE49-F238E27FC236}">
              <a16:creationId xmlns:a16="http://schemas.microsoft.com/office/drawing/2014/main" id="{E3BB4B00-9B86-430C-8861-BED96FD9EB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2" name="AutoShape 1" descr="Vista previa de toda la pantalla">
          <a:extLst>
            <a:ext uri="{FF2B5EF4-FFF2-40B4-BE49-F238E27FC236}">
              <a16:creationId xmlns:a16="http://schemas.microsoft.com/office/drawing/2014/main" id="{96749BE5-265B-4AD3-BD62-1FDAEC4331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3" name="AutoShape 1" descr="Vista previa de toda la pantalla">
          <a:extLst>
            <a:ext uri="{FF2B5EF4-FFF2-40B4-BE49-F238E27FC236}">
              <a16:creationId xmlns:a16="http://schemas.microsoft.com/office/drawing/2014/main" id="{A1B18261-5C02-4030-91F9-CA1B548348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4" name="AutoShape 1" descr="Vista previa de toda la pantalla">
          <a:extLst>
            <a:ext uri="{FF2B5EF4-FFF2-40B4-BE49-F238E27FC236}">
              <a16:creationId xmlns:a16="http://schemas.microsoft.com/office/drawing/2014/main" id="{CAF14E4D-D8CA-4A6E-BB62-8B34C6447B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5" name="AutoShape 1" descr="Vista previa de toda la pantalla">
          <a:extLst>
            <a:ext uri="{FF2B5EF4-FFF2-40B4-BE49-F238E27FC236}">
              <a16:creationId xmlns:a16="http://schemas.microsoft.com/office/drawing/2014/main" id="{CCE7B15D-B077-4AB2-9420-49E6D9E3F9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6" name="AutoShape 1" descr="Vista previa de toda la pantalla">
          <a:extLst>
            <a:ext uri="{FF2B5EF4-FFF2-40B4-BE49-F238E27FC236}">
              <a16:creationId xmlns:a16="http://schemas.microsoft.com/office/drawing/2014/main" id="{D7E03441-A951-475B-B166-9CF9C09F1F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7" name="AutoShape 1" descr="Vista previa de toda la pantalla">
          <a:extLst>
            <a:ext uri="{FF2B5EF4-FFF2-40B4-BE49-F238E27FC236}">
              <a16:creationId xmlns:a16="http://schemas.microsoft.com/office/drawing/2014/main" id="{2657CC81-8575-41A4-8C1E-4D32FBF803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8" name="AutoShape 1" descr="Vista previa de toda la pantalla">
          <a:extLst>
            <a:ext uri="{FF2B5EF4-FFF2-40B4-BE49-F238E27FC236}">
              <a16:creationId xmlns:a16="http://schemas.microsoft.com/office/drawing/2014/main" id="{BAA833E8-15FE-4182-A43D-FDE56124F8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09" name="AutoShape 1" descr="Vista previa de toda la pantalla">
          <a:extLst>
            <a:ext uri="{FF2B5EF4-FFF2-40B4-BE49-F238E27FC236}">
              <a16:creationId xmlns:a16="http://schemas.microsoft.com/office/drawing/2014/main" id="{FA5482CE-A5D3-400A-9A04-DA14237EE0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0" name="AutoShape 1" descr="Vista previa de toda la pantalla">
          <a:extLst>
            <a:ext uri="{FF2B5EF4-FFF2-40B4-BE49-F238E27FC236}">
              <a16:creationId xmlns:a16="http://schemas.microsoft.com/office/drawing/2014/main" id="{3EDA8A09-5F43-4849-A6A3-55FC571D7F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1" name="AutoShape 1" descr="Vista previa de toda la pantalla">
          <a:extLst>
            <a:ext uri="{FF2B5EF4-FFF2-40B4-BE49-F238E27FC236}">
              <a16:creationId xmlns:a16="http://schemas.microsoft.com/office/drawing/2014/main" id="{83E74EE6-CD4C-45C0-B35E-0B6AAC09D9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2" name="AutoShape 1" descr="Vista previa de toda la pantalla">
          <a:extLst>
            <a:ext uri="{FF2B5EF4-FFF2-40B4-BE49-F238E27FC236}">
              <a16:creationId xmlns:a16="http://schemas.microsoft.com/office/drawing/2014/main" id="{5F2FF3B3-8163-4966-B061-A136511E51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3" name="AutoShape 1" descr="Vista previa de toda la pantalla">
          <a:extLst>
            <a:ext uri="{FF2B5EF4-FFF2-40B4-BE49-F238E27FC236}">
              <a16:creationId xmlns:a16="http://schemas.microsoft.com/office/drawing/2014/main" id="{A5ABC6EB-7966-4D80-80F0-97301F8EB2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4" name="AutoShape 1" descr="Vista previa de toda la pantalla">
          <a:extLst>
            <a:ext uri="{FF2B5EF4-FFF2-40B4-BE49-F238E27FC236}">
              <a16:creationId xmlns:a16="http://schemas.microsoft.com/office/drawing/2014/main" id="{9712C9C8-DB2F-4058-95D6-40AF53B30C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5" name="AutoShape 1" descr="Vista previa de toda la pantalla">
          <a:extLst>
            <a:ext uri="{FF2B5EF4-FFF2-40B4-BE49-F238E27FC236}">
              <a16:creationId xmlns:a16="http://schemas.microsoft.com/office/drawing/2014/main" id="{6DCD5DAD-BAA7-4CBC-BC8A-F612A8123B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6" name="AutoShape 1" descr="Vista previa de toda la pantalla">
          <a:extLst>
            <a:ext uri="{FF2B5EF4-FFF2-40B4-BE49-F238E27FC236}">
              <a16:creationId xmlns:a16="http://schemas.microsoft.com/office/drawing/2014/main" id="{CB70AB3D-649E-46B3-9528-64ABE24B7F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7" name="AutoShape 1" descr="Vista previa de toda la pantalla">
          <a:extLst>
            <a:ext uri="{FF2B5EF4-FFF2-40B4-BE49-F238E27FC236}">
              <a16:creationId xmlns:a16="http://schemas.microsoft.com/office/drawing/2014/main" id="{E10C9894-3216-42C1-AF75-36E49ED86F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8" name="AutoShape 1" descr="Vista previa de toda la pantalla">
          <a:extLst>
            <a:ext uri="{FF2B5EF4-FFF2-40B4-BE49-F238E27FC236}">
              <a16:creationId xmlns:a16="http://schemas.microsoft.com/office/drawing/2014/main" id="{FBF8CB30-AC86-45A6-951F-EFB113C5CC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19" name="AutoShape 1" descr="Vista previa de toda la pantalla">
          <a:extLst>
            <a:ext uri="{FF2B5EF4-FFF2-40B4-BE49-F238E27FC236}">
              <a16:creationId xmlns:a16="http://schemas.microsoft.com/office/drawing/2014/main" id="{F4107559-CB4D-4AE8-96DD-072A6A419B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0" name="AutoShape 1" descr="Vista previa de toda la pantalla">
          <a:extLst>
            <a:ext uri="{FF2B5EF4-FFF2-40B4-BE49-F238E27FC236}">
              <a16:creationId xmlns:a16="http://schemas.microsoft.com/office/drawing/2014/main" id="{FB0D707D-8C81-4992-885E-A33955A90D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1" name="AutoShape 1" descr="Vista previa de toda la pantalla">
          <a:extLst>
            <a:ext uri="{FF2B5EF4-FFF2-40B4-BE49-F238E27FC236}">
              <a16:creationId xmlns:a16="http://schemas.microsoft.com/office/drawing/2014/main" id="{635E9D86-1BAA-4480-BB64-AFFB257437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2" name="AutoShape 1" descr="Vista previa de toda la pantalla">
          <a:extLst>
            <a:ext uri="{FF2B5EF4-FFF2-40B4-BE49-F238E27FC236}">
              <a16:creationId xmlns:a16="http://schemas.microsoft.com/office/drawing/2014/main" id="{EF5D53A6-DEB0-4712-A0A2-25FA7A896F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3" name="AutoShape 1" descr="Vista previa de toda la pantalla">
          <a:extLst>
            <a:ext uri="{FF2B5EF4-FFF2-40B4-BE49-F238E27FC236}">
              <a16:creationId xmlns:a16="http://schemas.microsoft.com/office/drawing/2014/main" id="{7230C452-5521-45C3-B5B1-F8EEE6D573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4" name="AutoShape 1" descr="Vista previa de toda la pantalla">
          <a:extLst>
            <a:ext uri="{FF2B5EF4-FFF2-40B4-BE49-F238E27FC236}">
              <a16:creationId xmlns:a16="http://schemas.microsoft.com/office/drawing/2014/main" id="{8690C837-09CD-4843-8D9C-B05E6F7F47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5" name="AutoShape 1" descr="Vista previa de toda la pantalla">
          <a:extLst>
            <a:ext uri="{FF2B5EF4-FFF2-40B4-BE49-F238E27FC236}">
              <a16:creationId xmlns:a16="http://schemas.microsoft.com/office/drawing/2014/main" id="{4F40540E-68A9-4B8D-B519-AC0138D256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6" name="AutoShape 1" descr="Vista previa de toda la pantalla">
          <a:extLst>
            <a:ext uri="{FF2B5EF4-FFF2-40B4-BE49-F238E27FC236}">
              <a16:creationId xmlns:a16="http://schemas.microsoft.com/office/drawing/2014/main" id="{E3D5EF6F-A55D-4709-9190-8BDFBAB75F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7" name="AutoShape 1" descr="Vista previa de toda la pantalla">
          <a:extLst>
            <a:ext uri="{FF2B5EF4-FFF2-40B4-BE49-F238E27FC236}">
              <a16:creationId xmlns:a16="http://schemas.microsoft.com/office/drawing/2014/main" id="{D7602294-054D-42F1-A0FA-B2FB92E274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8" name="AutoShape 1" descr="Vista previa de toda la pantalla">
          <a:extLst>
            <a:ext uri="{FF2B5EF4-FFF2-40B4-BE49-F238E27FC236}">
              <a16:creationId xmlns:a16="http://schemas.microsoft.com/office/drawing/2014/main" id="{B7AE62EE-12B5-48A7-BD8D-DEFFD1B82F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29" name="AutoShape 1" descr="Vista previa de toda la pantalla">
          <a:extLst>
            <a:ext uri="{FF2B5EF4-FFF2-40B4-BE49-F238E27FC236}">
              <a16:creationId xmlns:a16="http://schemas.microsoft.com/office/drawing/2014/main" id="{03EAFBA2-41D0-4459-B896-2E0A4D07B0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0" name="AutoShape 1" descr="Vista previa de toda la pantalla">
          <a:extLst>
            <a:ext uri="{FF2B5EF4-FFF2-40B4-BE49-F238E27FC236}">
              <a16:creationId xmlns:a16="http://schemas.microsoft.com/office/drawing/2014/main" id="{2759B727-4452-4AC7-A9A2-EAD75C891D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1" name="AutoShape 1" descr="Vista previa de toda la pantalla">
          <a:extLst>
            <a:ext uri="{FF2B5EF4-FFF2-40B4-BE49-F238E27FC236}">
              <a16:creationId xmlns:a16="http://schemas.microsoft.com/office/drawing/2014/main" id="{C20B7D29-93FA-45BF-859C-E4761B7C2C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2" name="AutoShape 1" descr="Vista previa de toda la pantalla">
          <a:extLst>
            <a:ext uri="{FF2B5EF4-FFF2-40B4-BE49-F238E27FC236}">
              <a16:creationId xmlns:a16="http://schemas.microsoft.com/office/drawing/2014/main" id="{B93C488B-5605-4824-808E-70E05A7350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3" name="AutoShape 1" descr="Vista previa de toda la pantalla">
          <a:extLst>
            <a:ext uri="{FF2B5EF4-FFF2-40B4-BE49-F238E27FC236}">
              <a16:creationId xmlns:a16="http://schemas.microsoft.com/office/drawing/2014/main" id="{B2A0C146-9053-43A8-A61D-AF2D4A41BC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4" name="AutoShape 1" descr="Vista previa de toda la pantalla">
          <a:extLst>
            <a:ext uri="{FF2B5EF4-FFF2-40B4-BE49-F238E27FC236}">
              <a16:creationId xmlns:a16="http://schemas.microsoft.com/office/drawing/2014/main" id="{F360DFF2-9597-480D-845D-C453C48DEA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5" name="AutoShape 1" descr="Vista previa de toda la pantalla">
          <a:extLst>
            <a:ext uri="{FF2B5EF4-FFF2-40B4-BE49-F238E27FC236}">
              <a16:creationId xmlns:a16="http://schemas.microsoft.com/office/drawing/2014/main" id="{D324305A-A950-49E9-A19E-73066AD0B2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6" name="AutoShape 1" descr="Vista previa de toda la pantalla">
          <a:extLst>
            <a:ext uri="{FF2B5EF4-FFF2-40B4-BE49-F238E27FC236}">
              <a16:creationId xmlns:a16="http://schemas.microsoft.com/office/drawing/2014/main" id="{D9AB1668-CEC8-4B8E-A023-BC347982E2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7" name="AutoShape 1" descr="Vista previa de toda la pantalla">
          <a:extLst>
            <a:ext uri="{FF2B5EF4-FFF2-40B4-BE49-F238E27FC236}">
              <a16:creationId xmlns:a16="http://schemas.microsoft.com/office/drawing/2014/main" id="{C0C87A3C-6732-40D8-8192-6EA59E391E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8" name="AutoShape 1" descr="Vista previa de toda la pantalla">
          <a:extLst>
            <a:ext uri="{FF2B5EF4-FFF2-40B4-BE49-F238E27FC236}">
              <a16:creationId xmlns:a16="http://schemas.microsoft.com/office/drawing/2014/main" id="{8240D7AF-D9E4-4CEE-8C54-D46862A81B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39" name="AutoShape 1" descr="Vista previa de toda la pantalla">
          <a:extLst>
            <a:ext uri="{FF2B5EF4-FFF2-40B4-BE49-F238E27FC236}">
              <a16:creationId xmlns:a16="http://schemas.microsoft.com/office/drawing/2014/main" id="{3BAE7CD5-1E74-4DB1-891D-FBEC2A8943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0" name="AutoShape 1" descr="Vista previa de toda la pantalla">
          <a:extLst>
            <a:ext uri="{FF2B5EF4-FFF2-40B4-BE49-F238E27FC236}">
              <a16:creationId xmlns:a16="http://schemas.microsoft.com/office/drawing/2014/main" id="{A63FC596-F40B-4BA3-84A4-C9C910B8B3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1" name="AutoShape 1" descr="Vista previa de toda la pantalla">
          <a:extLst>
            <a:ext uri="{FF2B5EF4-FFF2-40B4-BE49-F238E27FC236}">
              <a16:creationId xmlns:a16="http://schemas.microsoft.com/office/drawing/2014/main" id="{D7932EC6-EC24-4DE5-AD5A-53A1AAE8E8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2" name="AutoShape 1" descr="Vista previa de toda la pantalla">
          <a:extLst>
            <a:ext uri="{FF2B5EF4-FFF2-40B4-BE49-F238E27FC236}">
              <a16:creationId xmlns:a16="http://schemas.microsoft.com/office/drawing/2014/main" id="{E3654F8D-D574-43A1-AB67-2136B3D529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3" name="AutoShape 1" descr="Vista previa de toda la pantalla">
          <a:extLst>
            <a:ext uri="{FF2B5EF4-FFF2-40B4-BE49-F238E27FC236}">
              <a16:creationId xmlns:a16="http://schemas.microsoft.com/office/drawing/2014/main" id="{F7CAAA97-D4FF-47A1-80AD-AC7CE08789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4" name="AutoShape 1" descr="Vista previa de toda la pantalla">
          <a:extLst>
            <a:ext uri="{FF2B5EF4-FFF2-40B4-BE49-F238E27FC236}">
              <a16:creationId xmlns:a16="http://schemas.microsoft.com/office/drawing/2014/main" id="{237FC30E-12A0-4859-BCDD-F058B76F9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5" name="AutoShape 1" descr="Vista previa de toda la pantalla">
          <a:extLst>
            <a:ext uri="{FF2B5EF4-FFF2-40B4-BE49-F238E27FC236}">
              <a16:creationId xmlns:a16="http://schemas.microsoft.com/office/drawing/2014/main" id="{46A98D92-260D-4C65-87B6-EE713B65C7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6" name="AutoShape 1" descr="Vista previa de toda la pantalla">
          <a:extLst>
            <a:ext uri="{FF2B5EF4-FFF2-40B4-BE49-F238E27FC236}">
              <a16:creationId xmlns:a16="http://schemas.microsoft.com/office/drawing/2014/main" id="{15ECC407-0A1A-4487-8284-33DF878375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7" name="AutoShape 1" descr="Vista previa de toda la pantalla">
          <a:extLst>
            <a:ext uri="{FF2B5EF4-FFF2-40B4-BE49-F238E27FC236}">
              <a16:creationId xmlns:a16="http://schemas.microsoft.com/office/drawing/2014/main" id="{B83BAB0E-4F50-41AB-9BBA-8F2B4DAB1C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8" name="AutoShape 1" descr="Vista previa de toda la pantalla">
          <a:extLst>
            <a:ext uri="{FF2B5EF4-FFF2-40B4-BE49-F238E27FC236}">
              <a16:creationId xmlns:a16="http://schemas.microsoft.com/office/drawing/2014/main" id="{B0ED0F85-4599-4194-BCB8-AA85E0E710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49" name="AutoShape 1" descr="Vista previa de toda la pantalla">
          <a:extLst>
            <a:ext uri="{FF2B5EF4-FFF2-40B4-BE49-F238E27FC236}">
              <a16:creationId xmlns:a16="http://schemas.microsoft.com/office/drawing/2014/main" id="{0637DE20-9E9A-4129-98E2-02C2748D64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0" name="AutoShape 1" descr="Vista previa de toda la pantalla">
          <a:extLst>
            <a:ext uri="{FF2B5EF4-FFF2-40B4-BE49-F238E27FC236}">
              <a16:creationId xmlns:a16="http://schemas.microsoft.com/office/drawing/2014/main" id="{751BEAFE-8FE4-423C-8342-0AB47D5E98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1" name="AutoShape 1" descr="Vista previa de toda la pantalla">
          <a:extLst>
            <a:ext uri="{FF2B5EF4-FFF2-40B4-BE49-F238E27FC236}">
              <a16:creationId xmlns:a16="http://schemas.microsoft.com/office/drawing/2014/main" id="{72139D70-2B81-4DDD-BA0A-FF1D42D697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2" name="AutoShape 1" descr="Vista previa de toda la pantalla">
          <a:extLst>
            <a:ext uri="{FF2B5EF4-FFF2-40B4-BE49-F238E27FC236}">
              <a16:creationId xmlns:a16="http://schemas.microsoft.com/office/drawing/2014/main" id="{D64FB933-144E-40A1-98FE-A9025D88BA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3" name="AutoShape 1" descr="Vista previa de toda la pantalla">
          <a:extLst>
            <a:ext uri="{FF2B5EF4-FFF2-40B4-BE49-F238E27FC236}">
              <a16:creationId xmlns:a16="http://schemas.microsoft.com/office/drawing/2014/main" id="{A49900E0-A580-4D96-B6C2-13B868C3AA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4" name="AutoShape 1" descr="Vista previa de toda la pantalla">
          <a:extLst>
            <a:ext uri="{FF2B5EF4-FFF2-40B4-BE49-F238E27FC236}">
              <a16:creationId xmlns:a16="http://schemas.microsoft.com/office/drawing/2014/main" id="{51AF2FA5-EE30-4489-8060-E1D1F9A3D4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5" name="AutoShape 1" descr="Vista previa de toda la pantalla">
          <a:extLst>
            <a:ext uri="{FF2B5EF4-FFF2-40B4-BE49-F238E27FC236}">
              <a16:creationId xmlns:a16="http://schemas.microsoft.com/office/drawing/2014/main" id="{415FB1FD-877C-472B-8E4C-4F48FE1936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6" name="AutoShape 1" descr="Vista previa de toda la pantalla">
          <a:extLst>
            <a:ext uri="{FF2B5EF4-FFF2-40B4-BE49-F238E27FC236}">
              <a16:creationId xmlns:a16="http://schemas.microsoft.com/office/drawing/2014/main" id="{87FAA353-5F17-4069-BD91-6CC6042659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7" name="AutoShape 1" descr="Vista previa de toda la pantalla">
          <a:extLst>
            <a:ext uri="{FF2B5EF4-FFF2-40B4-BE49-F238E27FC236}">
              <a16:creationId xmlns:a16="http://schemas.microsoft.com/office/drawing/2014/main" id="{0511F701-476D-4789-9C7D-EB6584676E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8" name="AutoShape 1" descr="Vista previa de toda la pantalla">
          <a:extLst>
            <a:ext uri="{FF2B5EF4-FFF2-40B4-BE49-F238E27FC236}">
              <a16:creationId xmlns:a16="http://schemas.microsoft.com/office/drawing/2014/main" id="{4EF794B1-C864-4070-A15C-89767AA999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59" name="AutoShape 1" descr="Vista previa de toda la pantalla">
          <a:extLst>
            <a:ext uri="{FF2B5EF4-FFF2-40B4-BE49-F238E27FC236}">
              <a16:creationId xmlns:a16="http://schemas.microsoft.com/office/drawing/2014/main" id="{1E562C02-7D1B-4ECA-BD8D-77EEE961C4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0" name="AutoShape 1" descr="Vista previa de toda la pantalla">
          <a:extLst>
            <a:ext uri="{FF2B5EF4-FFF2-40B4-BE49-F238E27FC236}">
              <a16:creationId xmlns:a16="http://schemas.microsoft.com/office/drawing/2014/main" id="{EC26FD2D-9225-4F37-946D-46F954FBAA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1" name="AutoShape 1" descr="Vista previa de toda la pantalla">
          <a:extLst>
            <a:ext uri="{FF2B5EF4-FFF2-40B4-BE49-F238E27FC236}">
              <a16:creationId xmlns:a16="http://schemas.microsoft.com/office/drawing/2014/main" id="{5F898085-00F0-4FFE-B756-D20C5333D6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2" name="AutoShape 1" descr="Vista previa de toda la pantalla">
          <a:extLst>
            <a:ext uri="{FF2B5EF4-FFF2-40B4-BE49-F238E27FC236}">
              <a16:creationId xmlns:a16="http://schemas.microsoft.com/office/drawing/2014/main" id="{EF65E194-0CB5-423E-956C-5B9B41F76C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3" name="AutoShape 1" descr="Vista previa de toda la pantalla">
          <a:extLst>
            <a:ext uri="{FF2B5EF4-FFF2-40B4-BE49-F238E27FC236}">
              <a16:creationId xmlns:a16="http://schemas.microsoft.com/office/drawing/2014/main" id="{B61864F9-193F-480D-AFD5-CF50658F3D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4" name="AutoShape 1" descr="Vista previa de toda la pantalla">
          <a:extLst>
            <a:ext uri="{FF2B5EF4-FFF2-40B4-BE49-F238E27FC236}">
              <a16:creationId xmlns:a16="http://schemas.microsoft.com/office/drawing/2014/main" id="{26E27FDF-3DE2-4B0E-9434-FB2D332521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5" name="AutoShape 1" descr="Vista previa de toda la pantalla">
          <a:extLst>
            <a:ext uri="{FF2B5EF4-FFF2-40B4-BE49-F238E27FC236}">
              <a16:creationId xmlns:a16="http://schemas.microsoft.com/office/drawing/2014/main" id="{60371342-C6CF-4B6C-A13D-872A7B8E4B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6" name="AutoShape 1" descr="Vista previa de toda la pantalla">
          <a:extLst>
            <a:ext uri="{FF2B5EF4-FFF2-40B4-BE49-F238E27FC236}">
              <a16:creationId xmlns:a16="http://schemas.microsoft.com/office/drawing/2014/main" id="{65F5379B-8E6A-46E7-9EDA-2E98BCD9CC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7" name="AutoShape 1" descr="Vista previa de toda la pantalla">
          <a:extLst>
            <a:ext uri="{FF2B5EF4-FFF2-40B4-BE49-F238E27FC236}">
              <a16:creationId xmlns:a16="http://schemas.microsoft.com/office/drawing/2014/main" id="{9CCB8048-A921-42D1-91F3-E88B425D12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8" name="AutoShape 1" descr="Vista previa de toda la pantalla">
          <a:extLst>
            <a:ext uri="{FF2B5EF4-FFF2-40B4-BE49-F238E27FC236}">
              <a16:creationId xmlns:a16="http://schemas.microsoft.com/office/drawing/2014/main" id="{2D023054-F5DB-493A-B377-9FC2B402F1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69" name="AutoShape 1" descr="Vista previa de toda la pantalla">
          <a:extLst>
            <a:ext uri="{FF2B5EF4-FFF2-40B4-BE49-F238E27FC236}">
              <a16:creationId xmlns:a16="http://schemas.microsoft.com/office/drawing/2014/main" id="{43E96873-6B59-4B93-857A-279FED6257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0" name="AutoShape 1" descr="Vista previa de toda la pantalla">
          <a:extLst>
            <a:ext uri="{FF2B5EF4-FFF2-40B4-BE49-F238E27FC236}">
              <a16:creationId xmlns:a16="http://schemas.microsoft.com/office/drawing/2014/main" id="{6007980C-68BE-4F82-9053-23D581D2D7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1" name="AutoShape 1" descr="Vista previa de toda la pantalla">
          <a:extLst>
            <a:ext uri="{FF2B5EF4-FFF2-40B4-BE49-F238E27FC236}">
              <a16:creationId xmlns:a16="http://schemas.microsoft.com/office/drawing/2014/main" id="{190EDD56-DF13-4810-B8C3-E975110DE4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2" name="AutoShape 1" descr="Vista previa de toda la pantalla">
          <a:extLst>
            <a:ext uri="{FF2B5EF4-FFF2-40B4-BE49-F238E27FC236}">
              <a16:creationId xmlns:a16="http://schemas.microsoft.com/office/drawing/2014/main" id="{BA885338-905D-4876-BA64-B355BB0CA8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3" name="AutoShape 1" descr="Vista previa de toda la pantalla">
          <a:extLst>
            <a:ext uri="{FF2B5EF4-FFF2-40B4-BE49-F238E27FC236}">
              <a16:creationId xmlns:a16="http://schemas.microsoft.com/office/drawing/2014/main" id="{09E25FCE-0E41-4C94-AAC6-EA6882B835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4" name="AutoShape 1" descr="Vista previa de toda la pantalla">
          <a:extLst>
            <a:ext uri="{FF2B5EF4-FFF2-40B4-BE49-F238E27FC236}">
              <a16:creationId xmlns:a16="http://schemas.microsoft.com/office/drawing/2014/main" id="{0B134FFE-DF53-4287-84AD-8C467A6DA3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5" name="AutoShape 1" descr="Vista previa de toda la pantalla">
          <a:extLst>
            <a:ext uri="{FF2B5EF4-FFF2-40B4-BE49-F238E27FC236}">
              <a16:creationId xmlns:a16="http://schemas.microsoft.com/office/drawing/2014/main" id="{4CC00C8B-0C75-413C-BDF0-D87DE578A9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6" name="AutoShape 1" descr="Vista previa de toda la pantalla">
          <a:extLst>
            <a:ext uri="{FF2B5EF4-FFF2-40B4-BE49-F238E27FC236}">
              <a16:creationId xmlns:a16="http://schemas.microsoft.com/office/drawing/2014/main" id="{082F1A0D-6BF2-4572-AB80-DCBE75A319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7" name="AutoShape 1" descr="Vista previa de toda la pantalla">
          <a:extLst>
            <a:ext uri="{FF2B5EF4-FFF2-40B4-BE49-F238E27FC236}">
              <a16:creationId xmlns:a16="http://schemas.microsoft.com/office/drawing/2014/main" id="{868A7379-0B8C-4EAD-AD7B-69E3E61F0B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8" name="AutoShape 1" descr="Vista previa de toda la pantalla">
          <a:extLst>
            <a:ext uri="{FF2B5EF4-FFF2-40B4-BE49-F238E27FC236}">
              <a16:creationId xmlns:a16="http://schemas.microsoft.com/office/drawing/2014/main" id="{F30EDBCC-8633-40A9-A366-020B49DCB2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79" name="AutoShape 1" descr="Vista previa de toda la pantalla">
          <a:extLst>
            <a:ext uri="{FF2B5EF4-FFF2-40B4-BE49-F238E27FC236}">
              <a16:creationId xmlns:a16="http://schemas.microsoft.com/office/drawing/2014/main" id="{FE3AE09A-EE9B-4411-A813-CF560BE7D7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0" name="AutoShape 1" descr="Vista previa de toda la pantalla">
          <a:extLst>
            <a:ext uri="{FF2B5EF4-FFF2-40B4-BE49-F238E27FC236}">
              <a16:creationId xmlns:a16="http://schemas.microsoft.com/office/drawing/2014/main" id="{96503D68-C464-4F57-8A8A-5041FA020A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1" name="AutoShape 1" descr="Vista previa de toda la pantalla">
          <a:extLst>
            <a:ext uri="{FF2B5EF4-FFF2-40B4-BE49-F238E27FC236}">
              <a16:creationId xmlns:a16="http://schemas.microsoft.com/office/drawing/2014/main" id="{9B37B6F3-9B6C-4042-B1FE-5AE6944FF3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2" name="AutoShape 1" descr="Vista previa de toda la pantalla">
          <a:extLst>
            <a:ext uri="{FF2B5EF4-FFF2-40B4-BE49-F238E27FC236}">
              <a16:creationId xmlns:a16="http://schemas.microsoft.com/office/drawing/2014/main" id="{199E1F8B-ACAE-49F3-AF03-26D9E2B4FB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3" name="AutoShape 1" descr="Vista previa de toda la pantalla">
          <a:extLst>
            <a:ext uri="{FF2B5EF4-FFF2-40B4-BE49-F238E27FC236}">
              <a16:creationId xmlns:a16="http://schemas.microsoft.com/office/drawing/2014/main" id="{F2B68975-51A3-4E17-B87D-BD7566F640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4" name="AutoShape 1" descr="Vista previa de toda la pantalla">
          <a:extLst>
            <a:ext uri="{FF2B5EF4-FFF2-40B4-BE49-F238E27FC236}">
              <a16:creationId xmlns:a16="http://schemas.microsoft.com/office/drawing/2014/main" id="{D709AD92-E835-4CEA-ABE4-DC3412534D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5" name="AutoShape 1" descr="Vista previa de toda la pantalla">
          <a:extLst>
            <a:ext uri="{FF2B5EF4-FFF2-40B4-BE49-F238E27FC236}">
              <a16:creationId xmlns:a16="http://schemas.microsoft.com/office/drawing/2014/main" id="{72C6A77D-4CCC-46A1-989B-B30C401BB4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6" name="AutoShape 1" descr="Vista previa de toda la pantalla">
          <a:extLst>
            <a:ext uri="{FF2B5EF4-FFF2-40B4-BE49-F238E27FC236}">
              <a16:creationId xmlns:a16="http://schemas.microsoft.com/office/drawing/2014/main" id="{6D321B93-1666-4DD8-8B6D-40DF7BBD12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7" name="AutoShape 1" descr="Vista previa de toda la pantalla">
          <a:extLst>
            <a:ext uri="{FF2B5EF4-FFF2-40B4-BE49-F238E27FC236}">
              <a16:creationId xmlns:a16="http://schemas.microsoft.com/office/drawing/2014/main" id="{FC581469-4888-4630-A5A9-B516788B00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8" name="AutoShape 1" descr="Vista previa de toda la pantalla">
          <a:extLst>
            <a:ext uri="{FF2B5EF4-FFF2-40B4-BE49-F238E27FC236}">
              <a16:creationId xmlns:a16="http://schemas.microsoft.com/office/drawing/2014/main" id="{5B849386-76EE-4648-9D14-3B9E3B4306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89" name="AutoShape 1" descr="Vista previa de toda la pantalla">
          <a:extLst>
            <a:ext uri="{FF2B5EF4-FFF2-40B4-BE49-F238E27FC236}">
              <a16:creationId xmlns:a16="http://schemas.microsoft.com/office/drawing/2014/main" id="{EFC2D606-FD29-404A-A784-2C8869E739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0" name="AutoShape 1" descr="Vista previa de toda la pantalla">
          <a:extLst>
            <a:ext uri="{FF2B5EF4-FFF2-40B4-BE49-F238E27FC236}">
              <a16:creationId xmlns:a16="http://schemas.microsoft.com/office/drawing/2014/main" id="{CC78B01B-3D6B-4774-9247-F70E6F6077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1" name="AutoShape 1" descr="Vista previa de toda la pantalla">
          <a:extLst>
            <a:ext uri="{FF2B5EF4-FFF2-40B4-BE49-F238E27FC236}">
              <a16:creationId xmlns:a16="http://schemas.microsoft.com/office/drawing/2014/main" id="{922B3FF0-07FF-455A-951A-2FA8A89D42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2" name="AutoShape 1" descr="Vista previa de toda la pantalla">
          <a:extLst>
            <a:ext uri="{FF2B5EF4-FFF2-40B4-BE49-F238E27FC236}">
              <a16:creationId xmlns:a16="http://schemas.microsoft.com/office/drawing/2014/main" id="{04597A26-7D46-4BD3-A074-A95FA63015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3" name="AutoShape 1" descr="Vista previa de toda la pantalla">
          <a:extLst>
            <a:ext uri="{FF2B5EF4-FFF2-40B4-BE49-F238E27FC236}">
              <a16:creationId xmlns:a16="http://schemas.microsoft.com/office/drawing/2014/main" id="{C27E5E06-D2A5-43F4-BB05-6825A86340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4" name="AutoShape 1" descr="Vista previa de toda la pantalla">
          <a:extLst>
            <a:ext uri="{FF2B5EF4-FFF2-40B4-BE49-F238E27FC236}">
              <a16:creationId xmlns:a16="http://schemas.microsoft.com/office/drawing/2014/main" id="{3F5567F3-4C09-4FF0-986A-5F9123FF0B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5" name="AutoShape 1" descr="Vista previa de toda la pantalla">
          <a:extLst>
            <a:ext uri="{FF2B5EF4-FFF2-40B4-BE49-F238E27FC236}">
              <a16:creationId xmlns:a16="http://schemas.microsoft.com/office/drawing/2014/main" id="{003B79C2-A13B-4B8C-AACF-FBD3C7A8AB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6" name="AutoShape 1" descr="Vista previa de toda la pantalla">
          <a:extLst>
            <a:ext uri="{FF2B5EF4-FFF2-40B4-BE49-F238E27FC236}">
              <a16:creationId xmlns:a16="http://schemas.microsoft.com/office/drawing/2014/main" id="{E683420C-0838-4836-89F8-379A4F3DF5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7" name="AutoShape 1" descr="Vista previa de toda la pantalla">
          <a:extLst>
            <a:ext uri="{FF2B5EF4-FFF2-40B4-BE49-F238E27FC236}">
              <a16:creationId xmlns:a16="http://schemas.microsoft.com/office/drawing/2014/main" id="{79098490-C1C6-4089-962F-CECB799DDD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8" name="AutoShape 1" descr="Vista previa de toda la pantalla">
          <a:extLst>
            <a:ext uri="{FF2B5EF4-FFF2-40B4-BE49-F238E27FC236}">
              <a16:creationId xmlns:a16="http://schemas.microsoft.com/office/drawing/2014/main" id="{5495B423-07DF-436C-AB42-7DF28E7F76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899" name="AutoShape 1" descr="Vista previa de toda la pantalla">
          <a:extLst>
            <a:ext uri="{FF2B5EF4-FFF2-40B4-BE49-F238E27FC236}">
              <a16:creationId xmlns:a16="http://schemas.microsoft.com/office/drawing/2014/main" id="{F47B6957-32BC-44C9-9B41-AC31FD3BB5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0" name="AutoShape 1" descr="Vista previa de toda la pantalla">
          <a:extLst>
            <a:ext uri="{FF2B5EF4-FFF2-40B4-BE49-F238E27FC236}">
              <a16:creationId xmlns:a16="http://schemas.microsoft.com/office/drawing/2014/main" id="{BC45507E-9B73-46FB-B133-397CEE8CB4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1" name="AutoShape 1" descr="Vista previa de toda la pantalla">
          <a:extLst>
            <a:ext uri="{FF2B5EF4-FFF2-40B4-BE49-F238E27FC236}">
              <a16:creationId xmlns:a16="http://schemas.microsoft.com/office/drawing/2014/main" id="{2C2236FB-477E-41E6-B6F7-47CC70A01B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2" name="AutoShape 1" descr="Vista previa de toda la pantalla">
          <a:extLst>
            <a:ext uri="{FF2B5EF4-FFF2-40B4-BE49-F238E27FC236}">
              <a16:creationId xmlns:a16="http://schemas.microsoft.com/office/drawing/2014/main" id="{E427F56F-7B89-4394-9C16-7DC2C4E5AD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3" name="AutoShape 1" descr="Vista previa de toda la pantalla">
          <a:extLst>
            <a:ext uri="{FF2B5EF4-FFF2-40B4-BE49-F238E27FC236}">
              <a16:creationId xmlns:a16="http://schemas.microsoft.com/office/drawing/2014/main" id="{B82DE7D9-AB8F-4EE9-92CE-CAE6B7C508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4" name="AutoShape 1" descr="Vista previa de toda la pantalla">
          <a:extLst>
            <a:ext uri="{FF2B5EF4-FFF2-40B4-BE49-F238E27FC236}">
              <a16:creationId xmlns:a16="http://schemas.microsoft.com/office/drawing/2014/main" id="{0B34187B-226F-4390-92E3-CD7E6E6631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5" name="AutoShape 1" descr="Vista previa de toda la pantalla">
          <a:extLst>
            <a:ext uri="{FF2B5EF4-FFF2-40B4-BE49-F238E27FC236}">
              <a16:creationId xmlns:a16="http://schemas.microsoft.com/office/drawing/2014/main" id="{E2BDC368-3628-48B2-8FA2-A0B163A33B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6" name="AutoShape 1" descr="Vista previa de toda la pantalla">
          <a:extLst>
            <a:ext uri="{FF2B5EF4-FFF2-40B4-BE49-F238E27FC236}">
              <a16:creationId xmlns:a16="http://schemas.microsoft.com/office/drawing/2014/main" id="{BEEA8901-FF30-4DA4-8865-7037C67743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7" name="AutoShape 1" descr="Vista previa de toda la pantalla">
          <a:extLst>
            <a:ext uri="{FF2B5EF4-FFF2-40B4-BE49-F238E27FC236}">
              <a16:creationId xmlns:a16="http://schemas.microsoft.com/office/drawing/2014/main" id="{4E5A2185-112E-4780-8B12-150C96B183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8" name="AutoShape 1" descr="Vista previa de toda la pantalla">
          <a:extLst>
            <a:ext uri="{FF2B5EF4-FFF2-40B4-BE49-F238E27FC236}">
              <a16:creationId xmlns:a16="http://schemas.microsoft.com/office/drawing/2014/main" id="{AB891260-658B-47E1-953F-A35CCE0ECD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09" name="AutoShape 1" descr="Vista previa de toda la pantalla">
          <a:extLst>
            <a:ext uri="{FF2B5EF4-FFF2-40B4-BE49-F238E27FC236}">
              <a16:creationId xmlns:a16="http://schemas.microsoft.com/office/drawing/2014/main" id="{24AB3CCA-7445-4D26-A78A-0CBC09E5E2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0" name="AutoShape 1" descr="Vista previa de toda la pantalla">
          <a:extLst>
            <a:ext uri="{FF2B5EF4-FFF2-40B4-BE49-F238E27FC236}">
              <a16:creationId xmlns:a16="http://schemas.microsoft.com/office/drawing/2014/main" id="{78D16D49-1E71-4303-8B33-42A71816D7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1" name="AutoShape 1" descr="Vista previa de toda la pantalla">
          <a:extLst>
            <a:ext uri="{FF2B5EF4-FFF2-40B4-BE49-F238E27FC236}">
              <a16:creationId xmlns:a16="http://schemas.microsoft.com/office/drawing/2014/main" id="{73EA1FA8-24DF-4B60-B19C-EE06F61553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2" name="AutoShape 1" descr="Vista previa de toda la pantalla">
          <a:extLst>
            <a:ext uri="{FF2B5EF4-FFF2-40B4-BE49-F238E27FC236}">
              <a16:creationId xmlns:a16="http://schemas.microsoft.com/office/drawing/2014/main" id="{F3D581BE-25C2-49DD-B60A-BB1FE8480D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3" name="AutoShape 1" descr="Vista previa de toda la pantalla">
          <a:extLst>
            <a:ext uri="{FF2B5EF4-FFF2-40B4-BE49-F238E27FC236}">
              <a16:creationId xmlns:a16="http://schemas.microsoft.com/office/drawing/2014/main" id="{B5378A9D-F35C-4C50-94CE-2A6C0A35CE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4" name="AutoShape 1" descr="Vista previa de toda la pantalla">
          <a:extLst>
            <a:ext uri="{FF2B5EF4-FFF2-40B4-BE49-F238E27FC236}">
              <a16:creationId xmlns:a16="http://schemas.microsoft.com/office/drawing/2014/main" id="{3B5513FA-989C-4E8C-99E2-3806C23F47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5" name="AutoShape 1" descr="Vista previa de toda la pantalla">
          <a:extLst>
            <a:ext uri="{FF2B5EF4-FFF2-40B4-BE49-F238E27FC236}">
              <a16:creationId xmlns:a16="http://schemas.microsoft.com/office/drawing/2014/main" id="{E35AE98E-1BC5-47B5-BE74-A87640AAC5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6" name="AutoShape 1" descr="Vista previa de toda la pantalla">
          <a:extLst>
            <a:ext uri="{FF2B5EF4-FFF2-40B4-BE49-F238E27FC236}">
              <a16:creationId xmlns:a16="http://schemas.microsoft.com/office/drawing/2014/main" id="{4A2E9F9A-0F33-4B82-A951-39333FCDAB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7" name="AutoShape 1" descr="Vista previa de toda la pantalla">
          <a:extLst>
            <a:ext uri="{FF2B5EF4-FFF2-40B4-BE49-F238E27FC236}">
              <a16:creationId xmlns:a16="http://schemas.microsoft.com/office/drawing/2014/main" id="{ECDC40C8-08E2-4A50-9172-93C20E3AAD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8" name="AutoShape 1" descr="Vista previa de toda la pantalla">
          <a:extLst>
            <a:ext uri="{FF2B5EF4-FFF2-40B4-BE49-F238E27FC236}">
              <a16:creationId xmlns:a16="http://schemas.microsoft.com/office/drawing/2014/main" id="{67F29812-A5DA-4C43-B750-CB055FEABE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19" name="AutoShape 1" descr="Vista previa de toda la pantalla">
          <a:extLst>
            <a:ext uri="{FF2B5EF4-FFF2-40B4-BE49-F238E27FC236}">
              <a16:creationId xmlns:a16="http://schemas.microsoft.com/office/drawing/2014/main" id="{97427FC6-4B6B-4B20-A9D3-1541560BF8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20" name="AutoShape 1" descr="Vista previa de toda la pantalla">
          <a:extLst>
            <a:ext uri="{FF2B5EF4-FFF2-40B4-BE49-F238E27FC236}">
              <a16:creationId xmlns:a16="http://schemas.microsoft.com/office/drawing/2014/main" id="{9FB65BA3-6050-42B8-8B93-70F955546A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21" name="AutoShape 1" descr="Vista previa de toda la pantalla">
          <a:extLst>
            <a:ext uri="{FF2B5EF4-FFF2-40B4-BE49-F238E27FC236}">
              <a16:creationId xmlns:a16="http://schemas.microsoft.com/office/drawing/2014/main" id="{B4A52CC1-A66C-420D-95E4-70EDE14782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22" name="AutoShape 1" descr="Vista previa de toda la pantalla">
          <a:extLst>
            <a:ext uri="{FF2B5EF4-FFF2-40B4-BE49-F238E27FC236}">
              <a16:creationId xmlns:a16="http://schemas.microsoft.com/office/drawing/2014/main" id="{10B254FF-74FC-488C-A223-7CFD9C016E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23" name="AutoShape 1" descr="Vista previa de toda la pantalla">
          <a:extLst>
            <a:ext uri="{FF2B5EF4-FFF2-40B4-BE49-F238E27FC236}">
              <a16:creationId xmlns:a16="http://schemas.microsoft.com/office/drawing/2014/main" id="{A5B20C47-257C-4C03-B7E2-EE846CB047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24" name="AutoShape 1" descr="Vista previa de toda la pantalla">
          <a:extLst>
            <a:ext uri="{FF2B5EF4-FFF2-40B4-BE49-F238E27FC236}">
              <a16:creationId xmlns:a16="http://schemas.microsoft.com/office/drawing/2014/main" id="{43CAB83A-BD40-4B10-A7CD-8EE7647B2A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25" name="AutoShape 1" descr="Vista previa de toda la pantalla">
          <a:extLst>
            <a:ext uri="{FF2B5EF4-FFF2-40B4-BE49-F238E27FC236}">
              <a16:creationId xmlns:a16="http://schemas.microsoft.com/office/drawing/2014/main" id="{29F16408-FCB9-493F-ADAE-94737E9E79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6926" name="AutoShape 1" descr="Vista previa de toda la pantalla">
          <a:extLst>
            <a:ext uri="{FF2B5EF4-FFF2-40B4-BE49-F238E27FC236}">
              <a16:creationId xmlns:a16="http://schemas.microsoft.com/office/drawing/2014/main" id="{791AB98B-CC0D-47E6-93B9-7ECB724768B1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27" name="AutoShape 1" descr="Vista previa de toda la pantalla">
          <a:extLst>
            <a:ext uri="{FF2B5EF4-FFF2-40B4-BE49-F238E27FC236}">
              <a16:creationId xmlns:a16="http://schemas.microsoft.com/office/drawing/2014/main" id="{1AE2D613-E5CA-4A30-8080-AF81C5AB2D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28" name="AutoShape 1" descr="Vista previa de toda la pantalla">
          <a:extLst>
            <a:ext uri="{FF2B5EF4-FFF2-40B4-BE49-F238E27FC236}">
              <a16:creationId xmlns:a16="http://schemas.microsoft.com/office/drawing/2014/main" id="{BD7AA587-53B2-4BF5-8DBE-18E2AF5778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29" name="AutoShape 1" descr="Vista previa de toda la pantalla">
          <a:extLst>
            <a:ext uri="{FF2B5EF4-FFF2-40B4-BE49-F238E27FC236}">
              <a16:creationId xmlns:a16="http://schemas.microsoft.com/office/drawing/2014/main" id="{77147303-F1D2-4860-9A4D-CD0246C2A9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0" name="AutoShape 1" descr="Vista previa de toda la pantalla">
          <a:extLst>
            <a:ext uri="{FF2B5EF4-FFF2-40B4-BE49-F238E27FC236}">
              <a16:creationId xmlns:a16="http://schemas.microsoft.com/office/drawing/2014/main" id="{19C0FB0A-5404-46B5-B96C-A7211AA53C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1" name="AutoShape 1" descr="Vista previa de toda la pantalla">
          <a:extLst>
            <a:ext uri="{FF2B5EF4-FFF2-40B4-BE49-F238E27FC236}">
              <a16:creationId xmlns:a16="http://schemas.microsoft.com/office/drawing/2014/main" id="{273FDE6F-A23B-40EF-8B56-405C6879E8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2" name="AutoShape 1" descr="Vista previa de toda la pantalla">
          <a:extLst>
            <a:ext uri="{FF2B5EF4-FFF2-40B4-BE49-F238E27FC236}">
              <a16:creationId xmlns:a16="http://schemas.microsoft.com/office/drawing/2014/main" id="{0C977D4F-1B5E-4782-A38A-028870A0A0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3" name="AutoShape 1" descr="Vista previa de toda la pantalla">
          <a:extLst>
            <a:ext uri="{FF2B5EF4-FFF2-40B4-BE49-F238E27FC236}">
              <a16:creationId xmlns:a16="http://schemas.microsoft.com/office/drawing/2014/main" id="{D90D73ED-EE18-49EB-AB76-DC50D8C335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4" name="AutoShape 1" descr="Vista previa de toda la pantalla">
          <a:extLst>
            <a:ext uri="{FF2B5EF4-FFF2-40B4-BE49-F238E27FC236}">
              <a16:creationId xmlns:a16="http://schemas.microsoft.com/office/drawing/2014/main" id="{1F347854-DEBD-4FB6-98E9-F285FFC733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5" name="AutoShape 1" descr="Vista previa de toda la pantalla">
          <a:extLst>
            <a:ext uri="{FF2B5EF4-FFF2-40B4-BE49-F238E27FC236}">
              <a16:creationId xmlns:a16="http://schemas.microsoft.com/office/drawing/2014/main" id="{1469AC69-521C-4FF0-B39D-B4A47F790D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6" name="AutoShape 1" descr="Vista previa de toda la pantalla">
          <a:extLst>
            <a:ext uri="{FF2B5EF4-FFF2-40B4-BE49-F238E27FC236}">
              <a16:creationId xmlns:a16="http://schemas.microsoft.com/office/drawing/2014/main" id="{23B7950A-2592-494C-A385-2887A56946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7" name="AutoShape 1" descr="Vista previa de toda la pantalla">
          <a:extLst>
            <a:ext uri="{FF2B5EF4-FFF2-40B4-BE49-F238E27FC236}">
              <a16:creationId xmlns:a16="http://schemas.microsoft.com/office/drawing/2014/main" id="{9191F450-FE17-4B43-BD2D-197075A02A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8" name="AutoShape 1" descr="Vista previa de toda la pantalla">
          <a:extLst>
            <a:ext uri="{FF2B5EF4-FFF2-40B4-BE49-F238E27FC236}">
              <a16:creationId xmlns:a16="http://schemas.microsoft.com/office/drawing/2014/main" id="{6D304081-7355-4AAE-9C13-70C5ABD873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39" name="AutoShape 1" descr="Vista previa de toda la pantalla">
          <a:extLst>
            <a:ext uri="{FF2B5EF4-FFF2-40B4-BE49-F238E27FC236}">
              <a16:creationId xmlns:a16="http://schemas.microsoft.com/office/drawing/2014/main" id="{BBBAC9D4-68DA-4FC7-8BE5-6878A6AB53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0" name="AutoShape 1" descr="Vista previa de toda la pantalla">
          <a:extLst>
            <a:ext uri="{FF2B5EF4-FFF2-40B4-BE49-F238E27FC236}">
              <a16:creationId xmlns:a16="http://schemas.microsoft.com/office/drawing/2014/main" id="{8CB97742-5C94-4170-951A-3A2A5D316F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1" name="AutoShape 1" descr="Vista previa de toda la pantalla">
          <a:extLst>
            <a:ext uri="{FF2B5EF4-FFF2-40B4-BE49-F238E27FC236}">
              <a16:creationId xmlns:a16="http://schemas.microsoft.com/office/drawing/2014/main" id="{E98DADFD-5A53-4A94-AC6B-523E566F49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2" name="AutoShape 1" descr="Vista previa de toda la pantalla">
          <a:extLst>
            <a:ext uri="{FF2B5EF4-FFF2-40B4-BE49-F238E27FC236}">
              <a16:creationId xmlns:a16="http://schemas.microsoft.com/office/drawing/2014/main" id="{2428E72D-7F6D-4494-93AB-FEBAA04429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3" name="AutoShape 1" descr="Vista previa de toda la pantalla">
          <a:extLst>
            <a:ext uri="{FF2B5EF4-FFF2-40B4-BE49-F238E27FC236}">
              <a16:creationId xmlns:a16="http://schemas.microsoft.com/office/drawing/2014/main" id="{8E9AD74B-A79F-453A-9034-37B143666E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4" name="AutoShape 1" descr="Vista previa de toda la pantalla">
          <a:extLst>
            <a:ext uri="{FF2B5EF4-FFF2-40B4-BE49-F238E27FC236}">
              <a16:creationId xmlns:a16="http://schemas.microsoft.com/office/drawing/2014/main" id="{099DF1DD-FF1C-46F7-9B67-344EFC0208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5" name="AutoShape 1" descr="Vista previa de toda la pantalla">
          <a:extLst>
            <a:ext uri="{FF2B5EF4-FFF2-40B4-BE49-F238E27FC236}">
              <a16:creationId xmlns:a16="http://schemas.microsoft.com/office/drawing/2014/main" id="{F77120A7-BCB3-4246-8F5A-140E6A9D6C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6" name="AutoShape 1" descr="Vista previa de toda la pantalla">
          <a:extLst>
            <a:ext uri="{FF2B5EF4-FFF2-40B4-BE49-F238E27FC236}">
              <a16:creationId xmlns:a16="http://schemas.microsoft.com/office/drawing/2014/main" id="{A192787F-2665-4736-8D9C-E41399DBD3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7" name="AutoShape 1" descr="Vista previa de toda la pantalla">
          <a:extLst>
            <a:ext uri="{FF2B5EF4-FFF2-40B4-BE49-F238E27FC236}">
              <a16:creationId xmlns:a16="http://schemas.microsoft.com/office/drawing/2014/main" id="{77DE82B1-28C3-481F-8AAA-0C65E51237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8" name="AutoShape 1" descr="Vista previa de toda la pantalla">
          <a:extLst>
            <a:ext uri="{FF2B5EF4-FFF2-40B4-BE49-F238E27FC236}">
              <a16:creationId xmlns:a16="http://schemas.microsoft.com/office/drawing/2014/main" id="{5D3B5879-60F0-4C4A-9130-E41BDB3D56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49" name="AutoShape 1" descr="Vista previa de toda la pantalla">
          <a:extLst>
            <a:ext uri="{FF2B5EF4-FFF2-40B4-BE49-F238E27FC236}">
              <a16:creationId xmlns:a16="http://schemas.microsoft.com/office/drawing/2014/main" id="{9E903263-80C4-42EE-84CF-B7320B5024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0" name="AutoShape 1" descr="Vista previa de toda la pantalla">
          <a:extLst>
            <a:ext uri="{FF2B5EF4-FFF2-40B4-BE49-F238E27FC236}">
              <a16:creationId xmlns:a16="http://schemas.microsoft.com/office/drawing/2014/main" id="{FFD1AF97-17CC-45FA-98D4-019DF6EF75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1" name="AutoShape 1" descr="Vista previa de toda la pantalla">
          <a:extLst>
            <a:ext uri="{FF2B5EF4-FFF2-40B4-BE49-F238E27FC236}">
              <a16:creationId xmlns:a16="http://schemas.microsoft.com/office/drawing/2014/main" id="{D8CC6F4C-25E1-4C4F-B41F-3C9CBD1E37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2" name="AutoShape 1" descr="Vista previa de toda la pantalla">
          <a:extLst>
            <a:ext uri="{FF2B5EF4-FFF2-40B4-BE49-F238E27FC236}">
              <a16:creationId xmlns:a16="http://schemas.microsoft.com/office/drawing/2014/main" id="{1F916483-2885-4033-9CE8-F830002805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3" name="AutoShape 1" descr="Vista previa de toda la pantalla">
          <a:extLst>
            <a:ext uri="{FF2B5EF4-FFF2-40B4-BE49-F238E27FC236}">
              <a16:creationId xmlns:a16="http://schemas.microsoft.com/office/drawing/2014/main" id="{62C0D5C7-B615-479A-8A4F-6FAF959D70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4" name="AutoShape 1" descr="Vista previa de toda la pantalla">
          <a:extLst>
            <a:ext uri="{FF2B5EF4-FFF2-40B4-BE49-F238E27FC236}">
              <a16:creationId xmlns:a16="http://schemas.microsoft.com/office/drawing/2014/main" id="{ADDC7D6C-EDA2-470B-936E-F0C679FD5D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5" name="AutoShape 1" descr="Vista previa de toda la pantalla">
          <a:extLst>
            <a:ext uri="{FF2B5EF4-FFF2-40B4-BE49-F238E27FC236}">
              <a16:creationId xmlns:a16="http://schemas.microsoft.com/office/drawing/2014/main" id="{D10998DF-051B-4F41-BFEE-59530492CF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6" name="AutoShape 1" descr="Vista previa de toda la pantalla">
          <a:extLst>
            <a:ext uri="{FF2B5EF4-FFF2-40B4-BE49-F238E27FC236}">
              <a16:creationId xmlns:a16="http://schemas.microsoft.com/office/drawing/2014/main" id="{3CABF073-B675-431C-8365-D34C28706F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7" name="AutoShape 1" descr="Vista previa de toda la pantalla">
          <a:extLst>
            <a:ext uri="{FF2B5EF4-FFF2-40B4-BE49-F238E27FC236}">
              <a16:creationId xmlns:a16="http://schemas.microsoft.com/office/drawing/2014/main" id="{B6762462-6731-4A33-AF39-6B14FAA8F5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8" name="AutoShape 1" descr="Vista previa de toda la pantalla">
          <a:extLst>
            <a:ext uri="{FF2B5EF4-FFF2-40B4-BE49-F238E27FC236}">
              <a16:creationId xmlns:a16="http://schemas.microsoft.com/office/drawing/2014/main" id="{6C402C0E-DA76-4447-BE96-1C5D52CDAE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59" name="AutoShape 1" descr="Vista previa de toda la pantalla">
          <a:extLst>
            <a:ext uri="{FF2B5EF4-FFF2-40B4-BE49-F238E27FC236}">
              <a16:creationId xmlns:a16="http://schemas.microsoft.com/office/drawing/2014/main" id="{CCC5EC5B-57E2-4B73-8469-519537B14A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0" name="AutoShape 1" descr="Vista previa de toda la pantalla">
          <a:extLst>
            <a:ext uri="{FF2B5EF4-FFF2-40B4-BE49-F238E27FC236}">
              <a16:creationId xmlns:a16="http://schemas.microsoft.com/office/drawing/2014/main" id="{D258AA1A-1EFB-44F8-8129-A318BD7794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1" name="AutoShape 1" descr="Vista previa de toda la pantalla">
          <a:extLst>
            <a:ext uri="{FF2B5EF4-FFF2-40B4-BE49-F238E27FC236}">
              <a16:creationId xmlns:a16="http://schemas.microsoft.com/office/drawing/2014/main" id="{94DB08D4-15EA-4874-AD7D-7D7480632E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2" name="AutoShape 1" descr="Vista previa de toda la pantalla">
          <a:extLst>
            <a:ext uri="{FF2B5EF4-FFF2-40B4-BE49-F238E27FC236}">
              <a16:creationId xmlns:a16="http://schemas.microsoft.com/office/drawing/2014/main" id="{9FAB7A04-FE95-4791-A5AB-2A1A83E29C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3" name="AutoShape 1" descr="Vista previa de toda la pantalla">
          <a:extLst>
            <a:ext uri="{FF2B5EF4-FFF2-40B4-BE49-F238E27FC236}">
              <a16:creationId xmlns:a16="http://schemas.microsoft.com/office/drawing/2014/main" id="{31EC218F-B794-432B-8ACD-400F63F0E4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4" name="AutoShape 1" descr="Vista previa de toda la pantalla">
          <a:extLst>
            <a:ext uri="{FF2B5EF4-FFF2-40B4-BE49-F238E27FC236}">
              <a16:creationId xmlns:a16="http://schemas.microsoft.com/office/drawing/2014/main" id="{F9A4B747-4BEE-4B2A-9CF6-1467D426E4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5" name="AutoShape 1" descr="Vista previa de toda la pantalla">
          <a:extLst>
            <a:ext uri="{FF2B5EF4-FFF2-40B4-BE49-F238E27FC236}">
              <a16:creationId xmlns:a16="http://schemas.microsoft.com/office/drawing/2014/main" id="{F999AD55-CAE4-448D-8DCF-C3AC58FF58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6" name="AutoShape 1" descr="Vista previa de toda la pantalla">
          <a:extLst>
            <a:ext uri="{FF2B5EF4-FFF2-40B4-BE49-F238E27FC236}">
              <a16:creationId xmlns:a16="http://schemas.microsoft.com/office/drawing/2014/main" id="{F377F02B-D393-4420-933F-B53956BEDE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7" name="AutoShape 1" descr="Vista previa de toda la pantalla">
          <a:extLst>
            <a:ext uri="{FF2B5EF4-FFF2-40B4-BE49-F238E27FC236}">
              <a16:creationId xmlns:a16="http://schemas.microsoft.com/office/drawing/2014/main" id="{51C633D4-BEB5-4D76-A780-56A541FE34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8" name="AutoShape 1" descr="Vista previa de toda la pantalla">
          <a:extLst>
            <a:ext uri="{FF2B5EF4-FFF2-40B4-BE49-F238E27FC236}">
              <a16:creationId xmlns:a16="http://schemas.microsoft.com/office/drawing/2014/main" id="{9EB0D089-28EE-462D-AF12-57EDC3600D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69" name="AutoShape 1" descr="Vista previa de toda la pantalla">
          <a:extLst>
            <a:ext uri="{FF2B5EF4-FFF2-40B4-BE49-F238E27FC236}">
              <a16:creationId xmlns:a16="http://schemas.microsoft.com/office/drawing/2014/main" id="{25F2FA20-AD3B-4BC5-A1F0-970FD6EEDA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0" name="AutoShape 1" descr="Vista previa de toda la pantalla">
          <a:extLst>
            <a:ext uri="{FF2B5EF4-FFF2-40B4-BE49-F238E27FC236}">
              <a16:creationId xmlns:a16="http://schemas.microsoft.com/office/drawing/2014/main" id="{BF0C6FB5-561B-4166-872D-27AEB6D4DE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1" name="AutoShape 1" descr="Vista previa de toda la pantalla">
          <a:extLst>
            <a:ext uri="{FF2B5EF4-FFF2-40B4-BE49-F238E27FC236}">
              <a16:creationId xmlns:a16="http://schemas.microsoft.com/office/drawing/2014/main" id="{689BB900-5934-409D-A7D1-DF01A295AB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2" name="AutoShape 1" descr="Vista previa de toda la pantalla">
          <a:extLst>
            <a:ext uri="{FF2B5EF4-FFF2-40B4-BE49-F238E27FC236}">
              <a16:creationId xmlns:a16="http://schemas.microsoft.com/office/drawing/2014/main" id="{08581300-0E9B-4A01-A2BD-A46B7B08A7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3" name="AutoShape 1" descr="Vista previa de toda la pantalla">
          <a:extLst>
            <a:ext uri="{FF2B5EF4-FFF2-40B4-BE49-F238E27FC236}">
              <a16:creationId xmlns:a16="http://schemas.microsoft.com/office/drawing/2014/main" id="{B7336646-F253-457F-9472-C3989A35AF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4" name="AutoShape 1" descr="Vista previa de toda la pantalla">
          <a:extLst>
            <a:ext uri="{FF2B5EF4-FFF2-40B4-BE49-F238E27FC236}">
              <a16:creationId xmlns:a16="http://schemas.microsoft.com/office/drawing/2014/main" id="{00BE8A37-2E3C-4C31-94A2-48658FF554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5" name="AutoShape 1" descr="Vista previa de toda la pantalla">
          <a:extLst>
            <a:ext uri="{FF2B5EF4-FFF2-40B4-BE49-F238E27FC236}">
              <a16:creationId xmlns:a16="http://schemas.microsoft.com/office/drawing/2014/main" id="{CE195BC7-C548-416B-B55C-566DDED2CA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6" name="AutoShape 1" descr="Vista previa de toda la pantalla">
          <a:extLst>
            <a:ext uri="{FF2B5EF4-FFF2-40B4-BE49-F238E27FC236}">
              <a16:creationId xmlns:a16="http://schemas.microsoft.com/office/drawing/2014/main" id="{FA39899A-E8C3-4536-9680-1518A83259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7" name="AutoShape 1" descr="Vista previa de toda la pantalla">
          <a:extLst>
            <a:ext uri="{FF2B5EF4-FFF2-40B4-BE49-F238E27FC236}">
              <a16:creationId xmlns:a16="http://schemas.microsoft.com/office/drawing/2014/main" id="{5D3735D6-BF56-4EB7-A4BE-D82ADA88AA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8" name="AutoShape 1" descr="Vista previa de toda la pantalla">
          <a:extLst>
            <a:ext uri="{FF2B5EF4-FFF2-40B4-BE49-F238E27FC236}">
              <a16:creationId xmlns:a16="http://schemas.microsoft.com/office/drawing/2014/main" id="{BC5ED72C-E05D-4AC1-9B9C-9BD84FFD99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79" name="AutoShape 1" descr="Vista previa de toda la pantalla">
          <a:extLst>
            <a:ext uri="{FF2B5EF4-FFF2-40B4-BE49-F238E27FC236}">
              <a16:creationId xmlns:a16="http://schemas.microsoft.com/office/drawing/2014/main" id="{07F1BE94-7A4F-448D-A26E-22890CC070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0" name="AutoShape 1" descr="Vista previa de toda la pantalla">
          <a:extLst>
            <a:ext uri="{FF2B5EF4-FFF2-40B4-BE49-F238E27FC236}">
              <a16:creationId xmlns:a16="http://schemas.microsoft.com/office/drawing/2014/main" id="{3E1C6FE6-4584-4D20-B528-E6AE703990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1" name="AutoShape 1" descr="Vista previa de toda la pantalla">
          <a:extLst>
            <a:ext uri="{FF2B5EF4-FFF2-40B4-BE49-F238E27FC236}">
              <a16:creationId xmlns:a16="http://schemas.microsoft.com/office/drawing/2014/main" id="{E959BF7F-B63D-44D6-9898-D9F8C07F7C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2" name="AutoShape 1" descr="Vista previa de toda la pantalla">
          <a:extLst>
            <a:ext uri="{FF2B5EF4-FFF2-40B4-BE49-F238E27FC236}">
              <a16:creationId xmlns:a16="http://schemas.microsoft.com/office/drawing/2014/main" id="{F8B22728-15DD-48DE-B731-479DF1FBD2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3" name="AutoShape 1" descr="Vista previa de toda la pantalla">
          <a:extLst>
            <a:ext uri="{FF2B5EF4-FFF2-40B4-BE49-F238E27FC236}">
              <a16:creationId xmlns:a16="http://schemas.microsoft.com/office/drawing/2014/main" id="{EE541873-818B-494E-8380-0FE67133FD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4" name="AutoShape 1" descr="Vista previa de toda la pantalla">
          <a:extLst>
            <a:ext uri="{FF2B5EF4-FFF2-40B4-BE49-F238E27FC236}">
              <a16:creationId xmlns:a16="http://schemas.microsoft.com/office/drawing/2014/main" id="{F66E1C36-2BB3-4358-A779-77ABB3BA05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5" name="AutoShape 1" descr="Vista previa de toda la pantalla">
          <a:extLst>
            <a:ext uri="{FF2B5EF4-FFF2-40B4-BE49-F238E27FC236}">
              <a16:creationId xmlns:a16="http://schemas.microsoft.com/office/drawing/2014/main" id="{F37CDE99-BA6A-46A4-8423-B6A1EF5BE1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6" name="AutoShape 1" descr="Vista previa de toda la pantalla">
          <a:extLst>
            <a:ext uri="{FF2B5EF4-FFF2-40B4-BE49-F238E27FC236}">
              <a16:creationId xmlns:a16="http://schemas.microsoft.com/office/drawing/2014/main" id="{46747F7D-3F36-4CD2-B5F6-B9028A7D5E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7" name="AutoShape 1" descr="Vista previa de toda la pantalla">
          <a:extLst>
            <a:ext uri="{FF2B5EF4-FFF2-40B4-BE49-F238E27FC236}">
              <a16:creationId xmlns:a16="http://schemas.microsoft.com/office/drawing/2014/main" id="{1E0B2D72-240B-4815-B4FF-7F11F890B9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8" name="AutoShape 1" descr="Vista previa de toda la pantalla">
          <a:extLst>
            <a:ext uri="{FF2B5EF4-FFF2-40B4-BE49-F238E27FC236}">
              <a16:creationId xmlns:a16="http://schemas.microsoft.com/office/drawing/2014/main" id="{832C76EE-C9C0-4506-ACE0-E497223249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89" name="AutoShape 1" descr="Vista previa de toda la pantalla">
          <a:extLst>
            <a:ext uri="{FF2B5EF4-FFF2-40B4-BE49-F238E27FC236}">
              <a16:creationId xmlns:a16="http://schemas.microsoft.com/office/drawing/2014/main" id="{3099443E-F81A-4009-9C68-2495B979AE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0" name="AutoShape 1" descr="Vista previa de toda la pantalla">
          <a:extLst>
            <a:ext uri="{FF2B5EF4-FFF2-40B4-BE49-F238E27FC236}">
              <a16:creationId xmlns:a16="http://schemas.microsoft.com/office/drawing/2014/main" id="{80243B95-5438-4E5A-B199-73D2BC7968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1" name="AutoShape 1" descr="Vista previa de toda la pantalla">
          <a:extLst>
            <a:ext uri="{FF2B5EF4-FFF2-40B4-BE49-F238E27FC236}">
              <a16:creationId xmlns:a16="http://schemas.microsoft.com/office/drawing/2014/main" id="{83DBCC2C-B986-4EDA-B9D9-150BF6D7DB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2" name="AutoShape 1" descr="Vista previa de toda la pantalla">
          <a:extLst>
            <a:ext uri="{FF2B5EF4-FFF2-40B4-BE49-F238E27FC236}">
              <a16:creationId xmlns:a16="http://schemas.microsoft.com/office/drawing/2014/main" id="{A21EFBB6-170C-4110-B968-C6D011D944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3" name="AutoShape 1" descr="Vista previa de toda la pantalla">
          <a:extLst>
            <a:ext uri="{FF2B5EF4-FFF2-40B4-BE49-F238E27FC236}">
              <a16:creationId xmlns:a16="http://schemas.microsoft.com/office/drawing/2014/main" id="{8463C083-BF5F-4363-BE7A-8772D648F0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4" name="AutoShape 1" descr="Vista previa de toda la pantalla">
          <a:extLst>
            <a:ext uri="{FF2B5EF4-FFF2-40B4-BE49-F238E27FC236}">
              <a16:creationId xmlns:a16="http://schemas.microsoft.com/office/drawing/2014/main" id="{AE3F454E-8250-488A-9B43-1810DE55E4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5" name="AutoShape 1" descr="Vista previa de toda la pantalla">
          <a:extLst>
            <a:ext uri="{FF2B5EF4-FFF2-40B4-BE49-F238E27FC236}">
              <a16:creationId xmlns:a16="http://schemas.microsoft.com/office/drawing/2014/main" id="{D3C14ACC-78E0-48A8-8CB2-67D9B8DD38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6" name="AutoShape 1" descr="Vista previa de toda la pantalla">
          <a:extLst>
            <a:ext uri="{FF2B5EF4-FFF2-40B4-BE49-F238E27FC236}">
              <a16:creationId xmlns:a16="http://schemas.microsoft.com/office/drawing/2014/main" id="{F318A3FC-96CC-48AF-8CB2-8F1AADF03C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7" name="AutoShape 1" descr="Vista previa de toda la pantalla">
          <a:extLst>
            <a:ext uri="{FF2B5EF4-FFF2-40B4-BE49-F238E27FC236}">
              <a16:creationId xmlns:a16="http://schemas.microsoft.com/office/drawing/2014/main" id="{90990DC7-643A-4B44-8757-EA5FE5DDF9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8" name="AutoShape 1" descr="Vista previa de toda la pantalla">
          <a:extLst>
            <a:ext uri="{FF2B5EF4-FFF2-40B4-BE49-F238E27FC236}">
              <a16:creationId xmlns:a16="http://schemas.microsoft.com/office/drawing/2014/main" id="{5269C53B-EDC4-46E4-9A91-742E92F644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6999" name="AutoShape 1" descr="Vista previa de toda la pantalla">
          <a:extLst>
            <a:ext uri="{FF2B5EF4-FFF2-40B4-BE49-F238E27FC236}">
              <a16:creationId xmlns:a16="http://schemas.microsoft.com/office/drawing/2014/main" id="{F8D45BF1-E6FB-43C5-9F82-1A89766F79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0" name="AutoShape 1" descr="Vista previa de toda la pantalla">
          <a:extLst>
            <a:ext uri="{FF2B5EF4-FFF2-40B4-BE49-F238E27FC236}">
              <a16:creationId xmlns:a16="http://schemas.microsoft.com/office/drawing/2014/main" id="{B0D98387-6267-4C88-9BA0-E07751E8BC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1" name="AutoShape 1" descr="Vista previa de toda la pantalla">
          <a:extLst>
            <a:ext uri="{FF2B5EF4-FFF2-40B4-BE49-F238E27FC236}">
              <a16:creationId xmlns:a16="http://schemas.microsoft.com/office/drawing/2014/main" id="{E120F8D4-4191-4483-A64E-8571B1C06A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2" name="AutoShape 1" descr="Vista previa de toda la pantalla">
          <a:extLst>
            <a:ext uri="{FF2B5EF4-FFF2-40B4-BE49-F238E27FC236}">
              <a16:creationId xmlns:a16="http://schemas.microsoft.com/office/drawing/2014/main" id="{4E416C5B-2DCA-42EF-A71E-8EE10D7AD4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3" name="AutoShape 1" descr="Vista previa de toda la pantalla">
          <a:extLst>
            <a:ext uri="{FF2B5EF4-FFF2-40B4-BE49-F238E27FC236}">
              <a16:creationId xmlns:a16="http://schemas.microsoft.com/office/drawing/2014/main" id="{65E72775-FCF6-4742-81F1-3F6E8CF861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4" name="AutoShape 1" descr="Vista previa de toda la pantalla">
          <a:extLst>
            <a:ext uri="{FF2B5EF4-FFF2-40B4-BE49-F238E27FC236}">
              <a16:creationId xmlns:a16="http://schemas.microsoft.com/office/drawing/2014/main" id="{72D51E78-7ACA-4F4C-993B-A46A68FAE7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5" name="AutoShape 1" descr="Vista previa de toda la pantalla">
          <a:extLst>
            <a:ext uri="{FF2B5EF4-FFF2-40B4-BE49-F238E27FC236}">
              <a16:creationId xmlns:a16="http://schemas.microsoft.com/office/drawing/2014/main" id="{87A33F3D-8CC2-403C-A5B2-45D5B647FA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6" name="AutoShape 1" descr="Vista previa de toda la pantalla">
          <a:extLst>
            <a:ext uri="{FF2B5EF4-FFF2-40B4-BE49-F238E27FC236}">
              <a16:creationId xmlns:a16="http://schemas.microsoft.com/office/drawing/2014/main" id="{B7347C87-8878-426D-9232-6D4B73A554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7" name="AutoShape 1" descr="Vista previa de toda la pantalla">
          <a:extLst>
            <a:ext uri="{FF2B5EF4-FFF2-40B4-BE49-F238E27FC236}">
              <a16:creationId xmlns:a16="http://schemas.microsoft.com/office/drawing/2014/main" id="{696053AF-03E8-402D-837D-5A4DACA89C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8" name="AutoShape 1" descr="Vista previa de toda la pantalla">
          <a:extLst>
            <a:ext uri="{FF2B5EF4-FFF2-40B4-BE49-F238E27FC236}">
              <a16:creationId xmlns:a16="http://schemas.microsoft.com/office/drawing/2014/main" id="{F7F9E17E-69B5-4A75-B3D4-3828F78F8F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09" name="AutoShape 1" descr="Vista previa de toda la pantalla">
          <a:extLst>
            <a:ext uri="{FF2B5EF4-FFF2-40B4-BE49-F238E27FC236}">
              <a16:creationId xmlns:a16="http://schemas.microsoft.com/office/drawing/2014/main" id="{5C744442-B8F7-44D2-9136-5327C44A61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0" name="AutoShape 1" descr="Vista previa de toda la pantalla">
          <a:extLst>
            <a:ext uri="{FF2B5EF4-FFF2-40B4-BE49-F238E27FC236}">
              <a16:creationId xmlns:a16="http://schemas.microsoft.com/office/drawing/2014/main" id="{CE118FF4-E7C9-47A2-B4A4-B6075125DF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1" name="AutoShape 1" descr="Vista previa de toda la pantalla">
          <a:extLst>
            <a:ext uri="{FF2B5EF4-FFF2-40B4-BE49-F238E27FC236}">
              <a16:creationId xmlns:a16="http://schemas.microsoft.com/office/drawing/2014/main" id="{110FA453-8745-4F7B-B274-C7AE13C96F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2" name="AutoShape 1" descr="Vista previa de toda la pantalla">
          <a:extLst>
            <a:ext uri="{FF2B5EF4-FFF2-40B4-BE49-F238E27FC236}">
              <a16:creationId xmlns:a16="http://schemas.microsoft.com/office/drawing/2014/main" id="{70A07316-BA57-4E4B-A731-B4B230E177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3" name="AutoShape 1" descr="Vista previa de toda la pantalla">
          <a:extLst>
            <a:ext uri="{FF2B5EF4-FFF2-40B4-BE49-F238E27FC236}">
              <a16:creationId xmlns:a16="http://schemas.microsoft.com/office/drawing/2014/main" id="{3359F9FD-D20F-41E4-910A-409E0B1345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4" name="AutoShape 1" descr="Vista previa de toda la pantalla">
          <a:extLst>
            <a:ext uri="{FF2B5EF4-FFF2-40B4-BE49-F238E27FC236}">
              <a16:creationId xmlns:a16="http://schemas.microsoft.com/office/drawing/2014/main" id="{91F5AFD6-8E0B-4881-8EAF-4A387B898E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5" name="AutoShape 1" descr="Vista previa de toda la pantalla">
          <a:extLst>
            <a:ext uri="{FF2B5EF4-FFF2-40B4-BE49-F238E27FC236}">
              <a16:creationId xmlns:a16="http://schemas.microsoft.com/office/drawing/2014/main" id="{70EA8329-701B-49FB-8F9A-BCEF9726A4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6" name="AutoShape 1" descr="Vista previa de toda la pantalla">
          <a:extLst>
            <a:ext uri="{FF2B5EF4-FFF2-40B4-BE49-F238E27FC236}">
              <a16:creationId xmlns:a16="http://schemas.microsoft.com/office/drawing/2014/main" id="{61445F77-EDDE-4D2C-97F5-3C10903458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7" name="AutoShape 1" descr="Vista previa de toda la pantalla">
          <a:extLst>
            <a:ext uri="{FF2B5EF4-FFF2-40B4-BE49-F238E27FC236}">
              <a16:creationId xmlns:a16="http://schemas.microsoft.com/office/drawing/2014/main" id="{6DFDB8B9-5CFB-438A-B1E1-9E6F796985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8" name="AutoShape 1" descr="Vista previa de toda la pantalla">
          <a:extLst>
            <a:ext uri="{FF2B5EF4-FFF2-40B4-BE49-F238E27FC236}">
              <a16:creationId xmlns:a16="http://schemas.microsoft.com/office/drawing/2014/main" id="{DADE9FD4-7FA7-46E0-8525-18B3902AF5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19" name="AutoShape 1" descr="Vista previa de toda la pantalla">
          <a:extLst>
            <a:ext uri="{FF2B5EF4-FFF2-40B4-BE49-F238E27FC236}">
              <a16:creationId xmlns:a16="http://schemas.microsoft.com/office/drawing/2014/main" id="{31084960-2AB5-4FF6-9B35-CA7F7FFA4B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0" name="AutoShape 1" descr="Vista previa de toda la pantalla">
          <a:extLst>
            <a:ext uri="{FF2B5EF4-FFF2-40B4-BE49-F238E27FC236}">
              <a16:creationId xmlns:a16="http://schemas.microsoft.com/office/drawing/2014/main" id="{E9CA25B6-FCCA-4243-9BEE-6286DA5D43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1" name="AutoShape 1" descr="Vista previa de toda la pantalla">
          <a:extLst>
            <a:ext uri="{FF2B5EF4-FFF2-40B4-BE49-F238E27FC236}">
              <a16:creationId xmlns:a16="http://schemas.microsoft.com/office/drawing/2014/main" id="{C4713C4B-E500-4DE3-85D0-431E078135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2" name="AutoShape 1" descr="Vista previa de toda la pantalla">
          <a:extLst>
            <a:ext uri="{FF2B5EF4-FFF2-40B4-BE49-F238E27FC236}">
              <a16:creationId xmlns:a16="http://schemas.microsoft.com/office/drawing/2014/main" id="{4B1581BF-A421-46EB-AFD2-351585ECEB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3" name="AutoShape 1" descr="Vista previa de toda la pantalla">
          <a:extLst>
            <a:ext uri="{FF2B5EF4-FFF2-40B4-BE49-F238E27FC236}">
              <a16:creationId xmlns:a16="http://schemas.microsoft.com/office/drawing/2014/main" id="{7C630260-97C4-49A4-BFDC-01B152CF90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4" name="AutoShape 1" descr="Vista previa de toda la pantalla">
          <a:extLst>
            <a:ext uri="{FF2B5EF4-FFF2-40B4-BE49-F238E27FC236}">
              <a16:creationId xmlns:a16="http://schemas.microsoft.com/office/drawing/2014/main" id="{CA228FF1-6157-4AFD-BD3D-39BEADA41D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5" name="AutoShape 1" descr="Vista previa de toda la pantalla">
          <a:extLst>
            <a:ext uri="{FF2B5EF4-FFF2-40B4-BE49-F238E27FC236}">
              <a16:creationId xmlns:a16="http://schemas.microsoft.com/office/drawing/2014/main" id="{CDCB6B8A-D2B6-4461-817F-E4725356B9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6" name="AutoShape 1" descr="Vista previa de toda la pantalla">
          <a:extLst>
            <a:ext uri="{FF2B5EF4-FFF2-40B4-BE49-F238E27FC236}">
              <a16:creationId xmlns:a16="http://schemas.microsoft.com/office/drawing/2014/main" id="{8588A429-3FD3-4DF4-BE01-5DCF44EB06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7" name="AutoShape 1" descr="Vista previa de toda la pantalla">
          <a:extLst>
            <a:ext uri="{FF2B5EF4-FFF2-40B4-BE49-F238E27FC236}">
              <a16:creationId xmlns:a16="http://schemas.microsoft.com/office/drawing/2014/main" id="{B8867111-B03E-4AED-A767-8BC105D383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8" name="AutoShape 1" descr="Vista previa de toda la pantalla">
          <a:extLst>
            <a:ext uri="{FF2B5EF4-FFF2-40B4-BE49-F238E27FC236}">
              <a16:creationId xmlns:a16="http://schemas.microsoft.com/office/drawing/2014/main" id="{42BBEDA4-E5DB-4E1F-A2BC-B2380A365B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29" name="AutoShape 1" descr="Vista previa de toda la pantalla">
          <a:extLst>
            <a:ext uri="{FF2B5EF4-FFF2-40B4-BE49-F238E27FC236}">
              <a16:creationId xmlns:a16="http://schemas.microsoft.com/office/drawing/2014/main" id="{D0F805F6-1997-4B30-9E5D-B69353AF17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0" name="AutoShape 1" descr="Vista previa de toda la pantalla">
          <a:extLst>
            <a:ext uri="{FF2B5EF4-FFF2-40B4-BE49-F238E27FC236}">
              <a16:creationId xmlns:a16="http://schemas.microsoft.com/office/drawing/2014/main" id="{D017F04D-AC70-409E-8042-AEDC56BE02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1" name="AutoShape 1" descr="Vista previa de toda la pantalla">
          <a:extLst>
            <a:ext uri="{FF2B5EF4-FFF2-40B4-BE49-F238E27FC236}">
              <a16:creationId xmlns:a16="http://schemas.microsoft.com/office/drawing/2014/main" id="{5978EC28-8FD0-47FB-BC08-F4102AFC12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2" name="AutoShape 1" descr="Vista previa de toda la pantalla">
          <a:extLst>
            <a:ext uri="{FF2B5EF4-FFF2-40B4-BE49-F238E27FC236}">
              <a16:creationId xmlns:a16="http://schemas.microsoft.com/office/drawing/2014/main" id="{25E72E61-01A9-4CB1-B691-A209DB6986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3" name="AutoShape 1" descr="Vista previa de toda la pantalla">
          <a:extLst>
            <a:ext uri="{FF2B5EF4-FFF2-40B4-BE49-F238E27FC236}">
              <a16:creationId xmlns:a16="http://schemas.microsoft.com/office/drawing/2014/main" id="{23428025-0DDB-4588-9277-98F55E6DC2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4" name="AutoShape 1" descr="Vista previa de toda la pantalla">
          <a:extLst>
            <a:ext uri="{FF2B5EF4-FFF2-40B4-BE49-F238E27FC236}">
              <a16:creationId xmlns:a16="http://schemas.microsoft.com/office/drawing/2014/main" id="{CBEAAC9F-C24B-4508-BCEE-0C8CAEFBF2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5" name="AutoShape 1" descr="Vista previa de toda la pantalla">
          <a:extLst>
            <a:ext uri="{FF2B5EF4-FFF2-40B4-BE49-F238E27FC236}">
              <a16:creationId xmlns:a16="http://schemas.microsoft.com/office/drawing/2014/main" id="{5D3C0CBA-6C96-45EA-B056-53185B6F60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6" name="AutoShape 1" descr="Vista previa de toda la pantalla">
          <a:extLst>
            <a:ext uri="{FF2B5EF4-FFF2-40B4-BE49-F238E27FC236}">
              <a16:creationId xmlns:a16="http://schemas.microsoft.com/office/drawing/2014/main" id="{7DE2D488-DC4E-47F9-A874-50AD1796EB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7" name="AutoShape 1" descr="Vista previa de toda la pantalla">
          <a:extLst>
            <a:ext uri="{FF2B5EF4-FFF2-40B4-BE49-F238E27FC236}">
              <a16:creationId xmlns:a16="http://schemas.microsoft.com/office/drawing/2014/main" id="{FBA19ECF-AB74-4C03-939C-8E6C863790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8" name="AutoShape 1" descr="Vista previa de toda la pantalla">
          <a:extLst>
            <a:ext uri="{FF2B5EF4-FFF2-40B4-BE49-F238E27FC236}">
              <a16:creationId xmlns:a16="http://schemas.microsoft.com/office/drawing/2014/main" id="{3BE63B24-E58F-4624-AEC2-50907F7978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39" name="AutoShape 1" descr="Vista previa de toda la pantalla">
          <a:extLst>
            <a:ext uri="{FF2B5EF4-FFF2-40B4-BE49-F238E27FC236}">
              <a16:creationId xmlns:a16="http://schemas.microsoft.com/office/drawing/2014/main" id="{40E5A79B-155F-4B6E-9143-872A522D11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0" name="AutoShape 1" descr="Vista previa de toda la pantalla">
          <a:extLst>
            <a:ext uri="{FF2B5EF4-FFF2-40B4-BE49-F238E27FC236}">
              <a16:creationId xmlns:a16="http://schemas.microsoft.com/office/drawing/2014/main" id="{5A4F0B35-5128-4C9F-B3D9-F9A6DCBEE8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1" name="AutoShape 1" descr="Vista previa de toda la pantalla">
          <a:extLst>
            <a:ext uri="{FF2B5EF4-FFF2-40B4-BE49-F238E27FC236}">
              <a16:creationId xmlns:a16="http://schemas.microsoft.com/office/drawing/2014/main" id="{C90EAD7C-FC21-4355-8564-DBE93A5E0D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2" name="AutoShape 1" descr="Vista previa de toda la pantalla">
          <a:extLst>
            <a:ext uri="{FF2B5EF4-FFF2-40B4-BE49-F238E27FC236}">
              <a16:creationId xmlns:a16="http://schemas.microsoft.com/office/drawing/2014/main" id="{EE54416A-14B8-4BF0-B6A5-240066721F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3" name="AutoShape 1" descr="Vista previa de toda la pantalla">
          <a:extLst>
            <a:ext uri="{FF2B5EF4-FFF2-40B4-BE49-F238E27FC236}">
              <a16:creationId xmlns:a16="http://schemas.microsoft.com/office/drawing/2014/main" id="{E13EDDCB-582A-49D2-865B-29510CBEC5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4" name="AutoShape 1" descr="Vista previa de toda la pantalla">
          <a:extLst>
            <a:ext uri="{FF2B5EF4-FFF2-40B4-BE49-F238E27FC236}">
              <a16:creationId xmlns:a16="http://schemas.microsoft.com/office/drawing/2014/main" id="{3930FC6F-ABBC-4AC1-9788-467ADEE596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5" name="AutoShape 1" descr="Vista previa de toda la pantalla">
          <a:extLst>
            <a:ext uri="{FF2B5EF4-FFF2-40B4-BE49-F238E27FC236}">
              <a16:creationId xmlns:a16="http://schemas.microsoft.com/office/drawing/2014/main" id="{47DAACA9-DC32-4BB7-847D-43DAE46690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6" name="AutoShape 1" descr="Vista previa de toda la pantalla">
          <a:extLst>
            <a:ext uri="{FF2B5EF4-FFF2-40B4-BE49-F238E27FC236}">
              <a16:creationId xmlns:a16="http://schemas.microsoft.com/office/drawing/2014/main" id="{5FB9ADB3-0CDA-4C51-BE33-15FCC0907D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7" name="AutoShape 1" descr="Vista previa de toda la pantalla">
          <a:extLst>
            <a:ext uri="{FF2B5EF4-FFF2-40B4-BE49-F238E27FC236}">
              <a16:creationId xmlns:a16="http://schemas.microsoft.com/office/drawing/2014/main" id="{1FEE26E0-134D-49EA-B426-3ECC519C3B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8" name="AutoShape 1" descr="Vista previa de toda la pantalla">
          <a:extLst>
            <a:ext uri="{FF2B5EF4-FFF2-40B4-BE49-F238E27FC236}">
              <a16:creationId xmlns:a16="http://schemas.microsoft.com/office/drawing/2014/main" id="{00FEB572-63FC-43CC-8EA5-1B4355FF8B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49" name="AutoShape 1" descr="Vista previa de toda la pantalla">
          <a:extLst>
            <a:ext uri="{FF2B5EF4-FFF2-40B4-BE49-F238E27FC236}">
              <a16:creationId xmlns:a16="http://schemas.microsoft.com/office/drawing/2014/main" id="{EB9A0EB9-0598-4DB4-A2F2-A6E2675E5A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0" name="AutoShape 1" descr="Vista previa de toda la pantalla">
          <a:extLst>
            <a:ext uri="{FF2B5EF4-FFF2-40B4-BE49-F238E27FC236}">
              <a16:creationId xmlns:a16="http://schemas.microsoft.com/office/drawing/2014/main" id="{D609E592-2285-4643-ACAE-06F715D322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1" name="AutoShape 1" descr="Vista previa de toda la pantalla">
          <a:extLst>
            <a:ext uri="{FF2B5EF4-FFF2-40B4-BE49-F238E27FC236}">
              <a16:creationId xmlns:a16="http://schemas.microsoft.com/office/drawing/2014/main" id="{1E51B5B5-BBD8-4464-A61F-AC874F57EA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2" name="AutoShape 1" descr="Vista previa de toda la pantalla">
          <a:extLst>
            <a:ext uri="{FF2B5EF4-FFF2-40B4-BE49-F238E27FC236}">
              <a16:creationId xmlns:a16="http://schemas.microsoft.com/office/drawing/2014/main" id="{B593A2DC-2281-4F82-9F82-B7A87AC851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3" name="AutoShape 1" descr="Vista previa de toda la pantalla">
          <a:extLst>
            <a:ext uri="{FF2B5EF4-FFF2-40B4-BE49-F238E27FC236}">
              <a16:creationId xmlns:a16="http://schemas.microsoft.com/office/drawing/2014/main" id="{85701B8F-4580-43F3-BD75-0303CB1A0F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4" name="AutoShape 1" descr="Vista previa de toda la pantalla">
          <a:extLst>
            <a:ext uri="{FF2B5EF4-FFF2-40B4-BE49-F238E27FC236}">
              <a16:creationId xmlns:a16="http://schemas.microsoft.com/office/drawing/2014/main" id="{85785A90-01DF-4DBE-B134-12C780CED9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5" name="AutoShape 1" descr="Vista previa de toda la pantalla">
          <a:extLst>
            <a:ext uri="{FF2B5EF4-FFF2-40B4-BE49-F238E27FC236}">
              <a16:creationId xmlns:a16="http://schemas.microsoft.com/office/drawing/2014/main" id="{A462ABB8-9678-4C9C-952C-23F24F43E0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6" name="AutoShape 1" descr="Vista previa de toda la pantalla">
          <a:extLst>
            <a:ext uri="{FF2B5EF4-FFF2-40B4-BE49-F238E27FC236}">
              <a16:creationId xmlns:a16="http://schemas.microsoft.com/office/drawing/2014/main" id="{1C4D88C5-5E57-4188-9454-561D8D8E82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7" name="AutoShape 1" descr="Vista previa de toda la pantalla">
          <a:extLst>
            <a:ext uri="{FF2B5EF4-FFF2-40B4-BE49-F238E27FC236}">
              <a16:creationId xmlns:a16="http://schemas.microsoft.com/office/drawing/2014/main" id="{5D1C7B35-8664-4819-932E-71461DF3D6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8" name="AutoShape 1" descr="Vista previa de toda la pantalla">
          <a:extLst>
            <a:ext uri="{FF2B5EF4-FFF2-40B4-BE49-F238E27FC236}">
              <a16:creationId xmlns:a16="http://schemas.microsoft.com/office/drawing/2014/main" id="{A613E5F3-FD1E-4F5A-8ABA-B5F9477F9F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59" name="AutoShape 1" descr="Vista previa de toda la pantalla">
          <a:extLst>
            <a:ext uri="{FF2B5EF4-FFF2-40B4-BE49-F238E27FC236}">
              <a16:creationId xmlns:a16="http://schemas.microsoft.com/office/drawing/2014/main" id="{1744F3F2-AB98-4EC6-BE5C-04CB4A8DB7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0" name="AutoShape 1" descr="Vista previa de toda la pantalla">
          <a:extLst>
            <a:ext uri="{FF2B5EF4-FFF2-40B4-BE49-F238E27FC236}">
              <a16:creationId xmlns:a16="http://schemas.microsoft.com/office/drawing/2014/main" id="{6CAA4057-A9E1-44DC-A3EF-559D1E0BF2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1" name="AutoShape 1" descr="Vista previa de toda la pantalla">
          <a:extLst>
            <a:ext uri="{FF2B5EF4-FFF2-40B4-BE49-F238E27FC236}">
              <a16:creationId xmlns:a16="http://schemas.microsoft.com/office/drawing/2014/main" id="{A81E908B-B6B7-4CDA-BC68-5C337EE4E1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2" name="AutoShape 1" descr="Vista previa de toda la pantalla">
          <a:extLst>
            <a:ext uri="{FF2B5EF4-FFF2-40B4-BE49-F238E27FC236}">
              <a16:creationId xmlns:a16="http://schemas.microsoft.com/office/drawing/2014/main" id="{5B2D0B47-8E4D-4319-B774-7AE10357AF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3" name="AutoShape 1" descr="Vista previa de toda la pantalla">
          <a:extLst>
            <a:ext uri="{FF2B5EF4-FFF2-40B4-BE49-F238E27FC236}">
              <a16:creationId xmlns:a16="http://schemas.microsoft.com/office/drawing/2014/main" id="{3F981F87-FE31-4804-B3BC-3216D9AA36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4" name="AutoShape 1" descr="Vista previa de toda la pantalla">
          <a:extLst>
            <a:ext uri="{FF2B5EF4-FFF2-40B4-BE49-F238E27FC236}">
              <a16:creationId xmlns:a16="http://schemas.microsoft.com/office/drawing/2014/main" id="{1100127C-E0FE-4DC7-9DAF-E6ABDD551F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5" name="AutoShape 1" descr="Vista previa de toda la pantalla">
          <a:extLst>
            <a:ext uri="{FF2B5EF4-FFF2-40B4-BE49-F238E27FC236}">
              <a16:creationId xmlns:a16="http://schemas.microsoft.com/office/drawing/2014/main" id="{9F8690CB-1D5F-458F-944B-C2FE1582C5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6" name="AutoShape 1" descr="Vista previa de toda la pantalla">
          <a:extLst>
            <a:ext uri="{FF2B5EF4-FFF2-40B4-BE49-F238E27FC236}">
              <a16:creationId xmlns:a16="http://schemas.microsoft.com/office/drawing/2014/main" id="{7D001E65-39EC-4788-A223-33E45923FB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7" name="AutoShape 1" descr="Vista previa de toda la pantalla">
          <a:extLst>
            <a:ext uri="{FF2B5EF4-FFF2-40B4-BE49-F238E27FC236}">
              <a16:creationId xmlns:a16="http://schemas.microsoft.com/office/drawing/2014/main" id="{BFBC95ED-CB78-49DB-A8A4-26AC66757C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8" name="AutoShape 1" descr="Vista previa de toda la pantalla">
          <a:extLst>
            <a:ext uri="{FF2B5EF4-FFF2-40B4-BE49-F238E27FC236}">
              <a16:creationId xmlns:a16="http://schemas.microsoft.com/office/drawing/2014/main" id="{4FB7D67F-CB1B-4376-89CD-96503AF501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69" name="AutoShape 1" descr="Vista previa de toda la pantalla">
          <a:extLst>
            <a:ext uri="{FF2B5EF4-FFF2-40B4-BE49-F238E27FC236}">
              <a16:creationId xmlns:a16="http://schemas.microsoft.com/office/drawing/2014/main" id="{0C94D2B1-E14D-4B9F-AAFC-167FC53B19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0" name="AutoShape 1" descr="Vista previa de toda la pantalla">
          <a:extLst>
            <a:ext uri="{FF2B5EF4-FFF2-40B4-BE49-F238E27FC236}">
              <a16:creationId xmlns:a16="http://schemas.microsoft.com/office/drawing/2014/main" id="{99728E50-E240-4142-94E0-7C2E99A98E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1" name="AutoShape 1" descr="Vista previa de toda la pantalla">
          <a:extLst>
            <a:ext uri="{FF2B5EF4-FFF2-40B4-BE49-F238E27FC236}">
              <a16:creationId xmlns:a16="http://schemas.microsoft.com/office/drawing/2014/main" id="{08C0C19E-425F-4851-9ABF-81A9FD8C9C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2" name="AutoShape 1" descr="Vista previa de toda la pantalla">
          <a:extLst>
            <a:ext uri="{FF2B5EF4-FFF2-40B4-BE49-F238E27FC236}">
              <a16:creationId xmlns:a16="http://schemas.microsoft.com/office/drawing/2014/main" id="{473234D8-2441-42EC-A400-D4590CCBC3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3" name="AutoShape 1" descr="Vista previa de toda la pantalla">
          <a:extLst>
            <a:ext uri="{FF2B5EF4-FFF2-40B4-BE49-F238E27FC236}">
              <a16:creationId xmlns:a16="http://schemas.microsoft.com/office/drawing/2014/main" id="{3C8EF014-B520-40CB-B8E8-8AD93AD9AE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4" name="AutoShape 1" descr="Vista previa de toda la pantalla">
          <a:extLst>
            <a:ext uri="{FF2B5EF4-FFF2-40B4-BE49-F238E27FC236}">
              <a16:creationId xmlns:a16="http://schemas.microsoft.com/office/drawing/2014/main" id="{CC8ED700-D995-4B5E-A9AC-7FF6B11060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5" name="AutoShape 1" descr="Vista previa de toda la pantalla">
          <a:extLst>
            <a:ext uri="{FF2B5EF4-FFF2-40B4-BE49-F238E27FC236}">
              <a16:creationId xmlns:a16="http://schemas.microsoft.com/office/drawing/2014/main" id="{76170C5F-30C8-4BDA-AF9F-84B857AA62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6" name="AutoShape 1" descr="Vista previa de toda la pantalla">
          <a:extLst>
            <a:ext uri="{FF2B5EF4-FFF2-40B4-BE49-F238E27FC236}">
              <a16:creationId xmlns:a16="http://schemas.microsoft.com/office/drawing/2014/main" id="{109EA097-F88D-4833-8546-5245DFD1CE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7" name="AutoShape 1" descr="Vista previa de toda la pantalla">
          <a:extLst>
            <a:ext uri="{FF2B5EF4-FFF2-40B4-BE49-F238E27FC236}">
              <a16:creationId xmlns:a16="http://schemas.microsoft.com/office/drawing/2014/main" id="{348A970A-7CEB-4C83-9E71-09C6081C5D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8" name="AutoShape 1" descr="Vista previa de toda la pantalla">
          <a:extLst>
            <a:ext uri="{FF2B5EF4-FFF2-40B4-BE49-F238E27FC236}">
              <a16:creationId xmlns:a16="http://schemas.microsoft.com/office/drawing/2014/main" id="{414D91CA-E25F-4215-95AD-DE13C4EA19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79" name="AutoShape 1" descr="Vista previa de toda la pantalla">
          <a:extLst>
            <a:ext uri="{FF2B5EF4-FFF2-40B4-BE49-F238E27FC236}">
              <a16:creationId xmlns:a16="http://schemas.microsoft.com/office/drawing/2014/main" id="{323A40A6-F911-406B-9CE2-D73E21577E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0" name="AutoShape 1" descr="Vista previa de toda la pantalla">
          <a:extLst>
            <a:ext uri="{FF2B5EF4-FFF2-40B4-BE49-F238E27FC236}">
              <a16:creationId xmlns:a16="http://schemas.microsoft.com/office/drawing/2014/main" id="{A15306B6-585E-4BCA-8738-0CAD687DAB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1" name="AutoShape 1" descr="Vista previa de toda la pantalla">
          <a:extLst>
            <a:ext uri="{FF2B5EF4-FFF2-40B4-BE49-F238E27FC236}">
              <a16:creationId xmlns:a16="http://schemas.microsoft.com/office/drawing/2014/main" id="{0D9104D5-4343-43CE-B653-3C5C908089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2" name="AutoShape 1" descr="Vista previa de toda la pantalla">
          <a:extLst>
            <a:ext uri="{FF2B5EF4-FFF2-40B4-BE49-F238E27FC236}">
              <a16:creationId xmlns:a16="http://schemas.microsoft.com/office/drawing/2014/main" id="{7917801C-DE60-461B-A1CC-51BFB527E9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3" name="AutoShape 1" descr="Vista previa de toda la pantalla">
          <a:extLst>
            <a:ext uri="{FF2B5EF4-FFF2-40B4-BE49-F238E27FC236}">
              <a16:creationId xmlns:a16="http://schemas.microsoft.com/office/drawing/2014/main" id="{8B6A28BD-C3BC-4186-870E-3DA5AA61CD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4" name="AutoShape 1" descr="Vista previa de toda la pantalla">
          <a:extLst>
            <a:ext uri="{FF2B5EF4-FFF2-40B4-BE49-F238E27FC236}">
              <a16:creationId xmlns:a16="http://schemas.microsoft.com/office/drawing/2014/main" id="{2CC42AA8-CDB9-45F9-A794-52E484164F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5" name="AutoShape 1" descr="Vista previa de toda la pantalla">
          <a:extLst>
            <a:ext uri="{FF2B5EF4-FFF2-40B4-BE49-F238E27FC236}">
              <a16:creationId xmlns:a16="http://schemas.microsoft.com/office/drawing/2014/main" id="{3C120C3D-9C79-46DF-8287-E83FB24D1E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6" name="AutoShape 1" descr="Vista previa de toda la pantalla">
          <a:extLst>
            <a:ext uri="{FF2B5EF4-FFF2-40B4-BE49-F238E27FC236}">
              <a16:creationId xmlns:a16="http://schemas.microsoft.com/office/drawing/2014/main" id="{6676CA82-5BAA-43C5-882C-95EFE7DE2C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7" name="AutoShape 1" descr="Vista previa de toda la pantalla">
          <a:extLst>
            <a:ext uri="{FF2B5EF4-FFF2-40B4-BE49-F238E27FC236}">
              <a16:creationId xmlns:a16="http://schemas.microsoft.com/office/drawing/2014/main" id="{4E81BB88-16A5-4DB3-85E0-35F1BCBBA5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8" name="AutoShape 1" descr="Vista previa de toda la pantalla">
          <a:extLst>
            <a:ext uri="{FF2B5EF4-FFF2-40B4-BE49-F238E27FC236}">
              <a16:creationId xmlns:a16="http://schemas.microsoft.com/office/drawing/2014/main" id="{9B793EBF-F344-49EC-9712-AA9E4591BE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89" name="AutoShape 1" descr="Vista previa de toda la pantalla">
          <a:extLst>
            <a:ext uri="{FF2B5EF4-FFF2-40B4-BE49-F238E27FC236}">
              <a16:creationId xmlns:a16="http://schemas.microsoft.com/office/drawing/2014/main" id="{915E6BD9-3EB6-45FD-B78D-4A26FF3D2D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0" name="AutoShape 1" descr="Vista previa de toda la pantalla">
          <a:extLst>
            <a:ext uri="{FF2B5EF4-FFF2-40B4-BE49-F238E27FC236}">
              <a16:creationId xmlns:a16="http://schemas.microsoft.com/office/drawing/2014/main" id="{AE6CFBA1-47D8-490B-A0D4-FC77C016C8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1" name="AutoShape 1" descr="Vista previa de toda la pantalla">
          <a:extLst>
            <a:ext uri="{FF2B5EF4-FFF2-40B4-BE49-F238E27FC236}">
              <a16:creationId xmlns:a16="http://schemas.microsoft.com/office/drawing/2014/main" id="{9047B240-7A37-4E7C-BBC3-4842FA6CC3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2" name="AutoShape 1" descr="Vista previa de toda la pantalla">
          <a:extLst>
            <a:ext uri="{FF2B5EF4-FFF2-40B4-BE49-F238E27FC236}">
              <a16:creationId xmlns:a16="http://schemas.microsoft.com/office/drawing/2014/main" id="{964B64A4-F469-46E7-B01B-90C4183564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3" name="AutoShape 1" descr="Vista previa de toda la pantalla">
          <a:extLst>
            <a:ext uri="{FF2B5EF4-FFF2-40B4-BE49-F238E27FC236}">
              <a16:creationId xmlns:a16="http://schemas.microsoft.com/office/drawing/2014/main" id="{475CBF8C-38B0-4980-AF1C-91AA520E8D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4" name="AutoShape 1" descr="Vista previa de toda la pantalla">
          <a:extLst>
            <a:ext uri="{FF2B5EF4-FFF2-40B4-BE49-F238E27FC236}">
              <a16:creationId xmlns:a16="http://schemas.microsoft.com/office/drawing/2014/main" id="{B6611207-0F1D-4A63-A99F-28CD23BDE1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5" name="AutoShape 1" descr="Vista previa de toda la pantalla">
          <a:extLst>
            <a:ext uri="{FF2B5EF4-FFF2-40B4-BE49-F238E27FC236}">
              <a16:creationId xmlns:a16="http://schemas.microsoft.com/office/drawing/2014/main" id="{802FD019-BB61-4563-B895-FC32E5FE7E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6" name="AutoShape 1" descr="Vista previa de toda la pantalla">
          <a:extLst>
            <a:ext uri="{FF2B5EF4-FFF2-40B4-BE49-F238E27FC236}">
              <a16:creationId xmlns:a16="http://schemas.microsoft.com/office/drawing/2014/main" id="{369DD76D-956D-46FB-A821-C47C661B46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7" name="AutoShape 1" descr="Vista previa de toda la pantalla">
          <a:extLst>
            <a:ext uri="{FF2B5EF4-FFF2-40B4-BE49-F238E27FC236}">
              <a16:creationId xmlns:a16="http://schemas.microsoft.com/office/drawing/2014/main" id="{2966708D-B2C6-4AC4-862F-6DA842803C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8" name="AutoShape 1" descr="Vista previa de toda la pantalla">
          <a:extLst>
            <a:ext uri="{FF2B5EF4-FFF2-40B4-BE49-F238E27FC236}">
              <a16:creationId xmlns:a16="http://schemas.microsoft.com/office/drawing/2014/main" id="{2BC08158-B7D8-4209-915E-29C121DDD1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099" name="AutoShape 1" descr="Vista previa de toda la pantalla">
          <a:extLst>
            <a:ext uri="{FF2B5EF4-FFF2-40B4-BE49-F238E27FC236}">
              <a16:creationId xmlns:a16="http://schemas.microsoft.com/office/drawing/2014/main" id="{470E5537-D096-431F-927F-7720215665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00" name="AutoShape 1" descr="Vista previa de toda la pantalla">
          <a:extLst>
            <a:ext uri="{FF2B5EF4-FFF2-40B4-BE49-F238E27FC236}">
              <a16:creationId xmlns:a16="http://schemas.microsoft.com/office/drawing/2014/main" id="{3D2D5D23-290E-42F3-8B3E-1BE9EA7C87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01" name="AutoShape 1" descr="Vista previa de toda la pantalla">
          <a:extLst>
            <a:ext uri="{FF2B5EF4-FFF2-40B4-BE49-F238E27FC236}">
              <a16:creationId xmlns:a16="http://schemas.microsoft.com/office/drawing/2014/main" id="{C7E5B1E4-06D7-46C8-9D7B-319494C7F3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501854</xdr:colOff>
      <xdr:row>0</xdr:row>
      <xdr:rowOff>174114</xdr:rowOff>
    </xdr:from>
    <xdr:ext cx="304800" cy="302602"/>
    <xdr:sp macro="" textlink="">
      <xdr:nvSpPr>
        <xdr:cNvPr id="7102" name="AutoShape 1" descr="Vista previa de toda la pantalla">
          <a:extLst>
            <a:ext uri="{FF2B5EF4-FFF2-40B4-BE49-F238E27FC236}">
              <a16:creationId xmlns:a16="http://schemas.microsoft.com/office/drawing/2014/main" id="{88582CED-ADFB-463A-910F-CE7EC52AF69B}"/>
            </a:ext>
          </a:extLst>
        </xdr:cNvPr>
        <xdr:cNvSpPr>
          <a:spLocks noChangeAspect="1" noChangeArrowheads="1"/>
        </xdr:cNvSpPr>
      </xdr:nvSpPr>
      <xdr:spPr bwMode="auto">
        <a:xfrm>
          <a:off x="5454854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03" name="AutoShape 1" descr="Vista previa de toda la pantalla">
          <a:extLst>
            <a:ext uri="{FF2B5EF4-FFF2-40B4-BE49-F238E27FC236}">
              <a16:creationId xmlns:a16="http://schemas.microsoft.com/office/drawing/2014/main" id="{94C6C8E1-C04B-43FF-81BA-3E090D6F80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04" name="AutoShape 1" descr="Vista previa de toda la pantalla">
          <a:extLst>
            <a:ext uri="{FF2B5EF4-FFF2-40B4-BE49-F238E27FC236}">
              <a16:creationId xmlns:a16="http://schemas.microsoft.com/office/drawing/2014/main" id="{A2879E46-943A-4BAC-A0AD-BAE9498484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05" name="AutoShape 1" descr="Vista previa de toda la pantalla">
          <a:extLst>
            <a:ext uri="{FF2B5EF4-FFF2-40B4-BE49-F238E27FC236}">
              <a16:creationId xmlns:a16="http://schemas.microsoft.com/office/drawing/2014/main" id="{8186BAB9-EEF4-41FB-94A9-F131B03BBF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06" name="AutoShape 1" descr="Vista previa de toda la pantalla">
          <a:extLst>
            <a:ext uri="{FF2B5EF4-FFF2-40B4-BE49-F238E27FC236}">
              <a16:creationId xmlns:a16="http://schemas.microsoft.com/office/drawing/2014/main" id="{B6AEE573-7E0D-46EB-98AD-850EBF86EF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07" name="AutoShape 1" descr="Vista previa de toda la pantalla">
          <a:extLst>
            <a:ext uri="{FF2B5EF4-FFF2-40B4-BE49-F238E27FC236}">
              <a16:creationId xmlns:a16="http://schemas.microsoft.com/office/drawing/2014/main" id="{259E135C-8883-476A-9E91-E506DCEC5F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08" name="AutoShape 1" descr="Vista previa de toda la pantalla">
          <a:extLst>
            <a:ext uri="{FF2B5EF4-FFF2-40B4-BE49-F238E27FC236}">
              <a16:creationId xmlns:a16="http://schemas.microsoft.com/office/drawing/2014/main" id="{8DC0A49E-4BED-4695-88E3-5422634E6F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09" name="AutoShape 1" descr="Vista previa de toda la pantalla">
          <a:extLst>
            <a:ext uri="{FF2B5EF4-FFF2-40B4-BE49-F238E27FC236}">
              <a16:creationId xmlns:a16="http://schemas.microsoft.com/office/drawing/2014/main" id="{9B2395FB-5BB9-4C15-B7F6-5A08FBB0C1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0" name="AutoShape 1" descr="Vista previa de toda la pantalla">
          <a:extLst>
            <a:ext uri="{FF2B5EF4-FFF2-40B4-BE49-F238E27FC236}">
              <a16:creationId xmlns:a16="http://schemas.microsoft.com/office/drawing/2014/main" id="{FD201280-B496-4485-9486-C0224752EE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1" name="AutoShape 1" descr="Vista previa de toda la pantalla">
          <a:extLst>
            <a:ext uri="{FF2B5EF4-FFF2-40B4-BE49-F238E27FC236}">
              <a16:creationId xmlns:a16="http://schemas.microsoft.com/office/drawing/2014/main" id="{27434F61-F5A5-4FEF-9FFC-01CFA2FA9A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2" name="AutoShape 1" descr="Vista previa de toda la pantalla">
          <a:extLst>
            <a:ext uri="{FF2B5EF4-FFF2-40B4-BE49-F238E27FC236}">
              <a16:creationId xmlns:a16="http://schemas.microsoft.com/office/drawing/2014/main" id="{DA902487-CC2E-4619-A09C-D94E6BCE93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3" name="AutoShape 1" descr="Vista previa de toda la pantalla">
          <a:extLst>
            <a:ext uri="{FF2B5EF4-FFF2-40B4-BE49-F238E27FC236}">
              <a16:creationId xmlns:a16="http://schemas.microsoft.com/office/drawing/2014/main" id="{9A0AA6BB-C804-47AB-9B46-9A75E12860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4" name="AutoShape 1" descr="Vista previa de toda la pantalla">
          <a:extLst>
            <a:ext uri="{FF2B5EF4-FFF2-40B4-BE49-F238E27FC236}">
              <a16:creationId xmlns:a16="http://schemas.microsoft.com/office/drawing/2014/main" id="{E4EAB054-0FA9-405E-A5FB-6E9F4108F0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5" name="AutoShape 1" descr="Vista previa de toda la pantalla">
          <a:extLst>
            <a:ext uri="{FF2B5EF4-FFF2-40B4-BE49-F238E27FC236}">
              <a16:creationId xmlns:a16="http://schemas.microsoft.com/office/drawing/2014/main" id="{11F1E763-49A9-47BE-879C-0192B97976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6" name="AutoShape 1" descr="Vista previa de toda la pantalla">
          <a:extLst>
            <a:ext uri="{FF2B5EF4-FFF2-40B4-BE49-F238E27FC236}">
              <a16:creationId xmlns:a16="http://schemas.microsoft.com/office/drawing/2014/main" id="{2B73DF92-1AB1-405B-830E-A82CF56C6C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7" name="AutoShape 1" descr="Vista previa de toda la pantalla">
          <a:extLst>
            <a:ext uri="{FF2B5EF4-FFF2-40B4-BE49-F238E27FC236}">
              <a16:creationId xmlns:a16="http://schemas.microsoft.com/office/drawing/2014/main" id="{A3115B99-6841-4FF0-AA62-C23CC3945B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8" name="AutoShape 1" descr="Vista previa de toda la pantalla">
          <a:extLst>
            <a:ext uri="{FF2B5EF4-FFF2-40B4-BE49-F238E27FC236}">
              <a16:creationId xmlns:a16="http://schemas.microsoft.com/office/drawing/2014/main" id="{DF14A89B-35A7-4399-A60D-B59F194E12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19" name="AutoShape 1" descr="Vista previa de toda la pantalla">
          <a:extLst>
            <a:ext uri="{FF2B5EF4-FFF2-40B4-BE49-F238E27FC236}">
              <a16:creationId xmlns:a16="http://schemas.microsoft.com/office/drawing/2014/main" id="{12BCB5DE-7BA4-478A-9BDA-E5154C8D53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20" name="AutoShape 1" descr="Vista previa de toda la pantalla">
          <a:extLst>
            <a:ext uri="{FF2B5EF4-FFF2-40B4-BE49-F238E27FC236}">
              <a16:creationId xmlns:a16="http://schemas.microsoft.com/office/drawing/2014/main" id="{2AAB393F-7B42-45BC-BE33-26CF2876A9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21" name="AutoShape 1" descr="Vista previa de toda la pantalla">
          <a:extLst>
            <a:ext uri="{FF2B5EF4-FFF2-40B4-BE49-F238E27FC236}">
              <a16:creationId xmlns:a16="http://schemas.microsoft.com/office/drawing/2014/main" id="{84BD5594-F49E-4A2A-B5DF-E058B36372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22" name="AutoShape 1" descr="Vista previa de toda la pantalla">
          <a:extLst>
            <a:ext uri="{FF2B5EF4-FFF2-40B4-BE49-F238E27FC236}">
              <a16:creationId xmlns:a16="http://schemas.microsoft.com/office/drawing/2014/main" id="{516E05A7-1DDD-461D-822B-027738741D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23" name="AutoShape 1" descr="Vista previa de toda la pantalla">
          <a:extLst>
            <a:ext uri="{FF2B5EF4-FFF2-40B4-BE49-F238E27FC236}">
              <a16:creationId xmlns:a16="http://schemas.microsoft.com/office/drawing/2014/main" id="{5D57A90C-DD5A-4862-9A2A-CB6D984B73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24" name="AutoShape 1" descr="Vista previa de toda la pantalla">
          <a:extLst>
            <a:ext uri="{FF2B5EF4-FFF2-40B4-BE49-F238E27FC236}">
              <a16:creationId xmlns:a16="http://schemas.microsoft.com/office/drawing/2014/main" id="{6F5F4366-52AC-48AB-A7EF-01C946664F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501854</xdr:colOff>
      <xdr:row>0</xdr:row>
      <xdr:rowOff>174114</xdr:rowOff>
    </xdr:from>
    <xdr:ext cx="304800" cy="302602"/>
    <xdr:sp macro="" textlink="">
      <xdr:nvSpPr>
        <xdr:cNvPr id="7125" name="AutoShape 1" descr="Vista previa de toda la pantalla">
          <a:extLst>
            <a:ext uri="{FF2B5EF4-FFF2-40B4-BE49-F238E27FC236}">
              <a16:creationId xmlns:a16="http://schemas.microsoft.com/office/drawing/2014/main" id="{0FC546E4-EDB5-41E8-A1A3-672110C07022}"/>
            </a:ext>
          </a:extLst>
        </xdr:cNvPr>
        <xdr:cNvSpPr>
          <a:spLocks noChangeAspect="1" noChangeArrowheads="1"/>
        </xdr:cNvSpPr>
      </xdr:nvSpPr>
      <xdr:spPr bwMode="auto">
        <a:xfrm>
          <a:off x="5454854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57" name="AutoShape 1" descr="Vista previa de toda la pantalla">
          <a:extLst>
            <a:ext uri="{FF2B5EF4-FFF2-40B4-BE49-F238E27FC236}">
              <a16:creationId xmlns:a16="http://schemas.microsoft.com/office/drawing/2014/main" id="{9ED764F4-2458-4523-83FC-3490624C8E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58" name="AutoShape 1" descr="Vista previa de toda la pantalla">
          <a:extLst>
            <a:ext uri="{FF2B5EF4-FFF2-40B4-BE49-F238E27FC236}">
              <a16:creationId xmlns:a16="http://schemas.microsoft.com/office/drawing/2014/main" id="{7C18C479-2B2A-4720-90A2-A91D63C406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59" name="AutoShape 1" descr="Vista previa de toda la pantalla">
          <a:extLst>
            <a:ext uri="{FF2B5EF4-FFF2-40B4-BE49-F238E27FC236}">
              <a16:creationId xmlns:a16="http://schemas.microsoft.com/office/drawing/2014/main" id="{D7DCDFD5-0D29-409B-8E96-98E9D239F6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60" name="AutoShape 1" descr="Vista previa de toda la pantalla">
          <a:extLst>
            <a:ext uri="{FF2B5EF4-FFF2-40B4-BE49-F238E27FC236}">
              <a16:creationId xmlns:a16="http://schemas.microsoft.com/office/drawing/2014/main" id="{A56D4C68-EF3E-49AF-ADAF-1475487174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61" name="AutoShape 1" descr="Vista previa de toda la pantalla">
          <a:extLst>
            <a:ext uri="{FF2B5EF4-FFF2-40B4-BE49-F238E27FC236}">
              <a16:creationId xmlns:a16="http://schemas.microsoft.com/office/drawing/2014/main" id="{4044D71F-171E-49AE-A6FB-16B13250A8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62" name="AutoShape 1" descr="Vista previa de toda la pantalla">
          <a:extLst>
            <a:ext uri="{FF2B5EF4-FFF2-40B4-BE49-F238E27FC236}">
              <a16:creationId xmlns:a16="http://schemas.microsoft.com/office/drawing/2014/main" id="{2C663D94-D2EB-4EA3-85AA-C2106E0E15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63" name="AutoShape 1" descr="Vista previa de toda la pantalla">
          <a:extLst>
            <a:ext uri="{FF2B5EF4-FFF2-40B4-BE49-F238E27FC236}">
              <a16:creationId xmlns:a16="http://schemas.microsoft.com/office/drawing/2014/main" id="{7EF18EC9-E2CF-4130-B725-D4CF4A3610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64" name="AutoShape 1" descr="Vista previa de toda la pantalla">
          <a:extLst>
            <a:ext uri="{FF2B5EF4-FFF2-40B4-BE49-F238E27FC236}">
              <a16:creationId xmlns:a16="http://schemas.microsoft.com/office/drawing/2014/main" id="{1295E6B8-FEAF-4822-9AAB-E1B2187072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65" name="AutoShape 1" descr="Vista previa de toda la pantalla">
          <a:extLst>
            <a:ext uri="{FF2B5EF4-FFF2-40B4-BE49-F238E27FC236}">
              <a16:creationId xmlns:a16="http://schemas.microsoft.com/office/drawing/2014/main" id="{C770DCCA-4652-467C-A767-1CCA1F58A7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66" name="AutoShape 1" descr="Vista previa de toda la pantalla">
          <a:extLst>
            <a:ext uri="{FF2B5EF4-FFF2-40B4-BE49-F238E27FC236}">
              <a16:creationId xmlns:a16="http://schemas.microsoft.com/office/drawing/2014/main" id="{95EB4740-4EB3-43D6-BF3E-E20CD3356C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67" name="AutoShape 1" descr="Vista previa de toda la pantalla">
          <a:extLst>
            <a:ext uri="{FF2B5EF4-FFF2-40B4-BE49-F238E27FC236}">
              <a16:creationId xmlns:a16="http://schemas.microsoft.com/office/drawing/2014/main" id="{93C760EC-0584-4994-B264-ED008D3FCB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68" name="AutoShape 1" descr="Vista previa de toda la pantalla">
          <a:extLst>
            <a:ext uri="{FF2B5EF4-FFF2-40B4-BE49-F238E27FC236}">
              <a16:creationId xmlns:a16="http://schemas.microsoft.com/office/drawing/2014/main" id="{3ABF6747-A495-4786-A659-B282E8C9DF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69" name="AutoShape 1" descr="Vista previa de toda la pantalla">
          <a:extLst>
            <a:ext uri="{FF2B5EF4-FFF2-40B4-BE49-F238E27FC236}">
              <a16:creationId xmlns:a16="http://schemas.microsoft.com/office/drawing/2014/main" id="{FEAFA924-AA43-46D1-92B8-84CDFF3954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70" name="AutoShape 1" descr="Vista previa de toda la pantalla">
          <a:extLst>
            <a:ext uri="{FF2B5EF4-FFF2-40B4-BE49-F238E27FC236}">
              <a16:creationId xmlns:a16="http://schemas.microsoft.com/office/drawing/2014/main" id="{649BBFA9-300F-42A6-98DA-32D75F6C30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71" name="AutoShape 1" descr="Vista previa de toda la pantalla">
          <a:extLst>
            <a:ext uri="{FF2B5EF4-FFF2-40B4-BE49-F238E27FC236}">
              <a16:creationId xmlns:a16="http://schemas.microsoft.com/office/drawing/2014/main" id="{3D4E99C3-DB7B-4431-A582-219F4485C3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72" name="AutoShape 1" descr="Vista previa de toda la pantalla">
          <a:extLst>
            <a:ext uri="{FF2B5EF4-FFF2-40B4-BE49-F238E27FC236}">
              <a16:creationId xmlns:a16="http://schemas.microsoft.com/office/drawing/2014/main" id="{A9395885-CE9D-48C9-920F-8B6464DDFC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73" name="AutoShape 1" descr="Vista previa de toda la pantalla">
          <a:extLst>
            <a:ext uri="{FF2B5EF4-FFF2-40B4-BE49-F238E27FC236}">
              <a16:creationId xmlns:a16="http://schemas.microsoft.com/office/drawing/2014/main" id="{271FAB28-F329-42F1-92C0-B4B71F4DDE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74" name="AutoShape 1" descr="Vista previa de toda la pantalla">
          <a:extLst>
            <a:ext uri="{FF2B5EF4-FFF2-40B4-BE49-F238E27FC236}">
              <a16:creationId xmlns:a16="http://schemas.microsoft.com/office/drawing/2014/main" id="{2367E490-1B03-4D4F-8F0B-18898A1728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75" name="AutoShape 1" descr="Vista previa de toda la pantalla">
          <a:extLst>
            <a:ext uri="{FF2B5EF4-FFF2-40B4-BE49-F238E27FC236}">
              <a16:creationId xmlns:a16="http://schemas.microsoft.com/office/drawing/2014/main" id="{B750E124-8E5E-445E-BAFA-BE7AB3F734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76" name="AutoShape 1" descr="Vista previa de toda la pantalla">
          <a:extLst>
            <a:ext uri="{FF2B5EF4-FFF2-40B4-BE49-F238E27FC236}">
              <a16:creationId xmlns:a16="http://schemas.microsoft.com/office/drawing/2014/main" id="{14D28A15-B265-4EB2-8123-1775C582B0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77" name="AutoShape 1" descr="Vista previa de toda la pantalla">
          <a:extLst>
            <a:ext uri="{FF2B5EF4-FFF2-40B4-BE49-F238E27FC236}">
              <a16:creationId xmlns:a16="http://schemas.microsoft.com/office/drawing/2014/main" id="{158D02CD-7193-423D-8175-E026972001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78" name="AutoShape 1" descr="Vista previa de toda la pantalla">
          <a:extLst>
            <a:ext uri="{FF2B5EF4-FFF2-40B4-BE49-F238E27FC236}">
              <a16:creationId xmlns:a16="http://schemas.microsoft.com/office/drawing/2014/main" id="{0023AF91-5BE7-4258-B232-1FCE0D504D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79" name="AutoShape 1" descr="Vista previa de toda la pantalla">
          <a:extLst>
            <a:ext uri="{FF2B5EF4-FFF2-40B4-BE49-F238E27FC236}">
              <a16:creationId xmlns:a16="http://schemas.microsoft.com/office/drawing/2014/main" id="{B470615A-4BCE-4A78-9917-6D22792D8C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80" name="AutoShape 1" descr="Vista previa de toda la pantalla">
          <a:extLst>
            <a:ext uri="{FF2B5EF4-FFF2-40B4-BE49-F238E27FC236}">
              <a16:creationId xmlns:a16="http://schemas.microsoft.com/office/drawing/2014/main" id="{A82F2E02-EC7D-49AE-8A38-571979796F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81" name="AutoShape 1" descr="Vista previa de toda la pantalla">
          <a:extLst>
            <a:ext uri="{FF2B5EF4-FFF2-40B4-BE49-F238E27FC236}">
              <a16:creationId xmlns:a16="http://schemas.microsoft.com/office/drawing/2014/main" id="{0B166D5C-2BEB-4674-A6C5-031F4CAEEC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82" name="AutoShape 1" descr="Vista previa de toda la pantalla">
          <a:extLst>
            <a:ext uri="{FF2B5EF4-FFF2-40B4-BE49-F238E27FC236}">
              <a16:creationId xmlns:a16="http://schemas.microsoft.com/office/drawing/2014/main" id="{DC8782EC-534F-415A-9B89-534F80107A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83" name="AutoShape 1" descr="Vista previa de toda la pantalla">
          <a:extLst>
            <a:ext uri="{FF2B5EF4-FFF2-40B4-BE49-F238E27FC236}">
              <a16:creationId xmlns:a16="http://schemas.microsoft.com/office/drawing/2014/main" id="{E15C8518-4607-48FE-AAFD-A0E6C0D344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84" name="AutoShape 1" descr="Vista previa de toda la pantalla">
          <a:extLst>
            <a:ext uri="{FF2B5EF4-FFF2-40B4-BE49-F238E27FC236}">
              <a16:creationId xmlns:a16="http://schemas.microsoft.com/office/drawing/2014/main" id="{42528BA5-F335-44EA-B78F-AE485AEB2A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85" name="AutoShape 1" descr="Vista previa de toda la pantalla">
          <a:extLst>
            <a:ext uri="{FF2B5EF4-FFF2-40B4-BE49-F238E27FC236}">
              <a16:creationId xmlns:a16="http://schemas.microsoft.com/office/drawing/2014/main" id="{A317C5D4-93BB-4491-8CAD-754D148031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86" name="AutoShape 1" descr="Vista previa de toda la pantalla">
          <a:extLst>
            <a:ext uri="{FF2B5EF4-FFF2-40B4-BE49-F238E27FC236}">
              <a16:creationId xmlns:a16="http://schemas.microsoft.com/office/drawing/2014/main" id="{4C20C331-51B3-46BA-8821-D6E27D2E0E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87" name="AutoShape 1" descr="Vista previa de toda la pantalla">
          <a:extLst>
            <a:ext uri="{FF2B5EF4-FFF2-40B4-BE49-F238E27FC236}">
              <a16:creationId xmlns:a16="http://schemas.microsoft.com/office/drawing/2014/main" id="{864271EF-5385-4D8C-8FEA-F286931F06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88" name="AutoShape 1" descr="Vista previa de toda la pantalla">
          <a:extLst>
            <a:ext uri="{FF2B5EF4-FFF2-40B4-BE49-F238E27FC236}">
              <a16:creationId xmlns:a16="http://schemas.microsoft.com/office/drawing/2014/main" id="{B8F557EC-BAF5-42DB-84DF-3425F874A1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89" name="AutoShape 1" descr="Vista previa de toda la pantalla">
          <a:extLst>
            <a:ext uri="{FF2B5EF4-FFF2-40B4-BE49-F238E27FC236}">
              <a16:creationId xmlns:a16="http://schemas.microsoft.com/office/drawing/2014/main" id="{40A092B6-BF62-42A3-8BCE-CDA7BF9D39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90" name="AutoShape 1" descr="Vista previa de toda la pantalla">
          <a:extLst>
            <a:ext uri="{FF2B5EF4-FFF2-40B4-BE49-F238E27FC236}">
              <a16:creationId xmlns:a16="http://schemas.microsoft.com/office/drawing/2014/main" id="{3C7715B2-F8C3-4756-9B06-586296BDCD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91" name="AutoShape 1" descr="Vista previa de toda la pantalla">
          <a:extLst>
            <a:ext uri="{FF2B5EF4-FFF2-40B4-BE49-F238E27FC236}">
              <a16:creationId xmlns:a16="http://schemas.microsoft.com/office/drawing/2014/main" id="{F2FBF536-7507-431F-AABB-A35D4C98BC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92" name="AutoShape 1" descr="Vista previa de toda la pantalla">
          <a:extLst>
            <a:ext uri="{FF2B5EF4-FFF2-40B4-BE49-F238E27FC236}">
              <a16:creationId xmlns:a16="http://schemas.microsoft.com/office/drawing/2014/main" id="{B7A196CF-2B38-4EE2-B819-14B4AF83CF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93" name="AutoShape 1" descr="Vista previa de toda la pantalla">
          <a:extLst>
            <a:ext uri="{FF2B5EF4-FFF2-40B4-BE49-F238E27FC236}">
              <a16:creationId xmlns:a16="http://schemas.microsoft.com/office/drawing/2014/main" id="{36BD9788-F5B3-4AC9-B676-C62721B356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94" name="AutoShape 1" descr="Vista previa de toda la pantalla">
          <a:extLst>
            <a:ext uri="{FF2B5EF4-FFF2-40B4-BE49-F238E27FC236}">
              <a16:creationId xmlns:a16="http://schemas.microsoft.com/office/drawing/2014/main" id="{FD6BF547-E17B-4BE3-A0EF-2CACA430A1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95" name="AutoShape 1" descr="Vista previa de toda la pantalla">
          <a:extLst>
            <a:ext uri="{FF2B5EF4-FFF2-40B4-BE49-F238E27FC236}">
              <a16:creationId xmlns:a16="http://schemas.microsoft.com/office/drawing/2014/main" id="{FCFD39E5-FE9D-4FD9-8A0D-AA6081A855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96" name="AutoShape 1" descr="Vista previa de toda la pantalla">
          <a:extLst>
            <a:ext uri="{FF2B5EF4-FFF2-40B4-BE49-F238E27FC236}">
              <a16:creationId xmlns:a16="http://schemas.microsoft.com/office/drawing/2014/main" id="{644FC99D-B9FB-4BD5-A866-30142AB670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97" name="AutoShape 1" descr="Vista previa de toda la pantalla">
          <a:extLst>
            <a:ext uri="{FF2B5EF4-FFF2-40B4-BE49-F238E27FC236}">
              <a16:creationId xmlns:a16="http://schemas.microsoft.com/office/drawing/2014/main" id="{AA79EE9C-1510-4C08-B5E2-B024CC47C8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98" name="AutoShape 1" descr="Vista previa de toda la pantalla">
          <a:extLst>
            <a:ext uri="{FF2B5EF4-FFF2-40B4-BE49-F238E27FC236}">
              <a16:creationId xmlns:a16="http://schemas.microsoft.com/office/drawing/2014/main" id="{A4513D05-363B-4C4B-BB96-0C5C0506D4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99" name="AutoShape 1" descr="Vista previa de toda la pantalla">
          <a:extLst>
            <a:ext uri="{FF2B5EF4-FFF2-40B4-BE49-F238E27FC236}">
              <a16:creationId xmlns:a16="http://schemas.microsoft.com/office/drawing/2014/main" id="{AE2422CD-5291-4EB0-A722-8E14CBE5BC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0" name="AutoShape 1" descr="Vista previa de toda la pantalla">
          <a:extLst>
            <a:ext uri="{FF2B5EF4-FFF2-40B4-BE49-F238E27FC236}">
              <a16:creationId xmlns:a16="http://schemas.microsoft.com/office/drawing/2014/main" id="{0F77597E-36A3-4AFC-AA23-3732A8456F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1" name="AutoShape 1" descr="Vista previa de toda la pantalla">
          <a:extLst>
            <a:ext uri="{FF2B5EF4-FFF2-40B4-BE49-F238E27FC236}">
              <a16:creationId xmlns:a16="http://schemas.microsoft.com/office/drawing/2014/main" id="{DAA469CC-478B-4961-8AD3-F4E089BD9D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2" name="AutoShape 1" descr="Vista previa de toda la pantalla">
          <a:extLst>
            <a:ext uri="{FF2B5EF4-FFF2-40B4-BE49-F238E27FC236}">
              <a16:creationId xmlns:a16="http://schemas.microsoft.com/office/drawing/2014/main" id="{9D2128B5-27AD-4052-8D24-13B1ED9EEE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3" name="AutoShape 1" descr="Vista previa de toda la pantalla">
          <a:extLst>
            <a:ext uri="{FF2B5EF4-FFF2-40B4-BE49-F238E27FC236}">
              <a16:creationId xmlns:a16="http://schemas.microsoft.com/office/drawing/2014/main" id="{78019291-CD91-46F2-8BB3-7ECD286856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4" name="AutoShape 1" descr="Vista previa de toda la pantalla">
          <a:extLst>
            <a:ext uri="{FF2B5EF4-FFF2-40B4-BE49-F238E27FC236}">
              <a16:creationId xmlns:a16="http://schemas.microsoft.com/office/drawing/2014/main" id="{CC1F608A-C41C-4243-B241-D6A843B671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5" name="AutoShape 1" descr="Vista previa de toda la pantalla">
          <a:extLst>
            <a:ext uri="{FF2B5EF4-FFF2-40B4-BE49-F238E27FC236}">
              <a16:creationId xmlns:a16="http://schemas.microsoft.com/office/drawing/2014/main" id="{A9C17B6B-17B4-4AF5-B4CD-6D4DC9ABCF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6" name="AutoShape 1" descr="Vista previa de toda la pantalla">
          <a:extLst>
            <a:ext uri="{FF2B5EF4-FFF2-40B4-BE49-F238E27FC236}">
              <a16:creationId xmlns:a16="http://schemas.microsoft.com/office/drawing/2014/main" id="{24C5D4D0-F4E3-4FC1-91AD-FCEB355648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7" name="AutoShape 1" descr="Vista previa de toda la pantalla">
          <a:extLst>
            <a:ext uri="{FF2B5EF4-FFF2-40B4-BE49-F238E27FC236}">
              <a16:creationId xmlns:a16="http://schemas.microsoft.com/office/drawing/2014/main" id="{1B893671-2FA0-4CCA-B285-69587CA861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8" name="AutoShape 1" descr="Vista previa de toda la pantalla">
          <a:extLst>
            <a:ext uri="{FF2B5EF4-FFF2-40B4-BE49-F238E27FC236}">
              <a16:creationId xmlns:a16="http://schemas.microsoft.com/office/drawing/2014/main" id="{F955E8A5-4295-49EF-B2E1-6FE7B623FE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09" name="AutoShape 1" descr="Vista previa de toda la pantalla">
          <a:extLst>
            <a:ext uri="{FF2B5EF4-FFF2-40B4-BE49-F238E27FC236}">
              <a16:creationId xmlns:a16="http://schemas.microsoft.com/office/drawing/2014/main" id="{F9F5570F-B6D6-4BF1-96BC-4FD622EAED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0" name="AutoShape 1" descr="Vista previa de toda la pantalla">
          <a:extLst>
            <a:ext uri="{FF2B5EF4-FFF2-40B4-BE49-F238E27FC236}">
              <a16:creationId xmlns:a16="http://schemas.microsoft.com/office/drawing/2014/main" id="{7E8DE8BE-AB1F-4F11-BB74-60DCDC842E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1" name="AutoShape 1" descr="Vista previa de toda la pantalla">
          <a:extLst>
            <a:ext uri="{FF2B5EF4-FFF2-40B4-BE49-F238E27FC236}">
              <a16:creationId xmlns:a16="http://schemas.microsoft.com/office/drawing/2014/main" id="{34BE0C8A-36DA-4586-879C-1DFE37A41C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2" name="AutoShape 1" descr="Vista previa de toda la pantalla">
          <a:extLst>
            <a:ext uri="{FF2B5EF4-FFF2-40B4-BE49-F238E27FC236}">
              <a16:creationId xmlns:a16="http://schemas.microsoft.com/office/drawing/2014/main" id="{CEB2CF5A-1244-4D9F-B7FE-C4E7D624C9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3" name="AutoShape 1" descr="Vista previa de toda la pantalla">
          <a:extLst>
            <a:ext uri="{FF2B5EF4-FFF2-40B4-BE49-F238E27FC236}">
              <a16:creationId xmlns:a16="http://schemas.microsoft.com/office/drawing/2014/main" id="{5BA041E4-D2FA-4CA6-A40B-4899DECBAA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4" name="AutoShape 1" descr="Vista previa de toda la pantalla">
          <a:extLst>
            <a:ext uri="{FF2B5EF4-FFF2-40B4-BE49-F238E27FC236}">
              <a16:creationId xmlns:a16="http://schemas.microsoft.com/office/drawing/2014/main" id="{CDF90EBA-9F30-44ED-BD7F-E5783EADBF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5" name="AutoShape 1" descr="Vista previa de toda la pantalla">
          <a:extLst>
            <a:ext uri="{FF2B5EF4-FFF2-40B4-BE49-F238E27FC236}">
              <a16:creationId xmlns:a16="http://schemas.microsoft.com/office/drawing/2014/main" id="{D28EBAF3-4EEB-4032-AE1D-7FB6876C79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6" name="AutoShape 1" descr="Vista previa de toda la pantalla">
          <a:extLst>
            <a:ext uri="{FF2B5EF4-FFF2-40B4-BE49-F238E27FC236}">
              <a16:creationId xmlns:a16="http://schemas.microsoft.com/office/drawing/2014/main" id="{1EF8E1CF-C78C-4004-9DB0-A55930F604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7" name="AutoShape 1" descr="Vista previa de toda la pantalla">
          <a:extLst>
            <a:ext uri="{FF2B5EF4-FFF2-40B4-BE49-F238E27FC236}">
              <a16:creationId xmlns:a16="http://schemas.microsoft.com/office/drawing/2014/main" id="{623359AC-6FBC-4C69-A0FB-C9BA2EFFBE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8" name="AutoShape 1" descr="Vista previa de toda la pantalla">
          <a:extLst>
            <a:ext uri="{FF2B5EF4-FFF2-40B4-BE49-F238E27FC236}">
              <a16:creationId xmlns:a16="http://schemas.microsoft.com/office/drawing/2014/main" id="{6A7A39BF-961D-49FA-9FD1-99AE93FB1B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19" name="AutoShape 1" descr="Vista previa de toda la pantalla">
          <a:extLst>
            <a:ext uri="{FF2B5EF4-FFF2-40B4-BE49-F238E27FC236}">
              <a16:creationId xmlns:a16="http://schemas.microsoft.com/office/drawing/2014/main" id="{B631F7FB-D0FF-4ED5-B3CF-D0766D6B35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0" name="AutoShape 1" descr="Vista previa de toda la pantalla">
          <a:extLst>
            <a:ext uri="{FF2B5EF4-FFF2-40B4-BE49-F238E27FC236}">
              <a16:creationId xmlns:a16="http://schemas.microsoft.com/office/drawing/2014/main" id="{8C218464-8F77-4ACF-AF95-C2872B3F30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1" name="AutoShape 1" descr="Vista previa de toda la pantalla">
          <a:extLst>
            <a:ext uri="{FF2B5EF4-FFF2-40B4-BE49-F238E27FC236}">
              <a16:creationId xmlns:a16="http://schemas.microsoft.com/office/drawing/2014/main" id="{28D7B262-EBFA-4A19-972B-7811F5F3C2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2" name="AutoShape 1" descr="Vista previa de toda la pantalla">
          <a:extLst>
            <a:ext uri="{FF2B5EF4-FFF2-40B4-BE49-F238E27FC236}">
              <a16:creationId xmlns:a16="http://schemas.microsoft.com/office/drawing/2014/main" id="{7ED60CC5-EB71-4A33-99E2-A07CB432D5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3" name="AutoShape 1" descr="Vista previa de toda la pantalla">
          <a:extLst>
            <a:ext uri="{FF2B5EF4-FFF2-40B4-BE49-F238E27FC236}">
              <a16:creationId xmlns:a16="http://schemas.microsoft.com/office/drawing/2014/main" id="{F61724EC-D8DA-4B85-817B-E168EDA0F7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4" name="AutoShape 1" descr="Vista previa de toda la pantalla">
          <a:extLst>
            <a:ext uri="{FF2B5EF4-FFF2-40B4-BE49-F238E27FC236}">
              <a16:creationId xmlns:a16="http://schemas.microsoft.com/office/drawing/2014/main" id="{25EF83BC-F080-4A43-B20F-42FA1890A8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5" name="AutoShape 1" descr="Vista previa de toda la pantalla">
          <a:extLst>
            <a:ext uri="{FF2B5EF4-FFF2-40B4-BE49-F238E27FC236}">
              <a16:creationId xmlns:a16="http://schemas.microsoft.com/office/drawing/2014/main" id="{D75B6B8E-5825-4BCB-9AFC-A17863E443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6" name="AutoShape 1" descr="Vista previa de toda la pantalla">
          <a:extLst>
            <a:ext uri="{FF2B5EF4-FFF2-40B4-BE49-F238E27FC236}">
              <a16:creationId xmlns:a16="http://schemas.microsoft.com/office/drawing/2014/main" id="{57B25B14-9B94-4D16-83A1-D123F000D7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7" name="AutoShape 1" descr="Vista previa de toda la pantalla">
          <a:extLst>
            <a:ext uri="{FF2B5EF4-FFF2-40B4-BE49-F238E27FC236}">
              <a16:creationId xmlns:a16="http://schemas.microsoft.com/office/drawing/2014/main" id="{038F3A7B-22CF-446D-A692-B876D98C20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8" name="AutoShape 1" descr="Vista previa de toda la pantalla">
          <a:extLst>
            <a:ext uri="{FF2B5EF4-FFF2-40B4-BE49-F238E27FC236}">
              <a16:creationId xmlns:a16="http://schemas.microsoft.com/office/drawing/2014/main" id="{F7E046B2-134C-42D8-B356-7555855975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29" name="AutoShape 1" descr="Vista previa de toda la pantalla">
          <a:extLst>
            <a:ext uri="{FF2B5EF4-FFF2-40B4-BE49-F238E27FC236}">
              <a16:creationId xmlns:a16="http://schemas.microsoft.com/office/drawing/2014/main" id="{703A252B-20C3-4093-8439-F776018728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0" name="AutoShape 1" descr="Vista previa de toda la pantalla">
          <a:extLst>
            <a:ext uri="{FF2B5EF4-FFF2-40B4-BE49-F238E27FC236}">
              <a16:creationId xmlns:a16="http://schemas.microsoft.com/office/drawing/2014/main" id="{549A57DA-DBEF-4129-8341-DB1592B54C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1" name="AutoShape 1" descr="Vista previa de toda la pantalla">
          <a:extLst>
            <a:ext uri="{FF2B5EF4-FFF2-40B4-BE49-F238E27FC236}">
              <a16:creationId xmlns:a16="http://schemas.microsoft.com/office/drawing/2014/main" id="{2934CCE5-9FE8-4342-BE94-1D144B3B0B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2" name="AutoShape 1" descr="Vista previa de toda la pantalla">
          <a:extLst>
            <a:ext uri="{FF2B5EF4-FFF2-40B4-BE49-F238E27FC236}">
              <a16:creationId xmlns:a16="http://schemas.microsoft.com/office/drawing/2014/main" id="{BE3A8C37-7484-46CF-A909-35E9829F79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3" name="AutoShape 1" descr="Vista previa de toda la pantalla">
          <a:extLst>
            <a:ext uri="{FF2B5EF4-FFF2-40B4-BE49-F238E27FC236}">
              <a16:creationId xmlns:a16="http://schemas.microsoft.com/office/drawing/2014/main" id="{B81D9A0B-9924-4CF7-903A-E213FF4BAD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4" name="AutoShape 1" descr="Vista previa de toda la pantalla">
          <a:extLst>
            <a:ext uri="{FF2B5EF4-FFF2-40B4-BE49-F238E27FC236}">
              <a16:creationId xmlns:a16="http://schemas.microsoft.com/office/drawing/2014/main" id="{B79B28E6-562B-4521-8D67-D0A7BC7E1B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5" name="AutoShape 1" descr="Vista previa de toda la pantalla">
          <a:extLst>
            <a:ext uri="{FF2B5EF4-FFF2-40B4-BE49-F238E27FC236}">
              <a16:creationId xmlns:a16="http://schemas.microsoft.com/office/drawing/2014/main" id="{8932011F-4DB2-4803-BEA0-DDDC248BE1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6" name="AutoShape 1" descr="Vista previa de toda la pantalla">
          <a:extLst>
            <a:ext uri="{FF2B5EF4-FFF2-40B4-BE49-F238E27FC236}">
              <a16:creationId xmlns:a16="http://schemas.microsoft.com/office/drawing/2014/main" id="{D80291F1-32D8-4AFF-BF2D-EE88EF3843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7" name="AutoShape 1" descr="Vista previa de toda la pantalla">
          <a:extLst>
            <a:ext uri="{FF2B5EF4-FFF2-40B4-BE49-F238E27FC236}">
              <a16:creationId xmlns:a16="http://schemas.microsoft.com/office/drawing/2014/main" id="{F2176C9D-442B-4A57-8904-D527EB22A2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8" name="AutoShape 1" descr="Vista previa de toda la pantalla">
          <a:extLst>
            <a:ext uri="{FF2B5EF4-FFF2-40B4-BE49-F238E27FC236}">
              <a16:creationId xmlns:a16="http://schemas.microsoft.com/office/drawing/2014/main" id="{96C78568-11DD-42BD-8936-E0589BBD0D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39" name="AutoShape 1" descr="Vista previa de toda la pantalla">
          <a:extLst>
            <a:ext uri="{FF2B5EF4-FFF2-40B4-BE49-F238E27FC236}">
              <a16:creationId xmlns:a16="http://schemas.microsoft.com/office/drawing/2014/main" id="{3E379046-6D67-45B8-8228-374018827F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0" name="AutoShape 1" descr="Vista previa de toda la pantalla">
          <a:extLst>
            <a:ext uri="{FF2B5EF4-FFF2-40B4-BE49-F238E27FC236}">
              <a16:creationId xmlns:a16="http://schemas.microsoft.com/office/drawing/2014/main" id="{813B3FC6-496C-477B-B471-7E53ADA0E1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1" name="AutoShape 1" descr="Vista previa de toda la pantalla">
          <a:extLst>
            <a:ext uri="{FF2B5EF4-FFF2-40B4-BE49-F238E27FC236}">
              <a16:creationId xmlns:a16="http://schemas.microsoft.com/office/drawing/2014/main" id="{31A2836A-D0E7-4900-BA33-A9987542BA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2" name="AutoShape 1" descr="Vista previa de toda la pantalla">
          <a:extLst>
            <a:ext uri="{FF2B5EF4-FFF2-40B4-BE49-F238E27FC236}">
              <a16:creationId xmlns:a16="http://schemas.microsoft.com/office/drawing/2014/main" id="{FBA0AC7E-998C-4BA9-BFA0-BD638127F8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3" name="AutoShape 1" descr="Vista previa de toda la pantalla">
          <a:extLst>
            <a:ext uri="{FF2B5EF4-FFF2-40B4-BE49-F238E27FC236}">
              <a16:creationId xmlns:a16="http://schemas.microsoft.com/office/drawing/2014/main" id="{1451B030-4C0B-46B8-AC64-A8B20BE19C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4" name="AutoShape 1" descr="Vista previa de toda la pantalla">
          <a:extLst>
            <a:ext uri="{FF2B5EF4-FFF2-40B4-BE49-F238E27FC236}">
              <a16:creationId xmlns:a16="http://schemas.microsoft.com/office/drawing/2014/main" id="{6A8E0F30-7832-4794-B161-9DE9BEF72B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5" name="AutoShape 1" descr="Vista previa de toda la pantalla">
          <a:extLst>
            <a:ext uri="{FF2B5EF4-FFF2-40B4-BE49-F238E27FC236}">
              <a16:creationId xmlns:a16="http://schemas.microsoft.com/office/drawing/2014/main" id="{EEC16BA6-EA90-4FBC-A2AA-29DFA6BE1D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6" name="AutoShape 1" descr="Vista previa de toda la pantalla">
          <a:extLst>
            <a:ext uri="{FF2B5EF4-FFF2-40B4-BE49-F238E27FC236}">
              <a16:creationId xmlns:a16="http://schemas.microsoft.com/office/drawing/2014/main" id="{ED024C90-480A-4DFD-A885-BAE4A28ADE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7" name="AutoShape 1" descr="Vista previa de toda la pantalla">
          <a:extLst>
            <a:ext uri="{FF2B5EF4-FFF2-40B4-BE49-F238E27FC236}">
              <a16:creationId xmlns:a16="http://schemas.microsoft.com/office/drawing/2014/main" id="{10ED5AD4-79B1-4A09-827F-924B2B396F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8" name="AutoShape 1" descr="Vista previa de toda la pantalla">
          <a:extLst>
            <a:ext uri="{FF2B5EF4-FFF2-40B4-BE49-F238E27FC236}">
              <a16:creationId xmlns:a16="http://schemas.microsoft.com/office/drawing/2014/main" id="{3D203C22-5C09-44D9-A74F-676AE14A71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49" name="AutoShape 1" descr="Vista previa de toda la pantalla">
          <a:extLst>
            <a:ext uri="{FF2B5EF4-FFF2-40B4-BE49-F238E27FC236}">
              <a16:creationId xmlns:a16="http://schemas.microsoft.com/office/drawing/2014/main" id="{0EB9A5A1-DDC3-48AD-9B7D-1F372B123A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0" name="AutoShape 1" descr="Vista previa de toda la pantalla">
          <a:extLst>
            <a:ext uri="{FF2B5EF4-FFF2-40B4-BE49-F238E27FC236}">
              <a16:creationId xmlns:a16="http://schemas.microsoft.com/office/drawing/2014/main" id="{4E14AF20-A4E0-4D67-A472-C216057015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1" name="AutoShape 1" descr="Vista previa de toda la pantalla">
          <a:extLst>
            <a:ext uri="{FF2B5EF4-FFF2-40B4-BE49-F238E27FC236}">
              <a16:creationId xmlns:a16="http://schemas.microsoft.com/office/drawing/2014/main" id="{87886960-5845-41D7-97B3-5CDEF9B54B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2" name="AutoShape 1" descr="Vista previa de toda la pantalla">
          <a:extLst>
            <a:ext uri="{FF2B5EF4-FFF2-40B4-BE49-F238E27FC236}">
              <a16:creationId xmlns:a16="http://schemas.microsoft.com/office/drawing/2014/main" id="{2CBDA3EF-8C61-4243-BAE0-09B2BC29C7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3" name="AutoShape 1" descr="Vista previa de toda la pantalla">
          <a:extLst>
            <a:ext uri="{FF2B5EF4-FFF2-40B4-BE49-F238E27FC236}">
              <a16:creationId xmlns:a16="http://schemas.microsoft.com/office/drawing/2014/main" id="{9FE6D56A-85BD-4576-AADD-82FEB7DEEB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4" name="AutoShape 1" descr="Vista previa de toda la pantalla">
          <a:extLst>
            <a:ext uri="{FF2B5EF4-FFF2-40B4-BE49-F238E27FC236}">
              <a16:creationId xmlns:a16="http://schemas.microsoft.com/office/drawing/2014/main" id="{7A19AE9F-BDAC-4E13-BA7C-F7D47E2616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5" name="AutoShape 1" descr="Vista previa de toda la pantalla">
          <a:extLst>
            <a:ext uri="{FF2B5EF4-FFF2-40B4-BE49-F238E27FC236}">
              <a16:creationId xmlns:a16="http://schemas.microsoft.com/office/drawing/2014/main" id="{23408397-665B-41FC-B686-C75D733861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6" name="AutoShape 1" descr="Vista previa de toda la pantalla">
          <a:extLst>
            <a:ext uri="{FF2B5EF4-FFF2-40B4-BE49-F238E27FC236}">
              <a16:creationId xmlns:a16="http://schemas.microsoft.com/office/drawing/2014/main" id="{1DE1679B-5DFF-4413-9F26-2B313B5217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7" name="AutoShape 1" descr="Vista previa de toda la pantalla">
          <a:extLst>
            <a:ext uri="{FF2B5EF4-FFF2-40B4-BE49-F238E27FC236}">
              <a16:creationId xmlns:a16="http://schemas.microsoft.com/office/drawing/2014/main" id="{7F077948-02DA-4E3D-AB3B-223F72CBA4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8" name="AutoShape 1" descr="Vista previa de toda la pantalla">
          <a:extLst>
            <a:ext uri="{FF2B5EF4-FFF2-40B4-BE49-F238E27FC236}">
              <a16:creationId xmlns:a16="http://schemas.microsoft.com/office/drawing/2014/main" id="{A9CB407E-AD06-4083-8926-3AB52AAE56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59" name="AutoShape 1" descr="Vista previa de toda la pantalla">
          <a:extLst>
            <a:ext uri="{FF2B5EF4-FFF2-40B4-BE49-F238E27FC236}">
              <a16:creationId xmlns:a16="http://schemas.microsoft.com/office/drawing/2014/main" id="{C458A908-5B6F-4520-9A3B-5B200A2A5D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0" name="AutoShape 1" descr="Vista previa de toda la pantalla">
          <a:extLst>
            <a:ext uri="{FF2B5EF4-FFF2-40B4-BE49-F238E27FC236}">
              <a16:creationId xmlns:a16="http://schemas.microsoft.com/office/drawing/2014/main" id="{709D7349-B48E-41E4-928A-4B40FD0E4C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1" name="AutoShape 1" descr="Vista previa de toda la pantalla">
          <a:extLst>
            <a:ext uri="{FF2B5EF4-FFF2-40B4-BE49-F238E27FC236}">
              <a16:creationId xmlns:a16="http://schemas.microsoft.com/office/drawing/2014/main" id="{23941F81-13D9-4544-8D22-C27BE52D55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2" name="AutoShape 1" descr="Vista previa de toda la pantalla">
          <a:extLst>
            <a:ext uri="{FF2B5EF4-FFF2-40B4-BE49-F238E27FC236}">
              <a16:creationId xmlns:a16="http://schemas.microsoft.com/office/drawing/2014/main" id="{719B85C3-E1FB-45A9-BB5B-437486C7B5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3" name="AutoShape 1" descr="Vista previa de toda la pantalla">
          <a:extLst>
            <a:ext uri="{FF2B5EF4-FFF2-40B4-BE49-F238E27FC236}">
              <a16:creationId xmlns:a16="http://schemas.microsoft.com/office/drawing/2014/main" id="{36D9AE8F-D06C-4849-9F53-AB88E6B917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4" name="AutoShape 1" descr="Vista previa de toda la pantalla">
          <a:extLst>
            <a:ext uri="{FF2B5EF4-FFF2-40B4-BE49-F238E27FC236}">
              <a16:creationId xmlns:a16="http://schemas.microsoft.com/office/drawing/2014/main" id="{49C9BAD2-10E1-421E-8B28-31D1779784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5" name="AutoShape 1" descr="Vista previa de toda la pantalla">
          <a:extLst>
            <a:ext uri="{FF2B5EF4-FFF2-40B4-BE49-F238E27FC236}">
              <a16:creationId xmlns:a16="http://schemas.microsoft.com/office/drawing/2014/main" id="{64DE152C-5ED8-43DF-B234-94E08E40A1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6" name="AutoShape 1" descr="Vista previa de toda la pantalla">
          <a:extLst>
            <a:ext uri="{FF2B5EF4-FFF2-40B4-BE49-F238E27FC236}">
              <a16:creationId xmlns:a16="http://schemas.microsoft.com/office/drawing/2014/main" id="{FD5AFE8D-8935-4DEF-97B9-532936E188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7" name="AutoShape 1" descr="Vista previa de toda la pantalla">
          <a:extLst>
            <a:ext uri="{FF2B5EF4-FFF2-40B4-BE49-F238E27FC236}">
              <a16:creationId xmlns:a16="http://schemas.microsoft.com/office/drawing/2014/main" id="{02C1D699-D774-45B0-BDBC-5D83B8FFEE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8" name="AutoShape 1" descr="Vista previa de toda la pantalla">
          <a:extLst>
            <a:ext uri="{FF2B5EF4-FFF2-40B4-BE49-F238E27FC236}">
              <a16:creationId xmlns:a16="http://schemas.microsoft.com/office/drawing/2014/main" id="{0C9BC68C-BF4B-4A5E-97A6-5037A872EC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69" name="AutoShape 1" descr="Vista previa de toda la pantalla">
          <a:extLst>
            <a:ext uri="{FF2B5EF4-FFF2-40B4-BE49-F238E27FC236}">
              <a16:creationId xmlns:a16="http://schemas.microsoft.com/office/drawing/2014/main" id="{B96DB56F-1825-4552-8FAA-5511B2D7D5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0" name="AutoShape 1" descr="Vista previa de toda la pantalla">
          <a:extLst>
            <a:ext uri="{FF2B5EF4-FFF2-40B4-BE49-F238E27FC236}">
              <a16:creationId xmlns:a16="http://schemas.microsoft.com/office/drawing/2014/main" id="{64619C08-5919-4499-BF28-763A14DD35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1" name="AutoShape 1" descr="Vista previa de toda la pantalla">
          <a:extLst>
            <a:ext uri="{FF2B5EF4-FFF2-40B4-BE49-F238E27FC236}">
              <a16:creationId xmlns:a16="http://schemas.microsoft.com/office/drawing/2014/main" id="{36E9DC04-7EA1-4923-8EEB-AAC35855EB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2" name="AutoShape 1" descr="Vista previa de toda la pantalla">
          <a:extLst>
            <a:ext uri="{FF2B5EF4-FFF2-40B4-BE49-F238E27FC236}">
              <a16:creationId xmlns:a16="http://schemas.microsoft.com/office/drawing/2014/main" id="{55F85BD2-3628-48E6-8F8D-D215275E28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3" name="AutoShape 1" descr="Vista previa de toda la pantalla">
          <a:extLst>
            <a:ext uri="{FF2B5EF4-FFF2-40B4-BE49-F238E27FC236}">
              <a16:creationId xmlns:a16="http://schemas.microsoft.com/office/drawing/2014/main" id="{4FA1CF36-005B-40A8-A9F3-46070F6099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4" name="AutoShape 1" descr="Vista previa de toda la pantalla">
          <a:extLst>
            <a:ext uri="{FF2B5EF4-FFF2-40B4-BE49-F238E27FC236}">
              <a16:creationId xmlns:a16="http://schemas.microsoft.com/office/drawing/2014/main" id="{14B0ED2E-E848-46F5-B6A7-17A9EDE007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5" name="AutoShape 1" descr="Vista previa de toda la pantalla">
          <a:extLst>
            <a:ext uri="{FF2B5EF4-FFF2-40B4-BE49-F238E27FC236}">
              <a16:creationId xmlns:a16="http://schemas.microsoft.com/office/drawing/2014/main" id="{FECBE753-93C7-40DC-BCCA-1CE1C73A06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6" name="AutoShape 1" descr="Vista previa de toda la pantalla">
          <a:extLst>
            <a:ext uri="{FF2B5EF4-FFF2-40B4-BE49-F238E27FC236}">
              <a16:creationId xmlns:a16="http://schemas.microsoft.com/office/drawing/2014/main" id="{E80F4355-289A-41B8-B1CD-DC78127999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7" name="AutoShape 1" descr="Vista previa de toda la pantalla">
          <a:extLst>
            <a:ext uri="{FF2B5EF4-FFF2-40B4-BE49-F238E27FC236}">
              <a16:creationId xmlns:a16="http://schemas.microsoft.com/office/drawing/2014/main" id="{E07A3E66-55DC-40D0-8C1C-86792BA694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8" name="AutoShape 1" descr="Vista previa de toda la pantalla">
          <a:extLst>
            <a:ext uri="{FF2B5EF4-FFF2-40B4-BE49-F238E27FC236}">
              <a16:creationId xmlns:a16="http://schemas.microsoft.com/office/drawing/2014/main" id="{584853A7-4A64-40D8-844B-E8E8B1DC4A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79" name="AutoShape 1" descr="Vista previa de toda la pantalla">
          <a:extLst>
            <a:ext uri="{FF2B5EF4-FFF2-40B4-BE49-F238E27FC236}">
              <a16:creationId xmlns:a16="http://schemas.microsoft.com/office/drawing/2014/main" id="{D24DE2FE-8ABD-4A42-9C58-C172A969CD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0" name="AutoShape 1" descr="Vista previa de toda la pantalla">
          <a:extLst>
            <a:ext uri="{FF2B5EF4-FFF2-40B4-BE49-F238E27FC236}">
              <a16:creationId xmlns:a16="http://schemas.microsoft.com/office/drawing/2014/main" id="{63258455-8D42-4E7E-BE6D-CC3E161A73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1" name="AutoShape 1" descr="Vista previa de toda la pantalla">
          <a:extLst>
            <a:ext uri="{FF2B5EF4-FFF2-40B4-BE49-F238E27FC236}">
              <a16:creationId xmlns:a16="http://schemas.microsoft.com/office/drawing/2014/main" id="{71BD2B9A-3932-4D65-97A1-A22111872A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2" name="AutoShape 1" descr="Vista previa de toda la pantalla">
          <a:extLst>
            <a:ext uri="{FF2B5EF4-FFF2-40B4-BE49-F238E27FC236}">
              <a16:creationId xmlns:a16="http://schemas.microsoft.com/office/drawing/2014/main" id="{881F0A13-1D64-4352-853C-CB78EB326B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3" name="AutoShape 1" descr="Vista previa de toda la pantalla">
          <a:extLst>
            <a:ext uri="{FF2B5EF4-FFF2-40B4-BE49-F238E27FC236}">
              <a16:creationId xmlns:a16="http://schemas.microsoft.com/office/drawing/2014/main" id="{22BF070B-AA4F-4BB8-924C-38F61269C1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4" name="AutoShape 1" descr="Vista previa de toda la pantalla">
          <a:extLst>
            <a:ext uri="{FF2B5EF4-FFF2-40B4-BE49-F238E27FC236}">
              <a16:creationId xmlns:a16="http://schemas.microsoft.com/office/drawing/2014/main" id="{A7C1A463-17CC-4B6C-93B9-632047892D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5" name="AutoShape 1" descr="Vista previa de toda la pantalla">
          <a:extLst>
            <a:ext uri="{FF2B5EF4-FFF2-40B4-BE49-F238E27FC236}">
              <a16:creationId xmlns:a16="http://schemas.microsoft.com/office/drawing/2014/main" id="{EE71F52B-93DC-4751-B913-CA1ACC6751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6" name="AutoShape 1" descr="Vista previa de toda la pantalla">
          <a:extLst>
            <a:ext uri="{FF2B5EF4-FFF2-40B4-BE49-F238E27FC236}">
              <a16:creationId xmlns:a16="http://schemas.microsoft.com/office/drawing/2014/main" id="{30140245-C9D1-4378-A384-7224F8723D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7" name="AutoShape 1" descr="Vista previa de toda la pantalla">
          <a:extLst>
            <a:ext uri="{FF2B5EF4-FFF2-40B4-BE49-F238E27FC236}">
              <a16:creationId xmlns:a16="http://schemas.microsoft.com/office/drawing/2014/main" id="{8DC535DA-7B95-4BD2-BF06-3B97B2A7F2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8" name="AutoShape 1" descr="Vista previa de toda la pantalla">
          <a:extLst>
            <a:ext uri="{FF2B5EF4-FFF2-40B4-BE49-F238E27FC236}">
              <a16:creationId xmlns:a16="http://schemas.microsoft.com/office/drawing/2014/main" id="{21F7EA08-44FD-42B2-A203-8A9717B61B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89" name="AutoShape 1" descr="Vista previa de toda la pantalla">
          <a:extLst>
            <a:ext uri="{FF2B5EF4-FFF2-40B4-BE49-F238E27FC236}">
              <a16:creationId xmlns:a16="http://schemas.microsoft.com/office/drawing/2014/main" id="{C87EF907-2A2B-43AB-9999-2F8D393E98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0" name="AutoShape 1" descr="Vista previa de toda la pantalla">
          <a:extLst>
            <a:ext uri="{FF2B5EF4-FFF2-40B4-BE49-F238E27FC236}">
              <a16:creationId xmlns:a16="http://schemas.microsoft.com/office/drawing/2014/main" id="{1E4F06B5-CA75-4908-B8FC-446FA19F35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1" name="AutoShape 1" descr="Vista previa de toda la pantalla">
          <a:extLst>
            <a:ext uri="{FF2B5EF4-FFF2-40B4-BE49-F238E27FC236}">
              <a16:creationId xmlns:a16="http://schemas.microsoft.com/office/drawing/2014/main" id="{F66C02A6-F346-43BD-B18E-397FCFFFB6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2" name="AutoShape 1" descr="Vista previa de toda la pantalla">
          <a:extLst>
            <a:ext uri="{FF2B5EF4-FFF2-40B4-BE49-F238E27FC236}">
              <a16:creationId xmlns:a16="http://schemas.microsoft.com/office/drawing/2014/main" id="{43E63204-3C2E-40ED-880B-F3058ACA02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3" name="AutoShape 1" descr="Vista previa de toda la pantalla">
          <a:extLst>
            <a:ext uri="{FF2B5EF4-FFF2-40B4-BE49-F238E27FC236}">
              <a16:creationId xmlns:a16="http://schemas.microsoft.com/office/drawing/2014/main" id="{0530E976-24ED-4DFD-ABC4-FF48E11865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4" name="AutoShape 1" descr="Vista previa de toda la pantalla">
          <a:extLst>
            <a:ext uri="{FF2B5EF4-FFF2-40B4-BE49-F238E27FC236}">
              <a16:creationId xmlns:a16="http://schemas.microsoft.com/office/drawing/2014/main" id="{2F1DD933-49B7-411E-A704-3A1D233EE7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5" name="AutoShape 1" descr="Vista previa de toda la pantalla">
          <a:extLst>
            <a:ext uri="{FF2B5EF4-FFF2-40B4-BE49-F238E27FC236}">
              <a16:creationId xmlns:a16="http://schemas.microsoft.com/office/drawing/2014/main" id="{1608A2BE-F6FA-4166-B211-2D44F6C598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6" name="AutoShape 1" descr="Vista previa de toda la pantalla">
          <a:extLst>
            <a:ext uri="{FF2B5EF4-FFF2-40B4-BE49-F238E27FC236}">
              <a16:creationId xmlns:a16="http://schemas.microsoft.com/office/drawing/2014/main" id="{F5D64BA9-92BE-48C0-9E4D-786137B4B1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7" name="AutoShape 1" descr="Vista previa de toda la pantalla">
          <a:extLst>
            <a:ext uri="{FF2B5EF4-FFF2-40B4-BE49-F238E27FC236}">
              <a16:creationId xmlns:a16="http://schemas.microsoft.com/office/drawing/2014/main" id="{16304308-DCC5-4954-86A9-BA41670A6C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8" name="AutoShape 1" descr="Vista previa de toda la pantalla">
          <a:extLst>
            <a:ext uri="{FF2B5EF4-FFF2-40B4-BE49-F238E27FC236}">
              <a16:creationId xmlns:a16="http://schemas.microsoft.com/office/drawing/2014/main" id="{901A08CE-BAD3-4B34-B9C8-5D8BB596E0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999" name="AutoShape 1" descr="Vista previa de toda la pantalla">
          <a:extLst>
            <a:ext uri="{FF2B5EF4-FFF2-40B4-BE49-F238E27FC236}">
              <a16:creationId xmlns:a16="http://schemas.microsoft.com/office/drawing/2014/main" id="{A50237C0-D918-431B-A2FD-40605C9D93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0" name="AutoShape 1" descr="Vista previa de toda la pantalla">
          <a:extLst>
            <a:ext uri="{FF2B5EF4-FFF2-40B4-BE49-F238E27FC236}">
              <a16:creationId xmlns:a16="http://schemas.microsoft.com/office/drawing/2014/main" id="{D05FDD76-D115-4864-9B9E-6150C462E4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1" name="AutoShape 1" descr="Vista previa de toda la pantalla">
          <a:extLst>
            <a:ext uri="{FF2B5EF4-FFF2-40B4-BE49-F238E27FC236}">
              <a16:creationId xmlns:a16="http://schemas.microsoft.com/office/drawing/2014/main" id="{6C2068C9-00D4-4570-8989-56272BC9E8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2" name="AutoShape 1" descr="Vista previa de toda la pantalla">
          <a:extLst>
            <a:ext uri="{FF2B5EF4-FFF2-40B4-BE49-F238E27FC236}">
              <a16:creationId xmlns:a16="http://schemas.microsoft.com/office/drawing/2014/main" id="{7BED89A6-AE6E-4858-8FDB-3DFB859462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3" name="AutoShape 1" descr="Vista previa de toda la pantalla">
          <a:extLst>
            <a:ext uri="{FF2B5EF4-FFF2-40B4-BE49-F238E27FC236}">
              <a16:creationId xmlns:a16="http://schemas.microsoft.com/office/drawing/2014/main" id="{01C6926E-BE47-447F-9F10-BF89B07568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4" name="AutoShape 1" descr="Vista previa de toda la pantalla">
          <a:extLst>
            <a:ext uri="{FF2B5EF4-FFF2-40B4-BE49-F238E27FC236}">
              <a16:creationId xmlns:a16="http://schemas.microsoft.com/office/drawing/2014/main" id="{B7BC7E29-0786-4CEE-A3CC-3B54F60713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5" name="AutoShape 1" descr="Vista previa de toda la pantalla">
          <a:extLst>
            <a:ext uri="{FF2B5EF4-FFF2-40B4-BE49-F238E27FC236}">
              <a16:creationId xmlns:a16="http://schemas.microsoft.com/office/drawing/2014/main" id="{D379D5B1-B48A-4289-ADC5-4D45CC6BA0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6" name="AutoShape 1" descr="Vista previa de toda la pantalla">
          <a:extLst>
            <a:ext uri="{FF2B5EF4-FFF2-40B4-BE49-F238E27FC236}">
              <a16:creationId xmlns:a16="http://schemas.microsoft.com/office/drawing/2014/main" id="{D6B590AE-A733-477A-847A-E589520B2D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7" name="AutoShape 1" descr="Vista previa de toda la pantalla">
          <a:extLst>
            <a:ext uri="{FF2B5EF4-FFF2-40B4-BE49-F238E27FC236}">
              <a16:creationId xmlns:a16="http://schemas.microsoft.com/office/drawing/2014/main" id="{9CC949A6-039C-432C-9124-3AE98569FF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8" name="AutoShape 1" descr="Vista previa de toda la pantalla">
          <a:extLst>
            <a:ext uri="{FF2B5EF4-FFF2-40B4-BE49-F238E27FC236}">
              <a16:creationId xmlns:a16="http://schemas.microsoft.com/office/drawing/2014/main" id="{0821DB7C-CEBD-4248-8858-00F26EE8F1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09" name="AutoShape 1" descr="Vista previa de toda la pantalla">
          <a:extLst>
            <a:ext uri="{FF2B5EF4-FFF2-40B4-BE49-F238E27FC236}">
              <a16:creationId xmlns:a16="http://schemas.microsoft.com/office/drawing/2014/main" id="{FEEF61EA-5467-41D1-97B3-316C4D9A46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0" name="AutoShape 1" descr="Vista previa de toda la pantalla">
          <a:extLst>
            <a:ext uri="{FF2B5EF4-FFF2-40B4-BE49-F238E27FC236}">
              <a16:creationId xmlns:a16="http://schemas.microsoft.com/office/drawing/2014/main" id="{22E7FEDF-3D86-40AD-A2B2-A03F7336B3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1" name="AutoShape 1" descr="Vista previa de toda la pantalla">
          <a:extLst>
            <a:ext uri="{FF2B5EF4-FFF2-40B4-BE49-F238E27FC236}">
              <a16:creationId xmlns:a16="http://schemas.microsoft.com/office/drawing/2014/main" id="{A3664382-0AFB-491E-B564-D0E7B10DBF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2" name="AutoShape 1" descr="Vista previa de toda la pantalla">
          <a:extLst>
            <a:ext uri="{FF2B5EF4-FFF2-40B4-BE49-F238E27FC236}">
              <a16:creationId xmlns:a16="http://schemas.microsoft.com/office/drawing/2014/main" id="{15995412-327F-4D96-A682-AA43C2A3A0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3" name="AutoShape 1" descr="Vista previa de toda la pantalla">
          <a:extLst>
            <a:ext uri="{FF2B5EF4-FFF2-40B4-BE49-F238E27FC236}">
              <a16:creationId xmlns:a16="http://schemas.microsoft.com/office/drawing/2014/main" id="{220B812C-A161-4394-A15F-CC4CF18D49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4" name="AutoShape 1" descr="Vista previa de toda la pantalla">
          <a:extLst>
            <a:ext uri="{FF2B5EF4-FFF2-40B4-BE49-F238E27FC236}">
              <a16:creationId xmlns:a16="http://schemas.microsoft.com/office/drawing/2014/main" id="{D2C5EF07-A494-48ED-A3BD-1102800CBF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5" name="AutoShape 1" descr="Vista previa de toda la pantalla">
          <a:extLst>
            <a:ext uri="{FF2B5EF4-FFF2-40B4-BE49-F238E27FC236}">
              <a16:creationId xmlns:a16="http://schemas.microsoft.com/office/drawing/2014/main" id="{C32F5540-3E5A-435E-94D6-2C25932EB9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6" name="AutoShape 1" descr="Vista previa de toda la pantalla">
          <a:extLst>
            <a:ext uri="{FF2B5EF4-FFF2-40B4-BE49-F238E27FC236}">
              <a16:creationId xmlns:a16="http://schemas.microsoft.com/office/drawing/2014/main" id="{ACD4FE98-D603-495C-8F54-FB105EDC2B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7" name="AutoShape 1" descr="Vista previa de toda la pantalla">
          <a:extLst>
            <a:ext uri="{FF2B5EF4-FFF2-40B4-BE49-F238E27FC236}">
              <a16:creationId xmlns:a16="http://schemas.microsoft.com/office/drawing/2014/main" id="{BD44CB6A-53B8-4DF6-A552-2DB6C2DBC8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8" name="AutoShape 1" descr="Vista previa de toda la pantalla">
          <a:extLst>
            <a:ext uri="{FF2B5EF4-FFF2-40B4-BE49-F238E27FC236}">
              <a16:creationId xmlns:a16="http://schemas.microsoft.com/office/drawing/2014/main" id="{C0B78C95-12EF-4F43-A0EB-826ADF0D8A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19" name="AutoShape 1" descr="Vista previa de toda la pantalla">
          <a:extLst>
            <a:ext uri="{FF2B5EF4-FFF2-40B4-BE49-F238E27FC236}">
              <a16:creationId xmlns:a16="http://schemas.microsoft.com/office/drawing/2014/main" id="{B01EDD17-5857-491B-A031-48FBEEFC73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20" name="AutoShape 1" descr="Vista previa de toda la pantalla">
          <a:extLst>
            <a:ext uri="{FF2B5EF4-FFF2-40B4-BE49-F238E27FC236}">
              <a16:creationId xmlns:a16="http://schemas.microsoft.com/office/drawing/2014/main" id="{B581941B-BF0C-4C47-B331-E2A53019CD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21" name="AutoShape 1" descr="Vista previa de toda la pantalla">
          <a:extLst>
            <a:ext uri="{FF2B5EF4-FFF2-40B4-BE49-F238E27FC236}">
              <a16:creationId xmlns:a16="http://schemas.microsoft.com/office/drawing/2014/main" id="{77F21182-F920-4B48-AC85-53D79EE1FE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22" name="AutoShape 1" descr="Vista previa de toda la pantalla">
          <a:extLst>
            <a:ext uri="{FF2B5EF4-FFF2-40B4-BE49-F238E27FC236}">
              <a16:creationId xmlns:a16="http://schemas.microsoft.com/office/drawing/2014/main" id="{6D6391D9-A126-484B-9133-530DFEA994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23" name="AutoShape 1" descr="Vista previa de toda la pantalla">
          <a:extLst>
            <a:ext uri="{FF2B5EF4-FFF2-40B4-BE49-F238E27FC236}">
              <a16:creationId xmlns:a16="http://schemas.microsoft.com/office/drawing/2014/main" id="{A57BACCD-A762-459D-B219-7EF89985D2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24" name="AutoShape 1" descr="Vista previa de toda la pantalla">
          <a:extLst>
            <a:ext uri="{FF2B5EF4-FFF2-40B4-BE49-F238E27FC236}">
              <a16:creationId xmlns:a16="http://schemas.microsoft.com/office/drawing/2014/main" id="{DEAFD1C6-352D-4AFE-9F8B-214AA1A144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0025" name="AutoShape 1" descr="Vista previa de toda la pantalla">
          <a:extLst>
            <a:ext uri="{FF2B5EF4-FFF2-40B4-BE49-F238E27FC236}">
              <a16:creationId xmlns:a16="http://schemas.microsoft.com/office/drawing/2014/main" id="{07B94125-1296-4F43-A5A6-7302B2436C20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26" name="AutoShape 1" descr="Vista previa de toda la pantalla">
          <a:extLst>
            <a:ext uri="{FF2B5EF4-FFF2-40B4-BE49-F238E27FC236}">
              <a16:creationId xmlns:a16="http://schemas.microsoft.com/office/drawing/2014/main" id="{11E9686F-BBE4-42E1-AD95-F7F2114333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27" name="AutoShape 1" descr="Vista previa de toda la pantalla">
          <a:extLst>
            <a:ext uri="{FF2B5EF4-FFF2-40B4-BE49-F238E27FC236}">
              <a16:creationId xmlns:a16="http://schemas.microsoft.com/office/drawing/2014/main" id="{981C5441-0523-497C-8E44-0340E0F2FF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28" name="AutoShape 1" descr="Vista previa de toda la pantalla">
          <a:extLst>
            <a:ext uri="{FF2B5EF4-FFF2-40B4-BE49-F238E27FC236}">
              <a16:creationId xmlns:a16="http://schemas.microsoft.com/office/drawing/2014/main" id="{D14E9E55-54E4-4510-9CA3-96562E788B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29" name="AutoShape 1" descr="Vista previa de toda la pantalla">
          <a:extLst>
            <a:ext uri="{FF2B5EF4-FFF2-40B4-BE49-F238E27FC236}">
              <a16:creationId xmlns:a16="http://schemas.microsoft.com/office/drawing/2014/main" id="{ECE7D8E4-A7F2-495A-99CE-599DC7987B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0" name="AutoShape 1" descr="Vista previa de toda la pantalla">
          <a:extLst>
            <a:ext uri="{FF2B5EF4-FFF2-40B4-BE49-F238E27FC236}">
              <a16:creationId xmlns:a16="http://schemas.microsoft.com/office/drawing/2014/main" id="{B0D198F9-63E7-4416-95C7-3A7771E0EE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1" name="AutoShape 1" descr="Vista previa de toda la pantalla">
          <a:extLst>
            <a:ext uri="{FF2B5EF4-FFF2-40B4-BE49-F238E27FC236}">
              <a16:creationId xmlns:a16="http://schemas.microsoft.com/office/drawing/2014/main" id="{E12067CC-B13F-437C-AC41-43744D69F5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2" name="AutoShape 1" descr="Vista previa de toda la pantalla">
          <a:extLst>
            <a:ext uri="{FF2B5EF4-FFF2-40B4-BE49-F238E27FC236}">
              <a16:creationId xmlns:a16="http://schemas.microsoft.com/office/drawing/2014/main" id="{388A474D-036D-4AEA-B65A-B990BC29AF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3" name="AutoShape 1" descr="Vista previa de toda la pantalla">
          <a:extLst>
            <a:ext uri="{FF2B5EF4-FFF2-40B4-BE49-F238E27FC236}">
              <a16:creationId xmlns:a16="http://schemas.microsoft.com/office/drawing/2014/main" id="{55D9B0D8-2AD7-4C24-9269-8B434EE512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4" name="AutoShape 1" descr="Vista previa de toda la pantalla">
          <a:extLst>
            <a:ext uri="{FF2B5EF4-FFF2-40B4-BE49-F238E27FC236}">
              <a16:creationId xmlns:a16="http://schemas.microsoft.com/office/drawing/2014/main" id="{12049F39-FD3D-4845-8EE5-35E3376B66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5" name="AutoShape 1" descr="Vista previa de toda la pantalla">
          <a:extLst>
            <a:ext uri="{FF2B5EF4-FFF2-40B4-BE49-F238E27FC236}">
              <a16:creationId xmlns:a16="http://schemas.microsoft.com/office/drawing/2014/main" id="{2A0873C2-EBCB-4B0B-80B4-5BB503F2F3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6" name="AutoShape 1" descr="Vista previa de toda la pantalla">
          <a:extLst>
            <a:ext uri="{FF2B5EF4-FFF2-40B4-BE49-F238E27FC236}">
              <a16:creationId xmlns:a16="http://schemas.microsoft.com/office/drawing/2014/main" id="{A21B19DE-0B99-40FD-B4FD-077C96A06B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7" name="AutoShape 1" descr="Vista previa de toda la pantalla">
          <a:extLst>
            <a:ext uri="{FF2B5EF4-FFF2-40B4-BE49-F238E27FC236}">
              <a16:creationId xmlns:a16="http://schemas.microsoft.com/office/drawing/2014/main" id="{FBA179A9-ABAA-4806-9795-7EA3CDFCC9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8" name="AutoShape 1" descr="Vista previa de toda la pantalla">
          <a:extLst>
            <a:ext uri="{FF2B5EF4-FFF2-40B4-BE49-F238E27FC236}">
              <a16:creationId xmlns:a16="http://schemas.microsoft.com/office/drawing/2014/main" id="{AF8C25A2-131C-46BF-AB4F-84F6150364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39" name="AutoShape 1" descr="Vista previa de toda la pantalla">
          <a:extLst>
            <a:ext uri="{FF2B5EF4-FFF2-40B4-BE49-F238E27FC236}">
              <a16:creationId xmlns:a16="http://schemas.microsoft.com/office/drawing/2014/main" id="{0A17A595-4A20-45E7-BFEF-ED937D3DA6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0" name="AutoShape 1" descr="Vista previa de toda la pantalla">
          <a:extLst>
            <a:ext uri="{FF2B5EF4-FFF2-40B4-BE49-F238E27FC236}">
              <a16:creationId xmlns:a16="http://schemas.microsoft.com/office/drawing/2014/main" id="{C3D0CC40-1CF8-4406-A715-1B58B8B150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1" name="AutoShape 1" descr="Vista previa de toda la pantalla">
          <a:extLst>
            <a:ext uri="{FF2B5EF4-FFF2-40B4-BE49-F238E27FC236}">
              <a16:creationId xmlns:a16="http://schemas.microsoft.com/office/drawing/2014/main" id="{DFB23C10-75FB-4656-8434-DEA24EB01B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2" name="AutoShape 1" descr="Vista previa de toda la pantalla">
          <a:extLst>
            <a:ext uri="{FF2B5EF4-FFF2-40B4-BE49-F238E27FC236}">
              <a16:creationId xmlns:a16="http://schemas.microsoft.com/office/drawing/2014/main" id="{F2FC23DD-489F-40C3-8CEC-71E3705427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3" name="AutoShape 1" descr="Vista previa de toda la pantalla">
          <a:extLst>
            <a:ext uri="{FF2B5EF4-FFF2-40B4-BE49-F238E27FC236}">
              <a16:creationId xmlns:a16="http://schemas.microsoft.com/office/drawing/2014/main" id="{9E96ACAE-03F4-4C02-936C-F46C70CD3B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4" name="AutoShape 1" descr="Vista previa de toda la pantalla">
          <a:extLst>
            <a:ext uri="{FF2B5EF4-FFF2-40B4-BE49-F238E27FC236}">
              <a16:creationId xmlns:a16="http://schemas.microsoft.com/office/drawing/2014/main" id="{4BDDE42C-06BB-4CE3-B330-9889C06FCC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5" name="AutoShape 1" descr="Vista previa de toda la pantalla">
          <a:extLst>
            <a:ext uri="{FF2B5EF4-FFF2-40B4-BE49-F238E27FC236}">
              <a16:creationId xmlns:a16="http://schemas.microsoft.com/office/drawing/2014/main" id="{E084584A-6C0F-4084-95E3-79CE36009C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6" name="AutoShape 1" descr="Vista previa de toda la pantalla">
          <a:extLst>
            <a:ext uri="{FF2B5EF4-FFF2-40B4-BE49-F238E27FC236}">
              <a16:creationId xmlns:a16="http://schemas.microsoft.com/office/drawing/2014/main" id="{3E67C307-5D2D-4F66-AAE9-D697C5798D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7" name="AutoShape 1" descr="Vista previa de toda la pantalla">
          <a:extLst>
            <a:ext uri="{FF2B5EF4-FFF2-40B4-BE49-F238E27FC236}">
              <a16:creationId xmlns:a16="http://schemas.microsoft.com/office/drawing/2014/main" id="{FA83623B-1C90-4DFA-81C9-55899EB461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8" name="AutoShape 1" descr="Vista previa de toda la pantalla">
          <a:extLst>
            <a:ext uri="{FF2B5EF4-FFF2-40B4-BE49-F238E27FC236}">
              <a16:creationId xmlns:a16="http://schemas.microsoft.com/office/drawing/2014/main" id="{1EB798A6-8A35-4118-9E95-521EAA6AF9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49" name="AutoShape 1" descr="Vista previa de toda la pantalla">
          <a:extLst>
            <a:ext uri="{FF2B5EF4-FFF2-40B4-BE49-F238E27FC236}">
              <a16:creationId xmlns:a16="http://schemas.microsoft.com/office/drawing/2014/main" id="{568E69E3-E67C-49B0-80B0-31999AD449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0" name="AutoShape 1" descr="Vista previa de toda la pantalla">
          <a:extLst>
            <a:ext uri="{FF2B5EF4-FFF2-40B4-BE49-F238E27FC236}">
              <a16:creationId xmlns:a16="http://schemas.microsoft.com/office/drawing/2014/main" id="{F013B4D5-02EC-427D-A941-2D41A930F4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1" name="AutoShape 1" descr="Vista previa de toda la pantalla">
          <a:extLst>
            <a:ext uri="{FF2B5EF4-FFF2-40B4-BE49-F238E27FC236}">
              <a16:creationId xmlns:a16="http://schemas.microsoft.com/office/drawing/2014/main" id="{8C95F2B0-123D-42AD-8254-9C4D67D701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2" name="AutoShape 1" descr="Vista previa de toda la pantalla">
          <a:extLst>
            <a:ext uri="{FF2B5EF4-FFF2-40B4-BE49-F238E27FC236}">
              <a16:creationId xmlns:a16="http://schemas.microsoft.com/office/drawing/2014/main" id="{6F0F8F56-96E6-41A0-94AB-FD87AEC916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3" name="AutoShape 1" descr="Vista previa de toda la pantalla">
          <a:extLst>
            <a:ext uri="{FF2B5EF4-FFF2-40B4-BE49-F238E27FC236}">
              <a16:creationId xmlns:a16="http://schemas.microsoft.com/office/drawing/2014/main" id="{2376ADAD-369E-47FB-ABAC-FA3A6304FA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4" name="AutoShape 1" descr="Vista previa de toda la pantalla">
          <a:extLst>
            <a:ext uri="{FF2B5EF4-FFF2-40B4-BE49-F238E27FC236}">
              <a16:creationId xmlns:a16="http://schemas.microsoft.com/office/drawing/2014/main" id="{DC928D08-6097-436D-8BDB-E228164913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5" name="AutoShape 1" descr="Vista previa de toda la pantalla">
          <a:extLst>
            <a:ext uri="{FF2B5EF4-FFF2-40B4-BE49-F238E27FC236}">
              <a16:creationId xmlns:a16="http://schemas.microsoft.com/office/drawing/2014/main" id="{DF587E11-DED1-411D-A74A-DC1A1E9B25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6" name="AutoShape 1" descr="Vista previa de toda la pantalla">
          <a:extLst>
            <a:ext uri="{FF2B5EF4-FFF2-40B4-BE49-F238E27FC236}">
              <a16:creationId xmlns:a16="http://schemas.microsoft.com/office/drawing/2014/main" id="{260B5B27-22E6-4D1A-9742-02155E9D2B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7" name="AutoShape 1" descr="Vista previa de toda la pantalla">
          <a:extLst>
            <a:ext uri="{FF2B5EF4-FFF2-40B4-BE49-F238E27FC236}">
              <a16:creationId xmlns:a16="http://schemas.microsoft.com/office/drawing/2014/main" id="{9F323E8E-2CFB-4020-ADE9-EBD894CEC9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8" name="AutoShape 1" descr="Vista previa de toda la pantalla">
          <a:extLst>
            <a:ext uri="{FF2B5EF4-FFF2-40B4-BE49-F238E27FC236}">
              <a16:creationId xmlns:a16="http://schemas.microsoft.com/office/drawing/2014/main" id="{1F7D6E8E-25A2-45FB-847E-02B2C9D480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59" name="AutoShape 1" descr="Vista previa de toda la pantalla">
          <a:extLst>
            <a:ext uri="{FF2B5EF4-FFF2-40B4-BE49-F238E27FC236}">
              <a16:creationId xmlns:a16="http://schemas.microsoft.com/office/drawing/2014/main" id="{9269277B-E9A2-4D1F-A112-4214EBC856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0" name="AutoShape 1" descr="Vista previa de toda la pantalla">
          <a:extLst>
            <a:ext uri="{FF2B5EF4-FFF2-40B4-BE49-F238E27FC236}">
              <a16:creationId xmlns:a16="http://schemas.microsoft.com/office/drawing/2014/main" id="{C124F6E7-AE84-43B5-BAF2-1DAF7A3F55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1" name="AutoShape 1" descr="Vista previa de toda la pantalla">
          <a:extLst>
            <a:ext uri="{FF2B5EF4-FFF2-40B4-BE49-F238E27FC236}">
              <a16:creationId xmlns:a16="http://schemas.microsoft.com/office/drawing/2014/main" id="{3F7E9D89-D17D-4902-89F1-498900489B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2" name="AutoShape 1" descr="Vista previa de toda la pantalla">
          <a:extLst>
            <a:ext uri="{FF2B5EF4-FFF2-40B4-BE49-F238E27FC236}">
              <a16:creationId xmlns:a16="http://schemas.microsoft.com/office/drawing/2014/main" id="{ABFCC5A9-5D97-49D3-90B3-85374C8F2B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3" name="AutoShape 1" descr="Vista previa de toda la pantalla">
          <a:extLst>
            <a:ext uri="{FF2B5EF4-FFF2-40B4-BE49-F238E27FC236}">
              <a16:creationId xmlns:a16="http://schemas.microsoft.com/office/drawing/2014/main" id="{408DD5A5-A8B0-4AB3-B230-7950F85A39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4" name="AutoShape 1" descr="Vista previa de toda la pantalla">
          <a:extLst>
            <a:ext uri="{FF2B5EF4-FFF2-40B4-BE49-F238E27FC236}">
              <a16:creationId xmlns:a16="http://schemas.microsoft.com/office/drawing/2014/main" id="{A322BE15-0F98-41FD-BD65-752ECF6A5B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5" name="AutoShape 1" descr="Vista previa de toda la pantalla">
          <a:extLst>
            <a:ext uri="{FF2B5EF4-FFF2-40B4-BE49-F238E27FC236}">
              <a16:creationId xmlns:a16="http://schemas.microsoft.com/office/drawing/2014/main" id="{078EB7EC-4459-4E33-B838-2CD6AC185E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6" name="AutoShape 1" descr="Vista previa de toda la pantalla">
          <a:extLst>
            <a:ext uri="{FF2B5EF4-FFF2-40B4-BE49-F238E27FC236}">
              <a16:creationId xmlns:a16="http://schemas.microsoft.com/office/drawing/2014/main" id="{E7A0A516-517B-4833-BE64-5D3D548357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7" name="AutoShape 1" descr="Vista previa de toda la pantalla">
          <a:extLst>
            <a:ext uri="{FF2B5EF4-FFF2-40B4-BE49-F238E27FC236}">
              <a16:creationId xmlns:a16="http://schemas.microsoft.com/office/drawing/2014/main" id="{A93F94B3-DEAC-488B-BD5E-0C49533D0A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8" name="AutoShape 1" descr="Vista previa de toda la pantalla">
          <a:extLst>
            <a:ext uri="{FF2B5EF4-FFF2-40B4-BE49-F238E27FC236}">
              <a16:creationId xmlns:a16="http://schemas.microsoft.com/office/drawing/2014/main" id="{58B33F68-8067-47BD-BCFA-1875862981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69" name="AutoShape 1" descr="Vista previa de toda la pantalla">
          <a:extLst>
            <a:ext uri="{FF2B5EF4-FFF2-40B4-BE49-F238E27FC236}">
              <a16:creationId xmlns:a16="http://schemas.microsoft.com/office/drawing/2014/main" id="{D9DBB7F4-748E-43BA-AD51-C0737DD009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0" name="AutoShape 1" descr="Vista previa de toda la pantalla">
          <a:extLst>
            <a:ext uri="{FF2B5EF4-FFF2-40B4-BE49-F238E27FC236}">
              <a16:creationId xmlns:a16="http://schemas.microsoft.com/office/drawing/2014/main" id="{3BF37694-CE89-4A89-8B30-22D158CCB7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1" name="AutoShape 1" descr="Vista previa de toda la pantalla">
          <a:extLst>
            <a:ext uri="{FF2B5EF4-FFF2-40B4-BE49-F238E27FC236}">
              <a16:creationId xmlns:a16="http://schemas.microsoft.com/office/drawing/2014/main" id="{AB0FE73D-F70F-4010-974B-56488CE579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2" name="AutoShape 1" descr="Vista previa de toda la pantalla">
          <a:extLst>
            <a:ext uri="{FF2B5EF4-FFF2-40B4-BE49-F238E27FC236}">
              <a16:creationId xmlns:a16="http://schemas.microsoft.com/office/drawing/2014/main" id="{846C44F3-E833-4F97-99E7-63D0C863C6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3" name="AutoShape 1" descr="Vista previa de toda la pantalla">
          <a:extLst>
            <a:ext uri="{FF2B5EF4-FFF2-40B4-BE49-F238E27FC236}">
              <a16:creationId xmlns:a16="http://schemas.microsoft.com/office/drawing/2014/main" id="{B5D590B9-EAFE-4C96-9FC4-C10B15A4AF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4" name="AutoShape 1" descr="Vista previa de toda la pantalla">
          <a:extLst>
            <a:ext uri="{FF2B5EF4-FFF2-40B4-BE49-F238E27FC236}">
              <a16:creationId xmlns:a16="http://schemas.microsoft.com/office/drawing/2014/main" id="{6F95DD23-CB94-4BD0-A2AF-51D10D9204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5" name="AutoShape 1" descr="Vista previa de toda la pantalla">
          <a:extLst>
            <a:ext uri="{FF2B5EF4-FFF2-40B4-BE49-F238E27FC236}">
              <a16:creationId xmlns:a16="http://schemas.microsoft.com/office/drawing/2014/main" id="{267E6F01-EDB1-4FE5-9BAB-E76F848266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6" name="AutoShape 1" descr="Vista previa de toda la pantalla">
          <a:extLst>
            <a:ext uri="{FF2B5EF4-FFF2-40B4-BE49-F238E27FC236}">
              <a16:creationId xmlns:a16="http://schemas.microsoft.com/office/drawing/2014/main" id="{6FBF9808-E5A5-4C61-9CFC-848080816A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7" name="AutoShape 1" descr="Vista previa de toda la pantalla">
          <a:extLst>
            <a:ext uri="{FF2B5EF4-FFF2-40B4-BE49-F238E27FC236}">
              <a16:creationId xmlns:a16="http://schemas.microsoft.com/office/drawing/2014/main" id="{B5D00D9C-CFC6-4907-AE28-BB0E50D2A4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8" name="AutoShape 1" descr="Vista previa de toda la pantalla">
          <a:extLst>
            <a:ext uri="{FF2B5EF4-FFF2-40B4-BE49-F238E27FC236}">
              <a16:creationId xmlns:a16="http://schemas.microsoft.com/office/drawing/2014/main" id="{78599B26-A952-4335-B8A4-5AEA40E484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79" name="AutoShape 1" descr="Vista previa de toda la pantalla">
          <a:extLst>
            <a:ext uri="{FF2B5EF4-FFF2-40B4-BE49-F238E27FC236}">
              <a16:creationId xmlns:a16="http://schemas.microsoft.com/office/drawing/2014/main" id="{ECA69114-43DD-4E08-AC84-8DE8176B50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0" name="AutoShape 1" descr="Vista previa de toda la pantalla">
          <a:extLst>
            <a:ext uri="{FF2B5EF4-FFF2-40B4-BE49-F238E27FC236}">
              <a16:creationId xmlns:a16="http://schemas.microsoft.com/office/drawing/2014/main" id="{55F1E4E1-AFEB-4F0A-BCDE-BA0EE5AC33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1" name="AutoShape 1" descr="Vista previa de toda la pantalla">
          <a:extLst>
            <a:ext uri="{FF2B5EF4-FFF2-40B4-BE49-F238E27FC236}">
              <a16:creationId xmlns:a16="http://schemas.microsoft.com/office/drawing/2014/main" id="{C56CBC74-2F64-4196-9B3D-88D30ECF7F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2" name="AutoShape 1" descr="Vista previa de toda la pantalla">
          <a:extLst>
            <a:ext uri="{FF2B5EF4-FFF2-40B4-BE49-F238E27FC236}">
              <a16:creationId xmlns:a16="http://schemas.microsoft.com/office/drawing/2014/main" id="{11A73B0B-E09A-40C7-BA13-85B06573F7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3" name="AutoShape 1" descr="Vista previa de toda la pantalla">
          <a:extLst>
            <a:ext uri="{FF2B5EF4-FFF2-40B4-BE49-F238E27FC236}">
              <a16:creationId xmlns:a16="http://schemas.microsoft.com/office/drawing/2014/main" id="{3D9F6426-E28C-4326-B4D0-028B709D8E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4" name="AutoShape 1" descr="Vista previa de toda la pantalla">
          <a:extLst>
            <a:ext uri="{FF2B5EF4-FFF2-40B4-BE49-F238E27FC236}">
              <a16:creationId xmlns:a16="http://schemas.microsoft.com/office/drawing/2014/main" id="{713427C0-5496-46E4-AC4D-842844AF86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5" name="AutoShape 1" descr="Vista previa de toda la pantalla">
          <a:extLst>
            <a:ext uri="{FF2B5EF4-FFF2-40B4-BE49-F238E27FC236}">
              <a16:creationId xmlns:a16="http://schemas.microsoft.com/office/drawing/2014/main" id="{85A0604F-61BC-4682-AE4F-C83739F32A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6" name="AutoShape 1" descr="Vista previa de toda la pantalla">
          <a:extLst>
            <a:ext uri="{FF2B5EF4-FFF2-40B4-BE49-F238E27FC236}">
              <a16:creationId xmlns:a16="http://schemas.microsoft.com/office/drawing/2014/main" id="{2B9B77EA-B730-4D62-BB83-BED9079FD0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7" name="AutoShape 1" descr="Vista previa de toda la pantalla">
          <a:extLst>
            <a:ext uri="{FF2B5EF4-FFF2-40B4-BE49-F238E27FC236}">
              <a16:creationId xmlns:a16="http://schemas.microsoft.com/office/drawing/2014/main" id="{DCAA9C38-3C97-4827-BAF5-B3155CD73A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8" name="AutoShape 1" descr="Vista previa de toda la pantalla">
          <a:extLst>
            <a:ext uri="{FF2B5EF4-FFF2-40B4-BE49-F238E27FC236}">
              <a16:creationId xmlns:a16="http://schemas.microsoft.com/office/drawing/2014/main" id="{C699E1C0-A778-4538-B5D0-9FFEBEDB49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89" name="AutoShape 1" descr="Vista previa de toda la pantalla">
          <a:extLst>
            <a:ext uri="{FF2B5EF4-FFF2-40B4-BE49-F238E27FC236}">
              <a16:creationId xmlns:a16="http://schemas.microsoft.com/office/drawing/2014/main" id="{2E26EF02-B907-4382-95A2-E51445DA2C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0" name="AutoShape 1" descr="Vista previa de toda la pantalla">
          <a:extLst>
            <a:ext uri="{FF2B5EF4-FFF2-40B4-BE49-F238E27FC236}">
              <a16:creationId xmlns:a16="http://schemas.microsoft.com/office/drawing/2014/main" id="{D3CECBD5-EFBF-4F41-8E02-D3C8B1B9E4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1" name="AutoShape 1" descr="Vista previa de toda la pantalla">
          <a:extLst>
            <a:ext uri="{FF2B5EF4-FFF2-40B4-BE49-F238E27FC236}">
              <a16:creationId xmlns:a16="http://schemas.microsoft.com/office/drawing/2014/main" id="{66962DF9-45F0-41E9-8114-2BA3EB910C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2" name="AutoShape 1" descr="Vista previa de toda la pantalla">
          <a:extLst>
            <a:ext uri="{FF2B5EF4-FFF2-40B4-BE49-F238E27FC236}">
              <a16:creationId xmlns:a16="http://schemas.microsoft.com/office/drawing/2014/main" id="{B368EFA6-750F-4977-B5F9-1EF3AD16F1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3" name="AutoShape 1" descr="Vista previa de toda la pantalla">
          <a:extLst>
            <a:ext uri="{FF2B5EF4-FFF2-40B4-BE49-F238E27FC236}">
              <a16:creationId xmlns:a16="http://schemas.microsoft.com/office/drawing/2014/main" id="{FA599837-E5D7-4E93-B279-D625C51C35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4" name="AutoShape 1" descr="Vista previa de toda la pantalla">
          <a:extLst>
            <a:ext uri="{FF2B5EF4-FFF2-40B4-BE49-F238E27FC236}">
              <a16:creationId xmlns:a16="http://schemas.microsoft.com/office/drawing/2014/main" id="{63EEF8D7-B89B-4A59-9258-572DF94F65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5" name="AutoShape 1" descr="Vista previa de toda la pantalla">
          <a:extLst>
            <a:ext uri="{FF2B5EF4-FFF2-40B4-BE49-F238E27FC236}">
              <a16:creationId xmlns:a16="http://schemas.microsoft.com/office/drawing/2014/main" id="{838F5A8E-8227-44C8-9971-3C41C589E8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6" name="AutoShape 1" descr="Vista previa de toda la pantalla">
          <a:extLst>
            <a:ext uri="{FF2B5EF4-FFF2-40B4-BE49-F238E27FC236}">
              <a16:creationId xmlns:a16="http://schemas.microsoft.com/office/drawing/2014/main" id="{8783F84B-60FC-4485-9AF6-FBC94BBF43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7" name="AutoShape 1" descr="Vista previa de toda la pantalla">
          <a:extLst>
            <a:ext uri="{FF2B5EF4-FFF2-40B4-BE49-F238E27FC236}">
              <a16:creationId xmlns:a16="http://schemas.microsoft.com/office/drawing/2014/main" id="{5C853E2D-4829-4199-95DB-F2DC1DFE10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8" name="AutoShape 1" descr="Vista previa de toda la pantalla">
          <a:extLst>
            <a:ext uri="{FF2B5EF4-FFF2-40B4-BE49-F238E27FC236}">
              <a16:creationId xmlns:a16="http://schemas.microsoft.com/office/drawing/2014/main" id="{34D54007-E6D0-4384-8909-A0ACCFFB01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099" name="AutoShape 1" descr="Vista previa de toda la pantalla">
          <a:extLst>
            <a:ext uri="{FF2B5EF4-FFF2-40B4-BE49-F238E27FC236}">
              <a16:creationId xmlns:a16="http://schemas.microsoft.com/office/drawing/2014/main" id="{50B0AB0B-9CEA-4A0C-852B-EC9E80E1D9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0" name="AutoShape 1" descr="Vista previa de toda la pantalla">
          <a:extLst>
            <a:ext uri="{FF2B5EF4-FFF2-40B4-BE49-F238E27FC236}">
              <a16:creationId xmlns:a16="http://schemas.microsoft.com/office/drawing/2014/main" id="{595019CA-1C19-4FA5-B990-12657E6846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1" name="AutoShape 1" descr="Vista previa de toda la pantalla">
          <a:extLst>
            <a:ext uri="{FF2B5EF4-FFF2-40B4-BE49-F238E27FC236}">
              <a16:creationId xmlns:a16="http://schemas.microsoft.com/office/drawing/2014/main" id="{EEFAF1D8-6B2C-431E-8B56-1A5A6EE334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2" name="AutoShape 1" descr="Vista previa de toda la pantalla">
          <a:extLst>
            <a:ext uri="{FF2B5EF4-FFF2-40B4-BE49-F238E27FC236}">
              <a16:creationId xmlns:a16="http://schemas.microsoft.com/office/drawing/2014/main" id="{894CFC37-12C3-401D-BD37-B79C27EEA7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3" name="AutoShape 1" descr="Vista previa de toda la pantalla">
          <a:extLst>
            <a:ext uri="{FF2B5EF4-FFF2-40B4-BE49-F238E27FC236}">
              <a16:creationId xmlns:a16="http://schemas.microsoft.com/office/drawing/2014/main" id="{A30AAD69-A532-48B5-AE6A-EB6B5E5D71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4" name="AutoShape 1" descr="Vista previa de toda la pantalla">
          <a:extLst>
            <a:ext uri="{FF2B5EF4-FFF2-40B4-BE49-F238E27FC236}">
              <a16:creationId xmlns:a16="http://schemas.microsoft.com/office/drawing/2014/main" id="{36ECF3BC-E099-467C-A5DB-49B8429F83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5" name="AutoShape 1" descr="Vista previa de toda la pantalla">
          <a:extLst>
            <a:ext uri="{FF2B5EF4-FFF2-40B4-BE49-F238E27FC236}">
              <a16:creationId xmlns:a16="http://schemas.microsoft.com/office/drawing/2014/main" id="{B51E0992-3463-4062-A68C-C52E82232E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6" name="AutoShape 1" descr="Vista previa de toda la pantalla">
          <a:extLst>
            <a:ext uri="{FF2B5EF4-FFF2-40B4-BE49-F238E27FC236}">
              <a16:creationId xmlns:a16="http://schemas.microsoft.com/office/drawing/2014/main" id="{6358CFCE-970D-4223-A412-F487B74ABD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7" name="AutoShape 1" descr="Vista previa de toda la pantalla">
          <a:extLst>
            <a:ext uri="{FF2B5EF4-FFF2-40B4-BE49-F238E27FC236}">
              <a16:creationId xmlns:a16="http://schemas.microsoft.com/office/drawing/2014/main" id="{C7D866A9-EF15-4D43-B1FC-4D94AB8948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8" name="AutoShape 1" descr="Vista previa de toda la pantalla">
          <a:extLst>
            <a:ext uri="{FF2B5EF4-FFF2-40B4-BE49-F238E27FC236}">
              <a16:creationId xmlns:a16="http://schemas.microsoft.com/office/drawing/2014/main" id="{B52ED571-E35B-4214-BE28-B257F09865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09" name="AutoShape 1" descr="Vista previa de toda la pantalla">
          <a:extLst>
            <a:ext uri="{FF2B5EF4-FFF2-40B4-BE49-F238E27FC236}">
              <a16:creationId xmlns:a16="http://schemas.microsoft.com/office/drawing/2014/main" id="{7E41698F-591A-4797-AA1E-77DB06516D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0" name="AutoShape 1" descr="Vista previa de toda la pantalla">
          <a:extLst>
            <a:ext uri="{FF2B5EF4-FFF2-40B4-BE49-F238E27FC236}">
              <a16:creationId xmlns:a16="http://schemas.microsoft.com/office/drawing/2014/main" id="{EAD11051-91C0-49D4-8E1D-6D80193D5C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1" name="AutoShape 1" descr="Vista previa de toda la pantalla">
          <a:extLst>
            <a:ext uri="{FF2B5EF4-FFF2-40B4-BE49-F238E27FC236}">
              <a16:creationId xmlns:a16="http://schemas.microsoft.com/office/drawing/2014/main" id="{EE15DB1F-2FDC-4CBC-9EE6-CADAE1D301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2" name="AutoShape 1" descr="Vista previa de toda la pantalla">
          <a:extLst>
            <a:ext uri="{FF2B5EF4-FFF2-40B4-BE49-F238E27FC236}">
              <a16:creationId xmlns:a16="http://schemas.microsoft.com/office/drawing/2014/main" id="{4E74AD79-CF83-4DD6-882F-6FD0D1E652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3" name="AutoShape 1" descr="Vista previa de toda la pantalla">
          <a:extLst>
            <a:ext uri="{FF2B5EF4-FFF2-40B4-BE49-F238E27FC236}">
              <a16:creationId xmlns:a16="http://schemas.microsoft.com/office/drawing/2014/main" id="{3ED0D8F1-426B-4A79-8E57-503F4AEBBA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4" name="AutoShape 1" descr="Vista previa de toda la pantalla">
          <a:extLst>
            <a:ext uri="{FF2B5EF4-FFF2-40B4-BE49-F238E27FC236}">
              <a16:creationId xmlns:a16="http://schemas.microsoft.com/office/drawing/2014/main" id="{D24461F3-7543-4826-B154-F9096F36F0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5" name="AutoShape 1" descr="Vista previa de toda la pantalla">
          <a:extLst>
            <a:ext uri="{FF2B5EF4-FFF2-40B4-BE49-F238E27FC236}">
              <a16:creationId xmlns:a16="http://schemas.microsoft.com/office/drawing/2014/main" id="{67C8491F-611B-467E-85C2-165CAD0B07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6" name="AutoShape 1" descr="Vista previa de toda la pantalla">
          <a:extLst>
            <a:ext uri="{FF2B5EF4-FFF2-40B4-BE49-F238E27FC236}">
              <a16:creationId xmlns:a16="http://schemas.microsoft.com/office/drawing/2014/main" id="{65FC6D87-A4AB-45BE-976D-2682389176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7" name="AutoShape 1" descr="Vista previa de toda la pantalla">
          <a:extLst>
            <a:ext uri="{FF2B5EF4-FFF2-40B4-BE49-F238E27FC236}">
              <a16:creationId xmlns:a16="http://schemas.microsoft.com/office/drawing/2014/main" id="{2F264AD0-B378-4DA1-92AE-5DE70F94FD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8" name="AutoShape 1" descr="Vista previa de toda la pantalla">
          <a:extLst>
            <a:ext uri="{FF2B5EF4-FFF2-40B4-BE49-F238E27FC236}">
              <a16:creationId xmlns:a16="http://schemas.microsoft.com/office/drawing/2014/main" id="{57F3C8FF-BA66-4FA4-89C5-69FF5E7D1F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19" name="AutoShape 1" descr="Vista previa de toda la pantalla">
          <a:extLst>
            <a:ext uri="{FF2B5EF4-FFF2-40B4-BE49-F238E27FC236}">
              <a16:creationId xmlns:a16="http://schemas.microsoft.com/office/drawing/2014/main" id="{6872E532-86C9-4F0E-9188-68BA35C632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0" name="AutoShape 1" descr="Vista previa de toda la pantalla">
          <a:extLst>
            <a:ext uri="{FF2B5EF4-FFF2-40B4-BE49-F238E27FC236}">
              <a16:creationId xmlns:a16="http://schemas.microsoft.com/office/drawing/2014/main" id="{B7E6AFDE-BD23-4F45-B69F-70F12CAE3E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1" name="AutoShape 1" descr="Vista previa de toda la pantalla">
          <a:extLst>
            <a:ext uri="{FF2B5EF4-FFF2-40B4-BE49-F238E27FC236}">
              <a16:creationId xmlns:a16="http://schemas.microsoft.com/office/drawing/2014/main" id="{D8E5BE2B-E47F-4C27-8538-3B6F0A3390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2" name="AutoShape 1" descr="Vista previa de toda la pantalla">
          <a:extLst>
            <a:ext uri="{FF2B5EF4-FFF2-40B4-BE49-F238E27FC236}">
              <a16:creationId xmlns:a16="http://schemas.microsoft.com/office/drawing/2014/main" id="{7C36B140-272F-4D22-9282-A72B1F6106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3" name="AutoShape 1" descr="Vista previa de toda la pantalla">
          <a:extLst>
            <a:ext uri="{FF2B5EF4-FFF2-40B4-BE49-F238E27FC236}">
              <a16:creationId xmlns:a16="http://schemas.microsoft.com/office/drawing/2014/main" id="{7FBC51B7-8411-47C3-8257-6634B69DA3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4" name="AutoShape 1" descr="Vista previa de toda la pantalla">
          <a:extLst>
            <a:ext uri="{FF2B5EF4-FFF2-40B4-BE49-F238E27FC236}">
              <a16:creationId xmlns:a16="http://schemas.microsoft.com/office/drawing/2014/main" id="{E14E218B-FD47-43B8-AEAD-87375F8811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5" name="AutoShape 1" descr="Vista previa de toda la pantalla">
          <a:extLst>
            <a:ext uri="{FF2B5EF4-FFF2-40B4-BE49-F238E27FC236}">
              <a16:creationId xmlns:a16="http://schemas.microsoft.com/office/drawing/2014/main" id="{730155E3-576E-478C-BBD7-B62576C587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6" name="AutoShape 1" descr="Vista previa de toda la pantalla">
          <a:extLst>
            <a:ext uri="{FF2B5EF4-FFF2-40B4-BE49-F238E27FC236}">
              <a16:creationId xmlns:a16="http://schemas.microsoft.com/office/drawing/2014/main" id="{8D7E9F1F-56C4-42EC-B768-E69687302C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7" name="AutoShape 1" descr="Vista previa de toda la pantalla">
          <a:extLst>
            <a:ext uri="{FF2B5EF4-FFF2-40B4-BE49-F238E27FC236}">
              <a16:creationId xmlns:a16="http://schemas.microsoft.com/office/drawing/2014/main" id="{E3586604-DE14-4147-953D-6CFBF9AC20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8" name="AutoShape 1" descr="Vista previa de toda la pantalla">
          <a:extLst>
            <a:ext uri="{FF2B5EF4-FFF2-40B4-BE49-F238E27FC236}">
              <a16:creationId xmlns:a16="http://schemas.microsoft.com/office/drawing/2014/main" id="{22DB30F3-35B1-4BA8-8E90-3EA87B2255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29" name="AutoShape 1" descr="Vista previa de toda la pantalla">
          <a:extLst>
            <a:ext uri="{FF2B5EF4-FFF2-40B4-BE49-F238E27FC236}">
              <a16:creationId xmlns:a16="http://schemas.microsoft.com/office/drawing/2014/main" id="{2CBFA6EF-D76C-4F6D-97A7-3A3696CA1C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0" name="AutoShape 1" descr="Vista previa de toda la pantalla">
          <a:extLst>
            <a:ext uri="{FF2B5EF4-FFF2-40B4-BE49-F238E27FC236}">
              <a16:creationId xmlns:a16="http://schemas.microsoft.com/office/drawing/2014/main" id="{5F828D4E-9433-4C36-8A64-F92485C898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1" name="AutoShape 1" descr="Vista previa de toda la pantalla">
          <a:extLst>
            <a:ext uri="{FF2B5EF4-FFF2-40B4-BE49-F238E27FC236}">
              <a16:creationId xmlns:a16="http://schemas.microsoft.com/office/drawing/2014/main" id="{DB1AE764-8BA3-4AFD-9847-C122A07128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2" name="AutoShape 1" descr="Vista previa de toda la pantalla">
          <a:extLst>
            <a:ext uri="{FF2B5EF4-FFF2-40B4-BE49-F238E27FC236}">
              <a16:creationId xmlns:a16="http://schemas.microsoft.com/office/drawing/2014/main" id="{89588F24-05A2-47A3-ADD6-CAB174E41A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3" name="AutoShape 1" descr="Vista previa de toda la pantalla">
          <a:extLst>
            <a:ext uri="{FF2B5EF4-FFF2-40B4-BE49-F238E27FC236}">
              <a16:creationId xmlns:a16="http://schemas.microsoft.com/office/drawing/2014/main" id="{C893E10D-3581-4E30-AAE9-23CD611371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4" name="AutoShape 1" descr="Vista previa de toda la pantalla">
          <a:extLst>
            <a:ext uri="{FF2B5EF4-FFF2-40B4-BE49-F238E27FC236}">
              <a16:creationId xmlns:a16="http://schemas.microsoft.com/office/drawing/2014/main" id="{9C632A05-13F0-46AE-A1A2-B9B9613D00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5" name="AutoShape 1" descr="Vista previa de toda la pantalla">
          <a:extLst>
            <a:ext uri="{FF2B5EF4-FFF2-40B4-BE49-F238E27FC236}">
              <a16:creationId xmlns:a16="http://schemas.microsoft.com/office/drawing/2014/main" id="{B7CC8FC0-2DDA-40DF-8B44-CCEE7B75F1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6" name="AutoShape 1" descr="Vista previa de toda la pantalla">
          <a:extLst>
            <a:ext uri="{FF2B5EF4-FFF2-40B4-BE49-F238E27FC236}">
              <a16:creationId xmlns:a16="http://schemas.microsoft.com/office/drawing/2014/main" id="{FDBF054A-2168-45E6-A2A4-EE53177BD6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7" name="AutoShape 1" descr="Vista previa de toda la pantalla">
          <a:extLst>
            <a:ext uri="{FF2B5EF4-FFF2-40B4-BE49-F238E27FC236}">
              <a16:creationId xmlns:a16="http://schemas.microsoft.com/office/drawing/2014/main" id="{80EE757B-DC09-4ECA-9CAD-98B6FB6E51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8" name="AutoShape 1" descr="Vista previa de toda la pantalla">
          <a:extLst>
            <a:ext uri="{FF2B5EF4-FFF2-40B4-BE49-F238E27FC236}">
              <a16:creationId xmlns:a16="http://schemas.microsoft.com/office/drawing/2014/main" id="{E501442C-C354-4229-A0D0-548FF987E5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39" name="AutoShape 1" descr="Vista previa de toda la pantalla">
          <a:extLst>
            <a:ext uri="{FF2B5EF4-FFF2-40B4-BE49-F238E27FC236}">
              <a16:creationId xmlns:a16="http://schemas.microsoft.com/office/drawing/2014/main" id="{6E8AB919-A4CF-4678-9019-40BFBACEA1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0" name="AutoShape 1" descr="Vista previa de toda la pantalla">
          <a:extLst>
            <a:ext uri="{FF2B5EF4-FFF2-40B4-BE49-F238E27FC236}">
              <a16:creationId xmlns:a16="http://schemas.microsoft.com/office/drawing/2014/main" id="{DC516D80-497D-474D-AA90-7D4F37EC66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1" name="AutoShape 1" descr="Vista previa de toda la pantalla">
          <a:extLst>
            <a:ext uri="{FF2B5EF4-FFF2-40B4-BE49-F238E27FC236}">
              <a16:creationId xmlns:a16="http://schemas.microsoft.com/office/drawing/2014/main" id="{7CAD1B62-EFCE-456A-B27C-85AED2504B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2" name="AutoShape 1" descr="Vista previa de toda la pantalla">
          <a:extLst>
            <a:ext uri="{FF2B5EF4-FFF2-40B4-BE49-F238E27FC236}">
              <a16:creationId xmlns:a16="http://schemas.microsoft.com/office/drawing/2014/main" id="{3EBD4D59-4EA8-4304-8C69-A68DF7C8E8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3" name="AutoShape 1" descr="Vista previa de toda la pantalla">
          <a:extLst>
            <a:ext uri="{FF2B5EF4-FFF2-40B4-BE49-F238E27FC236}">
              <a16:creationId xmlns:a16="http://schemas.microsoft.com/office/drawing/2014/main" id="{56EAF51A-F988-494A-9180-470B7F83EF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4" name="AutoShape 1" descr="Vista previa de toda la pantalla">
          <a:extLst>
            <a:ext uri="{FF2B5EF4-FFF2-40B4-BE49-F238E27FC236}">
              <a16:creationId xmlns:a16="http://schemas.microsoft.com/office/drawing/2014/main" id="{60155AC2-318C-4407-9C15-170F1B1F62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5" name="AutoShape 1" descr="Vista previa de toda la pantalla">
          <a:extLst>
            <a:ext uri="{FF2B5EF4-FFF2-40B4-BE49-F238E27FC236}">
              <a16:creationId xmlns:a16="http://schemas.microsoft.com/office/drawing/2014/main" id="{227F397C-7647-4006-961A-49E854A88D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6" name="AutoShape 1" descr="Vista previa de toda la pantalla">
          <a:extLst>
            <a:ext uri="{FF2B5EF4-FFF2-40B4-BE49-F238E27FC236}">
              <a16:creationId xmlns:a16="http://schemas.microsoft.com/office/drawing/2014/main" id="{99BAB281-335C-4A4A-8E34-8CA7464F9A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7" name="AutoShape 1" descr="Vista previa de toda la pantalla">
          <a:extLst>
            <a:ext uri="{FF2B5EF4-FFF2-40B4-BE49-F238E27FC236}">
              <a16:creationId xmlns:a16="http://schemas.microsoft.com/office/drawing/2014/main" id="{DF926683-CA18-4B8E-AEDF-44AD073D64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8" name="AutoShape 1" descr="Vista previa de toda la pantalla">
          <a:extLst>
            <a:ext uri="{FF2B5EF4-FFF2-40B4-BE49-F238E27FC236}">
              <a16:creationId xmlns:a16="http://schemas.microsoft.com/office/drawing/2014/main" id="{75B5273D-465A-489F-A1A2-6612DA593B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49" name="AutoShape 1" descr="Vista previa de toda la pantalla">
          <a:extLst>
            <a:ext uri="{FF2B5EF4-FFF2-40B4-BE49-F238E27FC236}">
              <a16:creationId xmlns:a16="http://schemas.microsoft.com/office/drawing/2014/main" id="{077D0CD0-A2D9-4339-BFF1-C2A79A3271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0" name="AutoShape 1" descr="Vista previa de toda la pantalla">
          <a:extLst>
            <a:ext uri="{FF2B5EF4-FFF2-40B4-BE49-F238E27FC236}">
              <a16:creationId xmlns:a16="http://schemas.microsoft.com/office/drawing/2014/main" id="{02E85D32-52B0-47FE-BD47-553A78618C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1" name="AutoShape 1" descr="Vista previa de toda la pantalla">
          <a:extLst>
            <a:ext uri="{FF2B5EF4-FFF2-40B4-BE49-F238E27FC236}">
              <a16:creationId xmlns:a16="http://schemas.microsoft.com/office/drawing/2014/main" id="{1615C1A6-CBB8-44E2-ABC9-9EC57C20F6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2" name="AutoShape 1" descr="Vista previa de toda la pantalla">
          <a:extLst>
            <a:ext uri="{FF2B5EF4-FFF2-40B4-BE49-F238E27FC236}">
              <a16:creationId xmlns:a16="http://schemas.microsoft.com/office/drawing/2014/main" id="{A1455868-126F-40F4-A04D-0FB172824F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3" name="AutoShape 1" descr="Vista previa de toda la pantalla">
          <a:extLst>
            <a:ext uri="{FF2B5EF4-FFF2-40B4-BE49-F238E27FC236}">
              <a16:creationId xmlns:a16="http://schemas.microsoft.com/office/drawing/2014/main" id="{C892986A-1D7F-4F45-84EB-A975C3A14D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4" name="AutoShape 1" descr="Vista previa de toda la pantalla">
          <a:extLst>
            <a:ext uri="{FF2B5EF4-FFF2-40B4-BE49-F238E27FC236}">
              <a16:creationId xmlns:a16="http://schemas.microsoft.com/office/drawing/2014/main" id="{AB7D86A8-0FEA-460F-BFC9-368655F5FB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5" name="AutoShape 1" descr="Vista previa de toda la pantalla">
          <a:extLst>
            <a:ext uri="{FF2B5EF4-FFF2-40B4-BE49-F238E27FC236}">
              <a16:creationId xmlns:a16="http://schemas.microsoft.com/office/drawing/2014/main" id="{B4DD32D1-26F6-4307-ADA5-B99450F4FD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6" name="AutoShape 1" descr="Vista previa de toda la pantalla">
          <a:extLst>
            <a:ext uri="{FF2B5EF4-FFF2-40B4-BE49-F238E27FC236}">
              <a16:creationId xmlns:a16="http://schemas.microsoft.com/office/drawing/2014/main" id="{C2A3E081-9146-40FB-B2A1-66044D9B23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7" name="AutoShape 1" descr="Vista previa de toda la pantalla">
          <a:extLst>
            <a:ext uri="{FF2B5EF4-FFF2-40B4-BE49-F238E27FC236}">
              <a16:creationId xmlns:a16="http://schemas.microsoft.com/office/drawing/2014/main" id="{F9511C57-343A-4027-9DE3-C08E197367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8" name="AutoShape 1" descr="Vista previa de toda la pantalla">
          <a:extLst>
            <a:ext uri="{FF2B5EF4-FFF2-40B4-BE49-F238E27FC236}">
              <a16:creationId xmlns:a16="http://schemas.microsoft.com/office/drawing/2014/main" id="{9720ADEB-F322-46F6-B519-B91A669BB2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59" name="AutoShape 1" descr="Vista previa de toda la pantalla">
          <a:extLst>
            <a:ext uri="{FF2B5EF4-FFF2-40B4-BE49-F238E27FC236}">
              <a16:creationId xmlns:a16="http://schemas.microsoft.com/office/drawing/2014/main" id="{F71A1AE0-AF87-4766-839C-E5B68932CC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0" name="AutoShape 1" descr="Vista previa de toda la pantalla">
          <a:extLst>
            <a:ext uri="{FF2B5EF4-FFF2-40B4-BE49-F238E27FC236}">
              <a16:creationId xmlns:a16="http://schemas.microsoft.com/office/drawing/2014/main" id="{62CA477A-2C79-492C-ACBE-F5319C8F50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1" name="AutoShape 1" descr="Vista previa de toda la pantalla">
          <a:extLst>
            <a:ext uri="{FF2B5EF4-FFF2-40B4-BE49-F238E27FC236}">
              <a16:creationId xmlns:a16="http://schemas.microsoft.com/office/drawing/2014/main" id="{1AEE3A6B-2D8E-4381-B4A8-904389B0AF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2" name="AutoShape 1" descr="Vista previa de toda la pantalla">
          <a:extLst>
            <a:ext uri="{FF2B5EF4-FFF2-40B4-BE49-F238E27FC236}">
              <a16:creationId xmlns:a16="http://schemas.microsoft.com/office/drawing/2014/main" id="{32D7EBBA-5941-4201-899C-5E854EFC62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3" name="AutoShape 1" descr="Vista previa de toda la pantalla">
          <a:extLst>
            <a:ext uri="{FF2B5EF4-FFF2-40B4-BE49-F238E27FC236}">
              <a16:creationId xmlns:a16="http://schemas.microsoft.com/office/drawing/2014/main" id="{34045F8E-DF84-4B86-A222-F10C9AC22F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4" name="AutoShape 1" descr="Vista previa de toda la pantalla">
          <a:extLst>
            <a:ext uri="{FF2B5EF4-FFF2-40B4-BE49-F238E27FC236}">
              <a16:creationId xmlns:a16="http://schemas.microsoft.com/office/drawing/2014/main" id="{6F65A791-E8BE-4357-9F57-A72404D9CF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5" name="AutoShape 1" descr="Vista previa de toda la pantalla">
          <a:extLst>
            <a:ext uri="{FF2B5EF4-FFF2-40B4-BE49-F238E27FC236}">
              <a16:creationId xmlns:a16="http://schemas.microsoft.com/office/drawing/2014/main" id="{C37B85FC-F5A9-4472-B081-885F144092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6" name="AutoShape 1" descr="Vista previa de toda la pantalla">
          <a:extLst>
            <a:ext uri="{FF2B5EF4-FFF2-40B4-BE49-F238E27FC236}">
              <a16:creationId xmlns:a16="http://schemas.microsoft.com/office/drawing/2014/main" id="{E349CF1D-9702-4B42-A1D7-31A6273AD1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7" name="AutoShape 1" descr="Vista previa de toda la pantalla">
          <a:extLst>
            <a:ext uri="{FF2B5EF4-FFF2-40B4-BE49-F238E27FC236}">
              <a16:creationId xmlns:a16="http://schemas.microsoft.com/office/drawing/2014/main" id="{0BB132F8-3E23-445C-BE17-CE922D9BB4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8" name="AutoShape 1" descr="Vista previa de toda la pantalla">
          <a:extLst>
            <a:ext uri="{FF2B5EF4-FFF2-40B4-BE49-F238E27FC236}">
              <a16:creationId xmlns:a16="http://schemas.microsoft.com/office/drawing/2014/main" id="{6E22DAE3-AEA1-45C7-BFA8-E1BBD532AB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69" name="AutoShape 1" descr="Vista previa de toda la pantalla">
          <a:extLst>
            <a:ext uri="{FF2B5EF4-FFF2-40B4-BE49-F238E27FC236}">
              <a16:creationId xmlns:a16="http://schemas.microsoft.com/office/drawing/2014/main" id="{B9BEA401-A17A-4220-9DA4-D97BBA6C84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0" name="AutoShape 1" descr="Vista previa de toda la pantalla">
          <a:extLst>
            <a:ext uri="{FF2B5EF4-FFF2-40B4-BE49-F238E27FC236}">
              <a16:creationId xmlns:a16="http://schemas.microsoft.com/office/drawing/2014/main" id="{9344A82F-6E2B-46A2-A4DA-D1C8103D98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1" name="AutoShape 1" descr="Vista previa de toda la pantalla">
          <a:extLst>
            <a:ext uri="{FF2B5EF4-FFF2-40B4-BE49-F238E27FC236}">
              <a16:creationId xmlns:a16="http://schemas.microsoft.com/office/drawing/2014/main" id="{A3575EC9-9C65-4822-AEBA-784609AE6F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2" name="AutoShape 1" descr="Vista previa de toda la pantalla">
          <a:extLst>
            <a:ext uri="{FF2B5EF4-FFF2-40B4-BE49-F238E27FC236}">
              <a16:creationId xmlns:a16="http://schemas.microsoft.com/office/drawing/2014/main" id="{E6AE5FD9-0B67-4239-A9F8-A6C0C50ED7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3" name="AutoShape 1" descr="Vista previa de toda la pantalla">
          <a:extLst>
            <a:ext uri="{FF2B5EF4-FFF2-40B4-BE49-F238E27FC236}">
              <a16:creationId xmlns:a16="http://schemas.microsoft.com/office/drawing/2014/main" id="{A01C666C-5A06-4649-B6B6-BA1162CBC8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4" name="AutoShape 1" descr="Vista previa de toda la pantalla">
          <a:extLst>
            <a:ext uri="{FF2B5EF4-FFF2-40B4-BE49-F238E27FC236}">
              <a16:creationId xmlns:a16="http://schemas.microsoft.com/office/drawing/2014/main" id="{23AA3195-ADBA-4153-BC58-DF38258DB1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5" name="AutoShape 1" descr="Vista previa de toda la pantalla">
          <a:extLst>
            <a:ext uri="{FF2B5EF4-FFF2-40B4-BE49-F238E27FC236}">
              <a16:creationId xmlns:a16="http://schemas.microsoft.com/office/drawing/2014/main" id="{ECB6D519-6086-482F-915A-FE43EC1484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6" name="AutoShape 1" descr="Vista previa de toda la pantalla">
          <a:extLst>
            <a:ext uri="{FF2B5EF4-FFF2-40B4-BE49-F238E27FC236}">
              <a16:creationId xmlns:a16="http://schemas.microsoft.com/office/drawing/2014/main" id="{F6CC872F-82D4-4F0D-A5B2-4BC1FD30D7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7" name="AutoShape 1" descr="Vista previa de toda la pantalla">
          <a:extLst>
            <a:ext uri="{FF2B5EF4-FFF2-40B4-BE49-F238E27FC236}">
              <a16:creationId xmlns:a16="http://schemas.microsoft.com/office/drawing/2014/main" id="{8E346E35-A8ED-4EA5-9DCA-E18D0691C5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8" name="AutoShape 1" descr="Vista previa de toda la pantalla">
          <a:extLst>
            <a:ext uri="{FF2B5EF4-FFF2-40B4-BE49-F238E27FC236}">
              <a16:creationId xmlns:a16="http://schemas.microsoft.com/office/drawing/2014/main" id="{C71922DC-31A3-4D64-8973-28D07BD0D0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79" name="AutoShape 1" descr="Vista previa de toda la pantalla">
          <a:extLst>
            <a:ext uri="{FF2B5EF4-FFF2-40B4-BE49-F238E27FC236}">
              <a16:creationId xmlns:a16="http://schemas.microsoft.com/office/drawing/2014/main" id="{3738166F-DC57-41A8-B710-55CE45848E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0" name="AutoShape 1" descr="Vista previa de toda la pantalla">
          <a:extLst>
            <a:ext uri="{FF2B5EF4-FFF2-40B4-BE49-F238E27FC236}">
              <a16:creationId xmlns:a16="http://schemas.microsoft.com/office/drawing/2014/main" id="{65BBA605-26AE-41CD-B5D3-1A75DB1D35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1" name="AutoShape 1" descr="Vista previa de toda la pantalla">
          <a:extLst>
            <a:ext uri="{FF2B5EF4-FFF2-40B4-BE49-F238E27FC236}">
              <a16:creationId xmlns:a16="http://schemas.microsoft.com/office/drawing/2014/main" id="{6FE11EB9-AC99-4A0A-A572-6D5B63B9BC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2" name="AutoShape 1" descr="Vista previa de toda la pantalla">
          <a:extLst>
            <a:ext uri="{FF2B5EF4-FFF2-40B4-BE49-F238E27FC236}">
              <a16:creationId xmlns:a16="http://schemas.microsoft.com/office/drawing/2014/main" id="{E49F91F4-E9C3-49E5-81C0-114148BCF3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3" name="AutoShape 1" descr="Vista previa de toda la pantalla">
          <a:extLst>
            <a:ext uri="{FF2B5EF4-FFF2-40B4-BE49-F238E27FC236}">
              <a16:creationId xmlns:a16="http://schemas.microsoft.com/office/drawing/2014/main" id="{F6F31B28-95FA-48CD-80AE-17FDFA2363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4" name="AutoShape 1" descr="Vista previa de toda la pantalla">
          <a:extLst>
            <a:ext uri="{FF2B5EF4-FFF2-40B4-BE49-F238E27FC236}">
              <a16:creationId xmlns:a16="http://schemas.microsoft.com/office/drawing/2014/main" id="{589600A0-B158-4ED2-A91F-447E590B37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5" name="AutoShape 1" descr="Vista previa de toda la pantalla">
          <a:extLst>
            <a:ext uri="{FF2B5EF4-FFF2-40B4-BE49-F238E27FC236}">
              <a16:creationId xmlns:a16="http://schemas.microsoft.com/office/drawing/2014/main" id="{3920A534-89E9-4C7B-8591-ACF2C72C1C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6" name="AutoShape 1" descr="Vista previa de toda la pantalla">
          <a:extLst>
            <a:ext uri="{FF2B5EF4-FFF2-40B4-BE49-F238E27FC236}">
              <a16:creationId xmlns:a16="http://schemas.microsoft.com/office/drawing/2014/main" id="{4AD7C0AA-EEDC-46FC-AF63-205C109AA6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7" name="AutoShape 1" descr="Vista previa de toda la pantalla">
          <a:extLst>
            <a:ext uri="{FF2B5EF4-FFF2-40B4-BE49-F238E27FC236}">
              <a16:creationId xmlns:a16="http://schemas.microsoft.com/office/drawing/2014/main" id="{307DCDB3-B7B1-405F-9DE1-B75E8CE190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8" name="AutoShape 1" descr="Vista previa de toda la pantalla">
          <a:extLst>
            <a:ext uri="{FF2B5EF4-FFF2-40B4-BE49-F238E27FC236}">
              <a16:creationId xmlns:a16="http://schemas.microsoft.com/office/drawing/2014/main" id="{5F891824-E150-46D1-BB60-BABE4AE80B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89" name="AutoShape 1" descr="Vista previa de toda la pantalla">
          <a:extLst>
            <a:ext uri="{FF2B5EF4-FFF2-40B4-BE49-F238E27FC236}">
              <a16:creationId xmlns:a16="http://schemas.microsoft.com/office/drawing/2014/main" id="{206D6260-75C6-4A2D-B64D-D9B49FC05E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90" name="AutoShape 1" descr="Vista previa de toda la pantalla">
          <a:extLst>
            <a:ext uri="{FF2B5EF4-FFF2-40B4-BE49-F238E27FC236}">
              <a16:creationId xmlns:a16="http://schemas.microsoft.com/office/drawing/2014/main" id="{B2E403D6-8A81-4A7D-8CD4-CC8C0864DF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91" name="AutoShape 1" descr="Vista previa de toda la pantalla">
          <a:extLst>
            <a:ext uri="{FF2B5EF4-FFF2-40B4-BE49-F238E27FC236}">
              <a16:creationId xmlns:a16="http://schemas.microsoft.com/office/drawing/2014/main" id="{7D6FA939-5690-4204-9F4F-78CEC584B1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92" name="AutoShape 1" descr="Vista previa de toda la pantalla">
          <a:extLst>
            <a:ext uri="{FF2B5EF4-FFF2-40B4-BE49-F238E27FC236}">
              <a16:creationId xmlns:a16="http://schemas.microsoft.com/office/drawing/2014/main" id="{EC8AC675-DF26-4EFB-B7BB-9EED21F628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93" name="AutoShape 1" descr="Vista previa de toda la pantalla">
          <a:extLst>
            <a:ext uri="{FF2B5EF4-FFF2-40B4-BE49-F238E27FC236}">
              <a16:creationId xmlns:a16="http://schemas.microsoft.com/office/drawing/2014/main" id="{544B320C-8B78-4266-A2D7-96D9AAC3C6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0194" name="AutoShape 1" descr="Vista previa de toda la pantalla">
          <a:extLst>
            <a:ext uri="{FF2B5EF4-FFF2-40B4-BE49-F238E27FC236}">
              <a16:creationId xmlns:a16="http://schemas.microsoft.com/office/drawing/2014/main" id="{35FEB25F-9BE5-4776-852D-B47E0B207EA9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95" name="AutoShape 1" descr="Vista previa de toda la pantalla">
          <a:extLst>
            <a:ext uri="{FF2B5EF4-FFF2-40B4-BE49-F238E27FC236}">
              <a16:creationId xmlns:a16="http://schemas.microsoft.com/office/drawing/2014/main" id="{E164CBAB-B487-425B-ADC4-79FC389722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96" name="AutoShape 1" descr="Vista previa de toda la pantalla">
          <a:extLst>
            <a:ext uri="{FF2B5EF4-FFF2-40B4-BE49-F238E27FC236}">
              <a16:creationId xmlns:a16="http://schemas.microsoft.com/office/drawing/2014/main" id="{366C3555-3BF3-496D-A074-FC4908CCFF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97" name="AutoShape 1" descr="Vista previa de toda la pantalla">
          <a:extLst>
            <a:ext uri="{FF2B5EF4-FFF2-40B4-BE49-F238E27FC236}">
              <a16:creationId xmlns:a16="http://schemas.microsoft.com/office/drawing/2014/main" id="{0C5A5F43-3964-416B-AD4A-A938006F6C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98" name="AutoShape 1" descr="Vista previa de toda la pantalla">
          <a:extLst>
            <a:ext uri="{FF2B5EF4-FFF2-40B4-BE49-F238E27FC236}">
              <a16:creationId xmlns:a16="http://schemas.microsoft.com/office/drawing/2014/main" id="{734997E3-0E1F-4061-BA2C-9069ACF086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199" name="AutoShape 1" descr="Vista previa de toda la pantalla">
          <a:extLst>
            <a:ext uri="{FF2B5EF4-FFF2-40B4-BE49-F238E27FC236}">
              <a16:creationId xmlns:a16="http://schemas.microsoft.com/office/drawing/2014/main" id="{7AFDCDCE-1057-403F-AD9A-E9142FA227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0" name="AutoShape 1" descr="Vista previa de toda la pantalla">
          <a:extLst>
            <a:ext uri="{FF2B5EF4-FFF2-40B4-BE49-F238E27FC236}">
              <a16:creationId xmlns:a16="http://schemas.microsoft.com/office/drawing/2014/main" id="{1252D7E0-5AB5-448A-9112-B0FC54ED12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1" name="AutoShape 1" descr="Vista previa de toda la pantalla">
          <a:extLst>
            <a:ext uri="{FF2B5EF4-FFF2-40B4-BE49-F238E27FC236}">
              <a16:creationId xmlns:a16="http://schemas.microsoft.com/office/drawing/2014/main" id="{04B552C4-C9BD-43A4-B04A-599F029777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2" name="AutoShape 1" descr="Vista previa de toda la pantalla">
          <a:extLst>
            <a:ext uri="{FF2B5EF4-FFF2-40B4-BE49-F238E27FC236}">
              <a16:creationId xmlns:a16="http://schemas.microsoft.com/office/drawing/2014/main" id="{BDD6A1DE-CFD2-465D-A5EB-2D5290D54B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3" name="AutoShape 1" descr="Vista previa de toda la pantalla">
          <a:extLst>
            <a:ext uri="{FF2B5EF4-FFF2-40B4-BE49-F238E27FC236}">
              <a16:creationId xmlns:a16="http://schemas.microsoft.com/office/drawing/2014/main" id="{F29DBB38-0FD3-40A9-A655-CFB3B2F6EA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4" name="AutoShape 1" descr="Vista previa de toda la pantalla">
          <a:extLst>
            <a:ext uri="{FF2B5EF4-FFF2-40B4-BE49-F238E27FC236}">
              <a16:creationId xmlns:a16="http://schemas.microsoft.com/office/drawing/2014/main" id="{9A574543-61C1-480C-A021-1E663B8D18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5" name="AutoShape 1" descr="Vista previa de toda la pantalla">
          <a:extLst>
            <a:ext uri="{FF2B5EF4-FFF2-40B4-BE49-F238E27FC236}">
              <a16:creationId xmlns:a16="http://schemas.microsoft.com/office/drawing/2014/main" id="{A549F02D-88A6-4510-AFAD-80E2B19884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6" name="AutoShape 1" descr="Vista previa de toda la pantalla">
          <a:extLst>
            <a:ext uri="{FF2B5EF4-FFF2-40B4-BE49-F238E27FC236}">
              <a16:creationId xmlns:a16="http://schemas.microsoft.com/office/drawing/2014/main" id="{4F6664E9-C7EF-4F2A-8A3B-66899A349A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7" name="AutoShape 1" descr="Vista previa de toda la pantalla">
          <a:extLst>
            <a:ext uri="{FF2B5EF4-FFF2-40B4-BE49-F238E27FC236}">
              <a16:creationId xmlns:a16="http://schemas.microsoft.com/office/drawing/2014/main" id="{7DB84A44-B9E6-4B53-B2C6-63D75B8841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8" name="AutoShape 1" descr="Vista previa de toda la pantalla">
          <a:extLst>
            <a:ext uri="{FF2B5EF4-FFF2-40B4-BE49-F238E27FC236}">
              <a16:creationId xmlns:a16="http://schemas.microsoft.com/office/drawing/2014/main" id="{C249A68C-8918-437F-95D6-35C2062FDA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09" name="AutoShape 1" descr="Vista previa de toda la pantalla">
          <a:extLst>
            <a:ext uri="{FF2B5EF4-FFF2-40B4-BE49-F238E27FC236}">
              <a16:creationId xmlns:a16="http://schemas.microsoft.com/office/drawing/2014/main" id="{824CF613-B51E-47DF-BE46-3A02D482D3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0" name="AutoShape 1" descr="Vista previa de toda la pantalla">
          <a:extLst>
            <a:ext uri="{FF2B5EF4-FFF2-40B4-BE49-F238E27FC236}">
              <a16:creationId xmlns:a16="http://schemas.microsoft.com/office/drawing/2014/main" id="{6FB05EDA-F35E-40CF-A3A5-59DFB90D9F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1" name="AutoShape 1" descr="Vista previa de toda la pantalla">
          <a:extLst>
            <a:ext uri="{FF2B5EF4-FFF2-40B4-BE49-F238E27FC236}">
              <a16:creationId xmlns:a16="http://schemas.microsoft.com/office/drawing/2014/main" id="{A558586E-5DC8-4CDD-9EFE-7AC8502D48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2" name="AutoShape 1" descr="Vista previa de toda la pantalla">
          <a:extLst>
            <a:ext uri="{FF2B5EF4-FFF2-40B4-BE49-F238E27FC236}">
              <a16:creationId xmlns:a16="http://schemas.microsoft.com/office/drawing/2014/main" id="{ED1760B7-D39E-43F4-B590-46BA5BAE1A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3" name="AutoShape 1" descr="Vista previa de toda la pantalla">
          <a:extLst>
            <a:ext uri="{FF2B5EF4-FFF2-40B4-BE49-F238E27FC236}">
              <a16:creationId xmlns:a16="http://schemas.microsoft.com/office/drawing/2014/main" id="{098B7B5A-EC3E-440B-9DDC-DABA9C9053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4" name="AutoShape 1" descr="Vista previa de toda la pantalla">
          <a:extLst>
            <a:ext uri="{FF2B5EF4-FFF2-40B4-BE49-F238E27FC236}">
              <a16:creationId xmlns:a16="http://schemas.microsoft.com/office/drawing/2014/main" id="{254936D4-8CDE-47E9-A3A8-EF0CB40827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5" name="AutoShape 1" descr="Vista previa de toda la pantalla">
          <a:extLst>
            <a:ext uri="{FF2B5EF4-FFF2-40B4-BE49-F238E27FC236}">
              <a16:creationId xmlns:a16="http://schemas.microsoft.com/office/drawing/2014/main" id="{CC2AC5D1-8EEB-4CFD-BE84-2BC82378DD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6" name="AutoShape 1" descr="Vista previa de toda la pantalla">
          <a:extLst>
            <a:ext uri="{FF2B5EF4-FFF2-40B4-BE49-F238E27FC236}">
              <a16:creationId xmlns:a16="http://schemas.microsoft.com/office/drawing/2014/main" id="{1FEECB40-0CDE-47AF-A365-8924F21487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7" name="AutoShape 1" descr="Vista previa de toda la pantalla">
          <a:extLst>
            <a:ext uri="{FF2B5EF4-FFF2-40B4-BE49-F238E27FC236}">
              <a16:creationId xmlns:a16="http://schemas.microsoft.com/office/drawing/2014/main" id="{5B22495E-E97D-476B-B939-83B47C548E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8" name="AutoShape 1" descr="Vista previa de toda la pantalla">
          <a:extLst>
            <a:ext uri="{FF2B5EF4-FFF2-40B4-BE49-F238E27FC236}">
              <a16:creationId xmlns:a16="http://schemas.microsoft.com/office/drawing/2014/main" id="{A3C3310B-4C7F-4D84-B65A-160EFB695E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19" name="AutoShape 1" descr="Vista previa de toda la pantalla">
          <a:extLst>
            <a:ext uri="{FF2B5EF4-FFF2-40B4-BE49-F238E27FC236}">
              <a16:creationId xmlns:a16="http://schemas.microsoft.com/office/drawing/2014/main" id="{ADE1AE01-4ECE-473D-8BE2-417B1E060C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0" name="AutoShape 1" descr="Vista previa de toda la pantalla">
          <a:extLst>
            <a:ext uri="{FF2B5EF4-FFF2-40B4-BE49-F238E27FC236}">
              <a16:creationId xmlns:a16="http://schemas.microsoft.com/office/drawing/2014/main" id="{EAE83B00-69E1-40D5-8FB1-BBFF803323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1" name="AutoShape 1" descr="Vista previa de toda la pantalla">
          <a:extLst>
            <a:ext uri="{FF2B5EF4-FFF2-40B4-BE49-F238E27FC236}">
              <a16:creationId xmlns:a16="http://schemas.microsoft.com/office/drawing/2014/main" id="{9B64D85E-CA97-45E1-9251-2DBDC708DC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2" name="AutoShape 1" descr="Vista previa de toda la pantalla">
          <a:extLst>
            <a:ext uri="{FF2B5EF4-FFF2-40B4-BE49-F238E27FC236}">
              <a16:creationId xmlns:a16="http://schemas.microsoft.com/office/drawing/2014/main" id="{997877C2-92E2-4EC0-A65F-EFF00B1448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3" name="AutoShape 1" descr="Vista previa de toda la pantalla">
          <a:extLst>
            <a:ext uri="{FF2B5EF4-FFF2-40B4-BE49-F238E27FC236}">
              <a16:creationId xmlns:a16="http://schemas.microsoft.com/office/drawing/2014/main" id="{85D10016-E7A0-49F8-824C-67B3685FC8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4" name="AutoShape 1" descr="Vista previa de toda la pantalla">
          <a:extLst>
            <a:ext uri="{FF2B5EF4-FFF2-40B4-BE49-F238E27FC236}">
              <a16:creationId xmlns:a16="http://schemas.microsoft.com/office/drawing/2014/main" id="{F30F7433-0894-4F3C-850F-A18708318E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5" name="AutoShape 1" descr="Vista previa de toda la pantalla">
          <a:extLst>
            <a:ext uri="{FF2B5EF4-FFF2-40B4-BE49-F238E27FC236}">
              <a16:creationId xmlns:a16="http://schemas.microsoft.com/office/drawing/2014/main" id="{1524CCA5-43DB-4FF7-80C9-62B04C51F8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6" name="AutoShape 1" descr="Vista previa de toda la pantalla">
          <a:extLst>
            <a:ext uri="{FF2B5EF4-FFF2-40B4-BE49-F238E27FC236}">
              <a16:creationId xmlns:a16="http://schemas.microsoft.com/office/drawing/2014/main" id="{265D33BA-019B-4B92-8C8D-EEF703C068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7" name="AutoShape 1" descr="Vista previa de toda la pantalla">
          <a:extLst>
            <a:ext uri="{FF2B5EF4-FFF2-40B4-BE49-F238E27FC236}">
              <a16:creationId xmlns:a16="http://schemas.microsoft.com/office/drawing/2014/main" id="{B1D34F43-C98C-4A50-AADF-ABAA027BD2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8" name="AutoShape 1" descr="Vista previa de toda la pantalla">
          <a:extLst>
            <a:ext uri="{FF2B5EF4-FFF2-40B4-BE49-F238E27FC236}">
              <a16:creationId xmlns:a16="http://schemas.microsoft.com/office/drawing/2014/main" id="{02CF8DCD-0C8D-4CDA-9DE3-91FB26A3C0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29" name="AutoShape 1" descr="Vista previa de toda la pantalla">
          <a:extLst>
            <a:ext uri="{FF2B5EF4-FFF2-40B4-BE49-F238E27FC236}">
              <a16:creationId xmlns:a16="http://schemas.microsoft.com/office/drawing/2014/main" id="{C98732BA-8CB0-4FE5-89C1-3FA2D4D3E6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0" name="AutoShape 1" descr="Vista previa de toda la pantalla">
          <a:extLst>
            <a:ext uri="{FF2B5EF4-FFF2-40B4-BE49-F238E27FC236}">
              <a16:creationId xmlns:a16="http://schemas.microsoft.com/office/drawing/2014/main" id="{5FF15BFC-D965-44B5-B7B6-E845B8A9D9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1" name="AutoShape 1" descr="Vista previa de toda la pantalla">
          <a:extLst>
            <a:ext uri="{FF2B5EF4-FFF2-40B4-BE49-F238E27FC236}">
              <a16:creationId xmlns:a16="http://schemas.microsoft.com/office/drawing/2014/main" id="{4AD3B4C5-423E-4011-834A-AD2C18E089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2" name="AutoShape 1" descr="Vista previa de toda la pantalla">
          <a:extLst>
            <a:ext uri="{FF2B5EF4-FFF2-40B4-BE49-F238E27FC236}">
              <a16:creationId xmlns:a16="http://schemas.microsoft.com/office/drawing/2014/main" id="{653EDB83-BDCD-4832-9190-AC860307DC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3" name="AutoShape 1" descr="Vista previa de toda la pantalla">
          <a:extLst>
            <a:ext uri="{FF2B5EF4-FFF2-40B4-BE49-F238E27FC236}">
              <a16:creationId xmlns:a16="http://schemas.microsoft.com/office/drawing/2014/main" id="{AAE80A34-AD7D-4132-B963-496E0F0C98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4" name="AutoShape 1" descr="Vista previa de toda la pantalla">
          <a:extLst>
            <a:ext uri="{FF2B5EF4-FFF2-40B4-BE49-F238E27FC236}">
              <a16:creationId xmlns:a16="http://schemas.microsoft.com/office/drawing/2014/main" id="{C7FC3F25-E7F7-4EC7-A1B3-8D8214B9F8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5" name="AutoShape 1" descr="Vista previa de toda la pantalla">
          <a:extLst>
            <a:ext uri="{FF2B5EF4-FFF2-40B4-BE49-F238E27FC236}">
              <a16:creationId xmlns:a16="http://schemas.microsoft.com/office/drawing/2014/main" id="{B15FBD98-232E-4F44-A31A-628E170E7F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6" name="AutoShape 1" descr="Vista previa de toda la pantalla">
          <a:extLst>
            <a:ext uri="{FF2B5EF4-FFF2-40B4-BE49-F238E27FC236}">
              <a16:creationId xmlns:a16="http://schemas.microsoft.com/office/drawing/2014/main" id="{5B988F52-D7EF-480C-B61E-DC2E6A65CC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7" name="AutoShape 1" descr="Vista previa de toda la pantalla">
          <a:extLst>
            <a:ext uri="{FF2B5EF4-FFF2-40B4-BE49-F238E27FC236}">
              <a16:creationId xmlns:a16="http://schemas.microsoft.com/office/drawing/2014/main" id="{4D9FB979-574E-4B20-A34F-672AD50F32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8" name="AutoShape 1" descr="Vista previa de toda la pantalla">
          <a:extLst>
            <a:ext uri="{FF2B5EF4-FFF2-40B4-BE49-F238E27FC236}">
              <a16:creationId xmlns:a16="http://schemas.microsoft.com/office/drawing/2014/main" id="{32B3696F-3581-4A49-A94B-084A886475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39" name="AutoShape 1" descr="Vista previa de toda la pantalla">
          <a:extLst>
            <a:ext uri="{FF2B5EF4-FFF2-40B4-BE49-F238E27FC236}">
              <a16:creationId xmlns:a16="http://schemas.microsoft.com/office/drawing/2014/main" id="{6921E23A-02B5-4D6C-A417-60A7E17AB9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0" name="AutoShape 1" descr="Vista previa de toda la pantalla">
          <a:extLst>
            <a:ext uri="{FF2B5EF4-FFF2-40B4-BE49-F238E27FC236}">
              <a16:creationId xmlns:a16="http://schemas.microsoft.com/office/drawing/2014/main" id="{6E2C2AE4-06ED-4940-BF41-724B1824A6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1" name="AutoShape 1" descr="Vista previa de toda la pantalla">
          <a:extLst>
            <a:ext uri="{FF2B5EF4-FFF2-40B4-BE49-F238E27FC236}">
              <a16:creationId xmlns:a16="http://schemas.microsoft.com/office/drawing/2014/main" id="{11977E0E-3645-493C-BBCD-A2A154F2CA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2" name="AutoShape 1" descr="Vista previa de toda la pantalla">
          <a:extLst>
            <a:ext uri="{FF2B5EF4-FFF2-40B4-BE49-F238E27FC236}">
              <a16:creationId xmlns:a16="http://schemas.microsoft.com/office/drawing/2014/main" id="{14F9B2B1-B9F9-4074-9D64-B9756B73D1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3" name="AutoShape 1" descr="Vista previa de toda la pantalla">
          <a:extLst>
            <a:ext uri="{FF2B5EF4-FFF2-40B4-BE49-F238E27FC236}">
              <a16:creationId xmlns:a16="http://schemas.microsoft.com/office/drawing/2014/main" id="{8802AD7B-681F-4413-B96E-F937E0867F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4" name="AutoShape 1" descr="Vista previa de toda la pantalla">
          <a:extLst>
            <a:ext uri="{FF2B5EF4-FFF2-40B4-BE49-F238E27FC236}">
              <a16:creationId xmlns:a16="http://schemas.microsoft.com/office/drawing/2014/main" id="{7B598E85-F6B2-4ADD-A3A9-07A1A0EF0D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5" name="AutoShape 1" descr="Vista previa de toda la pantalla">
          <a:extLst>
            <a:ext uri="{FF2B5EF4-FFF2-40B4-BE49-F238E27FC236}">
              <a16:creationId xmlns:a16="http://schemas.microsoft.com/office/drawing/2014/main" id="{FFE0A070-E7F0-4F05-B657-3C6D37A768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6" name="AutoShape 1" descr="Vista previa de toda la pantalla">
          <a:extLst>
            <a:ext uri="{FF2B5EF4-FFF2-40B4-BE49-F238E27FC236}">
              <a16:creationId xmlns:a16="http://schemas.microsoft.com/office/drawing/2014/main" id="{FCAB11CE-0B2D-456A-B837-0F3CA64C19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7" name="AutoShape 1" descr="Vista previa de toda la pantalla">
          <a:extLst>
            <a:ext uri="{FF2B5EF4-FFF2-40B4-BE49-F238E27FC236}">
              <a16:creationId xmlns:a16="http://schemas.microsoft.com/office/drawing/2014/main" id="{841D6EC3-5636-4CB8-8A69-1693DA920E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8" name="AutoShape 1" descr="Vista previa de toda la pantalla">
          <a:extLst>
            <a:ext uri="{FF2B5EF4-FFF2-40B4-BE49-F238E27FC236}">
              <a16:creationId xmlns:a16="http://schemas.microsoft.com/office/drawing/2014/main" id="{0C193E9F-5D11-41D9-90F5-7FD91DDEA6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49" name="AutoShape 1" descr="Vista previa de toda la pantalla">
          <a:extLst>
            <a:ext uri="{FF2B5EF4-FFF2-40B4-BE49-F238E27FC236}">
              <a16:creationId xmlns:a16="http://schemas.microsoft.com/office/drawing/2014/main" id="{39AA76F4-D157-4CF3-9A3F-D785A2B64B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0" name="AutoShape 1" descr="Vista previa de toda la pantalla">
          <a:extLst>
            <a:ext uri="{FF2B5EF4-FFF2-40B4-BE49-F238E27FC236}">
              <a16:creationId xmlns:a16="http://schemas.microsoft.com/office/drawing/2014/main" id="{B79B54B0-1253-426F-AC69-2E9DADCEDC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1" name="AutoShape 1" descr="Vista previa de toda la pantalla">
          <a:extLst>
            <a:ext uri="{FF2B5EF4-FFF2-40B4-BE49-F238E27FC236}">
              <a16:creationId xmlns:a16="http://schemas.microsoft.com/office/drawing/2014/main" id="{7C48CDF9-0B3B-4D3A-9B12-8909CDA276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2" name="AutoShape 1" descr="Vista previa de toda la pantalla">
          <a:extLst>
            <a:ext uri="{FF2B5EF4-FFF2-40B4-BE49-F238E27FC236}">
              <a16:creationId xmlns:a16="http://schemas.microsoft.com/office/drawing/2014/main" id="{AD7E47E8-A53C-41A7-88CD-A5AEC1D65D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3" name="AutoShape 1" descr="Vista previa de toda la pantalla">
          <a:extLst>
            <a:ext uri="{FF2B5EF4-FFF2-40B4-BE49-F238E27FC236}">
              <a16:creationId xmlns:a16="http://schemas.microsoft.com/office/drawing/2014/main" id="{F305142E-1166-49A4-B71D-D08B76762B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4" name="AutoShape 1" descr="Vista previa de toda la pantalla">
          <a:extLst>
            <a:ext uri="{FF2B5EF4-FFF2-40B4-BE49-F238E27FC236}">
              <a16:creationId xmlns:a16="http://schemas.microsoft.com/office/drawing/2014/main" id="{A827B6E5-9887-4BD1-9B21-F47D2AF770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5" name="AutoShape 1" descr="Vista previa de toda la pantalla">
          <a:extLst>
            <a:ext uri="{FF2B5EF4-FFF2-40B4-BE49-F238E27FC236}">
              <a16:creationId xmlns:a16="http://schemas.microsoft.com/office/drawing/2014/main" id="{DD9E19D9-D5B7-49CD-AB84-F0030686B8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6" name="AutoShape 1" descr="Vista previa de toda la pantalla">
          <a:extLst>
            <a:ext uri="{FF2B5EF4-FFF2-40B4-BE49-F238E27FC236}">
              <a16:creationId xmlns:a16="http://schemas.microsoft.com/office/drawing/2014/main" id="{0FA56DE5-1F5B-4ED5-AF30-598F310135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7" name="AutoShape 1" descr="Vista previa de toda la pantalla">
          <a:extLst>
            <a:ext uri="{FF2B5EF4-FFF2-40B4-BE49-F238E27FC236}">
              <a16:creationId xmlns:a16="http://schemas.microsoft.com/office/drawing/2014/main" id="{5588425B-56F2-49E9-B1A2-6D532E548A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8" name="AutoShape 1" descr="Vista previa de toda la pantalla">
          <a:extLst>
            <a:ext uri="{FF2B5EF4-FFF2-40B4-BE49-F238E27FC236}">
              <a16:creationId xmlns:a16="http://schemas.microsoft.com/office/drawing/2014/main" id="{8D3938B1-9397-4CA7-9966-F2D9A7803F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59" name="AutoShape 1" descr="Vista previa de toda la pantalla">
          <a:extLst>
            <a:ext uri="{FF2B5EF4-FFF2-40B4-BE49-F238E27FC236}">
              <a16:creationId xmlns:a16="http://schemas.microsoft.com/office/drawing/2014/main" id="{3B745412-8288-4748-BA8E-06761AE34C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0" name="AutoShape 1" descr="Vista previa de toda la pantalla">
          <a:extLst>
            <a:ext uri="{FF2B5EF4-FFF2-40B4-BE49-F238E27FC236}">
              <a16:creationId xmlns:a16="http://schemas.microsoft.com/office/drawing/2014/main" id="{1FF982D2-0D80-4D70-9A3E-CAB441D09B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1" name="AutoShape 1" descr="Vista previa de toda la pantalla">
          <a:extLst>
            <a:ext uri="{FF2B5EF4-FFF2-40B4-BE49-F238E27FC236}">
              <a16:creationId xmlns:a16="http://schemas.microsoft.com/office/drawing/2014/main" id="{162212BF-77BB-4C6A-A3C7-242180BCD8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2" name="AutoShape 1" descr="Vista previa de toda la pantalla">
          <a:extLst>
            <a:ext uri="{FF2B5EF4-FFF2-40B4-BE49-F238E27FC236}">
              <a16:creationId xmlns:a16="http://schemas.microsoft.com/office/drawing/2014/main" id="{0E83208C-1692-483D-83AC-EEF035AFC4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3" name="AutoShape 1" descr="Vista previa de toda la pantalla">
          <a:extLst>
            <a:ext uri="{FF2B5EF4-FFF2-40B4-BE49-F238E27FC236}">
              <a16:creationId xmlns:a16="http://schemas.microsoft.com/office/drawing/2014/main" id="{8C70CAED-559A-4683-A884-2AED480CE1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4" name="AutoShape 1" descr="Vista previa de toda la pantalla">
          <a:extLst>
            <a:ext uri="{FF2B5EF4-FFF2-40B4-BE49-F238E27FC236}">
              <a16:creationId xmlns:a16="http://schemas.microsoft.com/office/drawing/2014/main" id="{02C63F1E-3035-40CC-8DE8-71272B7449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5" name="AutoShape 1" descr="Vista previa de toda la pantalla">
          <a:extLst>
            <a:ext uri="{FF2B5EF4-FFF2-40B4-BE49-F238E27FC236}">
              <a16:creationId xmlns:a16="http://schemas.microsoft.com/office/drawing/2014/main" id="{B4CC9379-0F84-4BA3-AC5E-6EE9121099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6" name="AutoShape 1" descr="Vista previa de toda la pantalla">
          <a:extLst>
            <a:ext uri="{FF2B5EF4-FFF2-40B4-BE49-F238E27FC236}">
              <a16:creationId xmlns:a16="http://schemas.microsoft.com/office/drawing/2014/main" id="{341818F0-6E9C-4EC1-9DDA-DDD7833445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7" name="AutoShape 1" descr="Vista previa de toda la pantalla">
          <a:extLst>
            <a:ext uri="{FF2B5EF4-FFF2-40B4-BE49-F238E27FC236}">
              <a16:creationId xmlns:a16="http://schemas.microsoft.com/office/drawing/2014/main" id="{A808F7CB-59A2-49EB-B859-5A9AB97C8A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8" name="AutoShape 1" descr="Vista previa de toda la pantalla">
          <a:extLst>
            <a:ext uri="{FF2B5EF4-FFF2-40B4-BE49-F238E27FC236}">
              <a16:creationId xmlns:a16="http://schemas.microsoft.com/office/drawing/2014/main" id="{A7F9179E-D58D-46C1-94D7-EB2287BC52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69" name="AutoShape 1" descr="Vista previa de toda la pantalla">
          <a:extLst>
            <a:ext uri="{FF2B5EF4-FFF2-40B4-BE49-F238E27FC236}">
              <a16:creationId xmlns:a16="http://schemas.microsoft.com/office/drawing/2014/main" id="{C78F30CD-C026-4505-9E28-0A2FBC8BF8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0" name="AutoShape 1" descr="Vista previa de toda la pantalla">
          <a:extLst>
            <a:ext uri="{FF2B5EF4-FFF2-40B4-BE49-F238E27FC236}">
              <a16:creationId xmlns:a16="http://schemas.microsoft.com/office/drawing/2014/main" id="{72700437-5F40-4570-ABD8-10874CD451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1" name="AutoShape 1" descr="Vista previa de toda la pantalla">
          <a:extLst>
            <a:ext uri="{FF2B5EF4-FFF2-40B4-BE49-F238E27FC236}">
              <a16:creationId xmlns:a16="http://schemas.microsoft.com/office/drawing/2014/main" id="{B83693ED-AE0A-45FF-81F5-9E074761FC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2" name="AutoShape 1" descr="Vista previa de toda la pantalla">
          <a:extLst>
            <a:ext uri="{FF2B5EF4-FFF2-40B4-BE49-F238E27FC236}">
              <a16:creationId xmlns:a16="http://schemas.microsoft.com/office/drawing/2014/main" id="{45989DAB-293B-423C-8A48-B5E75EA892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3" name="AutoShape 1" descr="Vista previa de toda la pantalla">
          <a:extLst>
            <a:ext uri="{FF2B5EF4-FFF2-40B4-BE49-F238E27FC236}">
              <a16:creationId xmlns:a16="http://schemas.microsoft.com/office/drawing/2014/main" id="{C3761A8D-4DF0-40EB-8F6F-944C603210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4" name="AutoShape 1" descr="Vista previa de toda la pantalla">
          <a:extLst>
            <a:ext uri="{FF2B5EF4-FFF2-40B4-BE49-F238E27FC236}">
              <a16:creationId xmlns:a16="http://schemas.microsoft.com/office/drawing/2014/main" id="{F06A18E9-6EF1-4355-8B39-71483ACAD2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5" name="AutoShape 1" descr="Vista previa de toda la pantalla">
          <a:extLst>
            <a:ext uri="{FF2B5EF4-FFF2-40B4-BE49-F238E27FC236}">
              <a16:creationId xmlns:a16="http://schemas.microsoft.com/office/drawing/2014/main" id="{B9689683-7D06-4FD4-9A3B-70B27198F5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6" name="AutoShape 1" descr="Vista previa de toda la pantalla">
          <a:extLst>
            <a:ext uri="{FF2B5EF4-FFF2-40B4-BE49-F238E27FC236}">
              <a16:creationId xmlns:a16="http://schemas.microsoft.com/office/drawing/2014/main" id="{88023E23-3CB5-452B-92D4-C985B933DE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7" name="AutoShape 1" descr="Vista previa de toda la pantalla">
          <a:extLst>
            <a:ext uri="{FF2B5EF4-FFF2-40B4-BE49-F238E27FC236}">
              <a16:creationId xmlns:a16="http://schemas.microsoft.com/office/drawing/2014/main" id="{9898B364-D3EE-4A3D-97FA-95027CF920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8" name="AutoShape 1" descr="Vista previa de toda la pantalla">
          <a:extLst>
            <a:ext uri="{FF2B5EF4-FFF2-40B4-BE49-F238E27FC236}">
              <a16:creationId xmlns:a16="http://schemas.microsoft.com/office/drawing/2014/main" id="{9642F88D-0A22-412F-84D4-DAAD8D05F2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79" name="AutoShape 1" descr="Vista previa de toda la pantalla">
          <a:extLst>
            <a:ext uri="{FF2B5EF4-FFF2-40B4-BE49-F238E27FC236}">
              <a16:creationId xmlns:a16="http://schemas.microsoft.com/office/drawing/2014/main" id="{ABA586D7-162F-4A60-AC0B-4BA9C83DA5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0" name="AutoShape 1" descr="Vista previa de toda la pantalla">
          <a:extLst>
            <a:ext uri="{FF2B5EF4-FFF2-40B4-BE49-F238E27FC236}">
              <a16:creationId xmlns:a16="http://schemas.microsoft.com/office/drawing/2014/main" id="{5F04AA5B-32DB-4C6D-85CC-E1697F6A45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1" name="AutoShape 1" descr="Vista previa de toda la pantalla">
          <a:extLst>
            <a:ext uri="{FF2B5EF4-FFF2-40B4-BE49-F238E27FC236}">
              <a16:creationId xmlns:a16="http://schemas.microsoft.com/office/drawing/2014/main" id="{FAB2509C-EFE0-4C10-AAF1-6DE7B281A4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2" name="AutoShape 1" descr="Vista previa de toda la pantalla">
          <a:extLst>
            <a:ext uri="{FF2B5EF4-FFF2-40B4-BE49-F238E27FC236}">
              <a16:creationId xmlns:a16="http://schemas.microsoft.com/office/drawing/2014/main" id="{7D252CA3-6420-4137-9035-6D3B1BE397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3" name="AutoShape 1" descr="Vista previa de toda la pantalla">
          <a:extLst>
            <a:ext uri="{FF2B5EF4-FFF2-40B4-BE49-F238E27FC236}">
              <a16:creationId xmlns:a16="http://schemas.microsoft.com/office/drawing/2014/main" id="{096FC337-7A87-477C-84E0-2FC6E3AB82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4" name="AutoShape 1" descr="Vista previa de toda la pantalla">
          <a:extLst>
            <a:ext uri="{FF2B5EF4-FFF2-40B4-BE49-F238E27FC236}">
              <a16:creationId xmlns:a16="http://schemas.microsoft.com/office/drawing/2014/main" id="{D617A4A0-8175-4FAD-A3D6-6F6237EB06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5" name="AutoShape 1" descr="Vista previa de toda la pantalla">
          <a:extLst>
            <a:ext uri="{FF2B5EF4-FFF2-40B4-BE49-F238E27FC236}">
              <a16:creationId xmlns:a16="http://schemas.microsoft.com/office/drawing/2014/main" id="{9A82AFEC-8B5C-4F16-93F6-0ADE59B083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6" name="AutoShape 1" descr="Vista previa de toda la pantalla">
          <a:extLst>
            <a:ext uri="{FF2B5EF4-FFF2-40B4-BE49-F238E27FC236}">
              <a16:creationId xmlns:a16="http://schemas.microsoft.com/office/drawing/2014/main" id="{BC605D2C-D360-4ADA-A917-EC681C1C78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7" name="AutoShape 1" descr="Vista previa de toda la pantalla">
          <a:extLst>
            <a:ext uri="{FF2B5EF4-FFF2-40B4-BE49-F238E27FC236}">
              <a16:creationId xmlns:a16="http://schemas.microsoft.com/office/drawing/2014/main" id="{60AE7015-CABA-456E-9E6F-6A3C8EB224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8" name="AutoShape 1" descr="Vista previa de toda la pantalla">
          <a:extLst>
            <a:ext uri="{FF2B5EF4-FFF2-40B4-BE49-F238E27FC236}">
              <a16:creationId xmlns:a16="http://schemas.microsoft.com/office/drawing/2014/main" id="{D4848823-5E3A-4EA9-9A4C-C2C4A4B329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89" name="AutoShape 1" descr="Vista previa de toda la pantalla">
          <a:extLst>
            <a:ext uri="{FF2B5EF4-FFF2-40B4-BE49-F238E27FC236}">
              <a16:creationId xmlns:a16="http://schemas.microsoft.com/office/drawing/2014/main" id="{1C928C5F-4056-4E2F-B199-DAD0A9BC44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0" name="AutoShape 1" descr="Vista previa de toda la pantalla">
          <a:extLst>
            <a:ext uri="{FF2B5EF4-FFF2-40B4-BE49-F238E27FC236}">
              <a16:creationId xmlns:a16="http://schemas.microsoft.com/office/drawing/2014/main" id="{9879C6D3-3DE0-4A55-97D2-E710508557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1" name="AutoShape 1" descr="Vista previa de toda la pantalla">
          <a:extLst>
            <a:ext uri="{FF2B5EF4-FFF2-40B4-BE49-F238E27FC236}">
              <a16:creationId xmlns:a16="http://schemas.microsoft.com/office/drawing/2014/main" id="{AFDAFEC9-C15F-4971-AF27-38B5BFA570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2" name="AutoShape 1" descr="Vista previa de toda la pantalla">
          <a:extLst>
            <a:ext uri="{FF2B5EF4-FFF2-40B4-BE49-F238E27FC236}">
              <a16:creationId xmlns:a16="http://schemas.microsoft.com/office/drawing/2014/main" id="{03C44739-52A9-4A8A-8BD5-D719CB57F6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3" name="AutoShape 1" descr="Vista previa de toda la pantalla">
          <a:extLst>
            <a:ext uri="{FF2B5EF4-FFF2-40B4-BE49-F238E27FC236}">
              <a16:creationId xmlns:a16="http://schemas.microsoft.com/office/drawing/2014/main" id="{36CDC573-000B-4653-B5D8-83AA120278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4" name="AutoShape 1" descr="Vista previa de toda la pantalla">
          <a:extLst>
            <a:ext uri="{FF2B5EF4-FFF2-40B4-BE49-F238E27FC236}">
              <a16:creationId xmlns:a16="http://schemas.microsoft.com/office/drawing/2014/main" id="{F7830237-B085-4039-8CDB-203DFEBB38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5" name="AutoShape 1" descr="Vista previa de toda la pantalla">
          <a:extLst>
            <a:ext uri="{FF2B5EF4-FFF2-40B4-BE49-F238E27FC236}">
              <a16:creationId xmlns:a16="http://schemas.microsoft.com/office/drawing/2014/main" id="{F81BDE8A-659E-4E1D-A6C6-732D13C6FF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6" name="AutoShape 1" descr="Vista previa de toda la pantalla">
          <a:extLst>
            <a:ext uri="{FF2B5EF4-FFF2-40B4-BE49-F238E27FC236}">
              <a16:creationId xmlns:a16="http://schemas.microsoft.com/office/drawing/2014/main" id="{9912644E-9B6E-4624-881C-CA4AB22851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7" name="AutoShape 1" descr="Vista previa de toda la pantalla">
          <a:extLst>
            <a:ext uri="{FF2B5EF4-FFF2-40B4-BE49-F238E27FC236}">
              <a16:creationId xmlns:a16="http://schemas.microsoft.com/office/drawing/2014/main" id="{1F128A8C-7ACD-441C-A5FB-0C1FAF9900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8" name="AutoShape 1" descr="Vista previa de toda la pantalla">
          <a:extLst>
            <a:ext uri="{FF2B5EF4-FFF2-40B4-BE49-F238E27FC236}">
              <a16:creationId xmlns:a16="http://schemas.microsoft.com/office/drawing/2014/main" id="{49F13D82-BDBF-4C20-AF60-E2912229D8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299" name="AutoShape 1" descr="Vista previa de toda la pantalla">
          <a:extLst>
            <a:ext uri="{FF2B5EF4-FFF2-40B4-BE49-F238E27FC236}">
              <a16:creationId xmlns:a16="http://schemas.microsoft.com/office/drawing/2014/main" id="{85C13F8E-219D-4B71-9494-D8247D1ACF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0" name="AutoShape 1" descr="Vista previa de toda la pantalla">
          <a:extLst>
            <a:ext uri="{FF2B5EF4-FFF2-40B4-BE49-F238E27FC236}">
              <a16:creationId xmlns:a16="http://schemas.microsoft.com/office/drawing/2014/main" id="{5FBCB510-4432-44B4-8F01-97A41A93A4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1" name="AutoShape 1" descr="Vista previa de toda la pantalla">
          <a:extLst>
            <a:ext uri="{FF2B5EF4-FFF2-40B4-BE49-F238E27FC236}">
              <a16:creationId xmlns:a16="http://schemas.microsoft.com/office/drawing/2014/main" id="{CF6D86B2-0E69-4E67-8E54-0098765671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2" name="AutoShape 1" descr="Vista previa de toda la pantalla">
          <a:extLst>
            <a:ext uri="{FF2B5EF4-FFF2-40B4-BE49-F238E27FC236}">
              <a16:creationId xmlns:a16="http://schemas.microsoft.com/office/drawing/2014/main" id="{2B5C29BA-D4F2-430E-A83A-19A81DC19F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3" name="AutoShape 1" descr="Vista previa de toda la pantalla">
          <a:extLst>
            <a:ext uri="{FF2B5EF4-FFF2-40B4-BE49-F238E27FC236}">
              <a16:creationId xmlns:a16="http://schemas.microsoft.com/office/drawing/2014/main" id="{4803C036-2CBC-4CB3-9023-4AF44F73EC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4" name="AutoShape 1" descr="Vista previa de toda la pantalla">
          <a:extLst>
            <a:ext uri="{FF2B5EF4-FFF2-40B4-BE49-F238E27FC236}">
              <a16:creationId xmlns:a16="http://schemas.microsoft.com/office/drawing/2014/main" id="{EFF9A3E4-98DB-40FA-A667-9952F77B3D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5" name="AutoShape 1" descr="Vista previa de toda la pantalla">
          <a:extLst>
            <a:ext uri="{FF2B5EF4-FFF2-40B4-BE49-F238E27FC236}">
              <a16:creationId xmlns:a16="http://schemas.microsoft.com/office/drawing/2014/main" id="{2AF1594D-D457-4CB9-91D8-7144C6E13D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6" name="AutoShape 1" descr="Vista previa de toda la pantalla">
          <a:extLst>
            <a:ext uri="{FF2B5EF4-FFF2-40B4-BE49-F238E27FC236}">
              <a16:creationId xmlns:a16="http://schemas.microsoft.com/office/drawing/2014/main" id="{91495BA2-BC5D-482E-A414-E4B42E3347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7" name="AutoShape 1" descr="Vista previa de toda la pantalla">
          <a:extLst>
            <a:ext uri="{FF2B5EF4-FFF2-40B4-BE49-F238E27FC236}">
              <a16:creationId xmlns:a16="http://schemas.microsoft.com/office/drawing/2014/main" id="{82F92B47-85C0-4DC9-92E4-0E7BF91830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8" name="AutoShape 1" descr="Vista previa de toda la pantalla">
          <a:extLst>
            <a:ext uri="{FF2B5EF4-FFF2-40B4-BE49-F238E27FC236}">
              <a16:creationId xmlns:a16="http://schemas.microsoft.com/office/drawing/2014/main" id="{50BD8F01-F695-4F09-B34F-6764BADB7A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09" name="AutoShape 1" descr="Vista previa de toda la pantalla">
          <a:extLst>
            <a:ext uri="{FF2B5EF4-FFF2-40B4-BE49-F238E27FC236}">
              <a16:creationId xmlns:a16="http://schemas.microsoft.com/office/drawing/2014/main" id="{24986FEA-BF76-4910-A2C8-40AEC0F6C5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0" name="AutoShape 1" descr="Vista previa de toda la pantalla">
          <a:extLst>
            <a:ext uri="{FF2B5EF4-FFF2-40B4-BE49-F238E27FC236}">
              <a16:creationId xmlns:a16="http://schemas.microsoft.com/office/drawing/2014/main" id="{86FF2443-CD02-4313-B1D7-7EDA937B43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1" name="AutoShape 1" descr="Vista previa de toda la pantalla">
          <a:extLst>
            <a:ext uri="{FF2B5EF4-FFF2-40B4-BE49-F238E27FC236}">
              <a16:creationId xmlns:a16="http://schemas.microsoft.com/office/drawing/2014/main" id="{107627F9-4A52-4C7E-8168-D8D6EF9CF3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2" name="AutoShape 1" descr="Vista previa de toda la pantalla">
          <a:extLst>
            <a:ext uri="{FF2B5EF4-FFF2-40B4-BE49-F238E27FC236}">
              <a16:creationId xmlns:a16="http://schemas.microsoft.com/office/drawing/2014/main" id="{C9A1D40A-F465-4B25-BDB2-0B84BBD679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3" name="AutoShape 1" descr="Vista previa de toda la pantalla">
          <a:extLst>
            <a:ext uri="{FF2B5EF4-FFF2-40B4-BE49-F238E27FC236}">
              <a16:creationId xmlns:a16="http://schemas.microsoft.com/office/drawing/2014/main" id="{4ED9F347-CD43-4CA5-ADB1-806371A612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4" name="AutoShape 1" descr="Vista previa de toda la pantalla">
          <a:extLst>
            <a:ext uri="{FF2B5EF4-FFF2-40B4-BE49-F238E27FC236}">
              <a16:creationId xmlns:a16="http://schemas.microsoft.com/office/drawing/2014/main" id="{AF0A26DC-9929-4C1B-A956-F09385D532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5" name="AutoShape 1" descr="Vista previa de toda la pantalla">
          <a:extLst>
            <a:ext uri="{FF2B5EF4-FFF2-40B4-BE49-F238E27FC236}">
              <a16:creationId xmlns:a16="http://schemas.microsoft.com/office/drawing/2014/main" id="{8DB04C82-F996-46F7-AE4E-68315A539B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6" name="AutoShape 1" descr="Vista previa de toda la pantalla">
          <a:extLst>
            <a:ext uri="{FF2B5EF4-FFF2-40B4-BE49-F238E27FC236}">
              <a16:creationId xmlns:a16="http://schemas.microsoft.com/office/drawing/2014/main" id="{60485568-33EA-4D49-BCFE-A3C4D3A45B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7" name="AutoShape 1" descr="Vista previa de toda la pantalla">
          <a:extLst>
            <a:ext uri="{FF2B5EF4-FFF2-40B4-BE49-F238E27FC236}">
              <a16:creationId xmlns:a16="http://schemas.microsoft.com/office/drawing/2014/main" id="{846B3A56-30D6-4A8D-9763-F6C9D5B01F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8" name="AutoShape 1" descr="Vista previa de toda la pantalla">
          <a:extLst>
            <a:ext uri="{FF2B5EF4-FFF2-40B4-BE49-F238E27FC236}">
              <a16:creationId xmlns:a16="http://schemas.microsoft.com/office/drawing/2014/main" id="{EC017318-9103-4E00-9173-18FFA2E884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19" name="AutoShape 1" descr="Vista previa de toda la pantalla">
          <a:extLst>
            <a:ext uri="{FF2B5EF4-FFF2-40B4-BE49-F238E27FC236}">
              <a16:creationId xmlns:a16="http://schemas.microsoft.com/office/drawing/2014/main" id="{DE747C44-AA32-4247-960B-25609479E9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0" name="AutoShape 1" descr="Vista previa de toda la pantalla">
          <a:extLst>
            <a:ext uri="{FF2B5EF4-FFF2-40B4-BE49-F238E27FC236}">
              <a16:creationId xmlns:a16="http://schemas.microsoft.com/office/drawing/2014/main" id="{42546349-616B-4C85-AF29-31C16E9BC3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1" name="AutoShape 1" descr="Vista previa de toda la pantalla">
          <a:extLst>
            <a:ext uri="{FF2B5EF4-FFF2-40B4-BE49-F238E27FC236}">
              <a16:creationId xmlns:a16="http://schemas.microsoft.com/office/drawing/2014/main" id="{3CBD93D8-F50C-42A1-9395-C48EBD6E70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2" name="AutoShape 1" descr="Vista previa de toda la pantalla">
          <a:extLst>
            <a:ext uri="{FF2B5EF4-FFF2-40B4-BE49-F238E27FC236}">
              <a16:creationId xmlns:a16="http://schemas.microsoft.com/office/drawing/2014/main" id="{56E34BF1-A6C2-4089-9FD1-BD6FB770BB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3" name="AutoShape 1" descr="Vista previa de toda la pantalla">
          <a:extLst>
            <a:ext uri="{FF2B5EF4-FFF2-40B4-BE49-F238E27FC236}">
              <a16:creationId xmlns:a16="http://schemas.microsoft.com/office/drawing/2014/main" id="{9BB94663-AA94-4D63-A0C4-E3914A9DF7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4" name="AutoShape 1" descr="Vista previa de toda la pantalla">
          <a:extLst>
            <a:ext uri="{FF2B5EF4-FFF2-40B4-BE49-F238E27FC236}">
              <a16:creationId xmlns:a16="http://schemas.microsoft.com/office/drawing/2014/main" id="{8694AD2D-6982-4056-9887-0FB84879E9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5" name="AutoShape 1" descr="Vista previa de toda la pantalla">
          <a:extLst>
            <a:ext uri="{FF2B5EF4-FFF2-40B4-BE49-F238E27FC236}">
              <a16:creationId xmlns:a16="http://schemas.microsoft.com/office/drawing/2014/main" id="{B1276D67-F846-4B60-A8D7-F384E957D6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6" name="AutoShape 1" descr="Vista previa de toda la pantalla">
          <a:extLst>
            <a:ext uri="{FF2B5EF4-FFF2-40B4-BE49-F238E27FC236}">
              <a16:creationId xmlns:a16="http://schemas.microsoft.com/office/drawing/2014/main" id="{88809688-94CF-4592-9D33-5C24DB16EA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7" name="AutoShape 1" descr="Vista previa de toda la pantalla">
          <a:extLst>
            <a:ext uri="{FF2B5EF4-FFF2-40B4-BE49-F238E27FC236}">
              <a16:creationId xmlns:a16="http://schemas.microsoft.com/office/drawing/2014/main" id="{0AAB610F-2A4A-402F-B500-7708FFB07F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8" name="AutoShape 1" descr="Vista previa de toda la pantalla">
          <a:extLst>
            <a:ext uri="{FF2B5EF4-FFF2-40B4-BE49-F238E27FC236}">
              <a16:creationId xmlns:a16="http://schemas.microsoft.com/office/drawing/2014/main" id="{65E3AF53-0892-470C-81DC-2CC2EF2407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29" name="AutoShape 1" descr="Vista previa de toda la pantalla">
          <a:extLst>
            <a:ext uri="{FF2B5EF4-FFF2-40B4-BE49-F238E27FC236}">
              <a16:creationId xmlns:a16="http://schemas.microsoft.com/office/drawing/2014/main" id="{BD25DB9F-700C-4CBC-B1DB-CD42101744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0" name="AutoShape 1" descr="Vista previa de toda la pantalla">
          <a:extLst>
            <a:ext uri="{FF2B5EF4-FFF2-40B4-BE49-F238E27FC236}">
              <a16:creationId xmlns:a16="http://schemas.microsoft.com/office/drawing/2014/main" id="{53F4A992-4107-449A-8C8C-2DC5774857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1" name="AutoShape 1" descr="Vista previa de toda la pantalla">
          <a:extLst>
            <a:ext uri="{FF2B5EF4-FFF2-40B4-BE49-F238E27FC236}">
              <a16:creationId xmlns:a16="http://schemas.microsoft.com/office/drawing/2014/main" id="{D40153B4-65CC-410C-9B5E-D77B0ACE62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2" name="AutoShape 1" descr="Vista previa de toda la pantalla">
          <a:extLst>
            <a:ext uri="{FF2B5EF4-FFF2-40B4-BE49-F238E27FC236}">
              <a16:creationId xmlns:a16="http://schemas.microsoft.com/office/drawing/2014/main" id="{0674C820-A2BF-45EF-93C5-606215459C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3" name="AutoShape 1" descr="Vista previa de toda la pantalla">
          <a:extLst>
            <a:ext uri="{FF2B5EF4-FFF2-40B4-BE49-F238E27FC236}">
              <a16:creationId xmlns:a16="http://schemas.microsoft.com/office/drawing/2014/main" id="{9E23A950-9410-4670-91A7-8358F3FC97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4" name="AutoShape 1" descr="Vista previa de toda la pantalla">
          <a:extLst>
            <a:ext uri="{FF2B5EF4-FFF2-40B4-BE49-F238E27FC236}">
              <a16:creationId xmlns:a16="http://schemas.microsoft.com/office/drawing/2014/main" id="{4BC2A2B6-369A-4AC4-BD34-6AB9F463E9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5" name="AutoShape 1" descr="Vista previa de toda la pantalla">
          <a:extLst>
            <a:ext uri="{FF2B5EF4-FFF2-40B4-BE49-F238E27FC236}">
              <a16:creationId xmlns:a16="http://schemas.microsoft.com/office/drawing/2014/main" id="{84ECF541-A5CD-4E03-8F67-BC7E778653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6" name="AutoShape 1" descr="Vista previa de toda la pantalla">
          <a:extLst>
            <a:ext uri="{FF2B5EF4-FFF2-40B4-BE49-F238E27FC236}">
              <a16:creationId xmlns:a16="http://schemas.microsoft.com/office/drawing/2014/main" id="{4225DC27-8279-49CD-9785-3E7F051C4C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7" name="AutoShape 1" descr="Vista previa de toda la pantalla">
          <a:extLst>
            <a:ext uri="{FF2B5EF4-FFF2-40B4-BE49-F238E27FC236}">
              <a16:creationId xmlns:a16="http://schemas.microsoft.com/office/drawing/2014/main" id="{1FF7C985-6CC8-42DC-AB6E-CDA2FA59EC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8" name="AutoShape 1" descr="Vista previa de toda la pantalla">
          <a:extLst>
            <a:ext uri="{FF2B5EF4-FFF2-40B4-BE49-F238E27FC236}">
              <a16:creationId xmlns:a16="http://schemas.microsoft.com/office/drawing/2014/main" id="{257CA5A1-089B-4AE3-AE1C-3F18903245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39" name="AutoShape 1" descr="Vista previa de toda la pantalla">
          <a:extLst>
            <a:ext uri="{FF2B5EF4-FFF2-40B4-BE49-F238E27FC236}">
              <a16:creationId xmlns:a16="http://schemas.microsoft.com/office/drawing/2014/main" id="{EF345D64-0313-4AD3-9D4C-D53E1D56A3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0" name="AutoShape 1" descr="Vista previa de toda la pantalla">
          <a:extLst>
            <a:ext uri="{FF2B5EF4-FFF2-40B4-BE49-F238E27FC236}">
              <a16:creationId xmlns:a16="http://schemas.microsoft.com/office/drawing/2014/main" id="{1960A4DC-21E0-4348-84E5-87A92798DD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1" name="AutoShape 1" descr="Vista previa de toda la pantalla">
          <a:extLst>
            <a:ext uri="{FF2B5EF4-FFF2-40B4-BE49-F238E27FC236}">
              <a16:creationId xmlns:a16="http://schemas.microsoft.com/office/drawing/2014/main" id="{2E44D397-AFF3-4180-8526-92998369A2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2" name="AutoShape 1" descr="Vista previa de toda la pantalla">
          <a:extLst>
            <a:ext uri="{FF2B5EF4-FFF2-40B4-BE49-F238E27FC236}">
              <a16:creationId xmlns:a16="http://schemas.microsoft.com/office/drawing/2014/main" id="{FB632FBC-5C3E-4FEA-83BC-9E487B28B1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3" name="AutoShape 1" descr="Vista previa de toda la pantalla">
          <a:extLst>
            <a:ext uri="{FF2B5EF4-FFF2-40B4-BE49-F238E27FC236}">
              <a16:creationId xmlns:a16="http://schemas.microsoft.com/office/drawing/2014/main" id="{FFC3A994-6004-41D8-9524-4FC1253162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4" name="AutoShape 1" descr="Vista previa de toda la pantalla">
          <a:extLst>
            <a:ext uri="{FF2B5EF4-FFF2-40B4-BE49-F238E27FC236}">
              <a16:creationId xmlns:a16="http://schemas.microsoft.com/office/drawing/2014/main" id="{EB51A439-EF97-4BD8-8EEB-22057E0F07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5" name="AutoShape 1" descr="Vista previa de toda la pantalla">
          <a:extLst>
            <a:ext uri="{FF2B5EF4-FFF2-40B4-BE49-F238E27FC236}">
              <a16:creationId xmlns:a16="http://schemas.microsoft.com/office/drawing/2014/main" id="{9DB0A750-0A4E-47A0-966D-EE005F6B18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6" name="AutoShape 1" descr="Vista previa de toda la pantalla">
          <a:extLst>
            <a:ext uri="{FF2B5EF4-FFF2-40B4-BE49-F238E27FC236}">
              <a16:creationId xmlns:a16="http://schemas.microsoft.com/office/drawing/2014/main" id="{FE99E98C-C725-483B-9D32-69950C7681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7" name="AutoShape 1" descr="Vista previa de toda la pantalla">
          <a:extLst>
            <a:ext uri="{FF2B5EF4-FFF2-40B4-BE49-F238E27FC236}">
              <a16:creationId xmlns:a16="http://schemas.microsoft.com/office/drawing/2014/main" id="{7CE1FF49-D680-4BD0-8D0D-4D278CF47D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8" name="AutoShape 1" descr="Vista previa de toda la pantalla">
          <a:extLst>
            <a:ext uri="{FF2B5EF4-FFF2-40B4-BE49-F238E27FC236}">
              <a16:creationId xmlns:a16="http://schemas.microsoft.com/office/drawing/2014/main" id="{3519AAA8-E37B-423D-A144-C3B6BE44F1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49" name="AutoShape 1" descr="Vista previa de toda la pantalla">
          <a:extLst>
            <a:ext uri="{FF2B5EF4-FFF2-40B4-BE49-F238E27FC236}">
              <a16:creationId xmlns:a16="http://schemas.microsoft.com/office/drawing/2014/main" id="{263D5AE4-3AFD-40E1-80BC-3E78FDF0ED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0" name="AutoShape 1" descr="Vista previa de toda la pantalla">
          <a:extLst>
            <a:ext uri="{FF2B5EF4-FFF2-40B4-BE49-F238E27FC236}">
              <a16:creationId xmlns:a16="http://schemas.microsoft.com/office/drawing/2014/main" id="{57743790-04EF-4860-86DE-2391FC4A43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1" name="AutoShape 1" descr="Vista previa de toda la pantalla">
          <a:extLst>
            <a:ext uri="{FF2B5EF4-FFF2-40B4-BE49-F238E27FC236}">
              <a16:creationId xmlns:a16="http://schemas.microsoft.com/office/drawing/2014/main" id="{7DE2A82B-07EE-4700-9DC7-E3365ADF85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2" name="AutoShape 1" descr="Vista previa de toda la pantalla">
          <a:extLst>
            <a:ext uri="{FF2B5EF4-FFF2-40B4-BE49-F238E27FC236}">
              <a16:creationId xmlns:a16="http://schemas.microsoft.com/office/drawing/2014/main" id="{9B6778FD-A5A0-497F-A0E3-812FEF9F8D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3" name="AutoShape 1" descr="Vista previa de toda la pantalla">
          <a:extLst>
            <a:ext uri="{FF2B5EF4-FFF2-40B4-BE49-F238E27FC236}">
              <a16:creationId xmlns:a16="http://schemas.microsoft.com/office/drawing/2014/main" id="{25F6D7EB-127B-4A8E-8623-6695709AAB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4" name="AutoShape 1" descr="Vista previa de toda la pantalla">
          <a:extLst>
            <a:ext uri="{FF2B5EF4-FFF2-40B4-BE49-F238E27FC236}">
              <a16:creationId xmlns:a16="http://schemas.microsoft.com/office/drawing/2014/main" id="{29136B83-43EE-479B-A225-50A90FCFFA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5" name="AutoShape 1" descr="Vista previa de toda la pantalla">
          <a:extLst>
            <a:ext uri="{FF2B5EF4-FFF2-40B4-BE49-F238E27FC236}">
              <a16:creationId xmlns:a16="http://schemas.microsoft.com/office/drawing/2014/main" id="{B4C02D30-2262-421B-9E72-13BCD08F46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6" name="AutoShape 1" descr="Vista previa de toda la pantalla">
          <a:extLst>
            <a:ext uri="{FF2B5EF4-FFF2-40B4-BE49-F238E27FC236}">
              <a16:creationId xmlns:a16="http://schemas.microsoft.com/office/drawing/2014/main" id="{38147E8F-64F0-4325-8D35-3A9771608C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7" name="AutoShape 1" descr="Vista previa de toda la pantalla">
          <a:extLst>
            <a:ext uri="{FF2B5EF4-FFF2-40B4-BE49-F238E27FC236}">
              <a16:creationId xmlns:a16="http://schemas.microsoft.com/office/drawing/2014/main" id="{0EFB2B3A-8BBA-4A74-9295-0D54D8C6E4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8" name="AutoShape 1" descr="Vista previa de toda la pantalla">
          <a:extLst>
            <a:ext uri="{FF2B5EF4-FFF2-40B4-BE49-F238E27FC236}">
              <a16:creationId xmlns:a16="http://schemas.microsoft.com/office/drawing/2014/main" id="{6DA3FF65-FEEC-45B5-8AA2-63C5C180BB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59" name="AutoShape 1" descr="Vista previa de toda la pantalla">
          <a:extLst>
            <a:ext uri="{FF2B5EF4-FFF2-40B4-BE49-F238E27FC236}">
              <a16:creationId xmlns:a16="http://schemas.microsoft.com/office/drawing/2014/main" id="{88C5E983-1928-4EC7-98A5-1DE50F066D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60" name="AutoShape 1" descr="Vista previa de toda la pantalla">
          <a:extLst>
            <a:ext uri="{FF2B5EF4-FFF2-40B4-BE49-F238E27FC236}">
              <a16:creationId xmlns:a16="http://schemas.microsoft.com/office/drawing/2014/main" id="{9AD79B43-FB9E-4B44-B545-64E5D2A262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61" name="AutoShape 1" descr="Vista previa de toda la pantalla">
          <a:extLst>
            <a:ext uri="{FF2B5EF4-FFF2-40B4-BE49-F238E27FC236}">
              <a16:creationId xmlns:a16="http://schemas.microsoft.com/office/drawing/2014/main" id="{43CEAE81-F31D-4360-B42C-FF01253E45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62" name="AutoShape 1" descr="Vista previa de toda la pantalla">
          <a:extLst>
            <a:ext uri="{FF2B5EF4-FFF2-40B4-BE49-F238E27FC236}">
              <a16:creationId xmlns:a16="http://schemas.microsoft.com/office/drawing/2014/main" id="{D0B84658-3FEF-4A09-BC69-70F5E792D1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0363" name="AutoShape 1" descr="Vista previa de toda la pantalla">
          <a:extLst>
            <a:ext uri="{FF2B5EF4-FFF2-40B4-BE49-F238E27FC236}">
              <a16:creationId xmlns:a16="http://schemas.microsoft.com/office/drawing/2014/main" id="{938DBF44-D3CA-4822-A820-2CE9A4FFF4F3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64" name="AutoShape 1" descr="Vista previa de toda la pantalla">
          <a:extLst>
            <a:ext uri="{FF2B5EF4-FFF2-40B4-BE49-F238E27FC236}">
              <a16:creationId xmlns:a16="http://schemas.microsoft.com/office/drawing/2014/main" id="{33764EA6-DF7F-4674-9C5E-98C0CB1F36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65" name="AutoShape 1" descr="Vista previa de toda la pantalla">
          <a:extLst>
            <a:ext uri="{FF2B5EF4-FFF2-40B4-BE49-F238E27FC236}">
              <a16:creationId xmlns:a16="http://schemas.microsoft.com/office/drawing/2014/main" id="{ED04FAC8-C22C-419A-B9BE-3E192BEF2F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66" name="AutoShape 1" descr="Vista previa de toda la pantalla">
          <a:extLst>
            <a:ext uri="{FF2B5EF4-FFF2-40B4-BE49-F238E27FC236}">
              <a16:creationId xmlns:a16="http://schemas.microsoft.com/office/drawing/2014/main" id="{D10DDF44-C1F0-4170-B486-53FB7F0C8F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67" name="AutoShape 1" descr="Vista previa de toda la pantalla">
          <a:extLst>
            <a:ext uri="{FF2B5EF4-FFF2-40B4-BE49-F238E27FC236}">
              <a16:creationId xmlns:a16="http://schemas.microsoft.com/office/drawing/2014/main" id="{AF14B24E-5A7B-49E2-A266-F041C115F9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68" name="AutoShape 1" descr="Vista previa de toda la pantalla">
          <a:extLst>
            <a:ext uri="{FF2B5EF4-FFF2-40B4-BE49-F238E27FC236}">
              <a16:creationId xmlns:a16="http://schemas.microsoft.com/office/drawing/2014/main" id="{55539E73-00DB-43C2-82A1-492AFEC9AE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69" name="AutoShape 1" descr="Vista previa de toda la pantalla">
          <a:extLst>
            <a:ext uri="{FF2B5EF4-FFF2-40B4-BE49-F238E27FC236}">
              <a16:creationId xmlns:a16="http://schemas.microsoft.com/office/drawing/2014/main" id="{4543CC1C-CC1E-4013-B7F0-DB37EB1EE8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0" name="AutoShape 1" descr="Vista previa de toda la pantalla">
          <a:extLst>
            <a:ext uri="{FF2B5EF4-FFF2-40B4-BE49-F238E27FC236}">
              <a16:creationId xmlns:a16="http://schemas.microsoft.com/office/drawing/2014/main" id="{00B5DAAB-046D-4081-9C47-A2D9507FB2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1" name="AutoShape 1" descr="Vista previa de toda la pantalla">
          <a:extLst>
            <a:ext uri="{FF2B5EF4-FFF2-40B4-BE49-F238E27FC236}">
              <a16:creationId xmlns:a16="http://schemas.microsoft.com/office/drawing/2014/main" id="{C7575362-C07A-4BE9-972C-3FA75496BD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2" name="AutoShape 1" descr="Vista previa de toda la pantalla">
          <a:extLst>
            <a:ext uri="{FF2B5EF4-FFF2-40B4-BE49-F238E27FC236}">
              <a16:creationId xmlns:a16="http://schemas.microsoft.com/office/drawing/2014/main" id="{C6493293-BC29-4DCB-80E8-36FCAA4A1E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3" name="AutoShape 1" descr="Vista previa de toda la pantalla">
          <a:extLst>
            <a:ext uri="{FF2B5EF4-FFF2-40B4-BE49-F238E27FC236}">
              <a16:creationId xmlns:a16="http://schemas.microsoft.com/office/drawing/2014/main" id="{D95F2C3F-60BA-405F-B8CF-733CCDAE2D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4" name="AutoShape 1" descr="Vista previa de toda la pantalla">
          <a:extLst>
            <a:ext uri="{FF2B5EF4-FFF2-40B4-BE49-F238E27FC236}">
              <a16:creationId xmlns:a16="http://schemas.microsoft.com/office/drawing/2014/main" id="{C158684A-B236-4661-A535-A33B18A0E5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5" name="AutoShape 1" descr="Vista previa de toda la pantalla">
          <a:extLst>
            <a:ext uri="{FF2B5EF4-FFF2-40B4-BE49-F238E27FC236}">
              <a16:creationId xmlns:a16="http://schemas.microsoft.com/office/drawing/2014/main" id="{5A14550B-4487-48B5-A17D-2C6A13911B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6" name="AutoShape 1" descr="Vista previa de toda la pantalla">
          <a:extLst>
            <a:ext uri="{FF2B5EF4-FFF2-40B4-BE49-F238E27FC236}">
              <a16:creationId xmlns:a16="http://schemas.microsoft.com/office/drawing/2014/main" id="{896FE6D2-035C-4970-B13C-C3311A0C05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7" name="AutoShape 1" descr="Vista previa de toda la pantalla">
          <a:extLst>
            <a:ext uri="{FF2B5EF4-FFF2-40B4-BE49-F238E27FC236}">
              <a16:creationId xmlns:a16="http://schemas.microsoft.com/office/drawing/2014/main" id="{DF7E9A43-F14A-498E-A58C-CC405A7B21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8" name="AutoShape 1" descr="Vista previa de toda la pantalla">
          <a:extLst>
            <a:ext uri="{FF2B5EF4-FFF2-40B4-BE49-F238E27FC236}">
              <a16:creationId xmlns:a16="http://schemas.microsoft.com/office/drawing/2014/main" id="{56749094-1777-4472-A429-8CE8CBFBC8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79" name="AutoShape 1" descr="Vista previa de toda la pantalla">
          <a:extLst>
            <a:ext uri="{FF2B5EF4-FFF2-40B4-BE49-F238E27FC236}">
              <a16:creationId xmlns:a16="http://schemas.microsoft.com/office/drawing/2014/main" id="{1BC00D53-8C6F-4424-97E0-9E38520A8A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0" name="AutoShape 1" descr="Vista previa de toda la pantalla">
          <a:extLst>
            <a:ext uri="{FF2B5EF4-FFF2-40B4-BE49-F238E27FC236}">
              <a16:creationId xmlns:a16="http://schemas.microsoft.com/office/drawing/2014/main" id="{00081070-943D-4C0F-8852-66BBC099E7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1" name="AutoShape 1" descr="Vista previa de toda la pantalla">
          <a:extLst>
            <a:ext uri="{FF2B5EF4-FFF2-40B4-BE49-F238E27FC236}">
              <a16:creationId xmlns:a16="http://schemas.microsoft.com/office/drawing/2014/main" id="{7F5D62A9-6153-4500-BC0D-C60001E780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2" name="AutoShape 1" descr="Vista previa de toda la pantalla">
          <a:extLst>
            <a:ext uri="{FF2B5EF4-FFF2-40B4-BE49-F238E27FC236}">
              <a16:creationId xmlns:a16="http://schemas.microsoft.com/office/drawing/2014/main" id="{DB129565-EEC3-49C8-A033-6B14506587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3" name="AutoShape 1" descr="Vista previa de toda la pantalla">
          <a:extLst>
            <a:ext uri="{FF2B5EF4-FFF2-40B4-BE49-F238E27FC236}">
              <a16:creationId xmlns:a16="http://schemas.microsoft.com/office/drawing/2014/main" id="{A970169B-8E05-4911-B77E-5E8AA7F768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4" name="AutoShape 1" descr="Vista previa de toda la pantalla">
          <a:extLst>
            <a:ext uri="{FF2B5EF4-FFF2-40B4-BE49-F238E27FC236}">
              <a16:creationId xmlns:a16="http://schemas.microsoft.com/office/drawing/2014/main" id="{8C30EE1C-B2E0-4E59-A257-BF73E41800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5" name="AutoShape 1" descr="Vista previa de toda la pantalla">
          <a:extLst>
            <a:ext uri="{FF2B5EF4-FFF2-40B4-BE49-F238E27FC236}">
              <a16:creationId xmlns:a16="http://schemas.microsoft.com/office/drawing/2014/main" id="{0A5F240C-C90F-4CEE-A6D5-D80BECA885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6" name="AutoShape 1" descr="Vista previa de toda la pantalla">
          <a:extLst>
            <a:ext uri="{FF2B5EF4-FFF2-40B4-BE49-F238E27FC236}">
              <a16:creationId xmlns:a16="http://schemas.microsoft.com/office/drawing/2014/main" id="{71B00589-E8D2-48DD-A5E9-BDE207CED5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7" name="AutoShape 1" descr="Vista previa de toda la pantalla">
          <a:extLst>
            <a:ext uri="{FF2B5EF4-FFF2-40B4-BE49-F238E27FC236}">
              <a16:creationId xmlns:a16="http://schemas.microsoft.com/office/drawing/2014/main" id="{1F4AB09F-51EB-40D5-AC8E-B897F807BE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8" name="AutoShape 1" descr="Vista previa de toda la pantalla">
          <a:extLst>
            <a:ext uri="{FF2B5EF4-FFF2-40B4-BE49-F238E27FC236}">
              <a16:creationId xmlns:a16="http://schemas.microsoft.com/office/drawing/2014/main" id="{76A88ADA-F350-4DDF-96A3-2C2316609E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89" name="AutoShape 1" descr="Vista previa de toda la pantalla">
          <a:extLst>
            <a:ext uri="{FF2B5EF4-FFF2-40B4-BE49-F238E27FC236}">
              <a16:creationId xmlns:a16="http://schemas.microsoft.com/office/drawing/2014/main" id="{426D300D-9147-47CD-81C9-A9293D3586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0" name="AutoShape 1" descr="Vista previa de toda la pantalla">
          <a:extLst>
            <a:ext uri="{FF2B5EF4-FFF2-40B4-BE49-F238E27FC236}">
              <a16:creationId xmlns:a16="http://schemas.microsoft.com/office/drawing/2014/main" id="{6029B01D-638E-4665-B862-74803CD816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1" name="AutoShape 1" descr="Vista previa de toda la pantalla">
          <a:extLst>
            <a:ext uri="{FF2B5EF4-FFF2-40B4-BE49-F238E27FC236}">
              <a16:creationId xmlns:a16="http://schemas.microsoft.com/office/drawing/2014/main" id="{5897C669-FBAC-4E0B-AFEA-74225642C2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2" name="AutoShape 1" descr="Vista previa de toda la pantalla">
          <a:extLst>
            <a:ext uri="{FF2B5EF4-FFF2-40B4-BE49-F238E27FC236}">
              <a16:creationId xmlns:a16="http://schemas.microsoft.com/office/drawing/2014/main" id="{9BEBDE77-56EB-400C-8C89-67CF2B5563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3" name="AutoShape 1" descr="Vista previa de toda la pantalla">
          <a:extLst>
            <a:ext uri="{FF2B5EF4-FFF2-40B4-BE49-F238E27FC236}">
              <a16:creationId xmlns:a16="http://schemas.microsoft.com/office/drawing/2014/main" id="{4A56A7B0-D321-44A8-8BE0-0311289BFD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4" name="AutoShape 1" descr="Vista previa de toda la pantalla">
          <a:extLst>
            <a:ext uri="{FF2B5EF4-FFF2-40B4-BE49-F238E27FC236}">
              <a16:creationId xmlns:a16="http://schemas.microsoft.com/office/drawing/2014/main" id="{AE980130-1449-4A76-BC84-46C342E65B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5" name="AutoShape 1" descr="Vista previa de toda la pantalla">
          <a:extLst>
            <a:ext uri="{FF2B5EF4-FFF2-40B4-BE49-F238E27FC236}">
              <a16:creationId xmlns:a16="http://schemas.microsoft.com/office/drawing/2014/main" id="{B452BCFD-E1AC-48C3-9CC7-7E92227F85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6" name="AutoShape 1" descr="Vista previa de toda la pantalla">
          <a:extLst>
            <a:ext uri="{FF2B5EF4-FFF2-40B4-BE49-F238E27FC236}">
              <a16:creationId xmlns:a16="http://schemas.microsoft.com/office/drawing/2014/main" id="{BB3CDE54-1FF6-44C3-A465-CCFFB763D8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7" name="AutoShape 1" descr="Vista previa de toda la pantalla">
          <a:extLst>
            <a:ext uri="{FF2B5EF4-FFF2-40B4-BE49-F238E27FC236}">
              <a16:creationId xmlns:a16="http://schemas.microsoft.com/office/drawing/2014/main" id="{63AFD62A-6F72-4EA9-8C9A-06A45752A6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8" name="AutoShape 1" descr="Vista previa de toda la pantalla">
          <a:extLst>
            <a:ext uri="{FF2B5EF4-FFF2-40B4-BE49-F238E27FC236}">
              <a16:creationId xmlns:a16="http://schemas.microsoft.com/office/drawing/2014/main" id="{8F079393-747F-4446-869A-22B21B07A5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399" name="AutoShape 1" descr="Vista previa de toda la pantalla">
          <a:extLst>
            <a:ext uri="{FF2B5EF4-FFF2-40B4-BE49-F238E27FC236}">
              <a16:creationId xmlns:a16="http://schemas.microsoft.com/office/drawing/2014/main" id="{8337423F-31D8-4786-88E1-89243B1DA7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0" name="AutoShape 1" descr="Vista previa de toda la pantalla">
          <a:extLst>
            <a:ext uri="{FF2B5EF4-FFF2-40B4-BE49-F238E27FC236}">
              <a16:creationId xmlns:a16="http://schemas.microsoft.com/office/drawing/2014/main" id="{6A69D326-97A6-4291-A7EE-83B841F16C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1" name="AutoShape 1" descr="Vista previa de toda la pantalla">
          <a:extLst>
            <a:ext uri="{FF2B5EF4-FFF2-40B4-BE49-F238E27FC236}">
              <a16:creationId xmlns:a16="http://schemas.microsoft.com/office/drawing/2014/main" id="{F10FF4B5-6C72-43C3-97ED-6587419E2E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2" name="AutoShape 1" descr="Vista previa de toda la pantalla">
          <a:extLst>
            <a:ext uri="{FF2B5EF4-FFF2-40B4-BE49-F238E27FC236}">
              <a16:creationId xmlns:a16="http://schemas.microsoft.com/office/drawing/2014/main" id="{64C4E828-DF54-4B67-BD7B-362E7726AE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3" name="AutoShape 1" descr="Vista previa de toda la pantalla">
          <a:extLst>
            <a:ext uri="{FF2B5EF4-FFF2-40B4-BE49-F238E27FC236}">
              <a16:creationId xmlns:a16="http://schemas.microsoft.com/office/drawing/2014/main" id="{BB201D65-1663-4485-94E6-91BF5596C3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4" name="AutoShape 1" descr="Vista previa de toda la pantalla">
          <a:extLst>
            <a:ext uri="{FF2B5EF4-FFF2-40B4-BE49-F238E27FC236}">
              <a16:creationId xmlns:a16="http://schemas.microsoft.com/office/drawing/2014/main" id="{3B3797A7-6962-4CD3-BBFE-2D0BE6AD14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5" name="AutoShape 1" descr="Vista previa de toda la pantalla">
          <a:extLst>
            <a:ext uri="{FF2B5EF4-FFF2-40B4-BE49-F238E27FC236}">
              <a16:creationId xmlns:a16="http://schemas.microsoft.com/office/drawing/2014/main" id="{4DCCDF8D-FA64-495C-9DE4-45898F88D4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6" name="AutoShape 1" descr="Vista previa de toda la pantalla">
          <a:extLst>
            <a:ext uri="{FF2B5EF4-FFF2-40B4-BE49-F238E27FC236}">
              <a16:creationId xmlns:a16="http://schemas.microsoft.com/office/drawing/2014/main" id="{89F1CA70-B9EC-43A8-98EF-DABA1D1C54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7" name="AutoShape 1" descr="Vista previa de toda la pantalla">
          <a:extLst>
            <a:ext uri="{FF2B5EF4-FFF2-40B4-BE49-F238E27FC236}">
              <a16:creationId xmlns:a16="http://schemas.microsoft.com/office/drawing/2014/main" id="{CA2737CD-1CA5-459C-86C8-C74B4FA073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8" name="AutoShape 1" descr="Vista previa de toda la pantalla">
          <a:extLst>
            <a:ext uri="{FF2B5EF4-FFF2-40B4-BE49-F238E27FC236}">
              <a16:creationId xmlns:a16="http://schemas.microsoft.com/office/drawing/2014/main" id="{5775D07C-F483-400D-9645-410650A093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09" name="AutoShape 1" descr="Vista previa de toda la pantalla">
          <a:extLst>
            <a:ext uri="{FF2B5EF4-FFF2-40B4-BE49-F238E27FC236}">
              <a16:creationId xmlns:a16="http://schemas.microsoft.com/office/drawing/2014/main" id="{3B2F8EBA-2659-43CD-ADC1-EF9B4B7375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0" name="AutoShape 1" descr="Vista previa de toda la pantalla">
          <a:extLst>
            <a:ext uri="{FF2B5EF4-FFF2-40B4-BE49-F238E27FC236}">
              <a16:creationId xmlns:a16="http://schemas.microsoft.com/office/drawing/2014/main" id="{09BD0C7F-CEA8-40D0-A551-3F402940DD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1" name="AutoShape 1" descr="Vista previa de toda la pantalla">
          <a:extLst>
            <a:ext uri="{FF2B5EF4-FFF2-40B4-BE49-F238E27FC236}">
              <a16:creationId xmlns:a16="http://schemas.microsoft.com/office/drawing/2014/main" id="{3368B944-AD79-425A-8324-89C27F8937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2" name="AutoShape 1" descr="Vista previa de toda la pantalla">
          <a:extLst>
            <a:ext uri="{FF2B5EF4-FFF2-40B4-BE49-F238E27FC236}">
              <a16:creationId xmlns:a16="http://schemas.microsoft.com/office/drawing/2014/main" id="{9BD9ACBB-B1A2-4E2E-9D09-2A1834AEC0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3" name="AutoShape 1" descr="Vista previa de toda la pantalla">
          <a:extLst>
            <a:ext uri="{FF2B5EF4-FFF2-40B4-BE49-F238E27FC236}">
              <a16:creationId xmlns:a16="http://schemas.microsoft.com/office/drawing/2014/main" id="{FBCF3E95-479E-43A7-AC8E-EB6EC16588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4" name="AutoShape 1" descr="Vista previa de toda la pantalla">
          <a:extLst>
            <a:ext uri="{FF2B5EF4-FFF2-40B4-BE49-F238E27FC236}">
              <a16:creationId xmlns:a16="http://schemas.microsoft.com/office/drawing/2014/main" id="{87DAFB0A-6D77-430E-B606-CCA11486FC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5" name="AutoShape 1" descr="Vista previa de toda la pantalla">
          <a:extLst>
            <a:ext uri="{FF2B5EF4-FFF2-40B4-BE49-F238E27FC236}">
              <a16:creationId xmlns:a16="http://schemas.microsoft.com/office/drawing/2014/main" id="{5F097E17-9E28-4E45-A25A-374720762D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6" name="AutoShape 1" descr="Vista previa de toda la pantalla">
          <a:extLst>
            <a:ext uri="{FF2B5EF4-FFF2-40B4-BE49-F238E27FC236}">
              <a16:creationId xmlns:a16="http://schemas.microsoft.com/office/drawing/2014/main" id="{E59D162B-C848-4FB7-9518-13645EBAF1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7" name="AutoShape 1" descr="Vista previa de toda la pantalla">
          <a:extLst>
            <a:ext uri="{FF2B5EF4-FFF2-40B4-BE49-F238E27FC236}">
              <a16:creationId xmlns:a16="http://schemas.microsoft.com/office/drawing/2014/main" id="{2A836563-E3F0-4E2B-9581-54A3A5495D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8" name="AutoShape 1" descr="Vista previa de toda la pantalla">
          <a:extLst>
            <a:ext uri="{FF2B5EF4-FFF2-40B4-BE49-F238E27FC236}">
              <a16:creationId xmlns:a16="http://schemas.microsoft.com/office/drawing/2014/main" id="{A440592A-7106-496D-AED4-0679BD0F71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19" name="AutoShape 1" descr="Vista previa de toda la pantalla">
          <a:extLst>
            <a:ext uri="{FF2B5EF4-FFF2-40B4-BE49-F238E27FC236}">
              <a16:creationId xmlns:a16="http://schemas.microsoft.com/office/drawing/2014/main" id="{078FD2A8-CCF1-42EC-959B-3D6468743D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0" name="AutoShape 1" descr="Vista previa de toda la pantalla">
          <a:extLst>
            <a:ext uri="{FF2B5EF4-FFF2-40B4-BE49-F238E27FC236}">
              <a16:creationId xmlns:a16="http://schemas.microsoft.com/office/drawing/2014/main" id="{118FFB26-7AC1-4CC9-9BED-274C78180E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1" name="AutoShape 1" descr="Vista previa de toda la pantalla">
          <a:extLst>
            <a:ext uri="{FF2B5EF4-FFF2-40B4-BE49-F238E27FC236}">
              <a16:creationId xmlns:a16="http://schemas.microsoft.com/office/drawing/2014/main" id="{24E1C1FD-F1C8-4F9E-A6AE-2D7953BBB6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2" name="AutoShape 1" descr="Vista previa de toda la pantalla">
          <a:extLst>
            <a:ext uri="{FF2B5EF4-FFF2-40B4-BE49-F238E27FC236}">
              <a16:creationId xmlns:a16="http://schemas.microsoft.com/office/drawing/2014/main" id="{BA3853FB-FF2F-489A-BD74-C21FB4568E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3" name="AutoShape 1" descr="Vista previa de toda la pantalla">
          <a:extLst>
            <a:ext uri="{FF2B5EF4-FFF2-40B4-BE49-F238E27FC236}">
              <a16:creationId xmlns:a16="http://schemas.microsoft.com/office/drawing/2014/main" id="{C6CF6DF3-AF43-413B-8232-05235AF1F9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4" name="AutoShape 1" descr="Vista previa de toda la pantalla">
          <a:extLst>
            <a:ext uri="{FF2B5EF4-FFF2-40B4-BE49-F238E27FC236}">
              <a16:creationId xmlns:a16="http://schemas.microsoft.com/office/drawing/2014/main" id="{209EEDF1-DF59-41C4-A210-2546E36060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5" name="AutoShape 1" descr="Vista previa de toda la pantalla">
          <a:extLst>
            <a:ext uri="{FF2B5EF4-FFF2-40B4-BE49-F238E27FC236}">
              <a16:creationId xmlns:a16="http://schemas.microsoft.com/office/drawing/2014/main" id="{F55C9D0C-A7C3-4AE0-B1DF-13EBD59BC8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6" name="AutoShape 1" descr="Vista previa de toda la pantalla">
          <a:extLst>
            <a:ext uri="{FF2B5EF4-FFF2-40B4-BE49-F238E27FC236}">
              <a16:creationId xmlns:a16="http://schemas.microsoft.com/office/drawing/2014/main" id="{A46CECCE-3BBB-4E6E-9243-605F7FCB09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7" name="AutoShape 1" descr="Vista previa de toda la pantalla">
          <a:extLst>
            <a:ext uri="{FF2B5EF4-FFF2-40B4-BE49-F238E27FC236}">
              <a16:creationId xmlns:a16="http://schemas.microsoft.com/office/drawing/2014/main" id="{CE3259BC-72C9-41B4-8020-6DA6341B33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8" name="AutoShape 1" descr="Vista previa de toda la pantalla">
          <a:extLst>
            <a:ext uri="{FF2B5EF4-FFF2-40B4-BE49-F238E27FC236}">
              <a16:creationId xmlns:a16="http://schemas.microsoft.com/office/drawing/2014/main" id="{31F9ED65-F866-44F5-8E8B-9125F71DC5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29" name="AutoShape 1" descr="Vista previa de toda la pantalla">
          <a:extLst>
            <a:ext uri="{FF2B5EF4-FFF2-40B4-BE49-F238E27FC236}">
              <a16:creationId xmlns:a16="http://schemas.microsoft.com/office/drawing/2014/main" id="{F28A51CF-44DC-44B6-8757-87891DEE20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0" name="AutoShape 1" descr="Vista previa de toda la pantalla">
          <a:extLst>
            <a:ext uri="{FF2B5EF4-FFF2-40B4-BE49-F238E27FC236}">
              <a16:creationId xmlns:a16="http://schemas.microsoft.com/office/drawing/2014/main" id="{78B12D03-24C4-40B0-A8CF-66839CDE1C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1" name="AutoShape 1" descr="Vista previa de toda la pantalla">
          <a:extLst>
            <a:ext uri="{FF2B5EF4-FFF2-40B4-BE49-F238E27FC236}">
              <a16:creationId xmlns:a16="http://schemas.microsoft.com/office/drawing/2014/main" id="{5E1CC47F-F9B6-48CA-B450-C4FCBBA310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2" name="AutoShape 1" descr="Vista previa de toda la pantalla">
          <a:extLst>
            <a:ext uri="{FF2B5EF4-FFF2-40B4-BE49-F238E27FC236}">
              <a16:creationId xmlns:a16="http://schemas.microsoft.com/office/drawing/2014/main" id="{60081858-88D8-4B9C-92E9-EE2F6D2FD9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3" name="AutoShape 1" descr="Vista previa de toda la pantalla">
          <a:extLst>
            <a:ext uri="{FF2B5EF4-FFF2-40B4-BE49-F238E27FC236}">
              <a16:creationId xmlns:a16="http://schemas.microsoft.com/office/drawing/2014/main" id="{30F58467-69C7-48EE-ADDB-12825A4CD7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4" name="AutoShape 1" descr="Vista previa de toda la pantalla">
          <a:extLst>
            <a:ext uri="{FF2B5EF4-FFF2-40B4-BE49-F238E27FC236}">
              <a16:creationId xmlns:a16="http://schemas.microsoft.com/office/drawing/2014/main" id="{D1656AB1-004E-4B17-898E-5D44B9A3A9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5" name="AutoShape 1" descr="Vista previa de toda la pantalla">
          <a:extLst>
            <a:ext uri="{FF2B5EF4-FFF2-40B4-BE49-F238E27FC236}">
              <a16:creationId xmlns:a16="http://schemas.microsoft.com/office/drawing/2014/main" id="{1F7910F2-BF76-46EB-902D-5D4D03ECF6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6" name="AutoShape 1" descr="Vista previa de toda la pantalla">
          <a:extLst>
            <a:ext uri="{FF2B5EF4-FFF2-40B4-BE49-F238E27FC236}">
              <a16:creationId xmlns:a16="http://schemas.microsoft.com/office/drawing/2014/main" id="{A9F4446A-C266-4E50-82D4-20E86FED44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7" name="AutoShape 1" descr="Vista previa de toda la pantalla">
          <a:extLst>
            <a:ext uri="{FF2B5EF4-FFF2-40B4-BE49-F238E27FC236}">
              <a16:creationId xmlns:a16="http://schemas.microsoft.com/office/drawing/2014/main" id="{7271DEAE-B667-43CE-B71D-E0A3FE5E82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8" name="AutoShape 1" descr="Vista previa de toda la pantalla">
          <a:extLst>
            <a:ext uri="{FF2B5EF4-FFF2-40B4-BE49-F238E27FC236}">
              <a16:creationId xmlns:a16="http://schemas.microsoft.com/office/drawing/2014/main" id="{426076ED-DAC0-47ED-81D4-6000C1C30E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39" name="AutoShape 1" descr="Vista previa de toda la pantalla">
          <a:extLst>
            <a:ext uri="{FF2B5EF4-FFF2-40B4-BE49-F238E27FC236}">
              <a16:creationId xmlns:a16="http://schemas.microsoft.com/office/drawing/2014/main" id="{ED85EF1E-22CA-4FF3-9B6A-8A15754AE8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0" name="AutoShape 1" descr="Vista previa de toda la pantalla">
          <a:extLst>
            <a:ext uri="{FF2B5EF4-FFF2-40B4-BE49-F238E27FC236}">
              <a16:creationId xmlns:a16="http://schemas.microsoft.com/office/drawing/2014/main" id="{13FC24DC-3F62-4A1B-AA8B-3293944B3D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1" name="AutoShape 1" descr="Vista previa de toda la pantalla">
          <a:extLst>
            <a:ext uri="{FF2B5EF4-FFF2-40B4-BE49-F238E27FC236}">
              <a16:creationId xmlns:a16="http://schemas.microsoft.com/office/drawing/2014/main" id="{9C590223-C0D6-4D42-8FDF-E15B6E4596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2" name="AutoShape 1" descr="Vista previa de toda la pantalla">
          <a:extLst>
            <a:ext uri="{FF2B5EF4-FFF2-40B4-BE49-F238E27FC236}">
              <a16:creationId xmlns:a16="http://schemas.microsoft.com/office/drawing/2014/main" id="{AAB228B6-12E3-4323-A8D5-64A5764E89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3" name="AutoShape 1" descr="Vista previa de toda la pantalla">
          <a:extLst>
            <a:ext uri="{FF2B5EF4-FFF2-40B4-BE49-F238E27FC236}">
              <a16:creationId xmlns:a16="http://schemas.microsoft.com/office/drawing/2014/main" id="{7D21CD00-CD80-48E4-9325-2B8B1C4F44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4" name="AutoShape 1" descr="Vista previa de toda la pantalla">
          <a:extLst>
            <a:ext uri="{FF2B5EF4-FFF2-40B4-BE49-F238E27FC236}">
              <a16:creationId xmlns:a16="http://schemas.microsoft.com/office/drawing/2014/main" id="{4CC80C8E-7038-4165-8E2D-C00055E4F4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5" name="AutoShape 1" descr="Vista previa de toda la pantalla">
          <a:extLst>
            <a:ext uri="{FF2B5EF4-FFF2-40B4-BE49-F238E27FC236}">
              <a16:creationId xmlns:a16="http://schemas.microsoft.com/office/drawing/2014/main" id="{6ECA49D7-D6D1-46DE-A023-818C31AE45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6" name="AutoShape 1" descr="Vista previa de toda la pantalla">
          <a:extLst>
            <a:ext uri="{FF2B5EF4-FFF2-40B4-BE49-F238E27FC236}">
              <a16:creationId xmlns:a16="http://schemas.microsoft.com/office/drawing/2014/main" id="{6310789B-C4B2-43E8-9ACE-E04AE5F47B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7" name="AutoShape 1" descr="Vista previa de toda la pantalla">
          <a:extLst>
            <a:ext uri="{FF2B5EF4-FFF2-40B4-BE49-F238E27FC236}">
              <a16:creationId xmlns:a16="http://schemas.microsoft.com/office/drawing/2014/main" id="{7B7AFA3E-A11A-49BC-8654-1931C4E854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8" name="AutoShape 1" descr="Vista previa de toda la pantalla">
          <a:extLst>
            <a:ext uri="{FF2B5EF4-FFF2-40B4-BE49-F238E27FC236}">
              <a16:creationId xmlns:a16="http://schemas.microsoft.com/office/drawing/2014/main" id="{5F9DF4E5-B87D-40B7-BD17-E0A6C3770A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49" name="AutoShape 1" descr="Vista previa de toda la pantalla">
          <a:extLst>
            <a:ext uri="{FF2B5EF4-FFF2-40B4-BE49-F238E27FC236}">
              <a16:creationId xmlns:a16="http://schemas.microsoft.com/office/drawing/2014/main" id="{6373EAA3-6DF1-4581-8550-867DBDD38B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0" name="AutoShape 1" descr="Vista previa de toda la pantalla">
          <a:extLst>
            <a:ext uri="{FF2B5EF4-FFF2-40B4-BE49-F238E27FC236}">
              <a16:creationId xmlns:a16="http://schemas.microsoft.com/office/drawing/2014/main" id="{7B694AD5-8716-4FF8-A6CA-B4405A78AB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1" name="AutoShape 1" descr="Vista previa de toda la pantalla">
          <a:extLst>
            <a:ext uri="{FF2B5EF4-FFF2-40B4-BE49-F238E27FC236}">
              <a16:creationId xmlns:a16="http://schemas.microsoft.com/office/drawing/2014/main" id="{FC7760F6-A36C-445A-8605-CDC36B8EC5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2" name="AutoShape 1" descr="Vista previa de toda la pantalla">
          <a:extLst>
            <a:ext uri="{FF2B5EF4-FFF2-40B4-BE49-F238E27FC236}">
              <a16:creationId xmlns:a16="http://schemas.microsoft.com/office/drawing/2014/main" id="{CC46D6F6-8910-4F10-827B-28E8B4C1CE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3" name="AutoShape 1" descr="Vista previa de toda la pantalla">
          <a:extLst>
            <a:ext uri="{FF2B5EF4-FFF2-40B4-BE49-F238E27FC236}">
              <a16:creationId xmlns:a16="http://schemas.microsoft.com/office/drawing/2014/main" id="{E5AAB1F4-6D83-41A6-BAD8-C1D1622C71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4" name="AutoShape 1" descr="Vista previa de toda la pantalla">
          <a:extLst>
            <a:ext uri="{FF2B5EF4-FFF2-40B4-BE49-F238E27FC236}">
              <a16:creationId xmlns:a16="http://schemas.microsoft.com/office/drawing/2014/main" id="{3E80FE18-A940-4388-B0C5-9F86448476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5" name="AutoShape 1" descr="Vista previa de toda la pantalla">
          <a:extLst>
            <a:ext uri="{FF2B5EF4-FFF2-40B4-BE49-F238E27FC236}">
              <a16:creationId xmlns:a16="http://schemas.microsoft.com/office/drawing/2014/main" id="{4553B51F-A80A-42EF-920A-7DB33B563B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6" name="AutoShape 1" descr="Vista previa de toda la pantalla">
          <a:extLst>
            <a:ext uri="{FF2B5EF4-FFF2-40B4-BE49-F238E27FC236}">
              <a16:creationId xmlns:a16="http://schemas.microsoft.com/office/drawing/2014/main" id="{D5C7158F-0B00-4A69-9D42-584CFE6F11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7" name="AutoShape 1" descr="Vista previa de toda la pantalla">
          <a:extLst>
            <a:ext uri="{FF2B5EF4-FFF2-40B4-BE49-F238E27FC236}">
              <a16:creationId xmlns:a16="http://schemas.microsoft.com/office/drawing/2014/main" id="{88F451BB-9CB1-49E1-8106-6344FAC396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8" name="AutoShape 1" descr="Vista previa de toda la pantalla">
          <a:extLst>
            <a:ext uri="{FF2B5EF4-FFF2-40B4-BE49-F238E27FC236}">
              <a16:creationId xmlns:a16="http://schemas.microsoft.com/office/drawing/2014/main" id="{F02B9B81-0937-470E-B355-7FAB1813CD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59" name="AutoShape 1" descr="Vista previa de toda la pantalla">
          <a:extLst>
            <a:ext uri="{FF2B5EF4-FFF2-40B4-BE49-F238E27FC236}">
              <a16:creationId xmlns:a16="http://schemas.microsoft.com/office/drawing/2014/main" id="{15A2453A-C463-4A64-885E-0BBACF613B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0" name="AutoShape 1" descr="Vista previa de toda la pantalla">
          <a:extLst>
            <a:ext uri="{FF2B5EF4-FFF2-40B4-BE49-F238E27FC236}">
              <a16:creationId xmlns:a16="http://schemas.microsoft.com/office/drawing/2014/main" id="{B91208AF-F5E9-4E93-A87A-5F969D4045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1" name="AutoShape 1" descr="Vista previa de toda la pantalla">
          <a:extLst>
            <a:ext uri="{FF2B5EF4-FFF2-40B4-BE49-F238E27FC236}">
              <a16:creationId xmlns:a16="http://schemas.microsoft.com/office/drawing/2014/main" id="{88D3BA2E-8DAF-4323-AE1D-3D401F4CDF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2" name="AutoShape 1" descr="Vista previa de toda la pantalla">
          <a:extLst>
            <a:ext uri="{FF2B5EF4-FFF2-40B4-BE49-F238E27FC236}">
              <a16:creationId xmlns:a16="http://schemas.microsoft.com/office/drawing/2014/main" id="{89D42E72-31D3-446E-80BE-05465FFA56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3" name="AutoShape 1" descr="Vista previa de toda la pantalla">
          <a:extLst>
            <a:ext uri="{FF2B5EF4-FFF2-40B4-BE49-F238E27FC236}">
              <a16:creationId xmlns:a16="http://schemas.microsoft.com/office/drawing/2014/main" id="{62398F64-4F61-42E6-BFA1-2038743B83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4" name="AutoShape 1" descr="Vista previa de toda la pantalla">
          <a:extLst>
            <a:ext uri="{FF2B5EF4-FFF2-40B4-BE49-F238E27FC236}">
              <a16:creationId xmlns:a16="http://schemas.microsoft.com/office/drawing/2014/main" id="{2FFCD448-4690-4F9A-B9F0-51774C0B88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5" name="AutoShape 1" descr="Vista previa de toda la pantalla">
          <a:extLst>
            <a:ext uri="{FF2B5EF4-FFF2-40B4-BE49-F238E27FC236}">
              <a16:creationId xmlns:a16="http://schemas.microsoft.com/office/drawing/2014/main" id="{5C6D0145-8FE2-44CF-B8C3-BB0665C63E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6" name="AutoShape 1" descr="Vista previa de toda la pantalla">
          <a:extLst>
            <a:ext uri="{FF2B5EF4-FFF2-40B4-BE49-F238E27FC236}">
              <a16:creationId xmlns:a16="http://schemas.microsoft.com/office/drawing/2014/main" id="{D06C2DEC-85CE-41CD-871B-0FF75D1830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7" name="AutoShape 1" descr="Vista previa de toda la pantalla">
          <a:extLst>
            <a:ext uri="{FF2B5EF4-FFF2-40B4-BE49-F238E27FC236}">
              <a16:creationId xmlns:a16="http://schemas.microsoft.com/office/drawing/2014/main" id="{1D283251-47DB-4331-B375-5988ECB83D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8" name="AutoShape 1" descr="Vista previa de toda la pantalla">
          <a:extLst>
            <a:ext uri="{FF2B5EF4-FFF2-40B4-BE49-F238E27FC236}">
              <a16:creationId xmlns:a16="http://schemas.microsoft.com/office/drawing/2014/main" id="{6D386D16-1A89-4508-B7F4-8A85780AA6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69" name="AutoShape 1" descr="Vista previa de toda la pantalla">
          <a:extLst>
            <a:ext uri="{FF2B5EF4-FFF2-40B4-BE49-F238E27FC236}">
              <a16:creationId xmlns:a16="http://schemas.microsoft.com/office/drawing/2014/main" id="{7A9AD50F-C33E-4688-B6C3-9BC6EF3E85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0" name="AutoShape 1" descr="Vista previa de toda la pantalla">
          <a:extLst>
            <a:ext uri="{FF2B5EF4-FFF2-40B4-BE49-F238E27FC236}">
              <a16:creationId xmlns:a16="http://schemas.microsoft.com/office/drawing/2014/main" id="{A1C7A6F6-C79B-4E55-B2AB-81418A453B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1" name="AutoShape 1" descr="Vista previa de toda la pantalla">
          <a:extLst>
            <a:ext uri="{FF2B5EF4-FFF2-40B4-BE49-F238E27FC236}">
              <a16:creationId xmlns:a16="http://schemas.microsoft.com/office/drawing/2014/main" id="{3E9F645E-D8F7-4974-B40B-24C63FE0D6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2" name="AutoShape 1" descr="Vista previa de toda la pantalla">
          <a:extLst>
            <a:ext uri="{FF2B5EF4-FFF2-40B4-BE49-F238E27FC236}">
              <a16:creationId xmlns:a16="http://schemas.microsoft.com/office/drawing/2014/main" id="{4FBDAB46-73D6-4AD6-909E-B14C6B0E36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3" name="AutoShape 1" descr="Vista previa de toda la pantalla">
          <a:extLst>
            <a:ext uri="{FF2B5EF4-FFF2-40B4-BE49-F238E27FC236}">
              <a16:creationId xmlns:a16="http://schemas.microsoft.com/office/drawing/2014/main" id="{BFA6B811-2E35-4B6A-85D7-B9F10CD9C5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4" name="AutoShape 1" descr="Vista previa de toda la pantalla">
          <a:extLst>
            <a:ext uri="{FF2B5EF4-FFF2-40B4-BE49-F238E27FC236}">
              <a16:creationId xmlns:a16="http://schemas.microsoft.com/office/drawing/2014/main" id="{F5424F1A-CF79-41E1-83ED-C29C433109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5" name="AutoShape 1" descr="Vista previa de toda la pantalla">
          <a:extLst>
            <a:ext uri="{FF2B5EF4-FFF2-40B4-BE49-F238E27FC236}">
              <a16:creationId xmlns:a16="http://schemas.microsoft.com/office/drawing/2014/main" id="{9534AE48-0361-468B-B623-C9E285A7ED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6" name="AutoShape 1" descr="Vista previa de toda la pantalla">
          <a:extLst>
            <a:ext uri="{FF2B5EF4-FFF2-40B4-BE49-F238E27FC236}">
              <a16:creationId xmlns:a16="http://schemas.microsoft.com/office/drawing/2014/main" id="{DA6C24CA-E853-4297-B2C9-21D366E311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7" name="AutoShape 1" descr="Vista previa de toda la pantalla">
          <a:extLst>
            <a:ext uri="{FF2B5EF4-FFF2-40B4-BE49-F238E27FC236}">
              <a16:creationId xmlns:a16="http://schemas.microsoft.com/office/drawing/2014/main" id="{8DAFC680-83F9-453C-82E1-B04DB3B5F6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8" name="AutoShape 1" descr="Vista previa de toda la pantalla">
          <a:extLst>
            <a:ext uri="{FF2B5EF4-FFF2-40B4-BE49-F238E27FC236}">
              <a16:creationId xmlns:a16="http://schemas.microsoft.com/office/drawing/2014/main" id="{79561A93-7222-44F5-A263-F0EF565148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79" name="AutoShape 1" descr="Vista previa de toda la pantalla">
          <a:extLst>
            <a:ext uri="{FF2B5EF4-FFF2-40B4-BE49-F238E27FC236}">
              <a16:creationId xmlns:a16="http://schemas.microsoft.com/office/drawing/2014/main" id="{06B34E06-C69A-40B4-8128-9C2A01806D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0" name="AutoShape 1" descr="Vista previa de toda la pantalla">
          <a:extLst>
            <a:ext uri="{FF2B5EF4-FFF2-40B4-BE49-F238E27FC236}">
              <a16:creationId xmlns:a16="http://schemas.microsoft.com/office/drawing/2014/main" id="{A4A71795-7536-4A7A-B321-AAAEB698A2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1" name="AutoShape 1" descr="Vista previa de toda la pantalla">
          <a:extLst>
            <a:ext uri="{FF2B5EF4-FFF2-40B4-BE49-F238E27FC236}">
              <a16:creationId xmlns:a16="http://schemas.microsoft.com/office/drawing/2014/main" id="{F456B541-9013-4BB2-A2A2-B42D8A0A99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2" name="AutoShape 1" descr="Vista previa de toda la pantalla">
          <a:extLst>
            <a:ext uri="{FF2B5EF4-FFF2-40B4-BE49-F238E27FC236}">
              <a16:creationId xmlns:a16="http://schemas.microsoft.com/office/drawing/2014/main" id="{DC2E375D-E6DD-41F9-A802-A928939C70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3" name="AutoShape 1" descr="Vista previa de toda la pantalla">
          <a:extLst>
            <a:ext uri="{FF2B5EF4-FFF2-40B4-BE49-F238E27FC236}">
              <a16:creationId xmlns:a16="http://schemas.microsoft.com/office/drawing/2014/main" id="{0D53ECDC-112E-464A-9802-36D23B66BA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4" name="AutoShape 1" descr="Vista previa de toda la pantalla">
          <a:extLst>
            <a:ext uri="{FF2B5EF4-FFF2-40B4-BE49-F238E27FC236}">
              <a16:creationId xmlns:a16="http://schemas.microsoft.com/office/drawing/2014/main" id="{F3A207CE-1897-4BF6-AB8C-A163C45B31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5" name="AutoShape 1" descr="Vista previa de toda la pantalla">
          <a:extLst>
            <a:ext uri="{FF2B5EF4-FFF2-40B4-BE49-F238E27FC236}">
              <a16:creationId xmlns:a16="http://schemas.microsoft.com/office/drawing/2014/main" id="{48C5A626-AB38-4141-BB6A-895A292FCA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6" name="AutoShape 1" descr="Vista previa de toda la pantalla">
          <a:extLst>
            <a:ext uri="{FF2B5EF4-FFF2-40B4-BE49-F238E27FC236}">
              <a16:creationId xmlns:a16="http://schemas.microsoft.com/office/drawing/2014/main" id="{4F9D648F-2987-4BC9-9D1D-3FFC68B11B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7" name="AutoShape 1" descr="Vista previa de toda la pantalla">
          <a:extLst>
            <a:ext uri="{FF2B5EF4-FFF2-40B4-BE49-F238E27FC236}">
              <a16:creationId xmlns:a16="http://schemas.microsoft.com/office/drawing/2014/main" id="{E7C2A168-342D-4A0F-8BBB-938F124642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8" name="AutoShape 1" descr="Vista previa de toda la pantalla">
          <a:extLst>
            <a:ext uri="{FF2B5EF4-FFF2-40B4-BE49-F238E27FC236}">
              <a16:creationId xmlns:a16="http://schemas.microsoft.com/office/drawing/2014/main" id="{D23954F5-206D-4017-A0B2-26CF4259FF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89" name="AutoShape 1" descr="Vista previa de toda la pantalla">
          <a:extLst>
            <a:ext uri="{FF2B5EF4-FFF2-40B4-BE49-F238E27FC236}">
              <a16:creationId xmlns:a16="http://schemas.microsoft.com/office/drawing/2014/main" id="{33D495AD-0CE1-41EF-B291-6BF373019D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0" name="AutoShape 1" descr="Vista previa de toda la pantalla">
          <a:extLst>
            <a:ext uri="{FF2B5EF4-FFF2-40B4-BE49-F238E27FC236}">
              <a16:creationId xmlns:a16="http://schemas.microsoft.com/office/drawing/2014/main" id="{8F1A38FB-C08E-43FD-A7B3-6A0FE0CD97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1" name="AutoShape 1" descr="Vista previa de toda la pantalla">
          <a:extLst>
            <a:ext uri="{FF2B5EF4-FFF2-40B4-BE49-F238E27FC236}">
              <a16:creationId xmlns:a16="http://schemas.microsoft.com/office/drawing/2014/main" id="{C11B1E51-AAFB-4148-97DA-1F494118D5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2" name="AutoShape 1" descr="Vista previa de toda la pantalla">
          <a:extLst>
            <a:ext uri="{FF2B5EF4-FFF2-40B4-BE49-F238E27FC236}">
              <a16:creationId xmlns:a16="http://schemas.microsoft.com/office/drawing/2014/main" id="{79863A30-0D6C-4AA1-BB91-3C365D0244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3" name="AutoShape 1" descr="Vista previa de toda la pantalla">
          <a:extLst>
            <a:ext uri="{FF2B5EF4-FFF2-40B4-BE49-F238E27FC236}">
              <a16:creationId xmlns:a16="http://schemas.microsoft.com/office/drawing/2014/main" id="{636CC362-DA44-42DB-A319-0B22177DB3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4" name="AutoShape 1" descr="Vista previa de toda la pantalla">
          <a:extLst>
            <a:ext uri="{FF2B5EF4-FFF2-40B4-BE49-F238E27FC236}">
              <a16:creationId xmlns:a16="http://schemas.microsoft.com/office/drawing/2014/main" id="{EC89A7FA-A534-40D4-A1DC-656A994F65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5" name="AutoShape 1" descr="Vista previa de toda la pantalla">
          <a:extLst>
            <a:ext uri="{FF2B5EF4-FFF2-40B4-BE49-F238E27FC236}">
              <a16:creationId xmlns:a16="http://schemas.microsoft.com/office/drawing/2014/main" id="{5D1979BD-61C3-4626-858F-10B78DB799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6" name="AutoShape 1" descr="Vista previa de toda la pantalla">
          <a:extLst>
            <a:ext uri="{FF2B5EF4-FFF2-40B4-BE49-F238E27FC236}">
              <a16:creationId xmlns:a16="http://schemas.microsoft.com/office/drawing/2014/main" id="{21B22F15-F7EF-4AC8-9BC9-8F865CED26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7" name="AutoShape 1" descr="Vista previa de toda la pantalla">
          <a:extLst>
            <a:ext uri="{FF2B5EF4-FFF2-40B4-BE49-F238E27FC236}">
              <a16:creationId xmlns:a16="http://schemas.microsoft.com/office/drawing/2014/main" id="{B50DB58E-93A1-4CD8-8A48-EBD88FF917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8" name="AutoShape 1" descr="Vista previa de toda la pantalla">
          <a:extLst>
            <a:ext uri="{FF2B5EF4-FFF2-40B4-BE49-F238E27FC236}">
              <a16:creationId xmlns:a16="http://schemas.microsoft.com/office/drawing/2014/main" id="{590510C5-4EDD-4613-9A32-A85085A136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499" name="AutoShape 1" descr="Vista previa de toda la pantalla">
          <a:extLst>
            <a:ext uri="{FF2B5EF4-FFF2-40B4-BE49-F238E27FC236}">
              <a16:creationId xmlns:a16="http://schemas.microsoft.com/office/drawing/2014/main" id="{9C6240A0-FAD4-4E28-A651-AC495E3F1D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0" name="AutoShape 1" descr="Vista previa de toda la pantalla">
          <a:extLst>
            <a:ext uri="{FF2B5EF4-FFF2-40B4-BE49-F238E27FC236}">
              <a16:creationId xmlns:a16="http://schemas.microsoft.com/office/drawing/2014/main" id="{5D306E4C-4745-40A6-ABC3-7A0D5F6C83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1" name="AutoShape 1" descr="Vista previa de toda la pantalla">
          <a:extLst>
            <a:ext uri="{FF2B5EF4-FFF2-40B4-BE49-F238E27FC236}">
              <a16:creationId xmlns:a16="http://schemas.microsoft.com/office/drawing/2014/main" id="{F3F83929-877B-4649-8834-5D8B499C14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2" name="AutoShape 1" descr="Vista previa de toda la pantalla">
          <a:extLst>
            <a:ext uri="{FF2B5EF4-FFF2-40B4-BE49-F238E27FC236}">
              <a16:creationId xmlns:a16="http://schemas.microsoft.com/office/drawing/2014/main" id="{D1BB28AD-CE1B-451A-9D51-B18E69E5ED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3" name="AutoShape 1" descr="Vista previa de toda la pantalla">
          <a:extLst>
            <a:ext uri="{FF2B5EF4-FFF2-40B4-BE49-F238E27FC236}">
              <a16:creationId xmlns:a16="http://schemas.microsoft.com/office/drawing/2014/main" id="{B9D64FAA-110C-414A-B732-F632707F67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4" name="AutoShape 1" descr="Vista previa de toda la pantalla">
          <a:extLst>
            <a:ext uri="{FF2B5EF4-FFF2-40B4-BE49-F238E27FC236}">
              <a16:creationId xmlns:a16="http://schemas.microsoft.com/office/drawing/2014/main" id="{40BDC3A0-952E-4E40-AFA1-8E73046A01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5" name="AutoShape 1" descr="Vista previa de toda la pantalla">
          <a:extLst>
            <a:ext uri="{FF2B5EF4-FFF2-40B4-BE49-F238E27FC236}">
              <a16:creationId xmlns:a16="http://schemas.microsoft.com/office/drawing/2014/main" id="{397DBDB9-A0AF-45EA-8569-E585E40C3A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6" name="AutoShape 1" descr="Vista previa de toda la pantalla">
          <a:extLst>
            <a:ext uri="{FF2B5EF4-FFF2-40B4-BE49-F238E27FC236}">
              <a16:creationId xmlns:a16="http://schemas.microsoft.com/office/drawing/2014/main" id="{AC86114A-9F9D-49CD-9D08-018F4F94EC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7" name="AutoShape 1" descr="Vista previa de toda la pantalla">
          <a:extLst>
            <a:ext uri="{FF2B5EF4-FFF2-40B4-BE49-F238E27FC236}">
              <a16:creationId xmlns:a16="http://schemas.microsoft.com/office/drawing/2014/main" id="{4AFE3B6A-A0DB-4566-8F11-E9A409E2FE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8" name="AutoShape 1" descr="Vista previa de toda la pantalla">
          <a:extLst>
            <a:ext uri="{FF2B5EF4-FFF2-40B4-BE49-F238E27FC236}">
              <a16:creationId xmlns:a16="http://schemas.microsoft.com/office/drawing/2014/main" id="{53E9C877-0B72-4C27-A953-C04BDE29FF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09" name="AutoShape 1" descr="Vista previa de toda la pantalla">
          <a:extLst>
            <a:ext uri="{FF2B5EF4-FFF2-40B4-BE49-F238E27FC236}">
              <a16:creationId xmlns:a16="http://schemas.microsoft.com/office/drawing/2014/main" id="{19758E60-1778-4DF1-B300-FC177B5793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0" name="AutoShape 1" descr="Vista previa de toda la pantalla">
          <a:extLst>
            <a:ext uri="{FF2B5EF4-FFF2-40B4-BE49-F238E27FC236}">
              <a16:creationId xmlns:a16="http://schemas.microsoft.com/office/drawing/2014/main" id="{3666F76E-D02C-4C86-B62A-8635AE0E41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1" name="AutoShape 1" descr="Vista previa de toda la pantalla">
          <a:extLst>
            <a:ext uri="{FF2B5EF4-FFF2-40B4-BE49-F238E27FC236}">
              <a16:creationId xmlns:a16="http://schemas.microsoft.com/office/drawing/2014/main" id="{348EF33D-2A74-4F60-9AFE-B569862419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2" name="AutoShape 1" descr="Vista previa de toda la pantalla">
          <a:extLst>
            <a:ext uri="{FF2B5EF4-FFF2-40B4-BE49-F238E27FC236}">
              <a16:creationId xmlns:a16="http://schemas.microsoft.com/office/drawing/2014/main" id="{62BDDC9F-54A4-45F6-B932-7D52C9C211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3" name="AutoShape 1" descr="Vista previa de toda la pantalla">
          <a:extLst>
            <a:ext uri="{FF2B5EF4-FFF2-40B4-BE49-F238E27FC236}">
              <a16:creationId xmlns:a16="http://schemas.microsoft.com/office/drawing/2014/main" id="{1CB4CA17-AEDD-4F20-B2E8-1A38FB4ED5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4" name="AutoShape 1" descr="Vista previa de toda la pantalla">
          <a:extLst>
            <a:ext uri="{FF2B5EF4-FFF2-40B4-BE49-F238E27FC236}">
              <a16:creationId xmlns:a16="http://schemas.microsoft.com/office/drawing/2014/main" id="{03C8480C-B433-4A95-AEC4-D5A71CF72B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5" name="AutoShape 1" descr="Vista previa de toda la pantalla">
          <a:extLst>
            <a:ext uri="{FF2B5EF4-FFF2-40B4-BE49-F238E27FC236}">
              <a16:creationId xmlns:a16="http://schemas.microsoft.com/office/drawing/2014/main" id="{CE470F08-56B7-47BF-A30E-E4EA40144D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6" name="AutoShape 1" descr="Vista previa de toda la pantalla">
          <a:extLst>
            <a:ext uri="{FF2B5EF4-FFF2-40B4-BE49-F238E27FC236}">
              <a16:creationId xmlns:a16="http://schemas.microsoft.com/office/drawing/2014/main" id="{C2FEDC79-9AA0-40FD-8CBA-5586F12113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7" name="AutoShape 1" descr="Vista previa de toda la pantalla">
          <a:extLst>
            <a:ext uri="{FF2B5EF4-FFF2-40B4-BE49-F238E27FC236}">
              <a16:creationId xmlns:a16="http://schemas.microsoft.com/office/drawing/2014/main" id="{9981558F-B1EE-4A19-9DF9-1E2AB6E791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8" name="AutoShape 1" descr="Vista previa de toda la pantalla">
          <a:extLst>
            <a:ext uri="{FF2B5EF4-FFF2-40B4-BE49-F238E27FC236}">
              <a16:creationId xmlns:a16="http://schemas.microsoft.com/office/drawing/2014/main" id="{DD32A4FC-1ACD-4F94-B5AD-3A187220D4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19" name="AutoShape 1" descr="Vista previa de toda la pantalla">
          <a:extLst>
            <a:ext uri="{FF2B5EF4-FFF2-40B4-BE49-F238E27FC236}">
              <a16:creationId xmlns:a16="http://schemas.microsoft.com/office/drawing/2014/main" id="{3CBEBCD4-5517-47B7-9A18-87D141AFBB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0" name="AutoShape 1" descr="Vista previa de toda la pantalla">
          <a:extLst>
            <a:ext uri="{FF2B5EF4-FFF2-40B4-BE49-F238E27FC236}">
              <a16:creationId xmlns:a16="http://schemas.microsoft.com/office/drawing/2014/main" id="{8E4E3863-EF2B-441F-AA0E-FEFF3A45C0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1" name="AutoShape 1" descr="Vista previa de toda la pantalla">
          <a:extLst>
            <a:ext uri="{FF2B5EF4-FFF2-40B4-BE49-F238E27FC236}">
              <a16:creationId xmlns:a16="http://schemas.microsoft.com/office/drawing/2014/main" id="{6E846C60-B6A6-4B57-AEF3-B8D36662B6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2" name="AutoShape 1" descr="Vista previa de toda la pantalla">
          <a:extLst>
            <a:ext uri="{FF2B5EF4-FFF2-40B4-BE49-F238E27FC236}">
              <a16:creationId xmlns:a16="http://schemas.microsoft.com/office/drawing/2014/main" id="{8A920250-8BA9-48C7-868A-FABB13C51C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3" name="AutoShape 1" descr="Vista previa de toda la pantalla">
          <a:extLst>
            <a:ext uri="{FF2B5EF4-FFF2-40B4-BE49-F238E27FC236}">
              <a16:creationId xmlns:a16="http://schemas.microsoft.com/office/drawing/2014/main" id="{66E475F2-54CB-45A2-B21B-04E1C71BBC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4" name="AutoShape 1" descr="Vista previa de toda la pantalla">
          <a:extLst>
            <a:ext uri="{FF2B5EF4-FFF2-40B4-BE49-F238E27FC236}">
              <a16:creationId xmlns:a16="http://schemas.microsoft.com/office/drawing/2014/main" id="{A3D3A5AE-53EE-4363-85C3-E60BA079A6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5" name="AutoShape 1" descr="Vista previa de toda la pantalla">
          <a:extLst>
            <a:ext uri="{FF2B5EF4-FFF2-40B4-BE49-F238E27FC236}">
              <a16:creationId xmlns:a16="http://schemas.microsoft.com/office/drawing/2014/main" id="{AD879823-3A0B-4E91-B1D7-EE587599DC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6" name="AutoShape 1" descr="Vista previa de toda la pantalla">
          <a:extLst>
            <a:ext uri="{FF2B5EF4-FFF2-40B4-BE49-F238E27FC236}">
              <a16:creationId xmlns:a16="http://schemas.microsoft.com/office/drawing/2014/main" id="{1BB1C467-E227-4239-A71F-83EF860687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7" name="AutoShape 1" descr="Vista previa de toda la pantalla">
          <a:extLst>
            <a:ext uri="{FF2B5EF4-FFF2-40B4-BE49-F238E27FC236}">
              <a16:creationId xmlns:a16="http://schemas.microsoft.com/office/drawing/2014/main" id="{23E8EC61-E582-4038-8ACE-F0AAA832B3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8" name="AutoShape 1" descr="Vista previa de toda la pantalla">
          <a:extLst>
            <a:ext uri="{FF2B5EF4-FFF2-40B4-BE49-F238E27FC236}">
              <a16:creationId xmlns:a16="http://schemas.microsoft.com/office/drawing/2014/main" id="{8F813AD3-C5B7-444B-974C-B5F49A82AB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29" name="AutoShape 1" descr="Vista previa de toda la pantalla">
          <a:extLst>
            <a:ext uri="{FF2B5EF4-FFF2-40B4-BE49-F238E27FC236}">
              <a16:creationId xmlns:a16="http://schemas.microsoft.com/office/drawing/2014/main" id="{9BCA53DB-CA54-46DD-9EA4-CF9D0E2DE2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0" name="AutoShape 1" descr="Vista previa de toda la pantalla">
          <a:extLst>
            <a:ext uri="{FF2B5EF4-FFF2-40B4-BE49-F238E27FC236}">
              <a16:creationId xmlns:a16="http://schemas.microsoft.com/office/drawing/2014/main" id="{DADC0934-A3EB-4CB6-A3EE-EE734016F6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1" name="AutoShape 1" descr="Vista previa de toda la pantalla">
          <a:extLst>
            <a:ext uri="{FF2B5EF4-FFF2-40B4-BE49-F238E27FC236}">
              <a16:creationId xmlns:a16="http://schemas.microsoft.com/office/drawing/2014/main" id="{486FFBB2-5954-4C69-A256-FC6014A36F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2" name="AutoShape 1" descr="Vista previa de toda la pantalla">
          <a:extLst>
            <a:ext uri="{FF2B5EF4-FFF2-40B4-BE49-F238E27FC236}">
              <a16:creationId xmlns:a16="http://schemas.microsoft.com/office/drawing/2014/main" id="{2779D003-E80D-49FC-ADF0-D22AB0FC91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3" name="AutoShape 1" descr="Vista previa de toda la pantalla">
          <a:extLst>
            <a:ext uri="{FF2B5EF4-FFF2-40B4-BE49-F238E27FC236}">
              <a16:creationId xmlns:a16="http://schemas.microsoft.com/office/drawing/2014/main" id="{0FC70A2E-3B4E-42FF-A13B-2CD2CFCBA5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4" name="AutoShape 1" descr="Vista previa de toda la pantalla">
          <a:extLst>
            <a:ext uri="{FF2B5EF4-FFF2-40B4-BE49-F238E27FC236}">
              <a16:creationId xmlns:a16="http://schemas.microsoft.com/office/drawing/2014/main" id="{80125ACA-44F2-4BE3-8550-8AD7343AD2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5" name="AutoShape 1" descr="Vista previa de toda la pantalla">
          <a:extLst>
            <a:ext uri="{FF2B5EF4-FFF2-40B4-BE49-F238E27FC236}">
              <a16:creationId xmlns:a16="http://schemas.microsoft.com/office/drawing/2014/main" id="{FC24D076-4513-476B-86BF-B16F65301D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6" name="AutoShape 1" descr="Vista previa de toda la pantalla">
          <a:extLst>
            <a:ext uri="{FF2B5EF4-FFF2-40B4-BE49-F238E27FC236}">
              <a16:creationId xmlns:a16="http://schemas.microsoft.com/office/drawing/2014/main" id="{50DE1DD8-49CB-4423-BE54-5C26EC669C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7" name="AutoShape 1" descr="Vista previa de toda la pantalla">
          <a:extLst>
            <a:ext uri="{FF2B5EF4-FFF2-40B4-BE49-F238E27FC236}">
              <a16:creationId xmlns:a16="http://schemas.microsoft.com/office/drawing/2014/main" id="{C91CCFF6-D63E-42D7-A4C4-ECB8CA0827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8" name="AutoShape 1" descr="Vista previa de toda la pantalla">
          <a:extLst>
            <a:ext uri="{FF2B5EF4-FFF2-40B4-BE49-F238E27FC236}">
              <a16:creationId xmlns:a16="http://schemas.microsoft.com/office/drawing/2014/main" id="{6DA79D7E-A43D-4E7C-B421-4D4E44CF1C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39" name="AutoShape 1" descr="Vista previa de toda la pantalla">
          <a:extLst>
            <a:ext uri="{FF2B5EF4-FFF2-40B4-BE49-F238E27FC236}">
              <a16:creationId xmlns:a16="http://schemas.microsoft.com/office/drawing/2014/main" id="{69CFC522-CEBB-4E74-A617-DFCFC8848E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0" name="AutoShape 1" descr="Vista previa de toda la pantalla">
          <a:extLst>
            <a:ext uri="{FF2B5EF4-FFF2-40B4-BE49-F238E27FC236}">
              <a16:creationId xmlns:a16="http://schemas.microsoft.com/office/drawing/2014/main" id="{C7AD0D3B-353B-4659-AF74-EF6CAA30FA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1" name="AutoShape 1" descr="Vista previa de toda la pantalla">
          <a:extLst>
            <a:ext uri="{FF2B5EF4-FFF2-40B4-BE49-F238E27FC236}">
              <a16:creationId xmlns:a16="http://schemas.microsoft.com/office/drawing/2014/main" id="{D4A44051-7180-4802-9DBE-0C2FC48D1B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2" name="AutoShape 1" descr="Vista previa de toda la pantalla">
          <a:extLst>
            <a:ext uri="{FF2B5EF4-FFF2-40B4-BE49-F238E27FC236}">
              <a16:creationId xmlns:a16="http://schemas.microsoft.com/office/drawing/2014/main" id="{B2FDBC94-16D2-4817-9E5E-BEE4B3F7A1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3" name="AutoShape 1" descr="Vista previa de toda la pantalla">
          <a:extLst>
            <a:ext uri="{FF2B5EF4-FFF2-40B4-BE49-F238E27FC236}">
              <a16:creationId xmlns:a16="http://schemas.microsoft.com/office/drawing/2014/main" id="{5909D45E-63AB-4037-A5EE-6AB8373F38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4" name="AutoShape 1" descr="Vista previa de toda la pantalla">
          <a:extLst>
            <a:ext uri="{FF2B5EF4-FFF2-40B4-BE49-F238E27FC236}">
              <a16:creationId xmlns:a16="http://schemas.microsoft.com/office/drawing/2014/main" id="{C006F72E-199C-40FC-833A-AC771C6310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5" name="AutoShape 1" descr="Vista previa de toda la pantalla">
          <a:extLst>
            <a:ext uri="{FF2B5EF4-FFF2-40B4-BE49-F238E27FC236}">
              <a16:creationId xmlns:a16="http://schemas.microsoft.com/office/drawing/2014/main" id="{CD20E57E-ABE6-42D6-A581-C7F96D17BD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6" name="AutoShape 1" descr="Vista previa de toda la pantalla">
          <a:extLst>
            <a:ext uri="{FF2B5EF4-FFF2-40B4-BE49-F238E27FC236}">
              <a16:creationId xmlns:a16="http://schemas.microsoft.com/office/drawing/2014/main" id="{C26CE61C-F1D5-4FD6-B8EC-3760D1BC5E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7" name="AutoShape 1" descr="Vista previa de toda la pantalla">
          <a:extLst>
            <a:ext uri="{FF2B5EF4-FFF2-40B4-BE49-F238E27FC236}">
              <a16:creationId xmlns:a16="http://schemas.microsoft.com/office/drawing/2014/main" id="{F9C0352F-2144-43BF-B9B2-FAB6F3F298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8" name="AutoShape 1" descr="Vista previa de toda la pantalla">
          <a:extLst>
            <a:ext uri="{FF2B5EF4-FFF2-40B4-BE49-F238E27FC236}">
              <a16:creationId xmlns:a16="http://schemas.microsoft.com/office/drawing/2014/main" id="{6C1B3866-C83A-4C60-92B0-9015CCD9F5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49" name="AutoShape 1" descr="Vista previa de toda la pantalla">
          <a:extLst>
            <a:ext uri="{FF2B5EF4-FFF2-40B4-BE49-F238E27FC236}">
              <a16:creationId xmlns:a16="http://schemas.microsoft.com/office/drawing/2014/main" id="{5B8B343B-03CD-473D-B548-ABB2C163FA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0" name="AutoShape 1" descr="Vista previa de toda la pantalla">
          <a:extLst>
            <a:ext uri="{FF2B5EF4-FFF2-40B4-BE49-F238E27FC236}">
              <a16:creationId xmlns:a16="http://schemas.microsoft.com/office/drawing/2014/main" id="{19A87F4E-BF1C-4D26-BFB9-AF56BFCA32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1" name="AutoShape 1" descr="Vista previa de toda la pantalla">
          <a:extLst>
            <a:ext uri="{FF2B5EF4-FFF2-40B4-BE49-F238E27FC236}">
              <a16:creationId xmlns:a16="http://schemas.microsoft.com/office/drawing/2014/main" id="{86A2AEB7-6F75-4756-A190-B10D0107CE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2" name="AutoShape 1" descr="Vista previa de toda la pantalla">
          <a:extLst>
            <a:ext uri="{FF2B5EF4-FFF2-40B4-BE49-F238E27FC236}">
              <a16:creationId xmlns:a16="http://schemas.microsoft.com/office/drawing/2014/main" id="{E0CF58A7-D231-4487-A0DA-1D155A3EE7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3" name="AutoShape 1" descr="Vista previa de toda la pantalla">
          <a:extLst>
            <a:ext uri="{FF2B5EF4-FFF2-40B4-BE49-F238E27FC236}">
              <a16:creationId xmlns:a16="http://schemas.microsoft.com/office/drawing/2014/main" id="{FE72ADB2-D934-40E9-9BE3-03BC1E9E06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4" name="AutoShape 1" descr="Vista previa de toda la pantalla">
          <a:extLst>
            <a:ext uri="{FF2B5EF4-FFF2-40B4-BE49-F238E27FC236}">
              <a16:creationId xmlns:a16="http://schemas.microsoft.com/office/drawing/2014/main" id="{16C19751-A800-4BB7-8E7E-00A5E779F3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5" name="AutoShape 1" descr="Vista previa de toda la pantalla">
          <a:extLst>
            <a:ext uri="{FF2B5EF4-FFF2-40B4-BE49-F238E27FC236}">
              <a16:creationId xmlns:a16="http://schemas.microsoft.com/office/drawing/2014/main" id="{B455F2ED-7EAB-4056-9BFB-8203A2BC52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6" name="AutoShape 1" descr="Vista previa de toda la pantalla">
          <a:extLst>
            <a:ext uri="{FF2B5EF4-FFF2-40B4-BE49-F238E27FC236}">
              <a16:creationId xmlns:a16="http://schemas.microsoft.com/office/drawing/2014/main" id="{BE443C5A-FCF2-4A34-87F0-C8D2D1A853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7" name="AutoShape 1" descr="Vista previa de toda la pantalla">
          <a:extLst>
            <a:ext uri="{FF2B5EF4-FFF2-40B4-BE49-F238E27FC236}">
              <a16:creationId xmlns:a16="http://schemas.microsoft.com/office/drawing/2014/main" id="{AA35EC8C-E30D-4B42-A1BC-E3CB9F5C2C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8" name="AutoShape 1" descr="Vista previa de toda la pantalla">
          <a:extLst>
            <a:ext uri="{FF2B5EF4-FFF2-40B4-BE49-F238E27FC236}">
              <a16:creationId xmlns:a16="http://schemas.microsoft.com/office/drawing/2014/main" id="{49AEB3DD-F21F-4729-B8F3-5D1624C8DF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59" name="AutoShape 1" descr="Vista previa de toda la pantalla">
          <a:extLst>
            <a:ext uri="{FF2B5EF4-FFF2-40B4-BE49-F238E27FC236}">
              <a16:creationId xmlns:a16="http://schemas.microsoft.com/office/drawing/2014/main" id="{A5762AF5-B91C-49D9-8B2A-80EC7D0DCB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0" name="AutoShape 1" descr="Vista previa de toda la pantalla">
          <a:extLst>
            <a:ext uri="{FF2B5EF4-FFF2-40B4-BE49-F238E27FC236}">
              <a16:creationId xmlns:a16="http://schemas.microsoft.com/office/drawing/2014/main" id="{6520C5C2-9032-40CF-BE1C-5B1953DF26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1" name="AutoShape 1" descr="Vista previa de toda la pantalla">
          <a:extLst>
            <a:ext uri="{FF2B5EF4-FFF2-40B4-BE49-F238E27FC236}">
              <a16:creationId xmlns:a16="http://schemas.microsoft.com/office/drawing/2014/main" id="{C8095E85-9030-4883-AFB3-6735FEB690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2" name="AutoShape 1" descr="Vista previa de toda la pantalla">
          <a:extLst>
            <a:ext uri="{FF2B5EF4-FFF2-40B4-BE49-F238E27FC236}">
              <a16:creationId xmlns:a16="http://schemas.microsoft.com/office/drawing/2014/main" id="{CFB5AE51-C06C-4096-BA73-C1D8F86FA7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3" name="AutoShape 1" descr="Vista previa de toda la pantalla">
          <a:extLst>
            <a:ext uri="{FF2B5EF4-FFF2-40B4-BE49-F238E27FC236}">
              <a16:creationId xmlns:a16="http://schemas.microsoft.com/office/drawing/2014/main" id="{0CA0CC1A-0883-408C-BCAB-8D1F236B74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4" name="AutoShape 1" descr="Vista previa de toda la pantalla">
          <a:extLst>
            <a:ext uri="{FF2B5EF4-FFF2-40B4-BE49-F238E27FC236}">
              <a16:creationId xmlns:a16="http://schemas.microsoft.com/office/drawing/2014/main" id="{7C5CFCE9-2B0A-4D15-8FFC-19D734A574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5" name="AutoShape 1" descr="Vista previa de toda la pantalla">
          <a:extLst>
            <a:ext uri="{FF2B5EF4-FFF2-40B4-BE49-F238E27FC236}">
              <a16:creationId xmlns:a16="http://schemas.microsoft.com/office/drawing/2014/main" id="{B2223EDF-65F1-4C3D-A6A2-041246DF63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6" name="AutoShape 1" descr="Vista previa de toda la pantalla">
          <a:extLst>
            <a:ext uri="{FF2B5EF4-FFF2-40B4-BE49-F238E27FC236}">
              <a16:creationId xmlns:a16="http://schemas.microsoft.com/office/drawing/2014/main" id="{EC9A19E0-2DF6-4230-80FB-A7A0C27AAE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7" name="AutoShape 1" descr="Vista previa de toda la pantalla">
          <a:extLst>
            <a:ext uri="{FF2B5EF4-FFF2-40B4-BE49-F238E27FC236}">
              <a16:creationId xmlns:a16="http://schemas.microsoft.com/office/drawing/2014/main" id="{E2430617-E41E-4DDC-850C-56A9425026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8" name="AutoShape 1" descr="Vista previa de toda la pantalla">
          <a:extLst>
            <a:ext uri="{FF2B5EF4-FFF2-40B4-BE49-F238E27FC236}">
              <a16:creationId xmlns:a16="http://schemas.microsoft.com/office/drawing/2014/main" id="{2E8390A6-1891-412F-8C43-8BE60D289D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69" name="AutoShape 1" descr="Vista previa de toda la pantalla">
          <a:extLst>
            <a:ext uri="{FF2B5EF4-FFF2-40B4-BE49-F238E27FC236}">
              <a16:creationId xmlns:a16="http://schemas.microsoft.com/office/drawing/2014/main" id="{A4D08085-2400-40FB-ADB8-E0BDE00998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0" name="AutoShape 1" descr="Vista previa de toda la pantalla">
          <a:extLst>
            <a:ext uri="{FF2B5EF4-FFF2-40B4-BE49-F238E27FC236}">
              <a16:creationId xmlns:a16="http://schemas.microsoft.com/office/drawing/2014/main" id="{308B151E-AA4C-47BA-AFED-DC9E2F1450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1" name="AutoShape 1" descr="Vista previa de toda la pantalla">
          <a:extLst>
            <a:ext uri="{FF2B5EF4-FFF2-40B4-BE49-F238E27FC236}">
              <a16:creationId xmlns:a16="http://schemas.microsoft.com/office/drawing/2014/main" id="{471AA483-4659-4561-9886-60808C68B3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2" name="AutoShape 1" descr="Vista previa de toda la pantalla">
          <a:extLst>
            <a:ext uri="{FF2B5EF4-FFF2-40B4-BE49-F238E27FC236}">
              <a16:creationId xmlns:a16="http://schemas.microsoft.com/office/drawing/2014/main" id="{EB174B8A-54A3-4B48-A2B1-61CCA2F275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3" name="AutoShape 1" descr="Vista previa de toda la pantalla">
          <a:extLst>
            <a:ext uri="{FF2B5EF4-FFF2-40B4-BE49-F238E27FC236}">
              <a16:creationId xmlns:a16="http://schemas.microsoft.com/office/drawing/2014/main" id="{3B98F7C1-66F2-4D63-9BDB-5F789C266B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4" name="AutoShape 1" descr="Vista previa de toda la pantalla">
          <a:extLst>
            <a:ext uri="{FF2B5EF4-FFF2-40B4-BE49-F238E27FC236}">
              <a16:creationId xmlns:a16="http://schemas.microsoft.com/office/drawing/2014/main" id="{012FADED-5CC0-4DA8-AAF6-7150E306CF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5" name="AutoShape 1" descr="Vista previa de toda la pantalla">
          <a:extLst>
            <a:ext uri="{FF2B5EF4-FFF2-40B4-BE49-F238E27FC236}">
              <a16:creationId xmlns:a16="http://schemas.microsoft.com/office/drawing/2014/main" id="{17968978-8C27-4B0D-A1DA-7AD77DB320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6" name="AutoShape 1" descr="Vista previa de toda la pantalla">
          <a:extLst>
            <a:ext uri="{FF2B5EF4-FFF2-40B4-BE49-F238E27FC236}">
              <a16:creationId xmlns:a16="http://schemas.microsoft.com/office/drawing/2014/main" id="{D2A69513-92CA-418A-8654-65601BF9B0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7" name="AutoShape 1" descr="Vista previa de toda la pantalla">
          <a:extLst>
            <a:ext uri="{FF2B5EF4-FFF2-40B4-BE49-F238E27FC236}">
              <a16:creationId xmlns:a16="http://schemas.microsoft.com/office/drawing/2014/main" id="{16F6DE5C-6B18-43DE-8D37-FFF1A90491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8" name="AutoShape 1" descr="Vista previa de toda la pantalla">
          <a:extLst>
            <a:ext uri="{FF2B5EF4-FFF2-40B4-BE49-F238E27FC236}">
              <a16:creationId xmlns:a16="http://schemas.microsoft.com/office/drawing/2014/main" id="{1845B059-9ECF-40D4-9A0B-219C73E48F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79" name="AutoShape 1" descr="Vista previa de toda la pantalla">
          <a:extLst>
            <a:ext uri="{FF2B5EF4-FFF2-40B4-BE49-F238E27FC236}">
              <a16:creationId xmlns:a16="http://schemas.microsoft.com/office/drawing/2014/main" id="{C3CED7BF-9754-4997-AE4C-177B69C099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0" name="AutoShape 1" descr="Vista previa de toda la pantalla">
          <a:extLst>
            <a:ext uri="{FF2B5EF4-FFF2-40B4-BE49-F238E27FC236}">
              <a16:creationId xmlns:a16="http://schemas.microsoft.com/office/drawing/2014/main" id="{D6A12B65-7BC1-421D-9830-84D44DE81B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1" name="AutoShape 1" descr="Vista previa de toda la pantalla">
          <a:extLst>
            <a:ext uri="{FF2B5EF4-FFF2-40B4-BE49-F238E27FC236}">
              <a16:creationId xmlns:a16="http://schemas.microsoft.com/office/drawing/2014/main" id="{EFC75814-BA05-487E-AA1C-98A651B026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2" name="AutoShape 1" descr="Vista previa de toda la pantalla">
          <a:extLst>
            <a:ext uri="{FF2B5EF4-FFF2-40B4-BE49-F238E27FC236}">
              <a16:creationId xmlns:a16="http://schemas.microsoft.com/office/drawing/2014/main" id="{4D65E7F2-239B-40C3-98E0-EA4F1074DA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3" name="AutoShape 1" descr="Vista previa de toda la pantalla">
          <a:extLst>
            <a:ext uri="{FF2B5EF4-FFF2-40B4-BE49-F238E27FC236}">
              <a16:creationId xmlns:a16="http://schemas.microsoft.com/office/drawing/2014/main" id="{1037CF9B-6B82-458F-A685-2493A710F2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4" name="AutoShape 1" descr="Vista previa de toda la pantalla">
          <a:extLst>
            <a:ext uri="{FF2B5EF4-FFF2-40B4-BE49-F238E27FC236}">
              <a16:creationId xmlns:a16="http://schemas.microsoft.com/office/drawing/2014/main" id="{E2A32C93-B0DA-4AA4-9AFA-0A39D03319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5" name="AutoShape 1" descr="Vista previa de toda la pantalla">
          <a:extLst>
            <a:ext uri="{FF2B5EF4-FFF2-40B4-BE49-F238E27FC236}">
              <a16:creationId xmlns:a16="http://schemas.microsoft.com/office/drawing/2014/main" id="{E1974A5B-8B8A-4EFB-8843-89A45DDB85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6" name="AutoShape 1" descr="Vista previa de toda la pantalla">
          <a:extLst>
            <a:ext uri="{FF2B5EF4-FFF2-40B4-BE49-F238E27FC236}">
              <a16:creationId xmlns:a16="http://schemas.microsoft.com/office/drawing/2014/main" id="{9C5CDEE8-973C-4980-8305-F27D428FBE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7" name="AutoShape 1" descr="Vista previa de toda la pantalla">
          <a:extLst>
            <a:ext uri="{FF2B5EF4-FFF2-40B4-BE49-F238E27FC236}">
              <a16:creationId xmlns:a16="http://schemas.microsoft.com/office/drawing/2014/main" id="{2A427D39-C9EF-4254-A3A1-5FDE889F5D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8" name="AutoShape 1" descr="Vista previa de toda la pantalla">
          <a:extLst>
            <a:ext uri="{FF2B5EF4-FFF2-40B4-BE49-F238E27FC236}">
              <a16:creationId xmlns:a16="http://schemas.microsoft.com/office/drawing/2014/main" id="{68E880CD-88F6-41FF-9130-00EABE6F91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89" name="AutoShape 1" descr="Vista previa de toda la pantalla">
          <a:extLst>
            <a:ext uri="{FF2B5EF4-FFF2-40B4-BE49-F238E27FC236}">
              <a16:creationId xmlns:a16="http://schemas.microsoft.com/office/drawing/2014/main" id="{BCBF7FBC-1C92-44B2-B3A2-186BBF3505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0" name="AutoShape 1" descr="Vista previa de toda la pantalla">
          <a:extLst>
            <a:ext uri="{FF2B5EF4-FFF2-40B4-BE49-F238E27FC236}">
              <a16:creationId xmlns:a16="http://schemas.microsoft.com/office/drawing/2014/main" id="{3CBBB31B-F004-4276-92F7-500703AFE5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1" name="AutoShape 1" descr="Vista previa de toda la pantalla">
          <a:extLst>
            <a:ext uri="{FF2B5EF4-FFF2-40B4-BE49-F238E27FC236}">
              <a16:creationId xmlns:a16="http://schemas.microsoft.com/office/drawing/2014/main" id="{8C86EA86-181B-4121-A649-6F3508F885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2" name="AutoShape 1" descr="Vista previa de toda la pantalla">
          <a:extLst>
            <a:ext uri="{FF2B5EF4-FFF2-40B4-BE49-F238E27FC236}">
              <a16:creationId xmlns:a16="http://schemas.microsoft.com/office/drawing/2014/main" id="{5849A530-1CAC-4505-BFBE-008B38C150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3" name="AutoShape 1" descr="Vista previa de toda la pantalla">
          <a:extLst>
            <a:ext uri="{FF2B5EF4-FFF2-40B4-BE49-F238E27FC236}">
              <a16:creationId xmlns:a16="http://schemas.microsoft.com/office/drawing/2014/main" id="{65DD9772-E512-415B-88EE-7B1DF7AF68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4" name="AutoShape 1" descr="Vista previa de toda la pantalla">
          <a:extLst>
            <a:ext uri="{FF2B5EF4-FFF2-40B4-BE49-F238E27FC236}">
              <a16:creationId xmlns:a16="http://schemas.microsoft.com/office/drawing/2014/main" id="{3AB7B4FD-2C22-41F0-AFDA-C8D68863AD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5" name="AutoShape 1" descr="Vista previa de toda la pantalla">
          <a:extLst>
            <a:ext uri="{FF2B5EF4-FFF2-40B4-BE49-F238E27FC236}">
              <a16:creationId xmlns:a16="http://schemas.microsoft.com/office/drawing/2014/main" id="{482D801E-7C98-4DF9-94FD-673053B654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6" name="AutoShape 1" descr="Vista previa de toda la pantalla">
          <a:extLst>
            <a:ext uri="{FF2B5EF4-FFF2-40B4-BE49-F238E27FC236}">
              <a16:creationId xmlns:a16="http://schemas.microsoft.com/office/drawing/2014/main" id="{638EDF9D-05D7-499D-BB0E-D67E2B907F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7" name="AutoShape 1" descr="Vista previa de toda la pantalla">
          <a:extLst>
            <a:ext uri="{FF2B5EF4-FFF2-40B4-BE49-F238E27FC236}">
              <a16:creationId xmlns:a16="http://schemas.microsoft.com/office/drawing/2014/main" id="{C85963EC-6AEA-4142-99BD-249F8009E1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8" name="AutoShape 1" descr="Vista previa de toda la pantalla">
          <a:extLst>
            <a:ext uri="{FF2B5EF4-FFF2-40B4-BE49-F238E27FC236}">
              <a16:creationId xmlns:a16="http://schemas.microsoft.com/office/drawing/2014/main" id="{F3A890AD-B76F-47A0-92B5-ABD9548BD0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599" name="AutoShape 1" descr="Vista previa de toda la pantalla">
          <a:extLst>
            <a:ext uri="{FF2B5EF4-FFF2-40B4-BE49-F238E27FC236}">
              <a16:creationId xmlns:a16="http://schemas.microsoft.com/office/drawing/2014/main" id="{2473F1E1-7F83-4A67-B24E-BCF4D3C70D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0" name="AutoShape 1" descr="Vista previa de toda la pantalla">
          <a:extLst>
            <a:ext uri="{FF2B5EF4-FFF2-40B4-BE49-F238E27FC236}">
              <a16:creationId xmlns:a16="http://schemas.microsoft.com/office/drawing/2014/main" id="{623D9120-30AC-44A9-AFBA-53CCEF88CF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1" name="AutoShape 1" descr="Vista previa de toda la pantalla">
          <a:extLst>
            <a:ext uri="{FF2B5EF4-FFF2-40B4-BE49-F238E27FC236}">
              <a16:creationId xmlns:a16="http://schemas.microsoft.com/office/drawing/2014/main" id="{148742BB-B3D4-4B63-8649-5248E4F284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2" name="AutoShape 1" descr="Vista previa de toda la pantalla">
          <a:extLst>
            <a:ext uri="{FF2B5EF4-FFF2-40B4-BE49-F238E27FC236}">
              <a16:creationId xmlns:a16="http://schemas.microsoft.com/office/drawing/2014/main" id="{A63A4CAD-7830-4C19-843B-538B475CB8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3" name="AutoShape 1" descr="Vista previa de toda la pantalla">
          <a:extLst>
            <a:ext uri="{FF2B5EF4-FFF2-40B4-BE49-F238E27FC236}">
              <a16:creationId xmlns:a16="http://schemas.microsoft.com/office/drawing/2014/main" id="{B1418372-D827-4584-A7D3-D92098F2D1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4" name="AutoShape 1" descr="Vista previa de toda la pantalla">
          <a:extLst>
            <a:ext uri="{FF2B5EF4-FFF2-40B4-BE49-F238E27FC236}">
              <a16:creationId xmlns:a16="http://schemas.microsoft.com/office/drawing/2014/main" id="{D1EB5588-B555-4036-B2D5-E95D0BA52F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5" name="AutoShape 1" descr="Vista previa de toda la pantalla">
          <a:extLst>
            <a:ext uri="{FF2B5EF4-FFF2-40B4-BE49-F238E27FC236}">
              <a16:creationId xmlns:a16="http://schemas.microsoft.com/office/drawing/2014/main" id="{7B13E842-83D5-4919-9C07-6F1445410E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6" name="AutoShape 1" descr="Vista previa de toda la pantalla">
          <a:extLst>
            <a:ext uri="{FF2B5EF4-FFF2-40B4-BE49-F238E27FC236}">
              <a16:creationId xmlns:a16="http://schemas.microsoft.com/office/drawing/2014/main" id="{CAE26A25-D4A8-4CC4-9A78-BB5DE59A13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7" name="AutoShape 1" descr="Vista previa de toda la pantalla">
          <a:extLst>
            <a:ext uri="{FF2B5EF4-FFF2-40B4-BE49-F238E27FC236}">
              <a16:creationId xmlns:a16="http://schemas.microsoft.com/office/drawing/2014/main" id="{6004E0ED-3FE6-46A3-9C0B-729C17D0F6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8" name="AutoShape 1" descr="Vista previa de toda la pantalla">
          <a:extLst>
            <a:ext uri="{FF2B5EF4-FFF2-40B4-BE49-F238E27FC236}">
              <a16:creationId xmlns:a16="http://schemas.microsoft.com/office/drawing/2014/main" id="{02B628ED-154C-4A2A-AB07-BFDCF32034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09" name="AutoShape 1" descr="Vista previa de toda la pantalla">
          <a:extLst>
            <a:ext uri="{FF2B5EF4-FFF2-40B4-BE49-F238E27FC236}">
              <a16:creationId xmlns:a16="http://schemas.microsoft.com/office/drawing/2014/main" id="{9E4962FF-E01E-4CAE-B58C-9D24595AEC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0" name="AutoShape 1" descr="Vista previa de toda la pantalla">
          <a:extLst>
            <a:ext uri="{FF2B5EF4-FFF2-40B4-BE49-F238E27FC236}">
              <a16:creationId xmlns:a16="http://schemas.microsoft.com/office/drawing/2014/main" id="{54EC864A-D3D8-4233-9B3F-FBEBA10FF7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1" name="AutoShape 1" descr="Vista previa de toda la pantalla">
          <a:extLst>
            <a:ext uri="{FF2B5EF4-FFF2-40B4-BE49-F238E27FC236}">
              <a16:creationId xmlns:a16="http://schemas.microsoft.com/office/drawing/2014/main" id="{2FDC5494-8B66-4266-8705-58D235AA92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2" name="AutoShape 1" descr="Vista previa de toda la pantalla">
          <a:extLst>
            <a:ext uri="{FF2B5EF4-FFF2-40B4-BE49-F238E27FC236}">
              <a16:creationId xmlns:a16="http://schemas.microsoft.com/office/drawing/2014/main" id="{89DD1043-1E40-4E2F-BC8A-2038EE4C7E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3" name="AutoShape 1" descr="Vista previa de toda la pantalla">
          <a:extLst>
            <a:ext uri="{FF2B5EF4-FFF2-40B4-BE49-F238E27FC236}">
              <a16:creationId xmlns:a16="http://schemas.microsoft.com/office/drawing/2014/main" id="{EA6A143B-F1CF-45FE-BD2D-69498FCA3A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4" name="AutoShape 1" descr="Vista previa de toda la pantalla">
          <a:extLst>
            <a:ext uri="{FF2B5EF4-FFF2-40B4-BE49-F238E27FC236}">
              <a16:creationId xmlns:a16="http://schemas.microsoft.com/office/drawing/2014/main" id="{F5C26AE1-DC70-401D-91B2-7F58F7D401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5" name="AutoShape 1" descr="Vista previa de toda la pantalla">
          <a:extLst>
            <a:ext uri="{FF2B5EF4-FFF2-40B4-BE49-F238E27FC236}">
              <a16:creationId xmlns:a16="http://schemas.microsoft.com/office/drawing/2014/main" id="{F1EC3CB8-7373-4947-8775-0562650603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6" name="AutoShape 1" descr="Vista previa de toda la pantalla">
          <a:extLst>
            <a:ext uri="{FF2B5EF4-FFF2-40B4-BE49-F238E27FC236}">
              <a16:creationId xmlns:a16="http://schemas.microsoft.com/office/drawing/2014/main" id="{224F9618-56A2-4628-9CE5-ED49522BC3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7" name="AutoShape 1" descr="Vista previa de toda la pantalla">
          <a:extLst>
            <a:ext uri="{FF2B5EF4-FFF2-40B4-BE49-F238E27FC236}">
              <a16:creationId xmlns:a16="http://schemas.microsoft.com/office/drawing/2014/main" id="{A464DBAD-F47A-443A-B918-0358617FCB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8" name="AutoShape 1" descr="Vista previa de toda la pantalla">
          <a:extLst>
            <a:ext uri="{FF2B5EF4-FFF2-40B4-BE49-F238E27FC236}">
              <a16:creationId xmlns:a16="http://schemas.microsoft.com/office/drawing/2014/main" id="{661A44D0-16A0-4B74-BA60-B7FF6B8A2E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19" name="AutoShape 1" descr="Vista previa de toda la pantalla">
          <a:extLst>
            <a:ext uri="{FF2B5EF4-FFF2-40B4-BE49-F238E27FC236}">
              <a16:creationId xmlns:a16="http://schemas.microsoft.com/office/drawing/2014/main" id="{94BEE8D7-88E9-43C2-8337-49C76E22F7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0" name="AutoShape 1" descr="Vista previa de toda la pantalla">
          <a:extLst>
            <a:ext uri="{FF2B5EF4-FFF2-40B4-BE49-F238E27FC236}">
              <a16:creationId xmlns:a16="http://schemas.microsoft.com/office/drawing/2014/main" id="{208922A0-1FCD-43E2-BC59-278DBFEDD0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1" name="AutoShape 1" descr="Vista previa de toda la pantalla">
          <a:extLst>
            <a:ext uri="{FF2B5EF4-FFF2-40B4-BE49-F238E27FC236}">
              <a16:creationId xmlns:a16="http://schemas.microsoft.com/office/drawing/2014/main" id="{2934A4DE-760A-4AD7-8B9B-CAD5EB0BB5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2" name="AutoShape 1" descr="Vista previa de toda la pantalla">
          <a:extLst>
            <a:ext uri="{FF2B5EF4-FFF2-40B4-BE49-F238E27FC236}">
              <a16:creationId xmlns:a16="http://schemas.microsoft.com/office/drawing/2014/main" id="{53795468-2F5B-4321-9BEA-C24DC35DE3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3" name="AutoShape 1" descr="Vista previa de toda la pantalla">
          <a:extLst>
            <a:ext uri="{FF2B5EF4-FFF2-40B4-BE49-F238E27FC236}">
              <a16:creationId xmlns:a16="http://schemas.microsoft.com/office/drawing/2014/main" id="{339C3F60-9EA3-46F7-B5D3-A5861EA7E3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4" name="AutoShape 1" descr="Vista previa de toda la pantalla">
          <a:extLst>
            <a:ext uri="{FF2B5EF4-FFF2-40B4-BE49-F238E27FC236}">
              <a16:creationId xmlns:a16="http://schemas.microsoft.com/office/drawing/2014/main" id="{63FD46C5-F179-4F87-9C46-2E57250C8D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5" name="AutoShape 1" descr="Vista previa de toda la pantalla">
          <a:extLst>
            <a:ext uri="{FF2B5EF4-FFF2-40B4-BE49-F238E27FC236}">
              <a16:creationId xmlns:a16="http://schemas.microsoft.com/office/drawing/2014/main" id="{F6192AB6-92F0-4B84-9272-8E7AA053AA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6" name="AutoShape 1" descr="Vista previa de toda la pantalla">
          <a:extLst>
            <a:ext uri="{FF2B5EF4-FFF2-40B4-BE49-F238E27FC236}">
              <a16:creationId xmlns:a16="http://schemas.microsoft.com/office/drawing/2014/main" id="{F602DCCE-69B0-431A-9745-4539D8D776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7" name="AutoShape 1" descr="Vista previa de toda la pantalla">
          <a:extLst>
            <a:ext uri="{FF2B5EF4-FFF2-40B4-BE49-F238E27FC236}">
              <a16:creationId xmlns:a16="http://schemas.microsoft.com/office/drawing/2014/main" id="{0039A724-8EFD-4E52-8398-6661198000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8" name="AutoShape 1" descr="Vista previa de toda la pantalla">
          <a:extLst>
            <a:ext uri="{FF2B5EF4-FFF2-40B4-BE49-F238E27FC236}">
              <a16:creationId xmlns:a16="http://schemas.microsoft.com/office/drawing/2014/main" id="{EDCCAE7A-EF9B-4818-B986-318A62F317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29" name="AutoShape 1" descr="Vista previa de toda la pantalla">
          <a:extLst>
            <a:ext uri="{FF2B5EF4-FFF2-40B4-BE49-F238E27FC236}">
              <a16:creationId xmlns:a16="http://schemas.microsoft.com/office/drawing/2014/main" id="{681AED86-B560-4482-BAE8-BE473A8428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0" name="AutoShape 1" descr="Vista previa de toda la pantalla">
          <a:extLst>
            <a:ext uri="{FF2B5EF4-FFF2-40B4-BE49-F238E27FC236}">
              <a16:creationId xmlns:a16="http://schemas.microsoft.com/office/drawing/2014/main" id="{3D1EFB14-6B58-47B6-BC63-A40B9794C2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1" name="AutoShape 1" descr="Vista previa de toda la pantalla">
          <a:extLst>
            <a:ext uri="{FF2B5EF4-FFF2-40B4-BE49-F238E27FC236}">
              <a16:creationId xmlns:a16="http://schemas.microsoft.com/office/drawing/2014/main" id="{F58FB057-5FFC-44B2-9B67-3C3053DD51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2" name="AutoShape 1" descr="Vista previa de toda la pantalla">
          <a:extLst>
            <a:ext uri="{FF2B5EF4-FFF2-40B4-BE49-F238E27FC236}">
              <a16:creationId xmlns:a16="http://schemas.microsoft.com/office/drawing/2014/main" id="{61BA5106-2F6E-4400-954D-D598C5586D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3" name="AutoShape 1" descr="Vista previa de toda la pantalla">
          <a:extLst>
            <a:ext uri="{FF2B5EF4-FFF2-40B4-BE49-F238E27FC236}">
              <a16:creationId xmlns:a16="http://schemas.microsoft.com/office/drawing/2014/main" id="{97A2CA75-F7F3-4F85-B9DB-FD69DB8CC4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4" name="AutoShape 1" descr="Vista previa de toda la pantalla">
          <a:extLst>
            <a:ext uri="{FF2B5EF4-FFF2-40B4-BE49-F238E27FC236}">
              <a16:creationId xmlns:a16="http://schemas.microsoft.com/office/drawing/2014/main" id="{076850C2-ECD1-4654-AB5A-41E9A5ABFC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5" name="AutoShape 1" descr="Vista previa de toda la pantalla">
          <a:extLst>
            <a:ext uri="{FF2B5EF4-FFF2-40B4-BE49-F238E27FC236}">
              <a16:creationId xmlns:a16="http://schemas.microsoft.com/office/drawing/2014/main" id="{8B9D28FD-CF0F-46C6-A894-DD61E4E5C9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6" name="AutoShape 1" descr="Vista previa de toda la pantalla">
          <a:extLst>
            <a:ext uri="{FF2B5EF4-FFF2-40B4-BE49-F238E27FC236}">
              <a16:creationId xmlns:a16="http://schemas.microsoft.com/office/drawing/2014/main" id="{A7217AE3-ABB9-4066-9F11-4A2BDFF87B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7" name="AutoShape 1" descr="Vista previa de toda la pantalla">
          <a:extLst>
            <a:ext uri="{FF2B5EF4-FFF2-40B4-BE49-F238E27FC236}">
              <a16:creationId xmlns:a16="http://schemas.microsoft.com/office/drawing/2014/main" id="{4E3F43AA-4A1C-4BB6-827C-945076E771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8" name="AutoShape 1" descr="Vista previa de toda la pantalla">
          <a:extLst>
            <a:ext uri="{FF2B5EF4-FFF2-40B4-BE49-F238E27FC236}">
              <a16:creationId xmlns:a16="http://schemas.microsoft.com/office/drawing/2014/main" id="{D73AAFD8-21A8-4396-96FD-FDBB73B4A3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39" name="AutoShape 1" descr="Vista previa de toda la pantalla">
          <a:extLst>
            <a:ext uri="{FF2B5EF4-FFF2-40B4-BE49-F238E27FC236}">
              <a16:creationId xmlns:a16="http://schemas.microsoft.com/office/drawing/2014/main" id="{9CD5DE41-7DC3-4321-9F2D-305738E6FF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0" name="AutoShape 1" descr="Vista previa de toda la pantalla">
          <a:extLst>
            <a:ext uri="{FF2B5EF4-FFF2-40B4-BE49-F238E27FC236}">
              <a16:creationId xmlns:a16="http://schemas.microsoft.com/office/drawing/2014/main" id="{B1B0E2AE-4A13-4213-AB25-B07AF389D6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1" name="AutoShape 1" descr="Vista previa de toda la pantalla">
          <a:extLst>
            <a:ext uri="{FF2B5EF4-FFF2-40B4-BE49-F238E27FC236}">
              <a16:creationId xmlns:a16="http://schemas.microsoft.com/office/drawing/2014/main" id="{6D325C9E-AD9A-46BA-972C-0E6491C5C5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2" name="AutoShape 1" descr="Vista previa de toda la pantalla">
          <a:extLst>
            <a:ext uri="{FF2B5EF4-FFF2-40B4-BE49-F238E27FC236}">
              <a16:creationId xmlns:a16="http://schemas.microsoft.com/office/drawing/2014/main" id="{A8E47457-A60E-4D74-B201-3593875E03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3" name="AutoShape 1" descr="Vista previa de toda la pantalla">
          <a:extLst>
            <a:ext uri="{FF2B5EF4-FFF2-40B4-BE49-F238E27FC236}">
              <a16:creationId xmlns:a16="http://schemas.microsoft.com/office/drawing/2014/main" id="{13DE4C91-3935-400B-B65D-768CA71A56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4" name="AutoShape 1" descr="Vista previa de toda la pantalla">
          <a:extLst>
            <a:ext uri="{FF2B5EF4-FFF2-40B4-BE49-F238E27FC236}">
              <a16:creationId xmlns:a16="http://schemas.microsoft.com/office/drawing/2014/main" id="{62FDAEA7-DE09-49F7-8950-1F2BB76A0A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5" name="AutoShape 1" descr="Vista previa de toda la pantalla">
          <a:extLst>
            <a:ext uri="{FF2B5EF4-FFF2-40B4-BE49-F238E27FC236}">
              <a16:creationId xmlns:a16="http://schemas.microsoft.com/office/drawing/2014/main" id="{0F03EC42-C878-4574-912D-C294D7378A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6" name="AutoShape 1" descr="Vista previa de toda la pantalla">
          <a:extLst>
            <a:ext uri="{FF2B5EF4-FFF2-40B4-BE49-F238E27FC236}">
              <a16:creationId xmlns:a16="http://schemas.microsoft.com/office/drawing/2014/main" id="{A0362578-EBCE-4F6C-8FC4-0CD84908DD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7" name="AutoShape 1" descr="Vista previa de toda la pantalla">
          <a:extLst>
            <a:ext uri="{FF2B5EF4-FFF2-40B4-BE49-F238E27FC236}">
              <a16:creationId xmlns:a16="http://schemas.microsoft.com/office/drawing/2014/main" id="{7A1A3E8B-9536-441E-9E15-86A3126426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8" name="AutoShape 1" descr="Vista previa de toda la pantalla">
          <a:extLst>
            <a:ext uri="{FF2B5EF4-FFF2-40B4-BE49-F238E27FC236}">
              <a16:creationId xmlns:a16="http://schemas.microsoft.com/office/drawing/2014/main" id="{AC569748-4AB3-4742-8E03-0423DD0BB7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49" name="AutoShape 1" descr="Vista previa de toda la pantalla">
          <a:extLst>
            <a:ext uri="{FF2B5EF4-FFF2-40B4-BE49-F238E27FC236}">
              <a16:creationId xmlns:a16="http://schemas.microsoft.com/office/drawing/2014/main" id="{B2E2AC1B-A2B4-4EAD-92A4-78090523A5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0" name="AutoShape 1" descr="Vista previa de toda la pantalla">
          <a:extLst>
            <a:ext uri="{FF2B5EF4-FFF2-40B4-BE49-F238E27FC236}">
              <a16:creationId xmlns:a16="http://schemas.microsoft.com/office/drawing/2014/main" id="{CA24924E-76D9-4059-A83C-FEB42805CD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1" name="AutoShape 1" descr="Vista previa de toda la pantalla">
          <a:extLst>
            <a:ext uri="{FF2B5EF4-FFF2-40B4-BE49-F238E27FC236}">
              <a16:creationId xmlns:a16="http://schemas.microsoft.com/office/drawing/2014/main" id="{AA6EAD07-0518-4B2A-B202-A709D6FE8B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2" name="AutoShape 1" descr="Vista previa de toda la pantalla">
          <a:extLst>
            <a:ext uri="{FF2B5EF4-FFF2-40B4-BE49-F238E27FC236}">
              <a16:creationId xmlns:a16="http://schemas.microsoft.com/office/drawing/2014/main" id="{3E86E6A3-277D-4249-B5D1-D5D9BBE6D3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3" name="AutoShape 1" descr="Vista previa de toda la pantalla">
          <a:extLst>
            <a:ext uri="{FF2B5EF4-FFF2-40B4-BE49-F238E27FC236}">
              <a16:creationId xmlns:a16="http://schemas.microsoft.com/office/drawing/2014/main" id="{DA3403FB-8995-499B-A10D-971674875F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4" name="AutoShape 1" descr="Vista previa de toda la pantalla">
          <a:extLst>
            <a:ext uri="{FF2B5EF4-FFF2-40B4-BE49-F238E27FC236}">
              <a16:creationId xmlns:a16="http://schemas.microsoft.com/office/drawing/2014/main" id="{2E621703-8606-4CFF-A0D6-1992D9A5DE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5" name="AutoShape 1" descr="Vista previa de toda la pantalla">
          <a:extLst>
            <a:ext uri="{FF2B5EF4-FFF2-40B4-BE49-F238E27FC236}">
              <a16:creationId xmlns:a16="http://schemas.microsoft.com/office/drawing/2014/main" id="{16C6FD8B-D347-41D4-ADBE-946548EC68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6" name="AutoShape 1" descr="Vista previa de toda la pantalla">
          <a:extLst>
            <a:ext uri="{FF2B5EF4-FFF2-40B4-BE49-F238E27FC236}">
              <a16:creationId xmlns:a16="http://schemas.microsoft.com/office/drawing/2014/main" id="{FF75D397-9761-4146-9D40-459C566701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7" name="AutoShape 1" descr="Vista previa de toda la pantalla">
          <a:extLst>
            <a:ext uri="{FF2B5EF4-FFF2-40B4-BE49-F238E27FC236}">
              <a16:creationId xmlns:a16="http://schemas.microsoft.com/office/drawing/2014/main" id="{1D68A28C-9BCF-47DC-AE8E-773ACE1DD2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8" name="AutoShape 1" descr="Vista previa de toda la pantalla">
          <a:extLst>
            <a:ext uri="{FF2B5EF4-FFF2-40B4-BE49-F238E27FC236}">
              <a16:creationId xmlns:a16="http://schemas.microsoft.com/office/drawing/2014/main" id="{2DC0DA2B-AE8E-4A33-8D2E-55C1AE990D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59" name="AutoShape 1" descr="Vista previa de toda la pantalla">
          <a:extLst>
            <a:ext uri="{FF2B5EF4-FFF2-40B4-BE49-F238E27FC236}">
              <a16:creationId xmlns:a16="http://schemas.microsoft.com/office/drawing/2014/main" id="{3FB3FEFC-58BA-407C-8ED3-34EB012868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0" name="AutoShape 1" descr="Vista previa de toda la pantalla">
          <a:extLst>
            <a:ext uri="{FF2B5EF4-FFF2-40B4-BE49-F238E27FC236}">
              <a16:creationId xmlns:a16="http://schemas.microsoft.com/office/drawing/2014/main" id="{DDFCC3B7-286D-43BB-9346-DE854E2F4E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1" name="AutoShape 1" descr="Vista previa de toda la pantalla">
          <a:extLst>
            <a:ext uri="{FF2B5EF4-FFF2-40B4-BE49-F238E27FC236}">
              <a16:creationId xmlns:a16="http://schemas.microsoft.com/office/drawing/2014/main" id="{D46F0E2F-D2D3-4BA7-8298-DD56821C4A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2" name="AutoShape 1" descr="Vista previa de toda la pantalla">
          <a:extLst>
            <a:ext uri="{FF2B5EF4-FFF2-40B4-BE49-F238E27FC236}">
              <a16:creationId xmlns:a16="http://schemas.microsoft.com/office/drawing/2014/main" id="{9D2A7AA3-2561-45CD-95BF-B18A25693C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3" name="AutoShape 1" descr="Vista previa de toda la pantalla">
          <a:extLst>
            <a:ext uri="{FF2B5EF4-FFF2-40B4-BE49-F238E27FC236}">
              <a16:creationId xmlns:a16="http://schemas.microsoft.com/office/drawing/2014/main" id="{6C4FD35D-F483-4357-9873-EE9C8E1253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4" name="AutoShape 1" descr="Vista previa de toda la pantalla">
          <a:extLst>
            <a:ext uri="{FF2B5EF4-FFF2-40B4-BE49-F238E27FC236}">
              <a16:creationId xmlns:a16="http://schemas.microsoft.com/office/drawing/2014/main" id="{B856BFA8-AF49-4575-9097-0F1398F3A0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5" name="AutoShape 1" descr="Vista previa de toda la pantalla">
          <a:extLst>
            <a:ext uri="{FF2B5EF4-FFF2-40B4-BE49-F238E27FC236}">
              <a16:creationId xmlns:a16="http://schemas.microsoft.com/office/drawing/2014/main" id="{677405E7-7AE6-45E1-B446-F9145B34B5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6" name="AutoShape 1" descr="Vista previa de toda la pantalla">
          <a:extLst>
            <a:ext uri="{FF2B5EF4-FFF2-40B4-BE49-F238E27FC236}">
              <a16:creationId xmlns:a16="http://schemas.microsoft.com/office/drawing/2014/main" id="{6A3AECAF-DDF7-4345-8228-7BA091C0B4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7" name="AutoShape 1" descr="Vista previa de toda la pantalla">
          <a:extLst>
            <a:ext uri="{FF2B5EF4-FFF2-40B4-BE49-F238E27FC236}">
              <a16:creationId xmlns:a16="http://schemas.microsoft.com/office/drawing/2014/main" id="{BFDD138E-804B-43C7-9D73-BE6A9EE8F8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8" name="AutoShape 1" descr="Vista previa de toda la pantalla">
          <a:extLst>
            <a:ext uri="{FF2B5EF4-FFF2-40B4-BE49-F238E27FC236}">
              <a16:creationId xmlns:a16="http://schemas.microsoft.com/office/drawing/2014/main" id="{6E15DF9B-EFA2-4954-BB28-122ADFE829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69" name="AutoShape 1" descr="Vista previa de toda la pantalla">
          <a:extLst>
            <a:ext uri="{FF2B5EF4-FFF2-40B4-BE49-F238E27FC236}">
              <a16:creationId xmlns:a16="http://schemas.microsoft.com/office/drawing/2014/main" id="{3307C22D-A2B6-4F60-8F77-5A5F7F647E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0" name="AutoShape 1" descr="Vista previa de toda la pantalla">
          <a:extLst>
            <a:ext uri="{FF2B5EF4-FFF2-40B4-BE49-F238E27FC236}">
              <a16:creationId xmlns:a16="http://schemas.microsoft.com/office/drawing/2014/main" id="{8B05E3E0-D9FA-462D-91FF-2B2CE3C7D8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1" name="AutoShape 1" descr="Vista previa de toda la pantalla">
          <a:extLst>
            <a:ext uri="{FF2B5EF4-FFF2-40B4-BE49-F238E27FC236}">
              <a16:creationId xmlns:a16="http://schemas.microsoft.com/office/drawing/2014/main" id="{069268D8-2165-4612-A0F1-7F7A24F012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2" name="AutoShape 1" descr="Vista previa de toda la pantalla">
          <a:extLst>
            <a:ext uri="{FF2B5EF4-FFF2-40B4-BE49-F238E27FC236}">
              <a16:creationId xmlns:a16="http://schemas.microsoft.com/office/drawing/2014/main" id="{C79EA05A-73D9-417A-B45D-9B7B590E97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3" name="AutoShape 1" descr="Vista previa de toda la pantalla">
          <a:extLst>
            <a:ext uri="{FF2B5EF4-FFF2-40B4-BE49-F238E27FC236}">
              <a16:creationId xmlns:a16="http://schemas.microsoft.com/office/drawing/2014/main" id="{B8C4A54F-4815-4607-91A2-A7B62E8931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4" name="AutoShape 1" descr="Vista previa de toda la pantalla">
          <a:extLst>
            <a:ext uri="{FF2B5EF4-FFF2-40B4-BE49-F238E27FC236}">
              <a16:creationId xmlns:a16="http://schemas.microsoft.com/office/drawing/2014/main" id="{5709C15E-C967-479B-9D84-14BB2ADC23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5" name="AutoShape 1" descr="Vista previa de toda la pantalla">
          <a:extLst>
            <a:ext uri="{FF2B5EF4-FFF2-40B4-BE49-F238E27FC236}">
              <a16:creationId xmlns:a16="http://schemas.microsoft.com/office/drawing/2014/main" id="{EAACBDF0-50E3-4DF3-B284-DE905C707E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6" name="AutoShape 1" descr="Vista previa de toda la pantalla">
          <a:extLst>
            <a:ext uri="{FF2B5EF4-FFF2-40B4-BE49-F238E27FC236}">
              <a16:creationId xmlns:a16="http://schemas.microsoft.com/office/drawing/2014/main" id="{307284A0-0E7A-4B4A-A635-0AE0B85113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7" name="AutoShape 1" descr="Vista previa de toda la pantalla">
          <a:extLst>
            <a:ext uri="{FF2B5EF4-FFF2-40B4-BE49-F238E27FC236}">
              <a16:creationId xmlns:a16="http://schemas.microsoft.com/office/drawing/2014/main" id="{14D2C383-A3D7-4689-9029-E681A22DB8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8" name="AutoShape 1" descr="Vista previa de toda la pantalla">
          <a:extLst>
            <a:ext uri="{FF2B5EF4-FFF2-40B4-BE49-F238E27FC236}">
              <a16:creationId xmlns:a16="http://schemas.microsoft.com/office/drawing/2014/main" id="{E6216773-CDBB-40AB-A8A8-C23F9398C1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79" name="AutoShape 1" descr="Vista previa de toda la pantalla">
          <a:extLst>
            <a:ext uri="{FF2B5EF4-FFF2-40B4-BE49-F238E27FC236}">
              <a16:creationId xmlns:a16="http://schemas.microsoft.com/office/drawing/2014/main" id="{5095B555-A3FA-40B5-9533-0CFEC0BC4C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0" name="AutoShape 1" descr="Vista previa de toda la pantalla">
          <a:extLst>
            <a:ext uri="{FF2B5EF4-FFF2-40B4-BE49-F238E27FC236}">
              <a16:creationId xmlns:a16="http://schemas.microsoft.com/office/drawing/2014/main" id="{B272FAAB-79B7-4262-89E6-0D95C184E2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1" name="AutoShape 1" descr="Vista previa de toda la pantalla">
          <a:extLst>
            <a:ext uri="{FF2B5EF4-FFF2-40B4-BE49-F238E27FC236}">
              <a16:creationId xmlns:a16="http://schemas.microsoft.com/office/drawing/2014/main" id="{B580157E-5846-47E8-B26C-1D337134B5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2" name="AutoShape 1" descr="Vista previa de toda la pantalla">
          <a:extLst>
            <a:ext uri="{FF2B5EF4-FFF2-40B4-BE49-F238E27FC236}">
              <a16:creationId xmlns:a16="http://schemas.microsoft.com/office/drawing/2014/main" id="{732681D2-6997-4701-90F3-8C00032240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3" name="AutoShape 1" descr="Vista previa de toda la pantalla">
          <a:extLst>
            <a:ext uri="{FF2B5EF4-FFF2-40B4-BE49-F238E27FC236}">
              <a16:creationId xmlns:a16="http://schemas.microsoft.com/office/drawing/2014/main" id="{31813A0E-A31A-4E88-AFC6-D289517AA8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4" name="AutoShape 1" descr="Vista previa de toda la pantalla">
          <a:extLst>
            <a:ext uri="{FF2B5EF4-FFF2-40B4-BE49-F238E27FC236}">
              <a16:creationId xmlns:a16="http://schemas.microsoft.com/office/drawing/2014/main" id="{96D6B2B3-5B18-4BA2-9AA9-C49FA6E2C2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5" name="AutoShape 1" descr="Vista previa de toda la pantalla">
          <a:extLst>
            <a:ext uri="{FF2B5EF4-FFF2-40B4-BE49-F238E27FC236}">
              <a16:creationId xmlns:a16="http://schemas.microsoft.com/office/drawing/2014/main" id="{DEB58BA9-45FB-4CDF-93B6-EBD8851894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6" name="AutoShape 1" descr="Vista previa de toda la pantalla">
          <a:extLst>
            <a:ext uri="{FF2B5EF4-FFF2-40B4-BE49-F238E27FC236}">
              <a16:creationId xmlns:a16="http://schemas.microsoft.com/office/drawing/2014/main" id="{B469E8C9-B034-43C2-9409-5F5F8AFEF2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7" name="AutoShape 1" descr="Vista previa de toda la pantalla">
          <a:extLst>
            <a:ext uri="{FF2B5EF4-FFF2-40B4-BE49-F238E27FC236}">
              <a16:creationId xmlns:a16="http://schemas.microsoft.com/office/drawing/2014/main" id="{308713B7-44A7-4C3C-A29D-65BB5D1749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8" name="AutoShape 1" descr="Vista previa de toda la pantalla">
          <a:extLst>
            <a:ext uri="{FF2B5EF4-FFF2-40B4-BE49-F238E27FC236}">
              <a16:creationId xmlns:a16="http://schemas.microsoft.com/office/drawing/2014/main" id="{56EBB621-D1A5-4FE4-A6DA-08B63D8A68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89" name="AutoShape 1" descr="Vista previa de toda la pantalla">
          <a:extLst>
            <a:ext uri="{FF2B5EF4-FFF2-40B4-BE49-F238E27FC236}">
              <a16:creationId xmlns:a16="http://schemas.microsoft.com/office/drawing/2014/main" id="{B267047B-D5F0-4718-A021-F121A790A6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0" name="AutoShape 1" descr="Vista previa de toda la pantalla">
          <a:extLst>
            <a:ext uri="{FF2B5EF4-FFF2-40B4-BE49-F238E27FC236}">
              <a16:creationId xmlns:a16="http://schemas.microsoft.com/office/drawing/2014/main" id="{DB85C5D2-C120-448F-8007-5D2F8EFB51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1" name="AutoShape 1" descr="Vista previa de toda la pantalla">
          <a:extLst>
            <a:ext uri="{FF2B5EF4-FFF2-40B4-BE49-F238E27FC236}">
              <a16:creationId xmlns:a16="http://schemas.microsoft.com/office/drawing/2014/main" id="{BD398629-7CEC-4B80-B901-8F4290AC91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2" name="AutoShape 1" descr="Vista previa de toda la pantalla">
          <a:extLst>
            <a:ext uri="{FF2B5EF4-FFF2-40B4-BE49-F238E27FC236}">
              <a16:creationId xmlns:a16="http://schemas.microsoft.com/office/drawing/2014/main" id="{2F994FF2-D094-41B7-8B3F-F6927E9F15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3" name="AutoShape 1" descr="Vista previa de toda la pantalla">
          <a:extLst>
            <a:ext uri="{FF2B5EF4-FFF2-40B4-BE49-F238E27FC236}">
              <a16:creationId xmlns:a16="http://schemas.microsoft.com/office/drawing/2014/main" id="{3C16CE75-3250-4A43-9EC4-88368B18F1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4" name="AutoShape 1" descr="Vista previa de toda la pantalla">
          <a:extLst>
            <a:ext uri="{FF2B5EF4-FFF2-40B4-BE49-F238E27FC236}">
              <a16:creationId xmlns:a16="http://schemas.microsoft.com/office/drawing/2014/main" id="{CD0EAF4C-49F6-43F3-A34F-3C9FDD5EDB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5" name="AutoShape 1" descr="Vista previa de toda la pantalla">
          <a:extLst>
            <a:ext uri="{FF2B5EF4-FFF2-40B4-BE49-F238E27FC236}">
              <a16:creationId xmlns:a16="http://schemas.microsoft.com/office/drawing/2014/main" id="{6ECDAB7C-F36C-410C-933D-7728EBDE2B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6" name="AutoShape 1" descr="Vista previa de toda la pantalla">
          <a:extLst>
            <a:ext uri="{FF2B5EF4-FFF2-40B4-BE49-F238E27FC236}">
              <a16:creationId xmlns:a16="http://schemas.microsoft.com/office/drawing/2014/main" id="{3CAF4FBA-B57A-4525-82D5-AD0D18FB44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7" name="AutoShape 1" descr="Vista previa de toda la pantalla">
          <a:extLst>
            <a:ext uri="{FF2B5EF4-FFF2-40B4-BE49-F238E27FC236}">
              <a16:creationId xmlns:a16="http://schemas.microsoft.com/office/drawing/2014/main" id="{8ED18C69-26BF-4E62-B4B7-D5B554C80E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8" name="AutoShape 1" descr="Vista previa de toda la pantalla">
          <a:extLst>
            <a:ext uri="{FF2B5EF4-FFF2-40B4-BE49-F238E27FC236}">
              <a16:creationId xmlns:a16="http://schemas.microsoft.com/office/drawing/2014/main" id="{32FB480B-E775-4488-8393-041F908ABB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699" name="AutoShape 1" descr="Vista previa de toda la pantalla">
          <a:extLst>
            <a:ext uri="{FF2B5EF4-FFF2-40B4-BE49-F238E27FC236}">
              <a16:creationId xmlns:a16="http://schemas.microsoft.com/office/drawing/2014/main" id="{9A026018-AE9E-4AC6-82B0-479F0A2B1F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0700" name="AutoShape 1" descr="Vista previa de toda la pantalla">
          <a:extLst>
            <a:ext uri="{FF2B5EF4-FFF2-40B4-BE49-F238E27FC236}">
              <a16:creationId xmlns:a16="http://schemas.microsoft.com/office/drawing/2014/main" id="{84B1D479-9473-44D9-8F38-37B05986CD31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01" name="AutoShape 1" descr="Vista previa de toda la pantalla">
          <a:extLst>
            <a:ext uri="{FF2B5EF4-FFF2-40B4-BE49-F238E27FC236}">
              <a16:creationId xmlns:a16="http://schemas.microsoft.com/office/drawing/2014/main" id="{21A6A3ED-87D0-4956-A301-2F33973080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02" name="AutoShape 1" descr="Vista previa de toda la pantalla">
          <a:extLst>
            <a:ext uri="{FF2B5EF4-FFF2-40B4-BE49-F238E27FC236}">
              <a16:creationId xmlns:a16="http://schemas.microsoft.com/office/drawing/2014/main" id="{79D62B2E-0987-4219-9954-004790EBC6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03" name="AutoShape 1" descr="Vista previa de toda la pantalla">
          <a:extLst>
            <a:ext uri="{FF2B5EF4-FFF2-40B4-BE49-F238E27FC236}">
              <a16:creationId xmlns:a16="http://schemas.microsoft.com/office/drawing/2014/main" id="{7CC0AF6B-F9FA-4600-B33A-443D229090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04" name="AutoShape 1" descr="Vista previa de toda la pantalla">
          <a:extLst>
            <a:ext uri="{FF2B5EF4-FFF2-40B4-BE49-F238E27FC236}">
              <a16:creationId xmlns:a16="http://schemas.microsoft.com/office/drawing/2014/main" id="{66FF0667-029A-413B-9A3E-DEEBE100B3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05" name="AutoShape 1" descr="Vista previa de toda la pantalla">
          <a:extLst>
            <a:ext uri="{FF2B5EF4-FFF2-40B4-BE49-F238E27FC236}">
              <a16:creationId xmlns:a16="http://schemas.microsoft.com/office/drawing/2014/main" id="{1949CC0D-79AF-4DA4-9275-9D4C9E3F5A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06" name="AutoShape 1" descr="Vista previa de toda la pantalla">
          <a:extLst>
            <a:ext uri="{FF2B5EF4-FFF2-40B4-BE49-F238E27FC236}">
              <a16:creationId xmlns:a16="http://schemas.microsoft.com/office/drawing/2014/main" id="{513C6CA3-09A1-4F05-89C9-4100180BB4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07" name="AutoShape 1" descr="Vista previa de toda la pantalla">
          <a:extLst>
            <a:ext uri="{FF2B5EF4-FFF2-40B4-BE49-F238E27FC236}">
              <a16:creationId xmlns:a16="http://schemas.microsoft.com/office/drawing/2014/main" id="{C2CEC248-2723-40E7-B0BF-E28ED8F831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08" name="AutoShape 1" descr="Vista previa de toda la pantalla">
          <a:extLst>
            <a:ext uri="{FF2B5EF4-FFF2-40B4-BE49-F238E27FC236}">
              <a16:creationId xmlns:a16="http://schemas.microsoft.com/office/drawing/2014/main" id="{858AB814-FBFE-4B70-BEC0-21C6C06D16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09" name="AutoShape 1" descr="Vista previa de toda la pantalla">
          <a:extLst>
            <a:ext uri="{FF2B5EF4-FFF2-40B4-BE49-F238E27FC236}">
              <a16:creationId xmlns:a16="http://schemas.microsoft.com/office/drawing/2014/main" id="{138A8F2E-9785-4C0C-B092-EAD7A23FC0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0" name="AutoShape 1" descr="Vista previa de toda la pantalla">
          <a:extLst>
            <a:ext uri="{FF2B5EF4-FFF2-40B4-BE49-F238E27FC236}">
              <a16:creationId xmlns:a16="http://schemas.microsoft.com/office/drawing/2014/main" id="{1BEE9B22-FCAE-484E-AA55-175E1EC77E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1" name="AutoShape 1" descr="Vista previa de toda la pantalla">
          <a:extLst>
            <a:ext uri="{FF2B5EF4-FFF2-40B4-BE49-F238E27FC236}">
              <a16:creationId xmlns:a16="http://schemas.microsoft.com/office/drawing/2014/main" id="{138CA9B6-0F12-4DA0-B31E-641A29E24D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2" name="AutoShape 1" descr="Vista previa de toda la pantalla">
          <a:extLst>
            <a:ext uri="{FF2B5EF4-FFF2-40B4-BE49-F238E27FC236}">
              <a16:creationId xmlns:a16="http://schemas.microsoft.com/office/drawing/2014/main" id="{14D34F81-FB9F-4538-8ABB-0E6F646B16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3" name="AutoShape 1" descr="Vista previa de toda la pantalla">
          <a:extLst>
            <a:ext uri="{FF2B5EF4-FFF2-40B4-BE49-F238E27FC236}">
              <a16:creationId xmlns:a16="http://schemas.microsoft.com/office/drawing/2014/main" id="{18C7A06A-3662-47AC-B9B0-BE83E6B505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4" name="AutoShape 1" descr="Vista previa de toda la pantalla">
          <a:extLst>
            <a:ext uri="{FF2B5EF4-FFF2-40B4-BE49-F238E27FC236}">
              <a16:creationId xmlns:a16="http://schemas.microsoft.com/office/drawing/2014/main" id="{6CB449DA-8C0F-432B-ABA1-48CC9A5E6D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5" name="AutoShape 1" descr="Vista previa de toda la pantalla">
          <a:extLst>
            <a:ext uri="{FF2B5EF4-FFF2-40B4-BE49-F238E27FC236}">
              <a16:creationId xmlns:a16="http://schemas.microsoft.com/office/drawing/2014/main" id="{BFBDE6D2-D477-4990-B71D-F256AD8415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6" name="AutoShape 1" descr="Vista previa de toda la pantalla">
          <a:extLst>
            <a:ext uri="{FF2B5EF4-FFF2-40B4-BE49-F238E27FC236}">
              <a16:creationId xmlns:a16="http://schemas.microsoft.com/office/drawing/2014/main" id="{03EA70E6-66F6-42F7-AFF9-A8D2E8F7E1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7" name="AutoShape 1" descr="Vista previa de toda la pantalla">
          <a:extLst>
            <a:ext uri="{FF2B5EF4-FFF2-40B4-BE49-F238E27FC236}">
              <a16:creationId xmlns:a16="http://schemas.microsoft.com/office/drawing/2014/main" id="{E1FDDC91-8BB1-4709-BE64-9F9BFE137B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8" name="AutoShape 1" descr="Vista previa de toda la pantalla">
          <a:extLst>
            <a:ext uri="{FF2B5EF4-FFF2-40B4-BE49-F238E27FC236}">
              <a16:creationId xmlns:a16="http://schemas.microsoft.com/office/drawing/2014/main" id="{6EB33727-19C2-48DF-A3B7-7FBC739098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19" name="AutoShape 1" descr="Vista previa de toda la pantalla">
          <a:extLst>
            <a:ext uri="{FF2B5EF4-FFF2-40B4-BE49-F238E27FC236}">
              <a16:creationId xmlns:a16="http://schemas.microsoft.com/office/drawing/2014/main" id="{83434B2C-CD1D-4287-B549-2D69974397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0" name="AutoShape 1" descr="Vista previa de toda la pantalla">
          <a:extLst>
            <a:ext uri="{FF2B5EF4-FFF2-40B4-BE49-F238E27FC236}">
              <a16:creationId xmlns:a16="http://schemas.microsoft.com/office/drawing/2014/main" id="{4BA783F3-0055-4A5F-887E-BA1B510F9C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1" name="AutoShape 1" descr="Vista previa de toda la pantalla">
          <a:extLst>
            <a:ext uri="{FF2B5EF4-FFF2-40B4-BE49-F238E27FC236}">
              <a16:creationId xmlns:a16="http://schemas.microsoft.com/office/drawing/2014/main" id="{6DF734D7-2958-4B3B-98E7-DA7B85C469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2" name="AutoShape 1" descr="Vista previa de toda la pantalla">
          <a:extLst>
            <a:ext uri="{FF2B5EF4-FFF2-40B4-BE49-F238E27FC236}">
              <a16:creationId xmlns:a16="http://schemas.microsoft.com/office/drawing/2014/main" id="{B4C79D6E-0A84-4E4F-9562-1FCE48A265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3" name="AutoShape 1" descr="Vista previa de toda la pantalla">
          <a:extLst>
            <a:ext uri="{FF2B5EF4-FFF2-40B4-BE49-F238E27FC236}">
              <a16:creationId xmlns:a16="http://schemas.microsoft.com/office/drawing/2014/main" id="{7DB09B65-267F-4800-95EB-F1A3B5F46B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4" name="AutoShape 1" descr="Vista previa de toda la pantalla">
          <a:extLst>
            <a:ext uri="{FF2B5EF4-FFF2-40B4-BE49-F238E27FC236}">
              <a16:creationId xmlns:a16="http://schemas.microsoft.com/office/drawing/2014/main" id="{F26D7333-624C-4961-8DE3-0091872DAA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5" name="AutoShape 1" descr="Vista previa de toda la pantalla">
          <a:extLst>
            <a:ext uri="{FF2B5EF4-FFF2-40B4-BE49-F238E27FC236}">
              <a16:creationId xmlns:a16="http://schemas.microsoft.com/office/drawing/2014/main" id="{D591F9C8-8DCC-48A9-9B33-BCDB1E4636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6" name="AutoShape 1" descr="Vista previa de toda la pantalla">
          <a:extLst>
            <a:ext uri="{FF2B5EF4-FFF2-40B4-BE49-F238E27FC236}">
              <a16:creationId xmlns:a16="http://schemas.microsoft.com/office/drawing/2014/main" id="{A4F342FE-7DDD-42A6-95A1-F9673E716C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7" name="AutoShape 1" descr="Vista previa de toda la pantalla">
          <a:extLst>
            <a:ext uri="{FF2B5EF4-FFF2-40B4-BE49-F238E27FC236}">
              <a16:creationId xmlns:a16="http://schemas.microsoft.com/office/drawing/2014/main" id="{32951E3B-A140-4DCE-BE74-C0D4AA63F7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8" name="AutoShape 1" descr="Vista previa de toda la pantalla">
          <a:extLst>
            <a:ext uri="{FF2B5EF4-FFF2-40B4-BE49-F238E27FC236}">
              <a16:creationId xmlns:a16="http://schemas.microsoft.com/office/drawing/2014/main" id="{3960EF74-B613-4932-A823-F7E903FB54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29" name="AutoShape 1" descr="Vista previa de toda la pantalla">
          <a:extLst>
            <a:ext uri="{FF2B5EF4-FFF2-40B4-BE49-F238E27FC236}">
              <a16:creationId xmlns:a16="http://schemas.microsoft.com/office/drawing/2014/main" id="{8B53E81A-1A8F-4F81-BAF8-0ED797212A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0" name="AutoShape 1" descr="Vista previa de toda la pantalla">
          <a:extLst>
            <a:ext uri="{FF2B5EF4-FFF2-40B4-BE49-F238E27FC236}">
              <a16:creationId xmlns:a16="http://schemas.microsoft.com/office/drawing/2014/main" id="{590AADE7-38CF-42A8-992A-D81913C26A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1" name="AutoShape 1" descr="Vista previa de toda la pantalla">
          <a:extLst>
            <a:ext uri="{FF2B5EF4-FFF2-40B4-BE49-F238E27FC236}">
              <a16:creationId xmlns:a16="http://schemas.microsoft.com/office/drawing/2014/main" id="{146759C7-D0DD-4C9E-AF55-62AB17F2D5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2" name="AutoShape 1" descr="Vista previa de toda la pantalla">
          <a:extLst>
            <a:ext uri="{FF2B5EF4-FFF2-40B4-BE49-F238E27FC236}">
              <a16:creationId xmlns:a16="http://schemas.microsoft.com/office/drawing/2014/main" id="{C81ACB95-AE0A-47E0-879F-82A90973F8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3" name="AutoShape 1" descr="Vista previa de toda la pantalla">
          <a:extLst>
            <a:ext uri="{FF2B5EF4-FFF2-40B4-BE49-F238E27FC236}">
              <a16:creationId xmlns:a16="http://schemas.microsoft.com/office/drawing/2014/main" id="{78B77D53-4119-4091-B220-BB1C49D753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4" name="AutoShape 1" descr="Vista previa de toda la pantalla">
          <a:extLst>
            <a:ext uri="{FF2B5EF4-FFF2-40B4-BE49-F238E27FC236}">
              <a16:creationId xmlns:a16="http://schemas.microsoft.com/office/drawing/2014/main" id="{D57F8E56-800D-4277-B420-3C396F78D7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5" name="AutoShape 1" descr="Vista previa de toda la pantalla">
          <a:extLst>
            <a:ext uri="{FF2B5EF4-FFF2-40B4-BE49-F238E27FC236}">
              <a16:creationId xmlns:a16="http://schemas.microsoft.com/office/drawing/2014/main" id="{5EE8C875-EBAB-459D-8BF8-3DBDFE9175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6" name="AutoShape 1" descr="Vista previa de toda la pantalla">
          <a:extLst>
            <a:ext uri="{FF2B5EF4-FFF2-40B4-BE49-F238E27FC236}">
              <a16:creationId xmlns:a16="http://schemas.microsoft.com/office/drawing/2014/main" id="{453E6321-0D3F-4261-94CD-E5DD625531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7" name="AutoShape 1" descr="Vista previa de toda la pantalla">
          <a:extLst>
            <a:ext uri="{FF2B5EF4-FFF2-40B4-BE49-F238E27FC236}">
              <a16:creationId xmlns:a16="http://schemas.microsoft.com/office/drawing/2014/main" id="{56BB55B5-D0CD-4D96-BABB-D626D9E107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8" name="AutoShape 1" descr="Vista previa de toda la pantalla">
          <a:extLst>
            <a:ext uri="{FF2B5EF4-FFF2-40B4-BE49-F238E27FC236}">
              <a16:creationId xmlns:a16="http://schemas.microsoft.com/office/drawing/2014/main" id="{AC7A76F8-D6AC-4836-B6B1-E0F97EA0DD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39" name="AutoShape 1" descr="Vista previa de toda la pantalla">
          <a:extLst>
            <a:ext uri="{FF2B5EF4-FFF2-40B4-BE49-F238E27FC236}">
              <a16:creationId xmlns:a16="http://schemas.microsoft.com/office/drawing/2014/main" id="{74B651A7-9DFF-4A26-9508-E3C67C7F37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0" name="AutoShape 1" descr="Vista previa de toda la pantalla">
          <a:extLst>
            <a:ext uri="{FF2B5EF4-FFF2-40B4-BE49-F238E27FC236}">
              <a16:creationId xmlns:a16="http://schemas.microsoft.com/office/drawing/2014/main" id="{B4A56FF5-6065-48E2-9B4E-23FE88663B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1" name="AutoShape 1" descr="Vista previa de toda la pantalla">
          <a:extLst>
            <a:ext uri="{FF2B5EF4-FFF2-40B4-BE49-F238E27FC236}">
              <a16:creationId xmlns:a16="http://schemas.microsoft.com/office/drawing/2014/main" id="{21CA81D7-8CB7-4499-BFE5-0732020E77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2" name="AutoShape 1" descr="Vista previa de toda la pantalla">
          <a:extLst>
            <a:ext uri="{FF2B5EF4-FFF2-40B4-BE49-F238E27FC236}">
              <a16:creationId xmlns:a16="http://schemas.microsoft.com/office/drawing/2014/main" id="{B972A87A-6C20-407D-A75F-DCFD4840A8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3" name="AutoShape 1" descr="Vista previa de toda la pantalla">
          <a:extLst>
            <a:ext uri="{FF2B5EF4-FFF2-40B4-BE49-F238E27FC236}">
              <a16:creationId xmlns:a16="http://schemas.microsoft.com/office/drawing/2014/main" id="{03E18BB6-B0F7-4F03-89DB-2C16B4612E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4" name="AutoShape 1" descr="Vista previa de toda la pantalla">
          <a:extLst>
            <a:ext uri="{FF2B5EF4-FFF2-40B4-BE49-F238E27FC236}">
              <a16:creationId xmlns:a16="http://schemas.microsoft.com/office/drawing/2014/main" id="{12CF5EF5-4F61-4223-AA54-C896F77905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5" name="AutoShape 1" descr="Vista previa de toda la pantalla">
          <a:extLst>
            <a:ext uri="{FF2B5EF4-FFF2-40B4-BE49-F238E27FC236}">
              <a16:creationId xmlns:a16="http://schemas.microsoft.com/office/drawing/2014/main" id="{23426BB7-DEB4-4E2F-B825-026875A164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6" name="AutoShape 1" descr="Vista previa de toda la pantalla">
          <a:extLst>
            <a:ext uri="{FF2B5EF4-FFF2-40B4-BE49-F238E27FC236}">
              <a16:creationId xmlns:a16="http://schemas.microsoft.com/office/drawing/2014/main" id="{0FB870BF-3B83-4D99-A556-959E71A9E6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7" name="AutoShape 1" descr="Vista previa de toda la pantalla">
          <a:extLst>
            <a:ext uri="{FF2B5EF4-FFF2-40B4-BE49-F238E27FC236}">
              <a16:creationId xmlns:a16="http://schemas.microsoft.com/office/drawing/2014/main" id="{465FF417-EB6A-4A0D-8F05-81A708F075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8" name="AutoShape 1" descr="Vista previa de toda la pantalla">
          <a:extLst>
            <a:ext uri="{FF2B5EF4-FFF2-40B4-BE49-F238E27FC236}">
              <a16:creationId xmlns:a16="http://schemas.microsoft.com/office/drawing/2014/main" id="{6884D7EB-ABCC-405F-BC28-56AC33A347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49" name="AutoShape 1" descr="Vista previa de toda la pantalla">
          <a:extLst>
            <a:ext uri="{FF2B5EF4-FFF2-40B4-BE49-F238E27FC236}">
              <a16:creationId xmlns:a16="http://schemas.microsoft.com/office/drawing/2014/main" id="{F9078B30-F101-4606-A186-B9907DD666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0" name="AutoShape 1" descr="Vista previa de toda la pantalla">
          <a:extLst>
            <a:ext uri="{FF2B5EF4-FFF2-40B4-BE49-F238E27FC236}">
              <a16:creationId xmlns:a16="http://schemas.microsoft.com/office/drawing/2014/main" id="{42FB8320-3C45-4243-8600-21CAE0B360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1" name="AutoShape 1" descr="Vista previa de toda la pantalla">
          <a:extLst>
            <a:ext uri="{FF2B5EF4-FFF2-40B4-BE49-F238E27FC236}">
              <a16:creationId xmlns:a16="http://schemas.microsoft.com/office/drawing/2014/main" id="{8134656B-7970-409A-9738-EBB5819A20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2" name="AutoShape 1" descr="Vista previa de toda la pantalla">
          <a:extLst>
            <a:ext uri="{FF2B5EF4-FFF2-40B4-BE49-F238E27FC236}">
              <a16:creationId xmlns:a16="http://schemas.microsoft.com/office/drawing/2014/main" id="{8391FC23-9196-4DE8-A573-80F5E47040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3" name="AutoShape 1" descr="Vista previa de toda la pantalla">
          <a:extLst>
            <a:ext uri="{FF2B5EF4-FFF2-40B4-BE49-F238E27FC236}">
              <a16:creationId xmlns:a16="http://schemas.microsoft.com/office/drawing/2014/main" id="{4C267DEA-C233-4C71-A370-D0C19248F3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4" name="AutoShape 1" descr="Vista previa de toda la pantalla">
          <a:extLst>
            <a:ext uri="{FF2B5EF4-FFF2-40B4-BE49-F238E27FC236}">
              <a16:creationId xmlns:a16="http://schemas.microsoft.com/office/drawing/2014/main" id="{B26ED42D-90E5-4F57-B0E0-B190BEA5FA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5" name="AutoShape 1" descr="Vista previa de toda la pantalla">
          <a:extLst>
            <a:ext uri="{FF2B5EF4-FFF2-40B4-BE49-F238E27FC236}">
              <a16:creationId xmlns:a16="http://schemas.microsoft.com/office/drawing/2014/main" id="{FB186518-3000-4F35-9B5B-4B4C950966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6" name="AutoShape 1" descr="Vista previa de toda la pantalla">
          <a:extLst>
            <a:ext uri="{FF2B5EF4-FFF2-40B4-BE49-F238E27FC236}">
              <a16:creationId xmlns:a16="http://schemas.microsoft.com/office/drawing/2014/main" id="{F8CDBCF4-AABF-4BEB-AF9E-6862B70FFC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7" name="AutoShape 1" descr="Vista previa de toda la pantalla">
          <a:extLst>
            <a:ext uri="{FF2B5EF4-FFF2-40B4-BE49-F238E27FC236}">
              <a16:creationId xmlns:a16="http://schemas.microsoft.com/office/drawing/2014/main" id="{44AD517C-D402-4F8E-9D37-FD35B9B0F2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8" name="AutoShape 1" descr="Vista previa de toda la pantalla">
          <a:extLst>
            <a:ext uri="{FF2B5EF4-FFF2-40B4-BE49-F238E27FC236}">
              <a16:creationId xmlns:a16="http://schemas.microsoft.com/office/drawing/2014/main" id="{5540C041-AB90-48C3-AF06-39EB38D209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59" name="AutoShape 1" descr="Vista previa de toda la pantalla">
          <a:extLst>
            <a:ext uri="{FF2B5EF4-FFF2-40B4-BE49-F238E27FC236}">
              <a16:creationId xmlns:a16="http://schemas.microsoft.com/office/drawing/2014/main" id="{5A006080-8A09-4F63-8495-F2C3A3BE40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0" name="AutoShape 1" descr="Vista previa de toda la pantalla">
          <a:extLst>
            <a:ext uri="{FF2B5EF4-FFF2-40B4-BE49-F238E27FC236}">
              <a16:creationId xmlns:a16="http://schemas.microsoft.com/office/drawing/2014/main" id="{B1DA8F86-4D6C-4F69-A929-059534AC0C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1" name="AutoShape 1" descr="Vista previa de toda la pantalla">
          <a:extLst>
            <a:ext uri="{FF2B5EF4-FFF2-40B4-BE49-F238E27FC236}">
              <a16:creationId xmlns:a16="http://schemas.microsoft.com/office/drawing/2014/main" id="{EA3DB4E2-204E-47CB-878F-7DE9EF2BF2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2" name="AutoShape 1" descr="Vista previa de toda la pantalla">
          <a:extLst>
            <a:ext uri="{FF2B5EF4-FFF2-40B4-BE49-F238E27FC236}">
              <a16:creationId xmlns:a16="http://schemas.microsoft.com/office/drawing/2014/main" id="{B780F3E4-F1DE-43B4-A028-02B7507FAC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3" name="AutoShape 1" descr="Vista previa de toda la pantalla">
          <a:extLst>
            <a:ext uri="{FF2B5EF4-FFF2-40B4-BE49-F238E27FC236}">
              <a16:creationId xmlns:a16="http://schemas.microsoft.com/office/drawing/2014/main" id="{7AB433E0-7272-48E8-A4B6-0C153E837E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4" name="AutoShape 1" descr="Vista previa de toda la pantalla">
          <a:extLst>
            <a:ext uri="{FF2B5EF4-FFF2-40B4-BE49-F238E27FC236}">
              <a16:creationId xmlns:a16="http://schemas.microsoft.com/office/drawing/2014/main" id="{26A44260-9F88-4E23-A7AA-22E6C65E8D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5" name="AutoShape 1" descr="Vista previa de toda la pantalla">
          <a:extLst>
            <a:ext uri="{FF2B5EF4-FFF2-40B4-BE49-F238E27FC236}">
              <a16:creationId xmlns:a16="http://schemas.microsoft.com/office/drawing/2014/main" id="{8573E536-342E-4D92-BF12-772EC67AEF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6" name="AutoShape 1" descr="Vista previa de toda la pantalla">
          <a:extLst>
            <a:ext uri="{FF2B5EF4-FFF2-40B4-BE49-F238E27FC236}">
              <a16:creationId xmlns:a16="http://schemas.microsoft.com/office/drawing/2014/main" id="{DFA44008-8B9A-4A86-A1DC-FA6D521A43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7" name="AutoShape 1" descr="Vista previa de toda la pantalla">
          <a:extLst>
            <a:ext uri="{FF2B5EF4-FFF2-40B4-BE49-F238E27FC236}">
              <a16:creationId xmlns:a16="http://schemas.microsoft.com/office/drawing/2014/main" id="{A5C7BB58-99A9-4CF5-BA03-E307741691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8" name="AutoShape 1" descr="Vista previa de toda la pantalla">
          <a:extLst>
            <a:ext uri="{FF2B5EF4-FFF2-40B4-BE49-F238E27FC236}">
              <a16:creationId xmlns:a16="http://schemas.microsoft.com/office/drawing/2014/main" id="{85E6DE05-F71A-4865-9F33-F2BF6E60EA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69" name="AutoShape 1" descr="Vista previa de toda la pantalla">
          <a:extLst>
            <a:ext uri="{FF2B5EF4-FFF2-40B4-BE49-F238E27FC236}">
              <a16:creationId xmlns:a16="http://schemas.microsoft.com/office/drawing/2014/main" id="{76B359E0-7F1D-4509-BB9E-E20EA7E1BF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0" name="AutoShape 1" descr="Vista previa de toda la pantalla">
          <a:extLst>
            <a:ext uri="{FF2B5EF4-FFF2-40B4-BE49-F238E27FC236}">
              <a16:creationId xmlns:a16="http://schemas.microsoft.com/office/drawing/2014/main" id="{6338A561-0E53-483F-A588-D8EB4ABD11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1" name="AutoShape 1" descr="Vista previa de toda la pantalla">
          <a:extLst>
            <a:ext uri="{FF2B5EF4-FFF2-40B4-BE49-F238E27FC236}">
              <a16:creationId xmlns:a16="http://schemas.microsoft.com/office/drawing/2014/main" id="{105BE6BC-E54C-40A9-AE90-89414997A0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2" name="AutoShape 1" descr="Vista previa de toda la pantalla">
          <a:extLst>
            <a:ext uri="{FF2B5EF4-FFF2-40B4-BE49-F238E27FC236}">
              <a16:creationId xmlns:a16="http://schemas.microsoft.com/office/drawing/2014/main" id="{95DB8551-6F37-4D03-AA0C-93C0D138E4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3" name="AutoShape 1" descr="Vista previa de toda la pantalla">
          <a:extLst>
            <a:ext uri="{FF2B5EF4-FFF2-40B4-BE49-F238E27FC236}">
              <a16:creationId xmlns:a16="http://schemas.microsoft.com/office/drawing/2014/main" id="{ECCBFB17-845F-43CD-80D9-27010B4D43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4" name="AutoShape 1" descr="Vista previa de toda la pantalla">
          <a:extLst>
            <a:ext uri="{FF2B5EF4-FFF2-40B4-BE49-F238E27FC236}">
              <a16:creationId xmlns:a16="http://schemas.microsoft.com/office/drawing/2014/main" id="{52BBA569-B2E6-47E0-A338-F22F5129B7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5" name="AutoShape 1" descr="Vista previa de toda la pantalla">
          <a:extLst>
            <a:ext uri="{FF2B5EF4-FFF2-40B4-BE49-F238E27FC236}">
              <a16:creationId xmlns:a16="http://schemas.microsoft.com/office/drawing/2014/main" id="{284654FD-8A72-40F2-9628-B14AE15BCF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6" name="AutoShape 1" descr="Vista previa de toda la pantalla">
          <a:extLst>
            <a:ext uri="{FF2B5EF4-FFF2-40B4-BE49-F238E27FC236}">
              <a16:creationId xmlns:a16="http://schemas.microsoft.com/office/drawing/2014/main" id="{C48855CF-E075-42C6-993A-BDFC4863D8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7" name="AutoShape 1" descr="Vista previa de toda la pantalla">
          <a:extLst>
            <a:ext uri="{FF2B5EF4-FFF2-40B4-BE49-F238E27FC236}">
              <a16:creationId xmlns:a16="http://schemas.microsoft.com/office/drawing/2014/main" id="{4917CB9B-97C2-478D-9A57-1956705AF7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8" name="AutoShape 1" descr="Vista previa de toda la pantalla">
          <a:extLst>
            <a:ext uri="{FF2B5EF4-FFF2-40B4-BE49-F238E27FC236}">
              <a16:creationId xmlns:a16="http://schemas.microsoft.com/office/drawing/2014/main" id="{1A9C84CB-C69A-469C-9E19-A6B8B3605B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79" name="AutoShape 1" descr="Vista previa de toda la pantalla">
          <a:extLst>
            <a:ext uri="{FF2B5EF4-FFF2-40B4-BE49-F238E27FC236}">
              <a16:creationId xmlns:a16="http://schemas.microsoft.com/office/drawing/2014/main" id="{F83C1DCC-8424-4B3D-A486-0A5A4D054A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0" name="AutoShape 1" descr="Vista previa de toda la pantalla">
          <a:extLst>
            <a:ext uri="{FF2B5EF4-FFF2-40B4-BE49-F238E27FC236}">
              <a16:creationId xmlns:a16="http://schemas.microsoft.com/office/drawing/2014/main" id="{EE810556-6061-44B5-AF17-1C4F15DB3A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1" name="AutoShape 1" descr="Vista previa de toda la pantalla">
          <a:extLst>
            <a:ext uri="{FF2B5EF4-FFF2-40B4-BE49-F238E27FC236}">
              <a16:creationId xmlns:a16="http://schemas.microsoft.com/office/drawing/2014/main" id="{07A9E6B8-7204-4351-A517-6D14BE6C73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2" name="AutoShape 1" descr="Vista previa de toda la pantalla">
          <a:extLst>
            <a:ext uri="{FF2B5EF4-FFF2-40B4-BE49-F238E27FC236}">
              <a16:creationId xmlns:a16="http://schemas.microsoft.com/office/drawing/2014/main" id="{C3BA8083-0038-433A-85D0-13AB19832B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3" name="AutoShape 1" descr="Vista previa de toda la pantalla">
          <a:extLst>
            <a:ext uri="{FF2B5EF4-FFF2-40B4-BE49-F238E27FC236}">
              <a16:creationId xmlns:a16="http://schemas.microsoft.com/office/drawing/2014/main" id="{5BA1E2B6-743D-48B5-85B6-3237DD8298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4" name="AutoShape 1" descr="Vista previa de toda la pantalla">
          <a:extLst>
            <a:ext uri="{FF2B5EF4-FFF2-40B4-BE49-F238E27FC236}">
              <a16:creationId xmlns:a16="http://schemas.microsoft.com/office/drawing/2014/main" id="{EE406107-7954-4E5E-8430-98CDE3A6FD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5" name="AutoShape 1" descr="Vista previa de toda la pantalla">
          <a:extLst>
            <a:ext uri="{FF2B5EF4-FFF2-40B4-BE49-F238E27FC236}">
              <a16:creationId xmlns:a16="http://schemas.microsoft.com/office/drawing/2014/main" id="{E7492C13-0A79-4215-B7AD-7A37AFBB30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6" name="AutoShape 1" descr="Vista previa de toda la pantalla">
          <a:extLst>
            <a:ext uri="{FF2B5EF4-FFF2-40B4-BE49-F238E27FC236}">
              <a16:creationId xmlns:a16="http://schemas.microsoft.com/office/drawing/2014/main" id="{5844A54A-68DE-4700-BBE3-2F205BAB23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7" name="AutoShape 1" descr="Vista previa de toda la pantalla">
          <a:extLst>
            <a:ext uri="{FF2B5EF4-FFF2-40B4-BE49-F238E27FC236}">
              <a16:creationId xmlns:a16="http://schemas.microsoft.com/office/drawing/2014/main" id="{47FA6AA9-7417-4E8D-B313-540F1851F7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8" name="AutoShape 1" descr="Vista previa de toda la pantalla">
          <a:extLst>
            <a:ext uri="{FF2B5EF4-FFF2-40B4-BE49-F238E27FC236}">
              <a16:creationId xmlns:a16="http://schemas.microsoft.com/office/drawing/2014/main" id="{844C5CD2-33A2-4B34-9B9B-6F47FE0759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89" name="AutoShape 1" descr="Vista previa de toda la pantalla">
          <a:extLst>
            <a:ext uri="{FF2B5EF4-FFF2-40B4-BE49-F238E27FC236}">
              <a16:creationId xmlns:a16="http://schemas.microsoft.com/office/drawing/2014/main" id="{013074A9-04A6-4F93-BF04-1128E8A583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0" name="AutoShape 1" descr="Vista previa de toda la pantalla">
          <a:extLst>
            <a:ext uri="{FF2B5EF4-FFF2-40B4-BE49-F238E27FC236}">
              <a16:creationId xmlns:a16="http://schemas.microsoft.com/office/drawing/2014/main" id="{B7EACF8A-9679-4ABE-A356-C4DE78F8E8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1" name="AutoShape 1" descr="Vista previa de toda la pantalla">
          <a:extLst>
            <a:ext uri="{FF2B5EF4-FFF2-40B4-BE49-F238E27FC236}">
              <a16:creationId xmlns:a16="http://schemas.microsoft.com/office/drawing/2014/main" id="{51E9F419-0ABE-4431-B8FA-709DC200FC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2" name="AutoShape 1" descr="Vista previa de toda la pantalla">
          <a:extLst>
            <a:ext uri="{FF2B5EF4-FFF2-40B4-BE49-F238E27FC236}">
              <a16:creationId xmlns:a16="http://schemas.microsoft.com/office/drawing/2014/main" id="{4BF1ACA7-17B3-4089-98BD-9EBFF9FE2E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3" name="AutoShape 1" descr="Vista previa de toda la pantalla">
          <a:extLst>
            <a:ext uri="{FF2B5EF4-FFF2-40B4-BE49-F238E27FC236}">
              <a16:creationId xmlns:a16="http://schemas.microsoft.com/office/drawing/2014/main" id="{FD97B5D0-17C3-415E-B088-F7C8A3B48E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4" name="AutoShape 1" descr="Vista previa de toda la pantalla">
          <a:extLst>
            <a:ext uri="{FF2B5EF4-FFF2-40B4-BE49-F238E27FC236}">
              <a16:creationId xmlns:a16="http://schemas.microsoft.com/office/drawing/2014/main" id="{B38F074C-F532-4D63-8793-6EB58F34D4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5" name="AutoShape 1" descr="Vista previa de toda la pantalla">
          <a:extLst>
            <a:ext uri="{FF2B5EF4-FFF2-40B4-BE49-F238E27FC236}">
              <a16:creationId xmlns:a16="http://schemas.microsoft.com/office/drawing/2014/main" id="{65B7B0D5-5F66-43C6-ACC0-C71D15BDFE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6" name="AutoShape 1" descr="Vista previa de toda la pantalla">
          <a:extLst>
            <a:ext uri="{FF2B5EF4-FFF2-40B4-BE49-F238E27FC236}">
              <a16:creationId xmlns:a16="http://schemas.microsoft.com/office/drawing/2014/main" id="{6FEEFD06-6F87-4D1E-A932-9EBC7B2306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7" name="AutoShape 1" descr="Vista previa de toda la pantalla">
          <a:extLst>
            <a:ext uri="{FF2B5EF4-FFF2-40B4-BE49-F238E27FC236}">
              <a16:creationId xmlns:a16="http://schemas.microsoft.com/office/drawing/2014/main" id="{BE1F97F6-58B3-4A8A-8FB4-EC278028EE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8" name="AutoShape 1" descr="Vista previa de toda la pantalla">
          <a:extLst>
            <a:ext uri="{FF2B5EF4-FFF2-40B4-BE49-F238E27FC236}">
              <a16:creationId xmlns:a16="http://schemas.microsoft.com/office/drawing/2014/main" id="{08673E99-80D5-45B3-80B6-291CAAF483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799" name="AutoShape 1" descr="Vista previa de toda la pantalla">
          <a:extLst>
            <a:ext uri="{FF2B5EF4-FFF2-40B4-BE49-F238E27FC236}">
              <a16:creationId xmlns:a16="http://schemas.microsoft.com/office/drawing/2014/main" id="{65A43C2D-ACDC-41D9-B064-70D5F6FB81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0" name="AutoShape 1" descr="Vista previa de toda la pantalla">
          <a:extLst>
            <a:ext uri="{FF2B5EF4-FFF2-40B4-BE49-F238E27FC236}">
              <a16:creationId xmlns:a16="http://schemas.microsoft.com/office/drawing/2014/main" id="{57BF939B-731A-43B0-991F-2B25FF2B90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1" name="AutoShape 1" descr="Vista previa de toda la pantalla">
          <a:extLst>
            <a:ext uri="{FF2B5EF4-FFF2-40B4-BE49-F238E27FC236}">
              <a16:creationId xmlns:a16="http://schemas.microsoft.com/office/drawing/2014/main" id="{99F0F63B-B928-4FCC-A710-D0A1B17DBC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2" name="AutoShape 1" descr="Vista previa de toda la pantalla">
          <a:extLst>
            <a:ext uri="{FF2B5EF4-FFF2-40B4-BE49-F238E27FC236}">
              <a16:creationId xmlns:a16="http://schemas.microsoft.com/office/drawing/2014/main" id="{DB4F6180-A459-40CC-965E-D23A7878B7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3" name="AutoShape 1" descr="Vista previa de toda la pantalla">
          <a:extLst>
            <a:ext uri="{FF2B5EF4-FFF2-40B4-BE49-F238E27FC236}">
              <a16:creationId xmlns:a16="http://schemas.microsoft.com/office/drawing/2014/main" id="{0991D4E9-25A3-4EF2-8034-3016D4BABB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4" name="AutoShape 1" descr="Vista previa de toda la pantalla">
          <a:extLst>
            <a:ext uri="{FF2B5EF4-FFF2-40B4-BE49-F238E27FC236}">
              <a16:creationId xmlns:a16="http://schemas.microsoft.com/office/drawing/2014/main" id="{30848123-E9C8-43A0-94E5-106486FE03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5" name="AutoShape 1" descr="Vista previa de toda la pantalla">
          <a:extLst>
            <a:ext uri="{FF2B5EF4-FFF2-40B4-BE49-F238E27FC236}">
              <a16:creationId xmlns:a16="http://schemas.microsoft.com/office/drawing/2014/main" id="{449E99CF-E643-4A30-920A-CEE113B457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6" name="AutoShape 1" descr="Vista previa de toda la pantalla">
          <a:extLst>
            <a:ext uri="{FF2B5EF4-FFF2-40B4-BE49-F238E27FC236}">
              <a16:creationId xmlns:a16="http://schemas.microsoft.com/office/drawing/2014/main" id="{4D5ACFF5-A0C6-4479-B9C8-CBC1AABCD8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7" name="AutoShape 1" descr="Vista previa de toda la pantalla">
          <a:extLst>
            <a:ext uri="{FF2B5EF4-FFF2-40B4-BE49-F238E27FC236}">
              <a16:creationId xmlns:a16="http://schemas.microsoft.com/office/drawing/2014/main" id="{AB54B2A8-25A6-4802-91D2-FD0DAF9D5F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8" name="AutoShape 1" descr="Vista previa de toda la pantalla">
          <a:extLst>
            <a:ext uri="{FF2B5EF4-FFF2-40B4-BE49-F238E27FC236}">
              <a16:creationId xmlns:a16="http://schemas.microsoft.com/office/drawing/2014/main" id="{E6413679-40E3-4D0C-BE55-7193392D3E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09" name="AutoShape 1" descr="Vista previa de toda la pantalla">
          <a:extLst>
            <a:ext uri="{FF2B5EF4-FFF2-40B4-BE49-F238E27FC236}">
              <a16:creationId xmlns:a16="http://schemas.microsoft.com/office/drawing/2014/main" id="{ED7D163F-FC0B-41B7-B9C1-F49763D8A7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0" name="AutoShape 1" descr="Vista previa de toda la pantalla">
          <a:extLst>
            <a:ext uri="{FF2B5EF4-FFF2-40B4-BE49-F238E27FC236}">
              <a16:creationId xmlns:a16="http://schemas.microsoft.com/office/drawing/2014/main" id="{93ABAE23-1F4B-4250-9DF3-8C835896DC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1" name="AutoShape 1" descr="Vista previa de toda la pantalla">
          <a:extLst>
            <a:ext uri="{FF2B5EF4-FFF2-40B4-BE49-F238E27FC236}">
              <a16:creationId xmlns:a16="http://schemas.microsoft.com/office/drawing/2014/main" id="{A7346396-457E-4F9D-A044-182BB4B19E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2" name="AutoShape 1" descr="Vista previa de toda la pantalla">
          <a:extLst>
            <a:ext uri="{FF2B5EF4-FFF2-40B4-BE49-F238E27FC236}">
              <a16:creationId xmlns:a16="http://schemas.microsoft.com/office/drawing/2014/main" id="{DE7E66C2-70FA-4BCF-A99A-121292008D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3" name="AutoShape 1" descr="Vista previa de toda la pantalla">
          <a:extLst>
            <a:ext uri="{FF2B5EF4-FFF2-40B4-BE49-F238E27FC236}">
              <a16:creationId xmlns:a16="http://schemas.microsoft.com/office/drawing/2014/main" id="{9174B4C6-088D-4BBA-850F-D0450F6482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4" name="AutoShape 1" descr="Vista previa de toda la pantalla">
          <a:extLst>
            <a:ext uri="{FF2B5EF4-FFF2-40B4-BE49-F238E27FC236}">
              <a16:creationId xmlns:a16="http://schemas.microsoft.com/office/drawing/2014/main" id="{C5D1C8F2-4B13-41A9-9E0B-EB3D31CD47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5" name="AutoShape 1" descr="Vista previa de toda la pantalla">
          <a:extLst>
            <a:ext uri="{FF2B5EF4-FFF2-40B4-BE49-F238E27FC236}">
              <a16:creationId xmlns:a16="http://schemas.microsoft.com/office/drawing/2014/main" id="{E60AC891-AC96-48B5-A4B7-EEBC3CE784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6" name="AutoShape 1" descr="Vista previa de toda la pantalla">
          <a:extLst>
            <a:ext uri="{FF2B5EF4-FFF2-40B4-BE49-F238E27FC236}">
              <a16:creationId xmlns:a16="http://schemas.microsoft.com/office/drawing/2014/main" id="{D188A0CD-8313-4836-90EF-D257F95722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7" name="AutoShape 1" descr="Vista previa de toda la pantalla">
          <a:extLst>
            <a:ext uri="{FF2B5EF4-FFF2-40B4-BE49-F238E27FC236}">
              <a16:creationId xmlns:a16="http://schemas.microsoft.com/office/drawing/2014/main" id="{07F5010B-CA7A-4BBD-A09A-8339026334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8" name="AutoShape 1" descr="Vista previa de toda la pantalla">
          <a:extLst>
            <a:ext uri="{FF2B5EF4-FFF2-40B4-BE49-F238E27FC236}">
              <a16:creationId xmlns:a16="http://schemas.microsoft.com/office/drawing/2014/main" id="{67067402-1CEB-48CA-9A99-6C24338767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19" name="AutoShape 1" descr="Vista previa de toda la pantalla">
          <a:extLst>
            <a:ext uri="{FF2B5EF4-FFF2-40B4-BE49-F238E27FC236}">
              <a16:creationId xmlns:a16="http://schemas.microsoft.com/office/drawing/2014/main" id="{AC1F16FE-518D-4F50-B5CC-CCC49855B2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0" name="AutoShape 1" descr="Vista previa de toda la pantalla">
          <a:extLst>
            <a:ext uri="{FF2B5EF4-FFF2-40B4-BE49-F238E27FC236}">
              <a16:creationId xmlns:a16="http://schemas.microsoft.com/office/drawing/2014/main" id="{ADE3F680-5661-4C1B-BC0D-7C095FA59C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1" name="AutoShape 1" descr="Vista previa de toda la pantalla">
          <a:extLst>
            <a:ext uri="{FF2B5EF4-FFF2-40B4-BE49-F238E27FC236}">
              <a16:creationId xmlns:a16="http://schemas.microsoft.com/office/drawing/2014/main" id="{47A305B9-02D1-497C-A08E-1D68B6B314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2" name="AutoShape 1" descr="Vista previa de toda la pantalla">
          <a:extLst>
            <a:ext uri="{FF2B5EF4-FFF2-40B4-BE49-F238E27FC236}">
              <a16:creationId xmlns:a16="http://schemas.microsoft.com/office/drawing/2014/main" id="{4A6304BE-F943-46BF-AFF0-BAD8A23F67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3" name="AutoShape 1" descr="Vista previa de toda la pantalla">
          <a:extLst>
            <a:ext uri="{FF2B5EF4-FFF2-40B4-BE49-F238E27FC236}">
              <a16:creationId xmlns:a16="http://schemas.microsoft.com/office/drawing/2014/main" id="{3391EB6C-842C-44A7-B595-2A3FDB1E06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4" name="AutoShape 1" descr="Vista previa de toda la pantalla">
          <a:extLst>
            <a:ext uri="{FF2B5EF4-FFF2-40B4-BE49-F238E27FC236}">
              <a16:creationId xmlns:a16="http://schemas.microsoft.com/office/drawing/2014/main" id="{28844394-42B8-41D8-B8F3-0C619B4C3E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5" name="AutoShape 1" descr="Vista previa de toda la pantalla">
          <a:extLst>
            <a:ext uri="{FF2B5EF4-FFF2-40B4-BE49-F238E27FC236}">
              <a16:creationId xmlns:a16="http://schemas.microsoft.com/office/drawing/2014/main" id="{FCABD60F-0FA4-4BCA-B508-20E207208A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6" name="AutoShape 1" descr="Vista previa de toda la pantalla">
          <a:extLst>
            <a:ext uri="{FF2B5EF4-FFF2-40B4-BE49-F238E27FC236}">
              <a16:creationId xmlns:a16="http://schemas.microsoft.com/office/drawing/2014/main" id="{C5456C2E-9EF8-43F5-85E6-A351389B15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7" name="AutoShape 1" descr="Vista previa de toda la pantalla">
          <a:extLst>
            <a:ext uri="{FF2B5EF4-FFF2-40B4-BE49-F238E27FC236}">
              <a16:creationId xmlns:a16="http://schemas.microsoft.com/office/drawing/2014/main" id="{CC40394F-CD2B-4832-8CDF-1951678A6D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8" name="AutoShape 1" descr="Vista previa de toda la pantalla">
          <a:extLst>
            <a:ext uri="{FF2B5EF4-FFF2-40B4-BE49-F238E27FC236}">
              <a16:creationId xmlns:a16="http://schemas.microsoft.com/office/drawing/2014/main" id="{54D6941C-87E5-4888-AF1B-380C81829D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29" name="AutoShape 1" descr="Vista previa de toda la pantalla">
          <a:extLst>
            <a:ext uri="{FF2B5EF4-FFF2-40B4-BE49-F238E27FC236}">
              <a16:creationId xmlns:a16="http://schemas.microsoft.com/office/drawing/2014/main" id="{82908310-3B43-4647-A357-D4583785F0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0" name="AutoShape 1" descr="Vista previa de toda la pantalla">
          <a:extLst>
            <a:ext uri="{FF2B5EF4-FFF2-40B4-BE49-F238E27FC236}">
              <a16:creationId xmlns:a16="http://schemas.microsoft.com/office/drawing/2014/main" id="{E025FEF2-6CE9-407C-8340-999B3C4836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1" name="AutoShape 1" descr="Vista previa de toda la pantalla">
          <a:extLst>
            <a:ext uri="{FF2B5EF4-FFF2-40B4-BE49-F238E27FC236}">
              <a16:creationId xmlns:a16="http://schemas.microsoft.com/office/drawing/2014/main" id="{1F08879B-C79F-4713-BED8-C071BB5AD5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2" name="AutoShape 1" descr="Vista previa de toda la pantalla">
          <a:extLst>
            <a:ext uri="{FF2B5EF4-FFF2-40B4-BE49-F238E27FC236}">
              <a16:creationId xmlns:a16="http://schemas.microsoft.com/office/drawing/2014/main" id="{AB434DC5-9321-4125-94C2-5F0A1D6D5B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3" name="AutoShape 1" descr="Vista previa de toda la pantalla">
          <a:extLst>
            <a:ext uri="{FF2B5EF4-FFF2-40B4-BE49-F238E27FC236}">
              <a16:creationId xmlns:a16="http://schemas.microsoft.com/office/drawing/2014/main" id="{D645BD59-72BB-4EDC-88E4-BB1308D856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4" name="AutoShape 1" descr="Vista previa de toda la pantalla">
          <a:extLst>
            <a:ext uri="{FF2B5EF4-FFF2-40B4-BE49-F238E27FC236}">
              <a16:creationId xmlns:a16="http://schemas.microsoft.com/office/drawing/2014/main" id="{5D3393FD-4CBB-4FA5-B272-5334980D1E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5" name="AutoShape 1" descr="Vista previa de toda la pantalla">
          <a:extLst>
            <a:ext uri="{FF2B5EF4-FFF2-40B4-BE49-F238E27FC236}">
              <a16:creationId xmlns:a16="http://schemas.microsoft.com/office/drawing/2014/main" id="{CA7C18B7-3D08-4E43-94EE-F5DB40F9D7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6" name="AutoShape 1" descr="Vista previa de toda la pantalla">
          <a:extLst>
            <a:ext uri="{FF2B5EF4-FFF2-40B4-BE49-F238E27FC236}">
              <a16:creationId xmlns:a16="http://schemas.microsoft.com/office/drawing/2014/main" id="{7F670C8C-503D-4554-ABA2-336C7A8E8D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7" name="AutoShape 1" descr="Vista previa de toda la pantalla">
          <a:extLst>
            <a:ext uri="{FF2B5EF4-FFF2-40B4-BE49-F238E27FC236}">
              <a16:creationId xmlns:a16="http://schemas.microsoft.com/office/drawing/2014/main" id="{61537D2F-9F0F-4350-94B4-D15B9E61BE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8" name="AutoShape 1" descr="Vista previa de toda la pantalla">
          <a:extLst>
            <a:ext uri="{FF2B5EF4-FFF2-40B4-BE49-F238E27FC236}">
              <a16:creationId xmlns:a16="http://schemas.microsoft.com/office/drawing/2014/main" id="{B3B29529-FAA5-4150-ABAE-DEBBDED872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39" name="AutoShape 1" descr="Vista previa de toda la pantalla">
          <a:extLst>
            <a:ext uri="{FF2B5EF4-FFF2-40B4-BE49-F238E27FC236}">
              <a16:creationId xmlns:a16="http://schemas.microsoft.com/office/drawing/2014/main" id="{8F5CB8D3-5AB2-434B-AB74-D95B656DDA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0" name="AutoShape 1" descr="Vista previa de toda la pantalla">
          <a:extLst>
            <a:ext uri="{FF2B5EF4-FFF2-40B4-BE49-F238E27FC236}">
              <a16:creationId xmlns:a16="http://schemas.microsoft.com/office/drawing/2014/main" id="{D0F95C1C-37B4-4651-8B39-5FD5E5BB4B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1" name="AutoShape 1" descr="Vista previa de toda la pantalla">
          <a:extLst>
            <a:ext uri="{FF2B5EF4-FFF2-40B4-BE49-F238E27FC236}">
              <a16:creationId xmlns:a16="http://schemas.microsoft.com/office/drawing/2014/main" id="{34567515-2512-4FAB-A3DB-969B2E2388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2" name="AutoShape 1" descr="Vista previa de toda la pantalla">
          <a:extLst>
            <a:ext uri="{FF2B5EF4-FFF2-40B4-BE49-F238E27FC236}">
              <a16:creationId xmlns:a16="http://schemas.microsoft.com/office/drawing/2014/main" id="{71D657A5-30A6-48C0-BB09-3D2AA578E1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3" name="AutoShape 1" descr="Vista previa de toda la pantalla">
          <a:extLst>
            <a:ext uri="{FF2B5EF4-FFF2-40B4-BE49-F238E27FC236}">
              <a16:creationId xmlns:a16="http://schemas.microsoft.com/office/drawing/2014/main" id="{F2BBC2CE-F43B-4658-830F-837988B487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4" name="AutoShape 1" descr="Vista previa de toda la pantalla">
          <a:extLst>
            <a:ext uri="{FF2B5EF4-FFF2-40B4-BE49-F238E27FC236}">
              <a16:creationId xmlns:a16="http://schemas.microsoft.com/office/drawing/2014/main" id="{FB37549D-BDFD-4081-A024-27FB17B839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5" name="AutoShape 1" descr="Vista previa de toda la pantalla">
          <a:extLst>
            <a:ext uri="{FF2B5EF4-FFF2-40B4-BE49-F238E27FC236}">
              <a16:creationId xmlns:a16="http://schemas.microsoft.com/office/drawing/2014/main" id="{CB9F99BE-27B6-45D5-94F1-8C41910A8B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6" name="AutoShape 1" descr="Vista previa de toda la pantalla">
          <a:extLst>
            <a:ext uri="{FF2B5EF4-FFF2-40B4-BE49-F238E27FC236}">
              <a16:creationId xmlns:a16="http://schemas.microsoft.com/office/drawing/2014/main" id="{D14CF0E6-3240-4766-AC2E-F043BDC591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7" name="AutoShape 1" descr="Vista previa de toda la pantalla">
          <a:extLst>
            <a:ext uri="{FF2B5EF4-FFF2-40B4-BE49-F238E27FC236}">
              <a16:creationId xmlns:a16="http://schemas.microsoft.com/office/drawing/2014/main" id="{0FBFE7B9-0F87-4DB9-8CC9-315984E147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8" name="AutoShape 1" descr="Vista previa de toda la pantalla">
          <a:extLst>
            <a:ext uri="{FF2B5EF4-FFF2-40B4-BE49-F238E27FC236}">
              <a16:creationId xmlns:a16="http://schemas.microsoft.com/office/drawing/2014/main" id="{968229C5-0AF5-4739-8AE5-DBD072AD0B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49" name="AutoShape 1" descr="Vista previa de toda la pantalla">
          <a:extLst>
            <a:ext uri="{FF2B5EF4-FFF2-40B4-BE49-F238E27FC236}">
              <a16:creationId xmlns:a16="http://schemas.microsoft.com/office/drawing/2014/main" id="{5274C61C-A306-466A-85D8-DCD875A753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0" name="AutoShape 1" descr="Vista previa de toda la pantalla">
          <a:extLst>
            <a:ext uri="{FF2B5EF4-FFF2-40B4-BE49-F238E27FC236}">
              <a16:creationId xmlns:a16="http://schemas.microsoft.com/office/drawing/2014/main" id="{7CFE207C-1A8F-4938-9B5F-7EBCFA8A96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1" name="AutoShape 1" descr="Vista previa de toda la pantalla">
          <a:extLst>
            <a:ext uri="{FF2B5EF4-FFF2-40B4-BE49-F238E27FC236}">
              <a16:creationId xmlns:a16="http://schemas.microsoft.com/office/drawing/2014/main" id="{4F82AFCA-EA17-4944-B156-A2EF44C22A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2" name="AutoShape 1" descr="Vista previa de toda la pantalla">
          <a:extLst>
            <a:ext uri="{FF2B5EF4-FFF2-40B4-BE49-F238E27FC236}">
              <a16:creationId xmlns:a16="http://schemas.microsoft.com/office/drawing/2014/main" id="{93006904-4122-4308-B28F-411C4B8815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3" name="AutoShape 1" descr="Vista previa de toda la pantalla">
          <a:extLst>
            <a:ext uri="{FF2B5EF4-FFF2-40B4-BE49-F238E27FC236}">
              <a16:creationId xmlns:a16="http://schemas.microsoft.com/office/drawing/2014/main" id="{A9652595-A24B-4BAC-BFA4-18EA96DA33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4" name="AutoShape 1" descr="Vista previa de toda la pantalla">
          <a:extLst>
            <a:ext uri="{FF2B5EF4-FFF2-40B4-BE49-F238E27FC236}">
              <a16:creationId xmlns:a16="http://schemas.microsoft.com/office/drawing/2014/main" id="{3B48F07F-DF7F-4B7D-9E9F-2DED8D8405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5" name="AutoShape 1" descr="Vista previa de toda la pantalla">
          <a:extLst>
            <a:ext uri="{FF2B5EF4-FFF2-40B4-BE49-F238E27FC236}">
              <a16:creationId xmlns:a16="http://schemas.microsoft.com/office/drawing/2014/main" id="{6D58C50F-FD60-4229-B161-BE1DC51140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6" name="AutoShape 1" descr="Vista previa de toda la pantalla">
          <a:extLst>
            <a:ext uri="{FF2B5EF4-FFF2-40B4-BE49-F238E27FC236}">
              <a16:creationId xmlns:a16="http://schemas.microsoft.com/office/drawing/2014/main" id="{25393CAD-0096-431F-9C51-E1644BBF53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7" name="AutoShape 1" descr="Vista previa de toda la pantalla">
          <a:extLst>
            <a:ext uri="{FF2B5EF4-FFF2-40B4-BE49-F238E27FC236}">
              <a16:creationId xmlns:a16="http://schemas.microsoft.com/office/drawing/2014/main" id="{46E4AE3E-723E-4359-B3EC-B048573947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8" name="AutoShape 1" descr="Vista previa de toda la pantalla">
          <a:extLst>
            <a:ext uri="{FF2B5EF4-FFF2-40B4-BE49-F238E27FC236}">
              <a16:creationId xmlns:a16="http://schemas.microsoft.com/office/drawing/2014/main" id="{141BC223-B57C-46A2-9AE6-B7877BF315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59" name="AutoShape 1" descr="Vista previa de toda la pantalla">
          <a:extLst>
            <a:ext uri="{FF2B5EF4-FFF2-40B4-BE49-F238E27FC236}">
              <a16:creationId xmlns:a16="http://schemas.microsoft.com/office/drawing/2014/main" id="{892F826D-4AC9-49D5-8535-931B9A84D9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60" name="AutoShape 1" descr="Vista previa de toda la pantalla">
          <a:extLst>
            <a:ext uri="{FF2B5EF4-FFF2-40B4-BE49-F238E27FC236}">
              <a16:creationId xmlns:a16="http://schemas.microsoft.com/office/drawing/2014/main" id="{75A12BBD-D899-4547-879B-D103BF264A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61" name="AutoShape 1" descr="Vista previa de toda la pantalla">
          <a:extLst>
            <a:ext uri="{FF2B5EF4-FFF2-40B4-BE49-F238E27FC236}">
              <a16:creationId xmlns:a16="http://schemas.microsoft.com/office/drawing/2014/main" id="{ADFCEFBD-225A-4B9B-8D56-7E668D7691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62" name="AutoShape 1" descr="Vista previa de toda la pantalla">
          <a:extLst>
            <a:ext uri="{FF2B5EF4-FFF2-40B4-BE49-F238E27FC236}">
              <a16:creationId xmlns:a16="http://schemas.microsoft.com/office/drawing/2014/main" id="{C68D83F3-9924-4AC2-A34A-383BC3DFAE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63" name="AutoShape 1" descr="Vista previa de toda la pantalla">
          <a:extLst>
            <a:ext uri="{FF2B5EF4-FFF2-40B4-BE49-F238E27FC236}">
              <a16:creationId xmlns:a16="http://schemas.microsoft.com/office/drawing/2014/main" id="{9B894A19-F3D6-4390-AFFD-184D14DAC3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64" name="AutoShape 1" descr="Vista previa de toda la pantalla">
          <a:extLst>
            <a:ext uri="{FF2B5EF4-FFF2-40B4-BE49-F238E27FC236}">
              <a16:creationId xmlns:a16="http://schemas.microsoft.com/office/drawing/2014/main" id="{7B15E3DE-374F-41C0-85D3-0E3FD23350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65" name="AutoShape 1" descr="Vista previa de toda la pantalla">
          <a:extLst>
            <a:ext uri="{FF2B5EF4-FFF2-40B4-BE49-F238E27FC236}">
              <a16:creationId xmlns:a16="http://schemas.microsoft.com/office/drawing/2014/main" id="{AE693958-606E-4877-839F-05E572118E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66" name="AutoShape 1" descr="Vista previa de toda la pantalla">
          <a:extLst>
            <a:ext uri="{FF2B5EF4-FFF2-40B4-BE49-F238E27FC236}">
              <a16:creationId xmlns:a16="http://schemas.microsoft.com/office/drawing/2014/main" id="{2558A8CD-5DC1-464A-8C1B-0830109B40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67" name="AutoShape 1" descr="Vista previa de toda la pantalla">
          <a:extLst>
            <a:ext uri="{FF2B5EF4-FFF2-40B4-BE49-F238E27FC236}">
              <a16:creationId xmlns:a16="http://schemas.microsoft.com/office/drawing/2014/main" id="{30919A7D-D496-4C1A-8EEC-9C1E72424E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68" name="AutoShape 1" descr="Vista previa de toda la pantalla">
          <a:extLst>
            <a:ext uri="{FF2B5EF4-FFF2-40B4-BE49-F238E27FC236}">
              <a16:creationId xmlns:a16="http://schemas.microsoft.com/office/drawing/2014/main" id="{D2B2611B-6D1F-42CD-BF30-E73A2DC54F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0869" name="AutoShape 1" descr="Vista previa de toda la pantalla">
          <a:extLst>
            <a:ext uri="{FF2B5EF4-FFF2-40B4-BE49-F238E27FC236}">
              <a16:creationId xmlns:a16="http://schemas.microsoft.com/office/drawing/2014/main" id="{6B1C548F-A58D-4B8A-96D1-924EA84BDE8D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0" name="AutoShape 1" descr="Vista previa de toda la pantalla">
          <a:extLst>
            <a:ext uri="{FF2B5EF4-FFF2-40B4-BE49-F238E27FC236}">
              <a16:creationId xmlns:a16="http://schemas.microsoft.com/office/drawing/2014/main" id="{322CA7F2-05D3-4BC2-BCC0-18207E1262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1" name="AutoShape 1" descr="Vista previa de toda la pantalla">
          <a:extLst>
            <a:ext uri="{FF2B5EF4-FFF2-40B4-BE49-F238E27FC236}">
              <a16:creationId xmlns:a16="http://schemas.microsoft.com/office/drawing/2014/main" id="{BE563037-BBDB-4C40-9669-3F020386BF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2" name="AutoShape 1" descr="Vista previa de toda la pantalla">
          <a:extLst>
            <a:ext uri="{FF2B5EF4-FFF2-40B4-BE49-F238E27FC236}">
              <a16:creationId xmlns:a16="http://schemas.microsoft.com/office/drawing/2014/main" id="{0C1CB68F-6DE1-44BF-89A3-40E0771838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3" name="AutoShape 1" descr="Vista previa de toda la pantalla">
          <a:extLst>
            <a:ext uri="{FF2B5EF4-FFF2-40B4-BE49-F238E27FC236}">
              <a16:creationId xmlns:a16="http://schemas.microsoft.com/office/drawing/2014/main" id="{F925D944-8FFB-428B-98E4-0F68BF508C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4" name="AutoShape 1" descr="Vista previa de toda la pantalla">
          <a:extLst>
            <a:ext uri="{FF2B5EF4-FFF2-40B4-BE49-F238E27FC236}">
              <a16:creationId xmlns:a16="http://schemas.microsoft.com/office/drawing/2014/main" id="{6694A80E-BFF9-48C8-9B4C-BD2CE44133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5" name="AutoShape 1" descr="Vista previa de toda la pantalla">
          <a:extLst>
            <a:ext uri="{FF2B5EF4-FFF2-40B4-BE49-F238E27FC236}">
              <a16:creationId xmlns:a16="http://schemas.microsoft.com/office/drawing/2014/main" id="{0B35D828-681F-4EB8-9D2A-84566F6C14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6" name="AutoShape 1" descr="Vista previa de toda la pantalla">
          <a:extLst>
            <a:ext uri="{FF2B5EF4-FFF2-40B4-BE49-F238E27FC236}">
              <a16:creationId xmlns:a16="http://schemas.microsoft.com/office/drawing/2014/main" id="{30412B4E-0222-469A-8ED7-CB7AC69981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7" name="AutoShape 1" descr="Vista previa de toda la pantalla">
          <a:extLst>
            <a:ext uri="{FF2B5EF4-FFF2-40B4-BE49-F238E27FC236}">
              <a16:creationId xmlns:a16="http://schemas.microsoft.com/office/drawing/2014/main" id="{3722E6D5-D7E1-4133-A1C4-7FF793BC30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8" name="AutoShape 1" descr="Vista previa de toda la pantalla">
          <a:extLst>
            <a:ext uri="{FF2B5EF4-FFF2-40B4-BE49-F238E27FC236}">
              <a16:creationId xmlns:a16="http://schemas.microsoft.com/office/drawing/2014/main" id="{DC8831F7-90C7-45ED-99A8-3E633FD2FA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79" name="AutoShape 1" descr="Vista previa de toda la pantalla">
          <a:extLst>
            <a:ext uri="{FF2B5EF4-FFF2-40B4-BE49-F238E27FC236}">
              <a16:creationId xmlns:a16="http://schemas.microsoft.com/office/drawing/2014/main" id="{C29A91F8-B2E4-4319-A212-2B9DA2A909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0" name="AutoShape 1" descr="Vista previa de toda la pantalla">
          <a:extLst>
            <a:ext uri="{FF2B5EF4-FFF2-40B4-BE49-F238E27FC236}">
              <a16:creationId xmlns:a16="http://schemas.microsoft.com/office/drawing/2014/main" id="{EDBC4C24-1629-47D3-A39B-4B276BFAA1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1" name="AutoShape 1" descr="Vista previa de toda la pantalla">
          <a:extLst>
            <a:ext uri="{FF2B5EF4-FFF2-40B4-BE49-F238E27FC236}">
              <a16:creationId xmlns:a16="http://schemas.microsoft.com/office/drawing/2014/main" id="{14E92465-B41F-4CFD-89DE-C3C6406541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2" name="AutoShape 1" descr="Vista previa de toda la pantalla">
          <a:extLst>
            <a:ext uri="{FF2B5EF4-FFF2-40B4-BE49-F238E27FC236}">
              <a16:creationId xmlns:a16="http://schemas.microsoft.com/office/drawing/2014/main" id="{D21CEB2B-48B5-4458-B91D-4328BD6531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3" name="AutoShape 1" descr="Vista previa de toda la pantalla">
          <a:extLst>
            <a:ext uri="{FF2B5EF4-FFF2-40B4-BE49-F238E27FC236}">
              <a16:creationId xmlns:a16="http://schemas.microsoft.com/office/drawing/2014/main" id="{F7132B8B-C48B-49D0-9D57-CD05D4FDF3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4" name="AutoShape 1" descr="Vista previa de toda la pantalla">
          <a:extLst>
            <a:ext uri="{FF2B5EF4-FFF2-40B4-BE49-F238E27FC236}">
              <a16:creationId xmlns:a16="http://schemas.microsoft.com/office/drawing/2014/main" id="{1770CFF4-946F-48F8-A282-64C3F0F2C0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5" name="AutoShape 1" descr="Vista previa de toda la pantalla">
          <a:extLst>
            <a:ext uri="{FF2B5EF4-FFF2-40B4-BE49-F238E27FC236}">
              <a16:creationId xmlns:a16="http://schemas.microsoft.com/office/drawing/2014/main" id="{4A65C3A8-339D-48B1-BDBA-E1C7A94F51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6" name="AutoShape 1" descr="Vista previa de toda la pantalla">
          <a:extLst>
            <a:ext uri="{FF2B5EF4-FFF2-40B4-BE49-F238E27FC236}">
              <a16:creationId xmlns:a16="http://schemas.microsoft.com/office/drawing/2014/main" id="{39DB2478-BC69-4957-81A0-71DD0012A8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7" name="AutoShape 1" descr="Vista previa de toda la pantalla">
          <a:extLst>
            <a:ext uri="{FF2B5EF4-FFF2-40B4-BE49-F238E27FC236}">
              <a16:creationId xmlns:a16="http://schemas.microsoft.com/office/drawing/2014/main" id="{5A45BE4C-ED18-499E-B635-29EBCABA59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8" name="AutoShape 1" descr="Vista previa de toda la pantalla">
          <a:extLst>
            <a:ext uri="{FF2B5EF4-FFF2-40B4-BE49-F238E27FC236}">
              <a16:creationId xmlns:a16="http://schemas.microsoft.com/office/drawing/2014/main" id="{3E7082B0-BEB4-41D5-9704-C67048BE82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89" name="AutoShape 1" descr="Vista previa de toda la pantalla">
          <a:extLst>
            <a:ext uri="{FF2B5EF4-FFF2-40B4-BE49-F238E27FC236}">
              <a16:creationId xmlns:a16="http://schemas.microsoft.com/office/drawing/2014/main" id="{4A69050C-48D6-4A07-B4C3-DF192A8761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0" name="AutoShape 1" descr="Vista previa de toda la pantalla">
          <a:extLst>
            <a:ext uri="{FF2B5EF4-FFF2-40B4-BE49-F238E27FC236}">
              <a16:creationId xmlns:a16="http://schemas.microsoft.com/office/drawing/2014/main" id="{C663F0A9-4EA8-47B2-9F50-C0D54B622B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1" name="AutoShape 1" descr="Vista previa de toda la pantalla">
          <a:extLst>
            <a:ext uri="{FF2B5EF4-FFF2-40B4-BE49-F238E27FC236}">
              <a16:creationId xmlns:a16="http://schemas.microsoft.com/office/drawing/2014/main" id="{2B0CD0F1-61BD-4ABD-8C23-41C3520E8A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2" name="AutoShape 1" descr="Vista previa de toda la pantalla">
          <a:extLst>
            <a:ext uri="{FF2B5EF4-FFF2-40B4-BE49-F238E27FC236}">
              <a16:creationId xmlns:a16="http://schemas.microsoft.com/office/drawing/2014/main" id="{169341F2-7F86-4B6D-BF40-38B23376D5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3" name="AutoShape 1" descr="Vista previa de toda la pantalla">
          <a:extLst>
            <a:ext uri="{FF2B5EF4-FFF2-40B4-BE49-F238E27FC236}">
              <a16:creationId xmlns:a16="http://schemas.microsoft.com/office/drawing/2014/main" id="{1E33E692-0809-4E65-8044-B77BEBA46E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4" name="AutoShape 1" descr="Vista previa de toda la pantalla">
          <a:extLst>
            <a:ext uri="{FF2B5EF4-FFF2-40B4-BE49-F238E27FC236}">
              <a16:creationId xmlns:a16="http://schemas.microsoft.com/office/drawing/2014/main" id="{A54DC180-CD0A-4659-9C94-0FF09B1BD9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5" name="AutoShape 1" descr="Vista previa de toda la pantalla">
          <a:extLst>
            <a:ext uri="{FF2B5EF4-FFF2-40B4-BE49-F238E27FC236}">
              <a16:creationId xmlns:a16="http://schemas.microsoft.com/office/drawing/2014/main" id="{43A62305-6B84-41ED-BFF0-4EFE478942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6" name="AutoShape 1" descr="Vista previa de toda la pantalla">
          <a:extLst>
            <a:ext uri="{FF2B5EF4-FFF2-40B4-BE49-F238E27FC236}">
              <a16:creationId xmlns:a16="http://schemas.microsoft.com/office/drawing/2014/main" id="{1A7B4D03-1332-4519-AFBD-657F4E74E8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7" name="AutoShape 1" descr="Vista previa de toda la pantalla">
          <a:extLst>
            <a:ext uri="{FF2B5EF4-FFF2-40B4-BE49-F238E27FC236}">
              <a16:creationId xmlns:a16="http://schemas.microsoft.com/office/drawing/2014/main" id="{8FC0448D-ABF1-48A9-8F72-B7179FB2B2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8" name="AutoShape 1" descr="Vista previa de toda la pantalla">
          <a:extLst>
            <a:ext uri="{FF2B5EF4-FFF2-40B4-BE49-F238E27FC236}">
              <a16:creationId xmlns:a16="http://schemas.microsoft.com/office/drawing/2014/main" id="{4C637B9D-DF6A-477C-8FEB-68E83CFC87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899" name="AutoShape 1" descr="Vista previa de toda la pantalla">
          <a:extLst>
            <a:ext uri="{FF2B5EF4-FFF2-40B4-BE49-F238E27FC236}">
              <a16:creationId xmlns:a16="http://schemas.microsoft.com/office/drawing/2014/main" id="{A3751BF7-1EA3-40FF-8268-B35F0E5903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0" name="AutoShape 1" descr="Vista previa de toda la pantalla">
          <a:extLst>
            <a:ext uri="{FF2B5EF4-FFF2-40B4-BE49-F238E27FC236}">
              <a16:creationId xmlns:a16="http://schemas.microsoft.com/office/drawing/2014/main" id="{AA59B384-D00C-40A9-9BC5-CCFA4F6FD5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1" name="AutoShape 1" descr="Vista previa de toda la pantalla">
          <a:extLst>
            <a:ext uri="{FF2B5EF4-FFF2-40B4-BE49-F238E27FC236}">
              <a16:creationId xmlns:a16="http://schemas.microsoft.com/office/drawing/2014/main" id="{869C31D7-82CD-4DD5-9674-D14D21AF3D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2" name="AutoShape 1" descr="Vista previa de toda la pantalla">
          <a:extLst>
            <a:ext uri="{FF2B5EF4-FFF2-40B4-BE49-F238E27FC236}">
              <a16:creationId xmlns:a16="http://schemas.microsoft.com/office/drawing/2014/main" id="{265DF0B5-78CB-4BAF-81EF-E513442695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3" name="AutoShape 1" descr="Vista previa de toda la pantalla">
          <a:extLst>
            <a:ext uri="{FF2B5EF4-FFF2-40B4-BE49-F238E27FC236}">
              <a16:creationId xmlns:a16="http://schemas.microsoft.com/office/drawing/2014/main" id="{7E51F7BA-6587-4CF5-855C-6753369DA2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4" name="AutoShape 1" descr="Vista previa de toda la pantalla">
          <a:extLst>
            <a:ext uri="{FF2B5EF4-FFF2-40B4-BE49-F238E27FC236}">
              <a16:creationId xmlns:a16="http://schemas.microsoft.com/office/drawing/2014/main" id="{E661B9DF-D3C8-45B7-B4E2-DE9D12BC56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5" name="AutoShape 1" descr="Vista previa de toda la pantalla">
          <a:extLst>
            <a:ext uri="{FF2B5EF4-FFF2-40B4-BE49-F238E27FC236}">
              <a16:creationId xmlns:a16="http://schemas.microsoft.com/office/drawing/2014/main" id="{3B310796-AD62-4CDF-8177-2F3D0B5381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6" name="AutoShape 1" descr="Vista previa de toda la pantalla">
          <a:extLst>
            <a:ext uri="{FF2B5EF4-FFF2-40B4-BE49-F238E27FC236}">
              <a16:creationId xmlns:a16="http://schemas.microsoft.com/office/drawing/2014/main" id="{AECCDE37-0FFB-4265-AE65-109E81EF10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7" name="AutoShape 1" descr="Vista previa de toda la pantalla">
          <a:extLst>
            <a:ext uri="{FF2B5EF4-FFF2-40B4-BE49-F238E27FC236}">
              <a16:creationId xmlns:a16="http://schemas.microsoft.com/office/drawing/2014/main" id="{064BE807-2DEB-42EC-999A-92EAC04556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8" name="AutoShape 1" descr="Vista previa de toda la pantalla">
          <a:extLst>
            <a:ext uri="{FF2B5EF4-FFF2-40B4-BE49-F238E27FC236}">
              <a16:creationId xmlns:a16="http://schemas.microsoft.com/office/drawing/2014/main" id="{AD587021-8536-4E1F-97DF-DCCB83E8FC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09" name="AutoShape 1" descr="Vista previa de toda la pantalla">
          <a:extLst>
            <a:ext uri="{FF2B5EF4-FFF2-40B4-BE49-F238E27FC236}">
              <a16:creationId xmlns:a16="http://schemas.microsoft.com/office/drawing/2014/main" id="{5D613853-09B2-4934-9891-2FF76DAF2F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0" name="AutoShape 1" descr="Vista previa de toda la pantalla">
          <a:extLst>
            <a:ext uri="{FF2B5EF4-FFF2-40B4-BE49-F238E27FC236}">
              <a16:creationId xmlns:a16="http://schemas.microsoft.com/office/drawing/2014/main" id="{EA077962-4AD0-4BE8-A556-36BD287ADC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1" name="AutoShape 1" descr="Vista previa de toda la pantalla">
          <a:extLst>
            <a:ext uri="{FF2B5EF4-FFF2-40B4-BE49-F238E27FC236}">
              <a16:creationId xmlns:a16="http://schemas.microsoft.com/office/drawing/2014/main" id="{BA70701E-A23E-4F01-84BF-42007AD3FB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2" name="AutoShape 1" descr="Vista previa de toda la pantalla">
          <a:extLst>
            <a:ext uri="{FF2B5EF4-FFF2-40B4-BE49-F238E27FC236}">
              <a16:creationId xmlns:a16="http://schemas.microsoft.com/office/drawing/2014/main" id="{E3490B02-5161-40AF-ADCE-1861C6EDD2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3" name="AutoShape 1" descr="Vista previa de toda la pantalla">
          <a:extLst>
            <a:ext uri="{FF2B5EF4-FFF2-40B4-BE49-F238E27FC236}">
              <a16:creationId xmlns:a16="http://schemas.microsoft.com/office/drawing/2014/main" id="{43663859-AEE5-48A5-A3D4-0A8CC2B336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4" name="AutoShape 1" descr="Vista previa de toda la pantalla">
          <a:extLst>
            <a:ext uri="{FF2B5EF4-FFF2-40B4-BE49-F238E27FC236}">
              <a16:creationId xmlns:a16="http://schemas.microsoft.com/office/drawing/2014/main" id="{8A93B719-2B1B-46B3-B73A-29AF0AD117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5" name="AutoShape 1" descr="Vista previa de toda la pantalla">
          <a:extLst>
            <a:ext uri="{FF2B5EF4-FFF2-40B4-BE49-F238E27FC236}">
              <a16:creationId xmlns:a16="http://schemas.microsoft.com/office/drawing/2014/main" id="{A3962C7E-2AA2-4D54-BBC4-12AD26A802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6" name="AutoShape 1" descr="Vista previa de toda la pantalla">
          <a:extLst>
            <a:ext uri="{FF2B5EF4-FFF2-40B4-BE49-F238E27FC236}">
              <a16:creationId xmlns:a16="http://schemas.microsoft.com/office/drawing/2014/main" id="{2EA76BB6-18B4-4DBE-A61C-5E1BF55E3E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7" name="AutoShape 1" descr="Vista previa de toda la pantalla">
          <a:extLst>
            <a:ext uri="{FF2B5EF4-FFF2-40B4-BE49-F238E27FC236}">
              <a16:creationId xmlns:a16="http://schemas.microsoft.com/office/drawing/2014/main" id="{FBD364BB-BEAC-4DCB-B166-0E694078CD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8" name="AutoShape 1" descr="Vista previa de toda la pantalla">
          <a:extLst>
            <a:ext uri="{FF2B5EF4-FFF2-40B4-BE49-F238E27FC236}">
              <a16:creationId xmlns:a16="http://schemas.microsoft.com/office/drawing/2014/main" id="{C5F19A9F-C18E-4331-9BC8-D969934300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19" name="AutoShape 1" descr="Vista previa de toda la pantalla">
          <a:extLst>
            <a:ext uri="{FF2B5EF4-FFF2-40B4-BE49-F238E27FC236}">
              <a16:creationId xmlns:a16="http://schemas.microsoft.com/office/drawing/2014/main" id="{87EE186F-4A86-421C-85D9-BE37D3CDC9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0" name="AutoShape 1" descr="Vista previa de toda la pantalla">
          <a:extLst>
            <a:ext uri="{FF2B5EF4-FFF2-40B4-BE49-F238E27FC236}">
              <a16:creationId xmlns:a16="http://schemas.microsoft.com/office/drawing/2014/main" id="{942C1B52-42DC-4BF2-9F48-8FA96AB0B1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1" name="AutoShape 1" descr="Vista previa de toda la pantalla">
          <a:extLst>
            <a:ext uri="{FF2B5EF4-FFF2-40B4-BE49-F238E27FC236}">
              <a16:creationId xmlns:a16="http://schemas.microsoft.com/office/drawing/2014/main" id="{A56A915E-494F-4323-A225-8539A14B73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2" name="AutoShape 1" descr="Vista previa de toda la pantalla">
          <a:extLst>
            <a:ext uri="{FF2B5EF4-FFF2-40B4-BE49-F238E27FC236}">
              <a16:creationId xmlns:a16="http://schemas.microsoft.com/office/drawing/2014/main" id="{2C001108-6CE9-4B6F-B928-B0F0A96882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3" name="AutoShape 1" descr="Vista previa de toda la pantalla">
          <a:extLst>
            <a:ext uri="{FF2B5EF4-FFF2-40B4-BE49-F238E27FC236}">
              <a16:creationId xmlns:a16="http://schemas.microsoft.com/office/drawing/2014/main" id="{AD9A8511-C091-4170-99B0-E0F6225D8C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4" name="AutoShape 1" descr="Vista previa de toda la pantalla">
          <a:extLst>
            <a:ext uri="{FF2B5EF4-FFF2-40B4-BE49-F238E27FC236}">
              <a16:creationId xmlns:a16="http://schemas.microsoft.com/office/drawing/2014/main" id="{0A6BEAC0-3309-4218-B26A-7498D88108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5" name="AutoShape 1" descr="Vista previa de toda la pantalla">
          <a:extLst>
            <a:ext uri="{FF2B5EF4-FFF2-40B4-BE49-F238E27FC236}">
              <a16:creationId xmlns:a16="http://schemas.microsoft.com/office/drawing/2014/main" id="{8C1AC1DE-D6CA-456A-BDA7-A32F020B19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6" name="AutoShape 1" descr="Vista previa de toda la pantalla">
          <a:extLst>
            <a:ext uri="{FF2B5EF4-FFF2-40B4-BE49-F238E27FC236}">
              <a16:creationId xmlns:a16="http://schemas.microsoft.com/office/drawing/2014/main" id="{0CDFB028-129D-4A5A-85FF-B525F68FC0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7" name="AutoShape 1" descr="Vista previa de toda la pantalla">
          <a:extLst>
            <a:ext uri="{FF2B5EF4-FFF2-40B4-BE49-F238E27FC236}">
              <a16:creationId xmlns:a16="http://schemas.microsoft.com/office/drawing/2014/main" id="{55F605B2-FA17-4FD1-93EB-1E9577358E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8" name="AutoShape 1" descr="Vista previa de toda la pantalla">
          <a:extLst>
            <a:ext uri="{FF2B5EF4-FFF2-40B4-BE49-F238E27FC236}">
              <a16:creationId xmlns:a16="http://schemas.microsoft.com/office/drawing/2014/main" id="{A5F6BE77-4B75-46DC-889F-B76994FB0F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29" name="AutoShape 1" descr="Vista previa de toda la pantalla">
          <a:extLst>
            <a:ext uri="{FF2B5EF4-FFF2-40B4-BE49-F238E27FC236}">
              <a16:creationId xmlns:a16="http://schemas.microsoft.com/office/drawing/2014/main" id="{E7582A53-F6CC-4A05-AF00-83A5F22C59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0" name="AutoShape 1" descr="Vista previa de toda la pantalla">
          <a:extLst>
            <a:ext uri="{FF2B5EF4-FFF2-40B4-BE49-F238E27FC236}">
              <a16:creationId xmlns:a16="http://schemas.microsoft.com/office/drawing/2014/main" id="{34533A37-2893-4BFB-83E9-6835C3AD44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1" name="AutoShape 1" descr="Vista previa de toda la pantalla">
          <a:extLst>
            <a:ext uri="{FF2B5EF4-FFF2-40B4-BE49-F238E27FC236}">
              <a16:creationId xmlns:a16="http://schemas.microsoft.com/office/drawing/2014/main" id="{D4C9175E-B2B5-4837-9C40-15B3D419F2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2" name="AutoShape 1" descr="Vista previa de toda la pantalla">
          <a:extLst>
            <a:ext uri="{FF2B5EF4-FFF2-40B4-BE49-F238E27FC236}">
              <a16:creationId xmlns:a16="http://schemas.microsoft.com/office/drawing/2014/main" id="{D9A72DAD-30A0-4138-B086-4EF83C7FB4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3" name="AutoShape 1" descr="Vista previa de toda la pantalla">
          <a:extLst>
            <a:ext uri="{FF2B5EF4-FFF2-40B4-BE49-F238E27FC236}">
              <a16:creationId xmlns:a16="http://schemas.microsoft.com/office/drawing/2014/main" id="{0028B37C-158E-4FA7-BDB7-622C70104C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4" name="AutoShape 1" descr="Vista previa de toda la pantalla">
          <a:extLst>
            <a:ext uri="{FF2B5EF4-FFF2-40B4-BE49-F238E27FC236}">
              <a16:creationId xmlns:a16="http://schemas.microsoft.com/office/drawing/2014/main" id="{1D0A1FF8-0DDB-47EC-AA52-D1595873F1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5" name="AutoShape 1" descr="Vista previa de toda la pantalla">
          <a:extLst>
            <a:ext uri="{FF2B5EF4-FFF2-40B4-BE49-F238E27FC236}">
              <a16:creationId xmlns:a16="http://schemas.microsoft.com/office/drawing/2014/main" id="{4EBA2A6B-1A43-42FB-8994-045D231F0F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6" name="AutoShape 1" descr="Vista previa de toda la pantalla">
          <a:extLst>
            <a:ext uri="{FF2B5EF4-FFF2-40B4-BE49-F238E27FC236}">
              <a16:creationId xmlns:a16="http://schemas.microsoft.com/office/drawing/2014/main" id="{4F2B3BFC-F5C8-4DB5-B658-E50719CEF2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7" name="AutoShape 1" descr="Vista previa de toda la pantalla">
          <a:extLst>
            <a:ext uri="{FF2B5EF4-FFF2-40B4-BE49-F238E27FC236}">
              <a16:creationId xmlns:a16="http://schemas.microsoft.com/office/drawing/2014/main" id="{C91A0668-28CD-405B-9B1E-F875594A53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8" name="AutoShape 1" descr="Vista previa de toda la pantalla">
          <a:extLst>
            <a:ext uri="{FF2B5EF4-FFF2-40B4-BE49-F238E27FC236}">
              <a16:creationId xmlns:a16="http://schemas.microsoft.com/office/drawing/2014/main" id="{FE7605E9-5B0C-4495-82F3-ED12115183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39" name="AutoShape 1" descr="Vista previa de toda la pantalla">
          <a:extLst>
            <a:ext uri="{FF2B5EF4-FFF2-40B4-BE49-F238E27FC236}">
              <a16:creationId xmlns:a16="http://schemas.microsoft.com/office/drawing/2014/main" id="{ECF819BC-BFEE-4E12-9C3D-E154B51B0C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0" name="AutoShape 1" descr="Vista previa de toda la pantalla">
          <a:extLst>
            <a:ext uri="{FF2B5EF4-FFF2-40B4-BE49-F238E27FC236}">
              <a16:creationId xmlns:a16="http://schemas.microsoft.com/office/drawing/2014/main" id="{3E51785D-0602-4A1D-B248-CD59DDECA4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1" name="AutoShape 1" descr="Vista previa de toda la pantalla">
          <a:extLst>
            <a:ext uri="{FF2B5EF4-FFF2-40B4-BE49-F238E27FC236}">
              <a16:creationId xmlns:a16="http://schemas.microsoft.com/office/drawing/2014/main" id="{D02CE9CC-11CA-4395-B609-1FFEBFB98D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2" name="AutoShape 1" descr="Vista previa de toda la pantalla">
          <a:extLst>
            <a:ext uri="{FF2B5EF4-FFF2-40B4-BE49-F238E27FC236}">
              <a16:creationId xmlns:a16="http://schemas.microsoft.com/office/drawing/2014/main" id="{60313CAC-7115-458E-9F1A-636EFB1CE8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3" name="AutoShape 1" descr="Vista previa de toda la pantalla">
          <a:extLst>
            <a:ext uri="{FF2B5EF4-FFF2-40B4-BE49-F238E27FC236}">
              <a16:creationId xmlns:a16="http://schemas.microsoft.com/office/drawing/2014/main" id="{F69E3A8F-CE0B-4904-97D8-52B117F8AC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4" name="AutoShape 1" descr="Vista previa de toda la pantalla">
          <a:extLst>
            <a:ext uri="{FF2B5EF4-FFF2-40B4-BE49-F238E27FC236}">
              <a16:creationId xmlns:a16="http://schemas.microsoft.com/office/drawing/2014/main" id="{23132F7D-1BC7-4216-B4A9-C359BFB760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5" name="AutoShape 1" descr="Vista previa de toda la pantalla">
          <a:extLst>
            <a:ext uri="{FF2B5EF4-FFF2-40B4-BE49-F238E27FC236}">
              <a16:creationId xmlns:a16="http://schemas.microsoft.com/office/drawing/2014/main" id="{FBF804C3-42B4-4303-9AFA-BECC05ABB5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6" name="AutoShape 1" descr="Vista previa de toda la pantalla">
          <a:extLst>
            <a:ext uri="{FF2B5EF4-FFF2-40B4-BE49-F238E27FC236}">
              <a16:creationId xmlns:a16="http://schemas.microsoft.com/office/drawing/2014/main" id="{9139D347-0887-4335-B859-2A8520F007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7" name="AutoShape 1" descr="Vista previa de toda la pantalla">
          <a:extLst>
            <a:ext uri="{FF2B5EF4-FFF2-40B4-BE49-F238E27FC236}">
              <a16:creationId xmlns:a16="http://schemas.microsoft.com/office/drawing/2014/main" id="{B038B31F-B598-4502-9214-4815AD1080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8" name="AutoShape 1" descr="Vista previa de toda la pantalla">
          <a:extLst>
            <a:ext uri="{FF2B5EF4-FFF2-40B4-BE49-F238E27FC236}">
              <a16:creationId xmlns:a16="http://schemas.microsoft.com/office/drawing/2014/main" id="{DBF374C3-5745-4037-958C-AE031F3C4E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49" name="AutoShape 1" descr="Vista previa de toda la pantalla">
          <a:extLst>
            <a:ext uri="{FF2B5EF4-FFF2-40B4-BE49-F238E27FC236}">
              <a16:creationId xmlns:a16="http://schemas.microsoft.com/office/drawing/2014/main" id="{DDA0A1A5-7CA4-471D-BFA9-6C4646E2CB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0" name="AutoShape 1" descr="Vista previa de toda la pantalla">
          <a:extLst>
            <a:ext uri="{FF2B5EF4-FFF2-40B4-BE49-F238E27FC236}">
              <a16:creationId xmlns:a16="http://schemas.microsoft.com/office/drawing/2014/main" id="{E1D079CC-9F31-4470-8AA8-AB1A59487D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1" name="AutoShape 1" descr="Vista previa de toda la pantalla">
          <a:extLst>
            <a:ext uri="{FF2B5EF4-FFF2-40B4-BE49-F238E27FC236}">
              <a16:creationId xmlns:a16="http://schemas.microsoft.com/office/drawing/2014/main" id="{E827B775-DEA0-4978-AA75-7D1CA57CB9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2" name="AutoShape 1" descr="Vista previa de toda la pantalla">
          <a:extLst>
            <a:ext uri="{FF2B5EF4-FFF2-40B4-BE49-F238E27FC236}">
              <a16:creationId xmlns:a16="http://schemas.microsoft.com/office/drawing/2014/main" id="{A4C8716C-7229-47E2-987A-2876101C98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3" name="AutoShape 1" descr="Vista previa de toda la pantalla">
          <a:extLst>
            <a:ext uri="{FF2B5EF4-FFF2-40B4-BE49-F238E27FC236}">
              <a16:creationId xmlns:a16="http://schemas.microsoft.com/office/drawing/2014/main" id="{F98BED9C-A546-402D-AB35-03F9C9B119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4" name="AutoShape 1" descr="Vista previa de toda la pantalla">
          <a:extLst>
            <a:ext uri="{FF2B5EF4-FFF2-40B4-BE49-F238E27FC236}">
              <a16:creationId xmlns:a16="http://schemas.microsoft.com/office/drawing/2014/main" id="{62B64063-F143-4303-8558-EC6E33B21C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5" name="AutoShape 1" descr="Vista previa de toda la pantalla">
          <a:extLst>
            <a:ext uri="{FF2B5EF4-FFF2-40B4-BE49-F238E27FC236}">
              <a16:creationId xmlns:a16="http://schemas.microsoft.com/office/drawing/2014/main" id="{B644D2C6-E404-4421-9CCD-F3A4E36B7C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6" name="AutoShape 1" descr="Vista previa de toda la pantalla">
          <a:extLst>
            <a:ext uri="{FF2B5EF4-FFF2-40B4-BE49-F238E27FC236}">
              <a16:creationId xmlns:a16="http://schemas.microsoft.com/office/drawing/2014/main" id="{778FE173-043B-4557-976D-C6F49F2F15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7" name="AutoShape 1" descr="Vista previa de toda la pantalla">
          <a:extLst>
            <a:ext uri="{FF2B5EF4-FFF2-40B4-BE49-F238E27FC236}">
              <a16:creationId xmlns:a16="http://schemas.microsoft.com/office/drawing/2014/main" id="{3B33A6C4-8C56-4383-B56C-7526F86975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8" name="AutoShape 1" descr="Vista previa de toda la pantalla">
          <a:extLst>
            <a:ext uri="{FF2B5EF4-FFF2-40B4-BE49-F238E27FC236}">
              <a16:creationId xmlns:a16="http://schemas.microsoft.com/office/drawing/2014/main" id="{6CB1C0F3-B9A4-4A4B-B71F-5074B3F716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59" name="AutoShape 1" descr="Vista previa de toda la pantalla">
          <a:extLst>
            <a:ext uri="{FF2B5EF4-FFF2-40B4-BE49-F238E27FC236}">
              <a16:creationId xmlns:a16="http://schemas.microsoft.com/office/drawing/2014/main" id="{1F6E76ED-5BC2-4388-8241-35D181D1CD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0" name="AutoShape 1" descr="Vista previa de toda la pantalla">
          <a:extLst>
            <a:ext uri="{FF2B5EF4-FFF2-40B4-BE49-F238E27FC236}">
              <a16:creationId xmlns:a16="http://schemas.microsoft.com/office/drawing/2014/main" id="{9FF1FEC2-2B47-4E21-AA6D-CD963CB6E5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1" name="AutoShape 1" descr="Vista previa de toda la pantalla">
          <a:extLst>
            <a:ext uri="{FF2B5EF4-FFF2-40B4-BE49-F238E27FC236}">
              <a16:creationId xmlns:a16="http://schemas.microsoft.com/office/drawing/2014/main" id="{7C177F2C-00AD-4DDE-A689-0B45769992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2" name="AutoShape 1" descr="Vista previa de toda la pantalla">
          <a:extLst>
            <a:ext uri="{FF2B5EF4-FFF2-40B4-BE49-F238E27FC236}">
              <a16:creationId xmlns:a16="http://schemas.microsoft.com/office/drawing/2014/main" id="{FB4ED443-5677-423B-BAB8-7CCAE3698C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3" name="AutoShape 1" descr="Vista previa de toda la pantalla">
          <a:extLst>
            <a:ext uri="{FF2B5EF4-FFF2-40B4-BE49-F238E27FC236}">
              <a16:creationId xmlns:a16="http://schemas.microsoft.com/office/drawing/2014/main" id="{72493BB3-3055-4D73-8B26-E64B6629CF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4" name="AutoShape 1" descr="Vista previa de toda la pantalla">
          <a:extLst>
            <a:ext uri="{FF2B5EF4-FFF2-40B4-BE49-F238E27FC236}">
              <a16:creationId xmlns:a16="http://schemas.microsoft.com/office/drawing/2014/main" id="{28BC889C-36CC-4B50-861B-494E5CDE60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5" name="AutoShape 1" descr="Vista previa de toda la pantalla">
          <a:extLst>
            <a:ext uri="{FF2B5EF4-FFF2-40B4-BE49-F238E27FC236}">
              <a16:creationId xmlns:a16="http://schemas.microsoft.com/office/drawing/2014/main" id="{A4778EDC-A310-4D65-A155-6A6CA12875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6" name="AutoShape 1" descr="Vista previa de toda la pantalla">
          <a:extLst>
            <a:ext uri="{FF2B5EF4-FFF2-40B4-BE49-F238E27FC236}">
              <a16:creationId xmlns:a16="http://schemas.microsoft.com/office/drawing/2014/main" id="{C8ED4732-A030-42AF-8D6B-361D128A4F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7" name="AutoShape 1" descr="Vista previa de toda la pantalla">
          <a:extLst>
            <a:ext uri="{FF2B5EF4-FFF2-40B4-BE49-F238E27FC236}">
              <a16:creationId xmlns:a16="http://schemas.microsoft.com/office/drawing/2014/main" id="{ECD0B13F-1A78-4CD8-802D-186F7D7B89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8" name="AutoShape 1" descr="Vista previa de toda la pantalla">
          <a:extLst>
            <a:ext uri="{FF2B5EF4-FFF2-40B4-BE49-F238E27FC236}">
              <a16:creationId xmlns:a16="http://schemas.microsoft.com/office/drawing/2014/main" id="{9326F97E-3662-4D85-A0D9-0EEEDF96AC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69" name="AutoShape 1" descr="Vista previa de toda la pantalla">
          <a:extLst>
            <a:ext uri="{FF2B5EF4-FFF2-40B4-BE49-F238E27FC236}">
              <a16:creationId xmlns:a16="http://schemas.microsoft.com/office/drawing/2014/main" id="{66C12F85-D987-41AB-9236-FF705AAE11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0" name="AutoShape 1" descr="Vista previa de toda la pantalla">
          <a:extLst>
            <a:ext uri="{FF2B5EF4-FFF2-40B4-BE49-F238E27FC236}">
              <a16:creationId xmlns:a16="http://schemas.microsoft.com/office/drawing/2014/main" id="{45F57A8C-1D2E-4803-80D0-005A2938D5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1" name="AutoShape 1" descr="Vista previa de toda la pantalla">
          <a:extLst>
            <a:ext uri="{FF2B5EF4-FFF2-40B4-BE49-F238E27FC236}">
              <a16:creationId xmlns:a16="http://schemas.microsoft.com/office/drawing/2014/main" id="{058CE9E7-73DA-4C7D-B369-8A93265F2F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2" name="AutoShape 1" descr="Vista previa de toda la pantalla">
          <a:extLst>
            <a:ext uri="{FF2B5EF4-FFF2-40B4-BE49-F238E27FC236}">
              <a16:creationId xmlns:a16="http://schemas.microsoft.com/office/drawing/2014/main" id="{B0DE4586-725C-4C5A-BDEC-F901DE9540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3" name="AutoShape 1" descr="Vista previa de toda la pantalla">
          <a:extLst>
            <a:ext uri="{FF2B5EF4-FFF2-40B4-BE49-F238E27FC236}">
              <a16:creationId xmlns:a16="http://schemas.microsoft.com/office/drawing/2014/main" id="{CF6DA403-9AE7-47A7-89FB-01CDC81FB8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4" name="AutoShape 1" descr="Vista previa de toda la pantalla">
          <a:extLst>
            <a:ext uri="{FF2B5EF4-FFF2-40B4-BE49-F238E27FC236}">
              <a16:creationId xmlns:a16="http://schemas.microsoft.com/office/drawing/2014/main" id="{FA30D1B6-EBBB-453E-9973-0B6D29BA40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5" name="AutoShape 1" descr="Vista previa de toda la pantalla">
          <a:extLst>
            <a:ext uri="{FF2B5EF4-FFF2-40B4-BE49-F238E27FC236}">
              <a16:creationId xmlns:a16="http://schemas.microsoft.com/office/drawing/2014/main" id="{8B0DD97F-C8DB-4BA7-9414-4C88135B12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6" name="AutoShape 1" descr="Vista previa de toda la pantalla">
          <a:extLst>
            <a:ext uri="{FF2B5EF4-FFF2-40B4-BE49-F238E27FC236}">
              <a16:creationId xmlns:a16="http://schemas.microsoft.com/office/drawing/2014/main" id="{0E570852-238B-4A20-A796-CD41DDC911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7" name="AutoShape 1" descr="Vista previa de toda la pantalla">
          <a:extLst>
            <a:ext uri="{FF2B5EF4-FFF2-40B4-BE49-F238E27FC236}">
              <a16:creationId xmlns:a16="http://schemas.microsoft.com/office/drawing/2014/main" id="{0113E389-5A64-44C7-B53D-C03CF1CFB6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8" name="AutoShape 1" descr="Vista previa de toda la pantalla">
          <a:extLst>
            <a:ext uri="{FF2B5EF4-FFF2-40B4-BE49-F238E27FC236}">
              <a16:creationId xmlns:a16="http://schemas.microsoft.com/office/drawing/2014/main" id="{AA6D0D78-0DBF-45AB-8A81-D5F26FE337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79" name="AutoShape 1" descr="Vista previa de toda la pantalla">
          <a:extLst>
            <a:ext uri="{FF2B5EF4-FFF2-40B4-BE49-F238E27FC236}">
              <a16:creationId xmlns:a16="http://schemas.microsoft.com/office/drawing/2014/main" id="{A213164C-0980-459C-9091-C66926C577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0" name="AutoShape 1" descr="Vista previa de toda la pantalla">
          <a:extLst>
            <a:ext uri="{FF2B5EF4-FFF2-40B4-BE49-F238E27FC236}">
              <a16:creationId xmlns:a16="http://schemas.microsoft.com/office/drawing/2014/main" id="{AFFF3141-A226-4477-9676-1ABFF829CC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1" name="AutoShape 1" descr="Vista previa de toda la pantalla">
          <a:extLst>
            <a:ext uri="{FF2B5EF4-FFF2-40B4-BE49-F238E27FC236}">
              <a16:creationId xmlns:a16="http://schemas.microsoft.com/office/drawing/2014/main" id="{133FBFBA-10F2-4B0C-8EC2-C37974C001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2" name="AutoShape 1" descr="Vista previa de toda la pantalla">
          <a:extLst>
            <a:ext uri="{FF2B5EF4-FFF2-40B4-BE49-F238E27FC236}">
              <a16:creationId xmlns:a16="http://schemas.microsoft.com/office/drawing/2014/main" id="{A132A6D2-2EC0-47EE-870F-A14BFD4587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3" name="AutoShape 1" descr="Vista previa de toda la pantalla">
          <a:extLst>
            <a:ext uri="{FF2B5EF4-FFF2-40B4-BE49-F238E27FC236}">
              <a16:creationId xmlns:a16="http://schemas.microsoft.com/office/drawing/2014/main" id="{AAB598FA-74F4-4D26-990C-8ED897B217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4" name="AutoShape 1" descr="Vista previa de toda la pantalla">
          <a:extLst>
            <a:ext uri="{FF2B5EF4-FFF2-40B4-BE49-F238E27FC236}">
              <a16:creationId xmlns:a16="http://schemas.microsoft.com/office/drawing/2014/main" id="{F05EC43D-9F36-4380-A53A-2A4A3C8540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5" name="AutoShape 1" descr="Vista previa de toda la pantalla">
          <a:extLst>
            <a:ext uri="{FF2B5EF4-FFF2-40B4-BE49-F238E27FC236}">
              <a16:creationId xmlns:a16="http://schemas.microsoft.com/office/drawing/2014/main" id="{258AFD80-17B1-485F-9518-6EE1863813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6" name="AutoShape 1" descr="Vista previa de toda la pantalla">
          <a:extLst>
            <a:ext uri="{FF2B5EF4-FFF2-40B4-BE49-F238E27FC236}">
              <a16:creationId xmlns:a16="http://schemas.microsoft.com/office/drawing/2014/main" id="{55723835-B5B8-41A5-8E3E-ED90F114B6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7" name="AutoShape 1" descr="Vista previa de toda la pantalla">
          <a:extLst>
            <a:ext uri="{FF2B5EF4-FFF2-40B4-BE49-F238E27FC236}">
              <a16:creationId xmlns:a16="http://schemas.microsoft.com/office/drawing/2014/main" id="{496F609C-3C5A-49D5-9FFB-6144D47115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8" name="AutoShape 1" descr="Vista previa de toda la pantalla">
          <a:extLst>
            <a:ext uri="{FF2B5EF4-FFF2-40B4-BE49-F238E27FC236}">
              <a16:creationId xmlns:a16="http://schemas.microsoft.com/office/drawing/2014/main" id="{1F010F63-BBF3-4323-8611-68A37AA74E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89" name="AutoShape 1" descr="Vista previa de toda la pantalla">
          <a:extLst>
            <a:ext uri="{FF2B5EF4-FFF2-40B4-BE49-F238E27FC236}">
              <a16:creationId xmlns:a16="http://schemas.microsoft.com/office/drawing/2014/main" id="{BDDEFF14-92F2-4449-AD64-D5E7985DA4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0" name="AutoShape 1" descr="Vista previa de toda la pantalla">
          <a:extLst>
            <a:ext uri="{FF2B5EF4-FFF2-40B4-BE49-F238E27FC236}">
              <a16:creationId xmlns:a16="http://schemas.microsoft.com/office/drawing/2014/main" id="{5570AB40-6E1A-4841-A78E-029CBBEFD2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1" name="AutoShape 1" descr="Vista previa de toda la pantalla">
          <a:extLst>
            <a:ext uri="{FF2B5EF4-FFF2-40B4-BE49-F238E27FC236}">
              <a16:creationId xmlns:a16="http://schemas.microsoft.com/office/drawing/2014/main" id="{BA22A2B7-3294-4E14-97DB-CBF4CE9DF1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2" name="AutoShape 1" descr="Vista previa de toda la pantalla">
          <a:extLst>
            <a:ext uri="{FF2B5EF4-FFF2-40B4-BE49-F238E27FC236}">
              <a16:creationId xmlns:a16="http://schemas.microsoft.com/office/drawing/2014/main" id="{93758651-1102-4D60-8471-B0A2B1FEAE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3" name="AutoShape 1" descr="Vista previa de toda la pantalla">
          <a:extLst>
            <a:ext uri="{FF2B5EF4-FFF2-40B4-BE49-F238E27FC236}">
              <a16:creationId xmlns:a16="http://schemas.microsoft.com/office/drawing/2014/main" id="{9F782137-9681-413E-BC37-D1AA28872E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4" name="AutoShape 1" descr="Vista previa de toda la pantalla">
          <a:extLst>
            <a:ext uri="{FF2B5EF4-FFF2-40B4-BE49-F238E27FC236}">
              <a16:creationId xmlns:a16="http://schemas.microsoft.com/office/drawing/2014/main" id="{EE4B8364-7655-49F4-8780-4BBB758F22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5" name="AutoShape 1" descr="Vista previa de toda la pantalla">
          <a:extLst>
            <a:ext uri="{FF2B5EF4-FFF2-40B4-BE49-F238E27FC236}">
              <a16:creationId xmlns:a16="http://schemas.microsoft.com/office/drawing/2014/main" id="{80DDD557-C320-42B8-8442-46498B24A1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6" name="AutoShape 1" descr="Vista previa de toda la pantalla">
          <a:extLst>
            <a:ext uri="{FF2B5EF4-FFF2-40B4-BE49-F238E27FC236}">
              <a16:creationId xmlns:a16="http://schemas.microsoft.com/office/drawing/2014/main" id="{E39EE8B1-2D73-48F7-B667-BBD42E3D1C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7" name="AutoShape 1" descr="Vista previa de toda la pantalla">
          <a:extLst>
            <a:ext uri="{FF2B5EF4-FFF2-40B4-BE49-F238E27FC236}">
              <a16:creationId xmlns:a16="http://schemas.microsoft.com/office/drawing/2014/main" id="{E29554AB-5979-47E9-8B0A-38813F4EE3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8" name="AutoShape 1" descr="Vista previa de toda la pantalla">
          <a:extLst>
            <a:ext uri="{FF2B5EF4-FFF2-40B4-BE49-F238E27FC236}">
              <a16:creationId xmlns:a16="http://schemas.microsoft.com/office/drawing/2014/main" id="{86660EAA-66D4-4D67-B0AC-6B7B1D3ACC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0999" name="AutoShape 1" descr="Vista previa de toda la pantalla">
          <a:extLst>
            <a:ext uri="{FF2B5EF4-FFF2-40B4-BE49-F238E27FC236}">
              <a16:creationId xmlns:a16="http://schemas.microsoft.com/office/drawing/2014/main" id="{EFE2C90F-C2D5-4E3C-8078-705DA352F7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0" name="AutoShape 1" descr="Vista previa de toda la pantalla">
          <a:extLst>
            <a:ext uri="{FF2B5EF4-FFF2-40B4-BE49-F238E27FC236}">
              <a16:creationId xmlns:a16="http://schemas.microsoft.com/office/drawing/2014/main" id="{F4B1E311-B575-486E-A907-393F789044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1" name="AutoShape 1" descr="Vista previa de toda la pantalla">
          <a:extLst>
            <a:ext uri="{FF2B5EF4-FFF2-40B4-BE49-F238E27FC236}">
              <a16:creationId xmlns:a16="http://schemas.microsoft.com/office/drawing/2014/main" id="{62F9272E-1E0C-4BED-8921-034BB951B4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2" name="AutoShape 1" descr="Vista previa de toda la pantalla">
          <a:extLst>
            <a:ext uri="{FF2B5EF4-FFF2-40B4-BE49-F238E27FC236}">
              <a16:creationId xmlns:a16="http://schemas.microsoft.com/office/drawing/2014/main" id="{662BBD0B-F718-401B-B79F-6352A29D60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3" name="AutoShape 1" descr="Vista previa de toda la pantalla">
          <a:extLst>
            <a:ext uri="{FF2B5EF4-FFF2-40B4-BE49-F238E27FC236}">
              <a16:creationId xmlns:a16="http://schemas.microsoft.com/office/drawing/2014/main" id="{12B19BC3-D723-48DD-8A77-3CE0079898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4" name="AutoShape 1" descr="Vista previa de toda la pantalla">
          <a:extLst>
            <a:ext uri="{FF2B5EF4-FFF2-40B4-BE49-F238E27FC236}">
              <a16:creationId xmlns:a16="http://schemas.microsoft.com/office/drawing/2014/main" id="{08272A5D-3848-43B3-9327-07B6682669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5" name="AutoShape 1" descr="Vista previa de toda la pantalla">
          <a:extLst>
            <a:ext uri="{FF2B5EF4-FFF2-40B4-BE49-F238E27FC236}">
              <a16:creationId xmlns:a16="http://schemas.microsoft.com/office/drawing/2014/main" id="{9D572FED-8FBD-4CF6-9DCC-9509DC758E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6" name="AutoShape 1" descr="Vista previa de toda la pantalla">
          <a:extLst>
            <a:ext uri="{FF2B5EF4-FFF2-40B4-BE49-F238E27FC236}">
              <a16:creationId xmlns:a16="http://schemas.microsoft.com/office/drawing/2014/main" id="{C7DC35F9-F413-4B62-AF75-CC780BC5F9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7" name="AutoShape 1" descr="Vista previa de toda la pantalla">
          <a:extLst>
            <a:ext uri="{FF2B5EF4-FFF2-40B4-BE49-F238E27FC236}">
              <a16:creationId xmlns:a16="http://schemas.microsoft.com/office/drawing/2014/main" id="{743E6905-39F2-4748-BAD1-D21D105F5F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8" name="AutoShape 1" descr="Vista previa de toda la pantalla">
          <a:extLst>
            <a:ext uri="{FF2B5EF4-FFF2-40B4-BE49-F238E27FC236}">
              <a16:creationId xmlns:a16="http://schemas.microsoft.com/office/drawing/2014/main" id="{43749C8C-99C4-49B2-BF4A-551BB081AB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09" name="AutoShape 1" descr="Vista previa de toda la pantalla">
          <a:extLst>
            <a:ext uri="{FF2B5EF4-FFF2-40B4-BE49-F238E27FC236}">
              <a16:creationId xmlns:a16="http://schemas.microsoft.com/office/drawing/2014/main" id="{51834910-3702-47D4-8B49-2280CA2C0C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0" name="AutoShape 1" descr="Vista previa de toda la pantalla">
          <a:extLst>
            <a:ext uri="{FF2B5EF4-FFF2-40B4-BE49-F238E27FC236}">
              <a16:creationId xmlns:a16="http://schemas.microsoft.com/office/drawing/2014/main" id="{01C3A73D-3671-4360-9A51-3C1E57611B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1" name="AutoShape 1" descr="Vista previa de toda la pantalla">
          <a:extLst>
            <a:ext uri="{FF2B5EF4-FFF2-40B4-BE49-F238E27FC236}">
              <a16:creationId xmlns:a16="http://schemas.microsoft.com/office/drawing/2014/main" id="{5F95F5D0-F786-4500-B40E-39E1225F91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2" name="AutoShape 1" descr="Vista previa de toda la pantalla">
          <a:extLst>
            <a:ext uri="{FF2B5EF4-FFF2-40B4-BE49-F238E27FC236}">
              <a16:creationId xmlns:a16="http://schemas.microsoft.com/office/drawing/2014/main" id="{042CF625-E100-4C84-8E61-1B9905130F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3" name="AutoShape 1" descr="Vista previa de toda la pantalla">
          <a:extLst>
            <a:ext uri="{FF2B5EF4-FFF2-40B4-BE49-F238E27FC236}">
              <a16:creationId xmlns:a16="http://schemas.microsoft.com/office/drawing/2014/main" id="{F2B1292A-CE8B-4B25-A9D7-AB5D298C47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4" name="AutoShape 1" descr="Vista previa de toda la pantalla">
          <a:extLst>
            <a:ext uri="{FF2B5EF4-FFF2-40B4-BE49-F238E27FC236}">
              <a16:creationId xmlns:a16="http://schemas.microsoft.com/office/drawing/2014/main" id="{C1127C5E-897D-48EA-940A-112706F497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5" name="AutoShape 1" descr="Vista previa de toda la pantalla">
          <a:extLst>
            <a:ext uri="{FF2B5EF4-FFF2-40B4-BE49-F238E27FC236}">
              <a16:creationId xmlns:a16="http://schemas.microsoft.com/office/drawing/2014/main" id="{6710C43F-CD85-475B-A16A-3ADD5F8F92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6" name="AutoShape 1" descr="Vista previa de toda la pantalla">
          <a:extLst>
            <a:ext uri="{FF2B5EF4-FFF2-40B4-BE49-F238E27FC236}">
              <a16:creationId xmlns:a16="http://schemas.microsoft.com/office/drawing/2014/main" id="{5D2D8A61-EF4D-406B-A3A7-7802D9557F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7" name="AutoShape 1" descr="Vista previa de toda la pantalla">
          <a:extLst>
            <a:ext uri="{FF2B5EF4-FFF2-40B4-BE49-F238E27FC236}">
              <a16:creationId xmlns:a16="http://schemas.microsoft.com/office/drawing/2014/main" id="{C517F30C-E7AA-4DE7-8FB4-D107EB0A5E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8" name="AutoShape 1" descr="Vista previa de toda la pantalla">
          <a:extLst>
            <a:ext uri="{FF2B5EF4-FFF2-40B4-BE49-F238E27FC236}">
              <a16:creationId xmlns:a16="http://schemas.microsoft.com/office/drawing/2014/main" id="{9948D119-F53B-4515-A304-0F29D9D30B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19" name="AutoShape 1" descr="Vista previa de toda la pantalla">
          <a:extLst>
            <a:ext uri="{FF2B5EF4-FFF2-40B4-BE49-F238E27FC236}">
              <a16:creationId xmlns:a16="http://schemas.microsoft.com/office/drawing/2014/main" id="{8E36CAC9-C0B9-4E73-94EF-D3527211DE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0" name="AutoShape 1" descr="Vista previa de toda la pantalla">
          <a:extLst>
            <a:ext uri="{FF2B5EF4-FFF2-40B4-BE49-F238E27FC236}">
              <a16:creationId xmlns:a16="http://schemas.microsoft.com/office/drawing/2014/main" id="{F800AF33-7562-4C5A-AC99-F7BC063721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1" name="AutoShape 1" descr="Vista previa de toda la pantalla">
          <a:extLst>
            <a:ext uri="{FF2B5EF4-FFF2-40B4-BE49-F238E27FC236}">
              <a16:creationId xmlns:a16="http://schemas.microsoft.com/office/drawing/2014/main" id="{5C62B610-9FF6-4D7A-A24E-D5BD4AA1BF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2" name="AutoShape 1" descr="Vista previa de toda la pantalla">
          <a:extLst>
            <a:ext uri="{FF2B5EF4-FFF2-40B4-BE49-F238E27FC236}">
              <a16:creationId xmlns:a16="http://schemas.microsoft.com/office/drawing/2014/main" id="{9653EB09-1055-4CAE-B9F7-EE15BC591C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3" name="AutoShape 1" descr="Vista previa de toda la pantalla">
          <a:extLst>
            <a:ext uri="{FF2B5EF4-FFF2-40B4-BE49-F238E27FC236}">
              <a16:creationId xmlns:a16="http://schemas.microsoft.com/office/drawing/2014/main" id="{65106122-F336-417A-BF02-DD77674283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4" name="AutoShape 1" descr="Vista previa de toda la pantalla">
          <a:extLst>
            <a:ext uri="{FF2B5EF4-FFF2-40B4-BE49-F238E27FC236}">
              <a16:creationId xmlns:a16="http://schemas.microsoft.com/office/drawing/2014/main" id="{E4BFB88C-BA15-4F56-8C4A-5933DE6E5D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5" name="AutoShape 1" descr="Vista previa de toda la pantalla">
          <a:extLst>
            <a:ext uri="{FF2B5EF4-FFF2-40B4-BE49-F238E27FC236}">
              <a16:creationId xmlns:a16="http://schemas.microsoft.com/office/drawing/2014/main" id="{4BBEC6CC-F046-4653-89DF-1FB906420D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6" name="AutoShape 1" descr="Vista previa de toda la pantalla">
          <a:extLst>
            <a:ext uri="{FF2B5EF4-FFF2-40B4-BE49-F238E27FC236}">
              <a16:creationId xmlns:a16="http://schemas.microsoft.com/office/drawing/2014/main" id="{04EEE23A-E3C0-4661-89C9-ADB9296242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7" name="AutoShape 1" descr="Vista previa de toda la pantalla">
          <a:extLst>
            <a:ext uri="{FF2B5EF4-FFF2-40B4-BE49-F238E27FC236}">
              <a16:creationId xmlns:a16="http://schemas.microsoft.com/office/drawing/2014/main" id="{E48F6031-FDD6-49B1-AEA6-680D8F94DA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8" name="AutoShape 1" descr="Vista previa de toda la pantalla">
          <a:extLst>
            <a:ext uri="{FF2B5EF4-FFF2-40B4-BE49-F238E27FC236}">
              <a16:creationId xmlns:a16="http://schemas.microsoft.com/office/drawing/2014/main" id="{E2DD55BB-C1CB-4AE3-9A51-08F0B453E1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29" name="AutoShape 1" descr="Vista previa de toda la pantalla">
          <a:extLst>
            <a:ext uri="{FF2B5EF4-FFF2-40B4-BE49-F238E27FC236}">
              <a16:creationId xmlns:a16="http://schemas.microsoft.com/office/drawing/2014/main" id="{2F2F547A-BB5B-4EBD-9004-81A2743C76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30" name="AutoShape 1" descr="Vista previa de toda la pantalla">
          <a:extLst>
            <a:ext uri="{FF2B5EF4-FFF2-40B4-BE49-F238E27FC236}">
              <a16:creationId xmlns:a16="http://schemas.microsoft.com/office/drawing/2014/main" id="{3F4DDBCB-FDDD-4D64-A098-B6F5238DD8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31" name="AutoShape 1" descr="Vista previa de toda la pantalla">
          <a:extLst>
            <a:ext uri="{FF2B5EF4-FFF2-40B4-BE49-F238E27FC236}">
              <a16:creationId xmlns:a16="http://schemas.microsoft.com/office/drawing/2014/main" id="{CB4E161D-8720-480F-92B5-7A32611B2C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32" name="AutoShape 1" descr="Vista previa de toda la pantalla">
          <a:extLst>
            <a:ext uri="{FF2B5EF4-FFF2-40B4-BE49-F238E27FC236}">
              <a16:creationId xmlns:a16="http://schemas.microsoft.com/office/drawing/2014/main" id="{B23A3870-445D-49BF-AA67-335FC6ECCA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33" name="AutoShape 1" descr="Vista previa de toda la pantalla">
          <a:extLst>
            <a:ext uri="{FF2B5EF4-FFF2-40B4-BE49-F238E27FC236}">
              <a16:creationId xmlns:a16="http://schemas.microsoft.com/office/drawing/2014/main" id="{073BD62C-B380-4F1A-ADE9-1400B14A05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34" name="AutoShape 1" descr="Vista previa de toda la pantalla">
          <a:extLst>
            <a:ext uri="{FF2B5EF4-FFF2-40B4-BE49-F238E27FC236}">
              <a16:creationId xmlns:a16="http://schemas.microsoft.com/office/drawing/2014/main" id="{FF27C623-7586-4568-9D6A-2BA10A8A51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35" name="AutoShape 1" descr="Vista previa de toda la pantalla">
          <a:extLst>
            <a:ext uri="{FF2B5EF4-FFF2-40B4-BE49-F238E27FC236}">
              <a16:creationId xmlns:a16="http://schemas.microsoft.com/office/drawing/2014/main" id="{2AE40C48-B6E9-4913-9D44-69CDBFBBCD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36" name="AutoShape 1" descr="Vista previa de toda la pantalla">
          <a:extLst>
            <a:ext uri="{FF2B5EF4-FFF2-40B4-BE49-F238E27FC236}">
              <a16:creationId xmlns:a16="http://schemas.microsoft.com/office/drawing/2014/main" id="{7BF2FFFF-0D8B-401A-AC9B-6EAA1C8EBB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37" name="AutoShape 1" descr="Vista previa de toda la pantalla">
          <a:extLst>
            <a:ext uri="{FF2B5EF4-FFF2-40B4-BE49-F238E27FC236}">
              <a16:creationId xmlns:a16="http://schemas.microsoft.com/office/drawing/2014/main" id="{6561975C-989D-4116-8A13-8C059DB4B4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1038" name="AutoShape 1" descr="Vista previa de toda la pantalla">
          <a:extLst>
            <a:ext uri="{FF2B5EF4-FFF2-40B4-BE49-F238E27FC236}">
              <a16:creationId xmlns:a16="http://schemas.microsoft.com/office/drawing/2014/main" id="{9304A70C-4698-4C92-B013-119FD6627628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39" name="AutoShape 1" descr="Vista previa de toda la pantalla">
          <a:extLst>
            <a:ext uri="{FF2B5EF4-FFF2-40B4-BE49-F238E27FC236}">
              <a16:creationId xmlns:a16="http://schemas.microsoft.com/office/drawing/2014/main" id="{1892A3E3-53FD-4399-A384-93778392AF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0" name="AutoShape 1" descr="Vista previa de toda la pantalla">
          <a:extLst>
            <a:ext uri="{FF2B5EF4-FFF2-40B4-BE49-F238E27FC236}">
              <a16:creationId xmlns:a16="http://schemas.microsoft.com/office/drawing/2014/main" id="{706BB716-3C55-4745-A734-9B39E8C372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1" name="AutoShape 1" descr="Vista previa de toda la pantalla">
          <a:extLst>
            <a:ext uri="{FF2B5EF4-FFF2-40B4-BE49-F238E27FC236}">
              <a16:creationId xmlns:a16="http://schemas.microsoft.com/office/drawing/2014/main" id="{D308A679-1FC3-4048-B3BB-4F9A14871F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2" name="AutoShape 1" descr="Vista previa de toda la pantalla">
          <a:extLst>
            <a:ext uri="{FF2B5EF4-FFF2-40B4-BE49-F238E27FC236}">
              <a16:creationId xmlns:a16="http://schemas.microsoft.com/office/drawing/2014/main" id="{02C2A110-E303-4131-BC73-16497E1582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3" name="AutoShape 1" descr="Vista previa de toda la pantalla">
          <a:extLst>
            <a:ext uri="{FF2B5EF4-FFF2-40B4-BE49-F238E27FC236}">
              <a16:creationId xmlns:a16="http://schemas.microsoft.com/office/drawing/2014/main" id="{3BFAFE9D-2662-4715-B0B9-26A2512C83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4" name="AutoShape 1" descr="Vista previa de toda la pantalla">
          <a:extLst>
            <a:ext uri="{FF2B5EF4-FFF2-40B4-BE49-F238E27FC236}">
              <a16:creationId xmlns:a16="http://schemas.microsoft.com/office/drawing/2014/main" id="{43DDA4B9-B951-4651-AC23-24EC85E77C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5" name="AutoShape 1" descr="Vista previa de toda la pantalla">
          <a:extLst>
            <a:ext uri="{FF2B5EF4-FFF2-40B4-BE49-F238E27FC236}">
              <a16:creationId xmlns:a16="http://schemas.microsoft.com/office/drawing/2014/main" id="{D815AA63-9AFE-4042-9769-CA5F66200D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6" name="AutoShape 1" descr="Vista previa de toda la pantalla">
          <a:extLst>
            <a:ext uri="{FF2B5EF4-FFF2-40B4-BE49-F238E27FC236}">
              <a16:creationId xmlns:a16="http://schemas.microsoft.com/office/drawing/2014/main" id="{1A30EA1F-0403-4D28-8E29-3867C4BA61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7" name="AutoShape 1" descr="Vista previa de toda la pantalla">
          <a:extLst>
            <a:ext uri="{FF2B5EF4-FFF2-40B4-BE49-F238E27FC236}">
              <a16:creationId xmlns:a16="http://schemas.microsoft.com/office/drawing/2014/main" id="{12BE6A7D-B612-43A9-AE42-826926E877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8" name="AutoShape 1" descr="Vista previa de toda la pantalla">
          <a:extLst>
            <a:ext uri="{FF2B5EF4-FFF2-40B4-BE49-F238E27FC236}">
              <a16:creationId xmlns:a16="http://schemas.microsoft.com/office/drawing/2014/main" id="{A631E23E-3F36-49F5-A813-CCB01FB280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49" name="AutoShape 1" descr="Vista previa de toda la pantalla">
          <a:extLst>
            <a:ext uri="{FF2B5EF4-FFF2-40B4-BE49-F238E27FC236}">
              <a16:creationId xmlns:a16="http://schemas.microsoft.com/office/drawing/2014/main" id="{6D77DA12-52C7-4768-BECA-FFFE059E20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0" name="AutoShape 1" descr="Vista previa de toda la pantalla">
          <a:extLst>
            <a:ext uri="{FF2B5EF4-FFF2-40B4-BE49-F238E27FC236}">
              <a16:creationId xmlns:a16="http://schemas.microsoft.com/office/drawing/2014/main" id="{9B79F9A9-E22A-408A-A459-C6E9BB2AA0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1" name="AutoShape 1" descr="Vista previa de toda la pantalla">
          <a:extLst>
            <a:ext uri="{FF2B5EF4-FFF2-40B4-BE49-F238E27FC236}">
              <a16:creationId xmlns:a16="http://schemas.microsoft.com/office/drawing/2014/main" id="{E612A506-28B8-4610-A3E9-9DFE4A9F0E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2" name="AutoShape 1" descr="Vista previa de toda la pantalla">
          <a:extLst>
            <a:ext uri="{FF2B5EF4-FFF2-40B4-BE49-F238E27FC236}">
              <a16:creationId xmlns:a16="http://schemas.microsoft.com/office/drawing/2014/main" id="{9A0C222F-9734-4780-8F83-9985BDF2D2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3" name="AutoShape 1" descr="Vista previa de toda la pantalla">
          <a:extLst>
            <a:ext uri="{FF2B5EF4-FFF2-40B4-BE49-F238E27FC236}">
              <a16:creationId xmlns:a16="http://schemas.microsoft.com/office/drawing/2014/main" id="{4DD0D98B-F4B5-4FC2-A01C-9A24114F61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4" name="AutoShape 1" descr="Vista previa de toda la pantalla">
          <a:extLst>
            <a:ext uri="{FF2B5EF4-FFF2-40B4-BE49-F238E27FC236}">
              <a16:creationId xmlns:a16="http://schemas.microsoft.com/office/drawing/2014/main" id="{E8ADC6BD-8757-41AB-9969-95FCF733EC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5" name="AutoShape 1" descr="Vista previa de toda la pantalla">
          <a:extLst>
            <a:ext uri="{FF2B5EF4-FFF2-40B4-BE49-F238E27FC236}">
              <a16:creationId xmlns:a16="http://schemas.microsoft.com/office/drawing/2014/main" id="{345829C8-C6F7-4B75-8C35-E2C309057D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6" name="AutoShape 1" descr="Vista previa de toda la pantalla">
          <a:extLst>
            <a:ext uri="{FF2B5EF4-FFF2-40B4-BE49-F238E27FC236}">
              <a16:creationId xmlns:a16="http://schemas.microsoft.com/office/drawing/2014/main" id="{38CF8BB9-5374-4367-A7BE-13E423FEC6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7" name="AutoShape 1" descr="Vista previa de toda la pantalla">
          <a:extLst>
            <a:ext uri="{FF2B5EF4-FFF2-40B4-BE49-F238E27FC236}">
              <a16:creationId xmlns:a16="http://schemas.microsoft.com/office/drawing/2014/main" id="{5A95482F-57A8-40FD-947E-4F3A8563EE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8" name="AutoShape 1" descr="Vista previa de toda la pantalla">
          <a:extLst>
            <a:ext uri="{FF2B5EF4-FFF2-40B4-BE49-F238E27FC236}">
              <a16:creationId xmlns:a16="http://schemas.microsoft.com/office/drawing/2014/main" id="{6CED9293-1C22-437C-B229-306AF1638B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59" name="AutoShape 1" descr="Vista previa de toda la pantalla">
          <a:extLst>
            <a:ext uri="{FF2B5EF4-FFF2-40B4-BE49-F238E27FC236}">
              <a16:creationId xmlns:a16="http://schemas.microsoft.com/office/drawing/2014/main" id="{5E867356-9F68-464D-A2B1-DEFC740354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0" name="AutoShape 1" descr="Vista previa de toda la pantalla">
          <a:extLst>
            <a:ext uri="{FF2B5EF4-FFF2-40B4-BE49-F238E27FC236}">
              <a16:creationId xmlns:a16="http://schemas.microsoft.com/office/drawing/2014/main" id="{59B417D1-713C-4234-8B72-BA4E9BB11B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1" name="AutoShape 1" descr="Vista previa de toda la pantalla">
          <a:extLst>
            <a:ext uri="{FF2B5EF4-FFF2-40B4-BE49-F238E27FC236}">
              <a16:creationId xmlns:a16="http://schemas.microsoft.com/office/drawing/2014/main" id="{8E59AD8B-94BC-4854-8348-EDFDA8A43A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2" name="AutoShape 1" descr="Vista previa de toda la pantalla">
          <a:extLst>
            <a:ext uri="{FF2B5EF4-FFF2-40B4-BE49-F238E27FC236}">
              <a16:creationId xmlns:a16="http://schemas.microsoft.com/office/drawing/2014/main" id="{7EC3D6CA-1ED6-49DD-82C6-B0B18EF9AA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3" name="AutoShape 1" descr="Vista previa de toda la pantalla">
          <a:extLst>
            <a:ext uri="{FF2B5EF4-FFF2-40B4-BE49-F238E27FC236}">
              <a16:creationId xmlns:a16="http://schemas.microsoft.com/office/drawing/2014/main" id="{5C0913B8-7F5F-4ED1-9867-D0538063CC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4" name="AutoShape 1" descr="Vista previa de toda la pantalla">
          <a:extLst>
            <a:ext uri="{FF2B5EF4-FFF2-40B4-BE49-F238E27FC236}">
              <a16:creationId xmlns:a16="http://schemas.microsoft.com/office/drawing/2014/main" id="{185FCB29-8A0B-4A08-8681-D2E10C5340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5" name="AutoShape 1" descr="Vista previa de toda la pantalla">
          <a:extLst>
            <a:ext uri="{FF2B5EF4-FFF2-40B4-BE49-F238E27FC236}">
              <a16:creationId xmlns:a16="http://schemas.microsoft.com/office/drawing/2014/main" id="{DBD37D0F-608F-4ED2-B0EA-0F0262935F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6" name="AutoShape 1" descr="Vista previa de toda la pantalla">
          <a:extLst>
            <a:ext uri="{FF2B5EF4-FFF2-40B4-BE49-F238E27FC236}">
              <a16:creationId xmlns:a16="http://schemas.microsoft.com/office/drawing/2014/main" id="{A4D8D9B8-C004-4F07-BFB5-84C8319F59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7" name="AutoShape 1" descr="Vista previa de toda la pantalla">
          <a:extLst>
            <a:ext uri="{FF2B5EF4-FFF2-40B4-BE49-F238E27FC236}">
              <a16:creationId xmlns:a16="http://schemas.microsoft.com/office/drawing/2014/main" id="{4CA1C796-978C-4112-9CEF-47903E7F14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8" name="AutoShape 1" descr="Vista previa de toda la pantalla">
          <a:extLst>
            <a:ext uri="{FF2B5EF4-FFF2-40B4-BE49-F238E27FC236}">
              <a16:creationId xmlns:a16="http://schemas.microsoft.com/office/drawing/2014/main" id="{4B5BC4E0-6CFB-4D9E-B635-48212BC1D6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69" name="AutoShape 1" descr="Vista previa de toda la pantalla">
          <a:extLst>
            <a:ext uri="{FF2B5EF4-FFF2-40B4-BE49-F238E27FC236}">
              <a16:creationId xmlns:a16="http://schemas.microsoft.com/office/drawing/2014/main" id="{0CFE7E6F-9005-4FC6-A9A1-1AC63B43DD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0" name="AutoShape 1" descr="Vista previa de toda la pantalla">
          <a:extLst>
            <a:ext uri="{FF2B5EF4-FFF2-40B4-BE49-F238E27FC236}">
              <a16:creationId xmlns:a16="http://schemas.microsoft.com/office/drawing/2014/main" id="{2CCB9FAD-73EA-4E1A-8729-4ECF9C2838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1" name="AutoShape 1" descr="Vista previa de toda la pantalla">
          <a:extLst>
            <a:ext uri="{FF2B5EF4-FFF2-40B4-BE49-F238E27FC236}">
              <a16:creationId xmlns:a16="http://schemas.microsoft.com/office/drawing/2014/main" id="{E3A01DD1-1018-4B55-91FE-226E337AA1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2" name="AutoShape 1" descr="Vista previa de toda la pantalla">
          <a:extLst>
            <a:ext uri="{FF2B5EF4-FFF2-40B4-BE49-F238E27FC236}">
              <a16:creationId xmlns:a16="http://schemas.microsoft.com/office/drawing/2014/main" id="{6D5E54D8-9CB9-40F4-BFC1-1964E3A65D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3" name="AutoShape 1" descr="Vista previa de toda la pantalla">
          <a:extLst>
            <a:ext uri="{FF2B5EF4-FFF2-40B4-BE49-F238E27FC236}">
              <a16:creationId xmlns:a16="http://schemas.microsoft.com/office/drawing/2014/main" id="{8EEAF5BE-21C4-4631-9604-A4DF33C9A6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4" name="AutoShape 1" descr="Vista previa de toda la pantalla">
          <a:extLst>
            <a:ext uri="{FF2B5EF4-FFF2-40B4-BE49-F238E27FC236}">
              <a16:creationId xmlns:a16="http://schemas.microsoft.com/office/drawing/2014/main" id="{0C3DA916-4FD6-407D-BCD8-ED87153E30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5" name="AutoShape 1" descr="Vista previa de toda la pantalla">
          <a:extLst>
            <a:ext uri="{FF2B5EF4-FFF2-40B4-BE49-F238E27FC236}">
              <a16:creationId xmlns:a16="http://schemas.microsoft.com/office/drawing/2014/main" id="{4E8EF318-2BE2-498A-AC2D-220BEDE415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6" name="AutoShape 1" descr="Vista previa de toda la pantalla">
          <a:extLst>
            <a:ext uri="{FF2B5EF4-FFF2-40B4-BE49-F238E27FC236}">
              <a16:creationId xmlns:a16="http://schemas.microsoft.com/office/drawing/2014/main" id="{F475597D-4F49-42F5-B404-13C2BF2FAE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7" name="AutoShape 1" descr="Vista previa de toda la pantalla">
          <a:extLst>
            <a:ext uri="{FF2B5EF4-FFF2-40B4-BE49-F238E27FC236}">
              <a16:creationId xmlns:a16="http://schemas.microsoft.com/office/drawing/2014/main" id="{7F644DDC-83E7-45C1-95C7-1408AF9704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8" name="AutoShape 1" descr="Vista previa de toda la pantalla">
          <a:extLst>
            <a:ext uri="{FF2B5EF4-FFF2-40B4-BE49-F238E27FC236}">
              <a16:creationId xmlns:a16="http://schemas.microsoft.com/office/drawing/2014/main" id="{366D2E55-40F8-40B2-975A-9F5E96002A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79" name="AutoShape 1" descr="Vista previa de toda la pantalla">
          <a:extLst>
            <a:ext uri="{FF2B5EF4-FFF2-40B4-BE49-F238E27FC236}">
              <a16:creationId xmlns:a16="http://schemas.microsoft.com/office/drawing/2014/main" id="{894D47C6-509C-4B65-82A9-EC85BDCB7D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0" name="AutoShape 1" descr="Vista previa de toda la pantalla">
          <a:extLst>
            <a:ext uri="{FF2B5EF4-FFF2-40B4-BE49-F238E27FC236}">
              <a16:creationId xmlns:a16="http://schemas.microsoft.com/office/drawing/2014/main" id="{BFBAC995-6C9A-4616-B4C0-9F2195CE97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1" name="AutoShape 1" descr="Vista previa de toda la pantalla">
          <a:extLst>
            <a:ext uri="{FF2B5EF4-FFF2-40B4-BE49-F238E27FC236}">
              <a16:creationId xmlns:a16="http://schemas.microsoft.com/office/drawing/2014/main" id="{B49683B3-15D9-4F5A-A86A-A8AD0CD1F4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2" name="AutoShape 1" descr="Vista previa de toda la pantalla">
          <a:extLst>
            <a:ext uri="{FF2B5EF4-FFF2-40B4-BE49-F238E27FC236}">
              <a16:creationId xmlns:a16="http://schemas.microsoft.com/office/drawing/2014/main" id="{066A2E05-0715-4C27-B1FB-F3F49B6BAC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3" name="AutoShape 1" descr="Vista previa de toda la pantalla">
          <a:extLst>
            <a:ext uri="{FF2B5EF4-FFF2-40B4-BE49-F238E27FC236}">
              <a16:creationId xmlns:a16="http://schemas.microsoft.com/office/drawing/2014/main" id="{F17280FC-96C4-4724-8588-52D0EBC645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4" name="AutoShape 1" descr="Vista previa de toda la pantalla">
          <a:extLst>
            <a:ext uri="{FF2B5EF4-FFF2-40B4-BE49-F238E27FC236}">
              <a16:creationId xmlns:a16="http://schemas.microsoft.com/office/drawing/2014/main" id="{18A5B4AD-B6CD-433A-B515-DA3694890B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5" name="AutoShape 1" descr="Vista previa de toda la pantalla">
          <a:extLst>
            <a:ext uri="{FF2B5EF4-FFF2-40B4-BE49-F238E27FC236}">
              <a16:creationId xmlns:a16="http://schemas.microsoft.com/office/drawing/2014/main" id="{75F9663A-1CC5-4498-BEF7-B2801348E8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6" name="AutoShape 1" descr="Vista previa de toda la pantalla">
          <a:extLst>
            <a:ext uri="{FF2B5EF4-FFF2-40B4-BE49-F238E27FC236}">
              <a16:creationId xmlns:a16="http://schemas.microsoft.com/office/drawing/2014/main" id="{8903F6BE-77D4-42FF-8D93-5AACEEB0AE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7" name="AutoShape 1" descr="Vista previa de toda la pantalla">
          <a:extLst>
            <a:ext uri="{FF2B5EF4-FFF2-40B4-BE49-F238E27FC236}">
              <a16:creationId xmlns:a16="http://schemas.microsoft.com/office/drawing/2014/main" id="{149973C1-681C-4781-A963-DEFC32E916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8" name="AutoShape 1" descr="Vista previa de toda la pantalla">
          <a:extLst>
            <a:ext uri="{FF2B5EF4-FFF2-40B4-BE49-F238E27FC236}">
              <a16:creationId xmlns:a16="http://schemas.microsoft.com/office/drawing/2014/main" id="{281240D4-68A3-4CD3-8B63-18CA12641F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89" name="AutoShape 1" descr="Vista previa de toda la pantalla">
          <a:extLst>
            <a:ext uri="{FF2B5EF4-FFF2-40B4-BE49-F238E27FC236}">
              <a16:creationId xmlns:a16="http://schemas.microsoft.com/office/drawing/2014/main" id="{2533D109-BDEC-48EF-8F1B-00EADF023A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0" name="AutoShape 1" descr="Vista previa de toda la pantalla">
          <a:extLst>
            <a:ext uri="{FF2B5EF4-FFF2-40B4-BE49-F238E27FC236}">
              <a16:creationId xmlns:a16="http://schemas.microsoft.com/office/drawing/2014/main" id="{EB2CF867-47E1-4AED-AACA-C3C5EB5D51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1" name="AutoShape 1" descr="Vista previa de toda la pantalla">
          <a:extLst>
            <a:ext uri="{FF2B5EF4-FFF2-40B4-BE49-F238E27FC236}">
              <a16:creationId xmlns:a16="http://schemas.microsoft.com/office/drawing/2014/main" id="{27873BB7-9822-40F0-8C8E-AC62F3416E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2" name="AutoShape 1" descr="Vista previa de toda la pantalla">
          <a:extLst>
            <a:ext uri="{FF2B5EF4-FFF2-40B4-BE49-F238E27FC236}">
              <a16:creationId xmlns:a16="http://schemas.microsoft.com/office/drawing/2014/main" id="{DF91DFF3-2640-4D22-9EB7-8BF62E7BA8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3" name="AutoShape 1" descr="Vista previa de toda la pantalla">
          <a:extLst>
            <a:ext uri="{FF2B5EF4-FFF2-40B4-BE49-F238E27FC236}">
              <a16:creationId xmlns:a16="http://schemas.microsoft.com/office/drawing/2014/main" id="{E802E39D-4B82-489D-8A76-6E5E7340C7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4" name="AutoShape 1" descr="Vista previa de toda la pantalla">
          <a:extLst>
            <a:ext uri="{FF2B5EF4-FFF2-40B4-BE49-F238E27FC236}">
              <a16:creationId xmlns:a16="http://schemas.microsoft.com/office/drawing/2014/main" id="{CE0240E8-D87A-4790-8EFF-05C9D38074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5" name="AutoShape 1" descr="Vista previa de toda la pantalla">
          <a:extLst>
            <a:ext uri="{FF2B5EF4-FFF2-40B4-BE49-F238E27FC236}">
              <a16:creationId xmlns:a16="http://schemas.microsoft.com/office/drawing/2014/main" id="{55009D0D-4BE3-4948-8FE1-F36AC9B0A1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6" name="AutoShape 1" descr="Vista previa de toda la pantalla">
          <a:extLst>
            <a:ext uri="{FF2B5EF4-FFF2-40B4-BE49-F238E27FC236}">
              <a16:creationId xmlns:a16="http://schemas.microsoft.com/office/drawing/2014/main" id="{933E0BD7-B96F-4806-9D96-8A9077D647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7" name="AutoShape 1" descr="Vista previa de toda la pantalla">
          <a:extLst>
            <a:ext uri="{FF2B5EF4-FFF2-40B4-BE49-F238E27FC236}">
              <a16:creationId xmlns:a16="http://schemas.microsoft.com/office/drawing/2014/main" id="{D1CA7C67-5D2F-4FBB-AB78-A2BA9BDFBD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8" name="AutoShape 1" descr="Vista previa de toda la pantalla">
          <a:extLst>
            <a:ext uri="{FF2B5EF4-FFF2-40B4-BE49-F238E27FC236}">
              <a16:creationId xmlns:a16="http://schemas.microsoft.com/office/drawing/2014/main" id="{6F60451C-13CB-46CE-A946-C9B200EA8D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099" name="AutoShape 1" descr="Vista previa de toda la pantalla">
          <a:extLst>
            <a:ext uri="{FF2B5EF4-FFF2-40B4-BE49-F238E27FC236}">
              <a16:creationId xmlns:a16="http://schemas.microsoft.com/office/drawing/2014/main" id="{1858889F-809C-4236-AAD0-84D410433D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0" name="AutoShape 1" descr="Vista previa de toda la pantalla">
          <a:extLst>
            <a:ext uri="{FF2B5EF4-FFF2-40B4-BE49-F238E27FC236}">
              <a16:creationId xmlns:a16="http://schemas.microsoft.com/office/drawing/2014/main" id="{95B15003-A5EF-4242-94F6-B98FCE0A44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1" name="AutoShape 1" descr="Vista previa de toda la pantalla">
          <a:extLst>
            <a:ext uri="{FF2B5EF4-FFF2-40B4-BE49-F238E27FC236}">
              <a16:creationId xmlns:a16="http://schemas.microsoft.com/office/drawing/2014/main" id="{683E3038-13BE-4A7D-8212-51C135680C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2" name="AutoShape 1" descr="Vista previa de toda la pantalla">
          <a:extLst>
            <a:ext uri="{FF2B5EF4-FFF2-40B4-BE49-F238E27FC236}">
              <a16:creationId xmlns:a16="http://schemas.microsoft.com/office/drawing/2014/main" id="{EE3E816A-0F32-4500-9580-E19A156FFA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3" name="AutoShape 1" descr="Vista previa de toda la pantalla">
          <a:extLst>
            <a:ext uri="{FF2B5EF4-FFF2-40B4-BE49-F238E27FC236}">
              <a16:creationId xmlns:a16="http://schemas.microsoft.com/office/drawing/2014/main" id="{6EEA5AC6-B918-478C-BD86-CE5EE9EAEA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4" name="AutoShape 1" descr="Vista previa de toda la pantalla">
          <a:extLst>
            <a:ext uri="{FF2B5EF4-FFF2-40B4-BE49-F238E27FC236}">
              <a16:creationId xmlns:a16="http://schemas.microsoft.com/office/drawing/2014/main" id="{25900ECA-7123-4578-809B-FCA297D8DC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5" name="AutoShape 1" descr="Vista previa de toda la pantalla">
          <a:extLst>
            <a:ext uri="{FF2B5EF4-FFF2-40B4-BE49-F238E27FC236}">
              <a16:creationId xmlns:a16="http://schemas.microsoft.com/office/drawing/2014/main" id="{88D8E2F0-5F8E-4076-8514-D48363EA8B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6" name="AutoShape 1" descr="Vista previa de toda la pantalla">
          <a:extLst>
            <a:ext uri="{FF2B5EF4-FFF2-40B4-BE49-F238E27FC236}">
              <a16:creationId xmlns:a16="http://schemas.microsoft.com/office/drawing/2014/main" id="{B9B9702C-3DD2-411B-B0AA-8C94F6CB99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7" name="AutoShape 1" descr="Vista previa de toda la pantalla">
          <a:extLst>
            <a:ext uri="{FF2B5EF4-FFF2-40B4-BE49-F238E27FC236}">
              <a16:creationId xmlns:a16="http://schemas.microsoft.com/office/drawing/2014/main" id="{8760C573-363D-4AA9-9EDD-FE9CD3A1A5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8" name="AutoShape 1" descr="Vista previa de toda la pantalla">
          <a:extLst>
            <a:ext uri="{FF2B5EF4-FFF2-40B4-BE49-F238E27FC236}">
              <a16:creationId xmlns:a16="http://schemas.microsoft.com/office/drawing/2014/main" id="{0B50E8E2-643C-40B2-90C5-674D107639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09" name="AutoShape 1" descr="Vista previa de toda la pantalla">
          <a:extLst>
            <a:ext uri="{FF2B5EF4-FFF2-40B4-BE49-F238E27FC236}">
              <a16:creationId xmlns:a16="http://schemas.microsoft.com/office/drawing/2014/main" id="{11A9DA14-53A7-46F5-ABDD-B9F4679B8D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0" name="AutoShape 1" descr="Vista previa de toda la pantalla">
          <a:extLst>
            <a:ext uri="{FF2B5EF4-FFF2-40B4-BE49-F238E27FC236}">
              <a16:creationId xmlns:a16="http://schemas.microsoft.com/office/drawing/2014/main" id="{A1D68847-28C0-41A5-9C17-D1DBC52DCE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1" name="AutoShape 1" descr="Vista previa de toda la pantalla">
          <a:extLst>
            <a:ext uri="{FF2B5EF4-FFF2-40B4-BE49-F238E27FC236}">
              <a16:creationId xmlns:a16="http://schemas.microsoft.com/office/drawing/2014/main" id="{9D17479C-BE44-4DB3-9EE4-4D2579AE6E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2" name="AutoShape 1" descr="Vista previa de toda la pantalla">
          <a:extLst>
            <a:ext uri="{FF2B5EF4-FFF2-40B4-BE49-F238E27FC236}">
              <a16:creationId xmlns:a16="http://schemas.microsoft.com/office/drawing/2014/main" id="{D7F65789-6AA6-47DB-B806-D14DE5DBA2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3" name="AutoShape 1" descr="Vista previa de toda la pantalla">
          <a:extLst>
            <a:ext uri="{FF2B5EF4-FFF2-40B4-BE49-F238E27FC236}">
              <a16:creationId xmlns:a16="http://schemas.microsoft.com/office/drawing/2014/main" id="{14966E6D-55F1-442F-9C9B-107B5BD49B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4" name="AutoShape 1" descr="Vista previa de toda la pantalla">
          <a:extLst>
            <a:ext uri="{FF2B5EF4-FFF2-40B4-BE49-F238E27FC236}">
              <a16:creationId xmlns:a16="http://schemas.microsoft.com/office/drawing/2014/main" id="{4ED76520-4377-488E-9943-38B93A874F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5" name="AutoShape 1" descr="Vista previa de toda la pantalla">
          <a:extLst>
            <a:ext uri="{FF2B5EF4-FFF2-40B4-BE49-F238E27FC236}">
              <a16:creationId xmlns:a16="http://schemas.microsoft.com/office/drawing/2014/main" id="{A74588E8-1F62-47AF-843F-C6AAA27395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6" name="AutoShape 1" descr="Vista previa de toda la pantalla">
          <a:extLst>
            <a:ext uri="{FF2B5EF4-FFF2-40B4-BE49-F238E27FC236}">
              <a16:creationId xmlns:a16="http://schemas.microsoft.com/office/drawing/2014/main" id="{5A69D0FD-EA42-4C3C-854C-6E53F83A6B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7" name="AutoShape 1" descr="Vista previa de toda la pantalla">
          <a:extLst>
            <a:ext uri="{FF2B5EF4-FFF2-40B4-BE49-F238E27FC236}">
              <a16:creationId xmlns:a16="http://schemas.microsoft.com/office/drawing/2014/main" id="{3CCB2E9F-1633-4D22-BD2B-0F80A37181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8" name="AutoShape 1" descr="Vista previa de toda la pantalla">
          <a:extLst>
            <a:ext uri="{FF2B5EF4-FFF2-40B4-BE49-F238E27FC236}">
              <a16:creationId xmlns:a16="http://schemas.microsoft.com/office/drawing/2014/main" id="{44307C8E-02DA-48B3-98F0-786E11D004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19" name="AutoShape 1" descr="Vista previa de toda la pantalla">
          <a:extLst>
            <a:ext uri="{FF2B5EF4-FFF2-40B4-BE49-F238E27FC236}">
              <a16:creationId xmlns:a16="http://schemas.microsoft.com/office/drawing/2014/main" id="{6EEA4583-ADA3-4305-8867-CD3A959319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0" name="AutoShape 1" descr="Vista previa de toda la pantalla">
          <a:extLst>
            <a:ext uri="{FF2B5EF4-FFF2-40B4-BE49-F238E27FC236}">
              <a16:creationId xmlns:a16="http://schemas.microsoft.com/office/drawing/2014/main" id="{55832B4E-A53D-4940-BE29-93F0A055FE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1" name="AutoShape 1" descr="Vista previa de toda la pantalla">
          <a:extLst>
            <a:ext uri="{FF2B5EF4-FFF2-40B4-BE49-F238E27FC236}">
              <a16:creationId xmlns:a16="http://schemas.microsoft.com/office/drawing/2014/main" id="{4869C8AF-2693-49BD-9A82-759349427A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2" name="AutoShape 1" descr="Vista previa de toda la pantalla">
          <a:extLst>
            <a:ext uri="{FF2B5EF4-FFF2-40B4-BE49-F238E27FC236}">
              <a16:creationId xmlns:a16="http://schemas.microsoft.com/office/drawing/2014/main" id="{43EBAE4C-6ECB-4875-907C-F3CC704836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3" name="AutoShape 1" descr="Vista previa de toda la pantalla">
          <a:extLst>
            <a:ext uri="{FF2B5EF4-FFF2-40B4-BE49-F238E27FC236}">
              <a16:creationId xmlns:a16="http://schemas.microsoft.com/office/drawing/2014/main" id="{1755CAD2-A8BF-43EE-A6D2-E0455CFF9C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4" name="AutoShape 1" descr="Vista previa de toda la pantalla">
          <a:extLst>
            <a:ext uri="{FF2B5EF4-FFF2-40B4-BE49-F238E27FC236}">
              <a16:creationId xmlns:a16="http://schemas.microsoft.com/office/drawing/2014/main" id="{B6023CEE-A732-4EF8-A13F-2AE1A4B69C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5" name="AutoShape 1" descr="Vista previa de toda la pantalla">
          <a:extLst>
            <a:ext uri="{FF2B5EF4-FFF2-40B4-BE49-F238E27FC236}">
              <a16:creationId xmlns:a16="http://schemas.microsoft.com/office/drawing/2014/main" id="{CBF797C8-F840-4DAB-9E7B-AE594E7E6E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6" name="AutoShape 1" descr="Vista previa de toda la pantalla">
          <a:extLst>
            <a:ext uri="{FF2B5EF4-FFF2-40B4-BE49-F238E27FC236}">
              <a16:creationId xmlns:a16="http://schemas.microsoft.com/office/drawing/2014/main" id="{18761085-87F1-449F-A744-82B2E9F3FC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7" name="AutoShape 1" descr="Vista previa de toda la pantalla">
          <a:extLst>
            <a:ext uri="{FF2B5EF4-FFF2-40B4-BE49-F238E27FC236}">
              <a16:creationId xmlns:a16="http://schemas.microsoft.com/office/drawing/2014/main" id="{9A73CFD3-CA16-4DDC-9A85-08C7F62985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8" name="AutoShape 1" descr="Vista previa de toda la pantalla">
          <a:extLst>
            <a:ext uri="{FF2B5EF4-FFF2-40B4-BE49-F238E27FC236}">
              <a16:creationId xmlns:a16="http://schemas.microsoft.com/office/drawing/2014/main" id="{EDB1B213-2506-4DB8-BF27-6753C2AC10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29" name="AutoShape 1" descr="Vista previa de toda la pantalla">
          <a:extLst>
            <a:ext uri="{FF2B5EF4-FFF2-40B4-BE49-F238E27FC236}">
              <a16:creationId xmlns:a16="http://schemas.microsoft.com/office/drawing/2014/main" id="{006E2319-4FEE-48D7-A653-D3D5524818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0" name="AutoShape 1" descr="Vista previa de toda la pantalla">
          <a:extLst>
            <a:ext uri="{FF2B5EF4-FFF2-40B4-BE49-F238E27FC236}">
              <a16:creationId xmlns:a16="http://schemas.microsoft.com/office/drawing/2014/main" id="{530E4F09-5D12-46E6-85E5-0F2FE710BA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1" name="AutoShape 1" descr="Vista previa de toda la pantalla">
          <a:extLst>
            <a:ext uri="{FF2B5EF4-FFF2-40B4-BE49-F238E27FC236}">
              <a16:creationId xmlns:a16="http://schemas.microsoft.com/office/drawing/2014/main" id="{B1519D0E-8294-4054-BF95-61893DCB53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2" name="AutoShape 1" descr="Vista previa de toda la pantalla">
          <a:extLst>
            <a:ext uri="{FF2B5EF4-FFF2-40B4-BE49-F238E27FC236}">
              <a16:creationId xmlns:a16="http://schemas.microsoft.com/office/drawing/2014/main" id="{1CC46FBD-F4C1-4B2D-899F-F415AF8FF4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3" name="AutoShape 1" descr="Vista previa de toda la pantalla">
          <a:extLst>
            <a:ext uri="{FF2B5EF4-FFF2-40B4-BE49-F238E27FC236}">
              <a16:creationId xmlns:a16="http://schemas.microsoft.com/office/drawing/2014/main" id="{FEA5B222-17B5-4ED9-8436-6A8C14CA84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4" name="AutoShape 1" descr="Vista previa de toda la pantalla">
          <a:extLst>
            <a:ext uri="{FF2B5EF4-FFF2-40B4-BE49-F238E27FC236}">
              <a16:creationId xmlns:a16="http://schemas.microsoft.com/office/drawing/2014/main" id="{47A11D94-5198-4CA7-B5F1-11699A4A1C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5" name="AutoShape 1" descr="Vista previa de toda la pantalla">
          <a:extLst>
            <a:ext uri="{FF2B5EF4-FFF2-40B4-BE49-F238E27FC236}">
              <a16:creationId xmlns:a16="http://schemas.microsoft.com/office/drawing/2014/main" id="{7ACCEB53-229C-4F3B-98D4-1F92FE4397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6" name="AutoShape 1" descr="Vista previa de toda la pantalla">
          <a:extLst>
            <a:ext uri="{FF2B5EF4-FFF2-40B4-BE49-F238E27FC236}">
              <a16:creationId xmlns:a16="http://schemas.microsoft.com/office/drawing/2014/main" id="{926C4AD2-B121-4021-AB4C-F40A28D635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7" name="AutoShape 1" descr="Vista previa de toda la pantalla">
          <a:extLst>
            <a:ext uri="{FF2B5EF4-FFF2-40B4-BE49-F238E27FC236}">
              <a16:creationId xmlns:a16="http://schemas.microsoft.com/office/drawing/2014/main" id="{F7D072D0-2C95-4293-81D3-A315270AF9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8" name="AutoShape 1" descr="Vista previa de toda la pantalla">
          <a:extLst>
            <a:ext uri="{FF2B5EF4-FFF2-40B4-BE49-F238E27FC236}">
              <a16:creationId xmlns:a16="http://schemas.microsoft.com/office/drawing/2014/main" id="{604AF752-44CF-499C-8283-A6CCF4729C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39" name="AutoShape 1" descr="Vista previa de toda la pantalla">
          <a:extLst>
            <a:ext uri="{FF2B5EF4-FFF2-40B4-BE49-F238E27FC236}">
              <a16:creationId xmlns:a16="http://schemas.microsoft.com/office/drawing/2014/main" id="{3CED4AB7-D74B-4644-BCAD-485FACA58F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0" name="AutoShape 1" descr="Vista previa de toda la pantalla">
          <a:extLst>
            <a:ext uri="{FF2B5EF4-FFF2-40B4-BE49-F238E27FC236}">
              <a16:creationId xmlns:a16="http://schemas.microsoft.com/office/drawing/2014/main" id="{6D39C827-0F1E-4244-A8AB-BAB3E4CBE4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1" name="AutoShape 1" descr="Vista previa de toda la pantalla">
          <a:extLst>
            <a:ext uri="{FF2B5EF4-FFF2-40B4-BE49-F238E27FC236}">
              <a16:creationId xmlns:a16="http://schemas.microsoft.com/office/drawing/2014/main" id="{57FF4C85-3057-4BCB-9489-7561616D26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2" name="AutoShape 1" descr="Vista previa de toda la pantalla">
          <a:extLst>
            <a:ext uri="{FF2B5EF4-FFF2-40B4-BE49-F238E27FC236}">
              <a16:creationId xmlns:a16="http://schemas.microsoft.com/office/drawing/2014/main" id="{89F2C614-6881-49B9-A9DF-3DF5EE6FE5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3" name="AutoShape 1" descr="Vista previa de toda la pantalla">
          <a:extLst>
            <a:ext uri="{FF2B5EF4-FFF2-40B4-BE49-F238E27FC236}">
              <a16:creationId xmlns:a16="http://schemas.microsoft.com/office/drawing/2014/main" id="{20C14024-CF60-4435-89D6-ED36C52C95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4" name="AutoShape 1" descr="Vista previa de toda la pantalla">
          <a:extLst>
            <a:ext uri="{FF2B5EF4-FFF2-40B4-BE49-F238E27FC236}">
              <a16:creationId xmlns:a16="http://schemas.microsoft.com/office/drawing/2014/main" id="{D2BA916A-4BF5-4966-9009-7786AE5E8E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5" name="AutoShape 1" descr="Vista previa de toda la pantalla">
          <a:extLst>
            <a:ext uri="{FF2B5EF4-FFF2-40B4-BE49-F238E27FC236}">
              <a16:creationId xmlns:a16="http://schemas.microsoft.com/office/drawing/2014/main" id="{E72B9A7F-28E2-418C-8CE5-771EB4D2A9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6" name="AutoShape 1" descr="Vista previa de toda la pantalla">
          <a:extLst>
            <a:ext uri="{FF2B5EF4-FFF2-40B4-BE49-F238E27FC236}">
              <a16:creationId xmlns:a16="http://schemas.microsoft.com/office/drawing/2014/main" id="{4FEE41A6-5C75-408F-885B-B90B597900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7" name="AutoShape 1" descr="Vista previa de toda la pantalla">
          <a:extLst>
            <a:ext uri="{FF2B5EF4-FFF2-40B4-BE49-F238E27FC236}">
              <a16:creationId xmlns:a16="http://schemas.microsoft.com/office/drawing/2014/main" id="{63E4AEEB-78A4-4CB4-97C8-BE3237288C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8" name="AutoShape 1" descr="Vista previa de toda la pantalla">
          <a:extLst>
            <a:ext uri="{FF2B5EF4-FFF2-40B4-BE49-F238E27FC236}">
              <a16:creationId xmlns:a16="http://schemas.microsoft.com/office/drawing/2014/main" id="{BDEE279E-B9DD-4CEC-AB96-53D76975BA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49" name="AutoShape 1" descr="Vista previa de toda la pantalla">
          <a:extLst>
            <a:ext uri="{FF2B5EF4-FFF2-40B4-BE49-F238E27FC236}">
              <a16:creationId xmlns:a16="http://schemas.microsoft.com/office/drawing/2014/main" id="{39250A19-21B9-4160-B701-BAF991DB02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0" name="AutoShape 1" descr="Vista previa de toda la pantalla">
          <a:extLst>
            <a:ext uri="{FF2B5EF4-FFF2-40B4-BE49-F238E27FC236}">
              <a16:creationId xmlns:a16="http://schemas.microsoft.com/office/drawing/2014/main" id="{BE68353D-C286-4BA6-8E67-2EA82A340B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1" name="AutoShape 1" descr="Vista previa de toda la pantalla">
          <a:extLst>
            <a:ext uri="{FF2B5EF4-FFF2-40B4-BE49-F238E27FC236}">
              <a16:creationId xmlns:a16="http://schemas.microsoft.com/office/drawing/2014/main" id="{2DF67759-56BC-4B42-A5BD-6D06757F62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2" name="AutoShape 1" descr="Vista previa de toda la pantalla">
          <a:extLst>
            <a:ext uri="{FF2B5EF4-FFF2-40B4-BE49-F238E27FC236}">
              <a16:creationId xmlns:a16="http://schemas.microsoft.com/office/drawing/2014/main" id="{A6C84DB9-38A6-42E7-9202-8B1B67E064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3" name="AutoShape 1" descr="Vista previa de toda la pantalla">
          <a:extLst>
            <a:ext uri="{FF2B5EF4-FFF2-40B4-BE49-F238E27FC236}">
              <a16:creationId xmlns:a16="http://schemas.microsoft.com/office/drawing/2014/main" id="{C0A60D1E-F5D7-4DBB-8508-92DC58A437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4" name="AutoShape 1" descr="Vista previa de toda la pantalla">
          <a:extLst>
            <a:ext uri="{FF2B5EF4-FFF2-40B4-BE49-F238E27FC236}">
              <a16:creationId xmlns:a16="http://schemas.microsoft.com/office/drawing/2014/main" id="{0C2FA4AB-820E-4B69-9118-8D32DBA01E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5" name="AutoShape 1" descr="Vista previa de toda la pantalla">
          <a:extLst>
            <a:ext uri="{FF2B5EF4-FFF2-40B4-BE49-F238E27FC236}">
              <a16:creationId xmlns:a16="http://schemas.microsoft.com/office/drawing/2014/main" id="{5C68BE2D-5A58-40DB-8DBA-3B25AF353D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6" name="AutoShape 1" descr="Vista previa de toda la pantalla">
          <a:extLst>
            <a:ext uri="{FF2B5EF4-FFF2-40B4-BE49-F238E27FC236}">
              <a16:creationId xmlns:a16="http://schemas.microsoft.com/office/drawing/2014/main" id="{4896E126-387A-4169-BFEB-52C575E05D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7" name="AutoShape 1" descr="Vista previa de toda la pantalla">
          <a:extLst>
            <a:ext uri="{FF2B5EF4-FFF2-40B4-BE49-F238E27FC236}">
              <a16:creationId xmlns:a16="http://schemas.microsoft.com/office/drawing/2014/main" id="{7E557EEA-870A-40C8-8771-AB58D7E74E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8" name="AutoShape 1" descr="Vista previa de toda la pantalla">
          <a:extLst>
            <a:ext uri="{FF2B5EF4-FFF2-40B4-BE49-F238E27FC236}">
              <a16:creationId xmlns:a16="http://schemas.microsoft.com/office/drawing/2014/main" id="{FE364AD3-EA0C-4759-9DF5-89B0B44A7C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59" name="AutoShape 1" descr="Vista previa de toda la pantalla">
          <a:extLst>
            <a:ext uri="{FF2B5EF4-FFF2-40B4-BE49-F238E27FC236}">
              <a16:creationId xmlns:a16="http://schemas.microsoft.com/office/drawing/2014/main" id="{AF80D86D-E53A-403C-8916-447372A353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0" name="AutoShape 1" descr="Vista previa de toda la pantalla">
          <a:extLst>
            <a:ext uri="{FF2B5EF4-FFF2-40B4-BE49-F238E27FC236}">
              <a16:creationId xmlns:a16="http://schemas.microsoft.com/office/drawing/2014/main" id="{A844EF8F-99A3-4D10-894D-07059A1B62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1" name="AutoShape 1" descr="Vista previa de toda la pantalla">
          <a:extLst>
            <a:ext uri="{FF2B5EF4-FFF2-40B4-BE49-F238E27FC236}">
              <a16:creationId xmlns:a16="http://schemas.microsoft.com/office/drawing/2014/main" id="{8A690D17-1F08-4E9C-B044-BCB76E78E8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2" name="AutoShape 1" descr="Vista previa de toda la pantalla">
          <a:extLst>
            <a:ext uri="{FF2B5EF4-FFF2-40B4-BE49-F238E27FC236}">
              <a16:creationId xmlns:a16="http://schemas.microsoft.com/office/drawing/2014/main" id="{64E60589-A08F-419D-9A4B-65ABB804D1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3" name="AutoShape 1" descr="Vista previa de toda la pantalla">
          <a:extLst>
            <a:ext uri="{FF2B5EF4-FFF2-40B4-BE49-F238E27FC236}">
              <a16:creationId xmlns:a16="http://schemas.microsoft.com/office/drawing/2014/main" id="{95DDF152-D157-4794-B90E-316CA3F647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4" name="AutoShape 1" descr="Vista previa de toda la pantalla">
          <a:extLst>
            <a:ext uri="{FF2B5EF4-FFF2-40B4-BE49-F238E27FC236}">
              <a16:creationId xmlns:a16="http://schemas.microsoft.com/office/drawing/2014/main" id="{72C33B60-CFC1-48B1-9C55-0DCF697E3C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5" name="AutoShape 1" descr="Vista previa de toda la pantalla">
          <a:extLst>
            <a:ext uri="{FF2B5EF4-FFF2-40B4-BE49-F238E27FC236}">
              <a16:creationId xmlns:a16="http://schemas.microsoft.com/office/drawing/2014/main" id="{35E1676B-D24E-45FA-9255-363D9769EE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6" name="AutoShape 1" descr="Vista previa de toda la pantalla">
          <a:extLst>
            <a:ext uri="{FF2B5EF4-FFF2-40B4-BE49-F238E27FC236}">
              <a16:creationId xmlns:a16="http://schemas.microsoft.com/office/drawing/2014/main" id="{01D302B5-720E-4BBC-AFD4-3F690D04DC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7" name="AutoShape 1" descr="Vista previa de toda la pantalla">
          <a:extLst>
            <a:ext uri="{FF2B5EF4-FFF2-40B4-BE49-F238E27FC236}">
              <a16:creationId xmlns:a16="http://schemas.microsoft.com/office/drawing/2014/main" id="{C651AE3F-7E47-4B74-A299-62D7479855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8" name="AutoShape 1" descr="Vista previa de toda la pantalla">
          <a:extLst>
            <a:ext uri="{FF2B5EF4-FFF2-40B4-BE49-F238E27FC236}">
              <a16:creationId xmlns:a16="http://schemas.microsoft.com/office/drawing/2014/main" id="{73D1841C-6291-4DE9-87CC-9E220539E3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69" name="AutoShape 1" descr="Vista previa de toda la pantalla">
          <a:extLst>
            <a:ext uri="{FF2B5EF4-FFF2-40B4-BE49-F238E27FC236}">
              <a16:creationId xmlns:a16="http://schemas.microsoft.com/office/drawing/2014/main" id="{845203CB-F8B4-4EFB-A2F0-8EA5F6788C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0" name="AutoShape 1" descr="Vista previa de toda la pantalla">
          <a:extLst>
            <a:ext uri="{FF2B5EF4-FFF2-40B4-BE49-F238E27FC236}">
              <a16:creationId xmlns:a16="http://schemas.microsoft.com/office/drawing/2014/main" id="{A36C2245-3830-4A5F-B5EA-CAC1321904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1" name="AutoShape 1" descr="Vista previa de toda la pantalla">
          <a:extLst>
            <a:ext uri="{FF2B5EF4-FFF2-40B4-BE49-F238E27FC236}">
              <a16:creationId xmlns:a16="http://schemas.microsoft.com/office/drawing/2014/main" id="{3EACF793-064E-47C9-A132-7EB6B3C82A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2" name="AutoShape 1" descr="Vista previa de toda la pantalla">
          <a:extLst>
            <a:ext uri="{FF2B5EF4-FFF2-40B4-BE49-F238E27FC236}">
              <a16:creationId xmlns:a16="http://schemas.microsoft.com/office/drawing/2014/main" id="{D277AAEA-992A-409F-A390-C0A1C4F126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3" name="AutoShape 1" descr="Vista previa de toda la pantalla">
          <a:extLst>
            <a:ext uri="{FF2B5EF4-FFF2-40B4-BE49-F238E27FC236}">
              <a16:creationId xmlns:a16="http://schemas.microsoft.com/office/drawing/2014/main" id="{95260038-CB7D-4035-9CB6-4E2B219C7B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4" name="AutoShape 1" descr="Vista previa de toda la pantalla">
          <a:extLst>
            <a:ext uri="{FF2B5EF4-FFF2-40B4-BE49-F238E27FC236}">
              <a16:creationId xmlns:a16="http://schemas.microsoft.com/office/drawing/2014/main" id="{6812DDA1-EFF6-4862-8EB4-E2AE6C4F5E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5" name="AutoShape 1" descr="Vista previa de toda la pantalla">
          <a:extLst>
            <a:ext uri="{FF2B5EF4-FFF2-40B4-BE49-F238E27FC236}">
              <a16:creationId xmlns:a16="http://schemas.microsoft.com/office/drawing/2014/main" id="{A9C34706-6303-4D85-A786-4CE56EB26B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6" name="AutoShape 1" descr="Vista previa de toda la pantalla">
          <a:extLst>
            <a:ext uri="{FF2B5EF4-FFF2-40B4-BE49-F238E27FC236}">
              <a16:creationId xmlns:a16="http://schemas.microsoft.com/office/drawing/2014/main" id="{9DEC7FD9-78CA-4F8E-AD61-680D5A3C19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7" name="AutoShape 1" descr="Vista previa de toda la pantalla">
          <a:extLst>
            <a:ext uri="{FF2B5EF4-FFF2-40B4-BE49-F238E27FC236}">
              <a16:creationId xmlns:a16="http://schemas.microsoft.com/office/drawing/2014/main" id="{E41B31BD-5208-43CD-B2BE-B53EB99AB7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8" name="AutoShape 1" descr="Vista previa de toda la pantalla">
          <a:extLst>
            <a:ext uri="{FF2B5EF4-FFF2-40B4-BE49-F238E27FC236}">
              <a16:creationId xmlns:a16="http://schemas.microsoft.com/office/drawing/2014/main" id="{4599A5B3-FCC6-4C46-8C6D-BCC804376A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79" name="AutoShape 1" descr="Vista previa de toda la pantalla">
          <a:extLst>
            <a:ext uri="{FF2B5EF4-FFF2-40B4-BE49-F238E27FC236}">
              <a16:creationId xmlns:a16="http://schemas.microsoft.com/office/drawing/2014/main" id="{94C48209-13D5-4051-95B6-A795524C09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0" name="AutoShape 1" descr="Vista previa de toda la pantalla">
          <a:extLst>
            <a:ext uri="{FF2B5EF4-FFF2-40B4-BE49-F238E27FC236}">
              <a16:creationId xmlns:a16="http://schemas.microsoft.com/office/drawing/2014/main" id="{DAD45DA4-CE78-45AC-B708-508063D930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1" name="AutoShape 1" descr="Vista previa de toda la pantalla">
          <a:extLst>
            <a:ext uri="{FF2B5EF4-FFF2-40B4-BE49-F238E27FC236}">
              <a16:creationId xmlns:a16="http://schemas.microsoft.com/office/drawing/2014/main" id="{7B354D89-4AD6-40E7-843D-B6D2AD4D2F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2" name="AutoShape 1" descr="Vista previa de toda la pantalla">
          <a:extLst>
            <a:ext uri="{FF2B5EF4-FFF2-40B4-BE49-F238E27FC236}">
              <a16:creationId xmlns:a16="http://schemas.microsoft.com/office/drawing/2014/main" id="{CCBA3D05-F180-4C09-BBB2-C0183F83A0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3" name="AutoShape 1" descr="Vista previa de toda la pantalla">
          <a:extLst>
            <a:ext uri="{FF2B5EF4-FFF2-40B4-BE49-F238E27FC236}">
              <a16:creationId xmlns:a16="http://schemas.microsoft.com/office/drawing/2014/main" id="{04BA2AC1-BE67-4D9D-AA1B-332DF58AC0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4" name="AutoShape 1" descr="Vista previa de toda la pantalla">
          <a:extLst>
            <a:ext uri="{FF2B5EF4-FFF2-40B4-BE49-F238E27FC236}">
              <a16:creationId xmlns:a16="http://schemas.microsoft.com/office/drawing/2014/main" id="{4E279077-FE68-46B3-A1D9-56D5D820B8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5" name="AutoShape 1" descr="Vista previa de toda la pantalla">
          <a:extLst>
            <a:ext uri="{FF2B5EF4-FFF2-40B4-BE49-F238E27FC236}">
              <a16:creationId xmlns:a16="http://schemas.microsoft.com/office/drawing/2014/main" id="{D3D7EDFA-FB70-42A4-8D50-50F413E273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6" name="AutoShape 1" descr="Vista previa de toda la pantalla">
          <a:extLst>
            <a:ext uri="{FF2B5EF4-FFF2-40B4-BE49-F238E27FC236}">
              <a16:creationId xmlns:a16="http://schemas.microsoft.com/office/drawing/2014/main" id="{71134360-46DA-4704-92D7-F13421C87B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7" name="AutoShape 1" descr="Vista previa de toda la pantalla">
          <a:extLst>
            <a:ext uri="{FF2B5EF4-FFF2-40B4-BE49-F238E27FC236}">
              <a16:creationId xmlns:a16="http://schemas.microsoft.com/office/drawing/2014/main" id="{2668A4DB-0A30-432A-A16B-F662DD186E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8" name="AutoShape 1" descr="Vista previa de toda la pantalla">
          <a:extLst>
            <a:ext uri="{FF2B5EF4-FFF2-40B4-BE49-F238E27FC236}">
              <a16:creationId xmlns:a16="http://schemas.microsoft.com/office/drawing/2014/main" id="{B27FF10A-F159-4208-9A7B-BA4E2680E8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89" name="AutoShape 1" descr="Vista previa de toda la pantalla">
          <a:extLst>
            <a:ext uri="{FF2B5EF4-FFF2-40B4-BE49-F238E27FC236}">
              <a16:creationId xmlns:a16="http://schemas.microsoft.com/office/drawing/2014/main" id="{1AC570C1-C0E8-45F3-BAEA-30D9458250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0" name="AutoShape 1" descr="Vista previa de toda la pantalla">
          <a:extLst>
            <a:ext uri="{FF2B5EF4-FFF2-40B4-BE49-F238E27FC236}">
              <a16:creationId xmlns:a16="http://schemas.microsoft.com/office/drawing/2014/main" id="{7A5323B2-CE91-4FDE-A6A6-F261FD9C6D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1" name="AutoShape 1" descr="Vista previa de toda la pantalla">
          <a:extLst>
            <a:ext uri="{FF2B5EF4-FFF2-40B4-BE49-F238E27FC236}">
              <a16:creationId xmlns:a16="http://schemas.microsoft.com/office/drawing/2014/main" id="{1A06D40B-D442-477D-82C2-DC830B5715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2" name="AutoShape 1" descr="Vista previa de toda la pantalla">
          <a:extLst>
            <a:ext uri="{FF2B5EF4-FFF2-40B4-BE49-F238E27FC236}">
              <a16:creationId xmlns:a16="http://schemas.microsoft.com/office/drawing/2014/main" id="{2C3E75D2-48F6-4ECA-9799-79884CC8E4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3" name="AutoShape 1" descr="Vista previa de toda la pantalla">
          <a:extLst>
            <a:ext uri="{FF2B5EF4-FFF2-40B4-BE49-F238E27FC236}">
              <a16:creationId xmlns:a16="http://schemas.microsoft.com/office/drawing/2014/main" id="{F9CC5232-F6F2-45AA-A410-00379E72D4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4" name="AutoShape 1" descr="Vista previa de toda la pantalla">
          <a:extLst>
            <a:ext uri="{FF2B5EF4-FFF2-40B4-BE49-F238E27FC236}">
              <a16:creationId xmlns:a16="http://schemas.microsoft.com/office/drawing/2014/main" id="{F922F1CF-E7C1-4703-AD1B-30786F2F1B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5" name="AutoShape 1" descr="Vista previa de toda la pantalla">
          <a:extLst>
            <a:ext uri="{FF2B5EF4-FFF2-40B4-BE49-F238E27FC236}">
              <a16:creationId xmlns:a16="http://schemas.microsoft.com/office/drawing/2014/main" id="{6F351ADA-155E-483B-A568-5EE7595886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6" name="AutoShape 1" descr="Vista previa de toda la pantalla">
          <a:extLst>
            <a:ext uri="{FF2B5EF4-FFF2-40B4-BE49-F238E27FC236}">
              <a16:creationId xmlns:a16="http://schemas.microsoft.com/office/drawing/2014/main" id="{7E912588-E683-4CF6-B756-13A8F559D1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7" name="AutoShape 1" descr="Vista previa de toda la pantalla">
          <a:extLst>
            <a:ext uri="{FF2B5EF4-FFF2-40B4-BE49-F238E27FC236}">
              <a16:creationId xmlns:a16="http://schemas.microsoft.com/office/drawing/2014/main" id="{39A13B43-E1D2-4A99-81F1-BB084C78BA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8" name="AutoShape 1" descr="Vista previa de toda la pantalla">
          <a:extLst>
            <a:ext uri="{FF2B5EF4-FFF2-40B4-BE49-F238E27FC236}">
              <a16:creationId xmlns:a16="http://schemas.microsoft.com/office/drawing/2014/main" id="{64EB8BD9-6710-4C31-857F-CAA9E80418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199" name="AutoShape 1" descr="Vista previa de toda la pantalla">
          <a:extLst>
            <a:ext uri="{FF2B5EF4-FFF2-40B4-BE49-F238E27FC236}">
              <a16:creationId xmlns:a16="http://schemas.microsoft.com/office/drawing/2014/main" id="{1C998D90-F01C-4813-BBF4-36DFF64E53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0" name="AutoShape 1" descr="Vista previa de toda la pantalla">
          <a:extLst>
            <a:ext uri="{FF2B5EF4-FFF2-40B4-BE49-F238E27FC236}">
              <a16:creationId xmlns:a16="http://schemas.microsoft.com/office/drawing/2014/main" id="{45B5C2E7-2D8D-41A1-8950-C6FA34C9E4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1" name="AutoShape 1" descr="Vista previa de toda la pantalla">
          <a:extLst>
            <a:ext uri="{FF2B5EF4-FFF2-40B4-BE49-F238E27FC236}">
              <a16:creationId xmlns:a16="http://schemas.microsoft.com/office/drawing/2014/main" id="{7460F2E7-EE4C-4DE1-9C4F-85C8761884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2" name="AutoShape 1" descr="Vista previa de toda la pantalla">
          <a:extLst>
            <a:ext uri="{FF2B5EF4-FFF2-40B4-BE49-F238E27FC236}">
              <a16:creationId xmlns:a16="http://schemas.microsoft.com/office/drawing/2014/main" id="{0BCAF746-BEEB-4710-A144-884C752D71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3" name="AutoShape 1" descr="Vista previa de toda la pantalla">
          <a:extLst>
            <a:ext uri="{FF2B5EF4-FFF2-40B4-BE49-F238E27FC236}">
              <a16:creationId xmlns:a16="http://schemas.microsoft.com/office/drawing/2014/main" id="{77FB2B2B-7F9C-421F-8299-005374C27B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4" name="AutoShape 1" descr="Vista previa de toda la pantalla">
          <a:extLst>
            <a:ext uri="{FF2B5EF4-FFF2-40B4-BE49-F238E27FC236}">
              <a16:creationId xmlns:a16="http://schemas.microsoft.com/office/drawing/2014/main" id="{28CCC21F-A3F6-48D9-881D-5145E054C7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5" name="AutoShape 1" descr="Vista previa de toda la pantalla">
          <a:extLst>
            <a:ext uri="{FF2B5EF4-FFF2-40B4-BE49-F238E27FC236}">
              <a16:creationId xmlns:a16="http://schemas.microsoft.com/office/drawing/2014/main" id="{57631AF6-6F4D-45CE-9A33-1A3E9D56A1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6" name="AutoShape 1" descr="Vista previa de toda la pantalla">
          <a:extLst>
            <a:ext uri="{FF2B5EF4-FFF2-40B4-BE49-F238E27FC236}">
              <a16:creationId xmlns:a16="http://schemas.microsoft.com/office/drawing/2014/main" id="{451A3F0E-C26F-493A-A1B7-8F13B14AA8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7" name="AutoShape 1" descr="Vista previa de toda la pantalla">
          <a:extLst>
            <a:ext uri="{FF2B5EF4-FFF2-40B4-BE49-F238E27FC236}">
              <a16:creationId xmlns:a16="http://schemas.microsoft.com/office/drawing/2014/main" id="{50287EBF-D7E3-4EE3-A2DA-0D71BD40B1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8" name="AutoShape 1" descr="Vista previa de toda la pantalla">
          <a:extLst>
            <a:ext uri="{FF2B5EF4-FFF2-40B4-BE49-F238E27FC236}">
              <a16:creationId xmlns:a16="http://schemas.microsoft.com/office/drawing/2014/main" id="{9D23F52D-E9BF-496D-95B9-C6ABEC2A22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09" name="AutoShape 1" descr="Vista previa de toda la pantalla">
          <a:extLst>
            <a:ext uri="{FF2B5EF4-FFF2-40B4-BE49-F238E27FC236}">
              <a16:creationId xmlns:a16="http://schemas.microsoft.com/office/drawing/2014/main" id="{3D6F300E-D8A3-44F9-9C93-FF51E007A4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0" name="AutoShape 1" descr="Vista previa de toda la pantalla">
          <a:extLst>
            <a:ext uri="{FF2B5EF4-FFF2-40B4-BE49-F238E27FC236}">
              <a16:creationId xmlns:a16="http://schemas.microsoft.com/office/drawing/2014/main" id="{0E43FE90-252C-4AD3-B8F8-ECA694FE89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1" name="AutoShape 1" descr="Vista previa de toda la pantalla">
          <a:extLst>
            <a:ext uri="{FF2B5EF4-FFF2-40B4-BE49-F238E27FC236}">
              <a16:creationId xmlns:a16="http://schemas.microsoft.com/office/drawing/2014/main" id="{A45CC6FC-E768-4267-84EA-4DC9258B44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2" name="AutoShape 1" descr="Vista previa de toda la pantalla">
          <a:extLst>
            <a:ext uri="{FF2B5EF4-FFF2-40B4-BE49-F238E27FC236}">
              <a16:creationId xmlns:a16="http://schemas.microsoft.com/office/drawing/2014/main" id="{DA1AA0AF-62F0-4A01-9834-98E095FF25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3" name="AutoShape 1" descr="Vista previa de toda la pantalla">
          <a:extLst>
            <a:ext uri="{FF2B5EF4-FFF2-40B4-BE49-F238E27FC236}">
              <a16:creationId xmlns:a16="http://schemas.microsoft.com/office/drawing/2014/main" id="{8682AF27-196E-4806-AD5C-939091F3AB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4" name="AutoShape 1" descr="Vista previa de toda la pantalla">
          <a:extLst>
            <a:ext uri="{FF2B5EF4-FFF2-40B4-BE49-F238E27FC236}">
              <a16:creationId xmlns:a16="http://schemas.microsoft.com/office/drawing/2014/main" id="{F63D8291-9ADD-4854-9AD6-9BAB700B51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5" name="AutoShape 1" descr="Vista previa de toda la pantalla">
          <a:extLst>
            <a:ext uri="{FF2B5EF4-FFF2-40B4-BE49-F238E27FC236}">
              <a16:creationId xmlns:a16="http://schemas.microsoft.com/office/drawing/2014/main" id="{41EC130C-21D8-4143-AC50-E36C3E1263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6" name="AutoShape 1" descr="Vista previa de toda la pantalla">
          <a:extLst>
            <a:ext uri="{FF2B5EF4-FFF2-40B4-BE49-F238E27FC236}">
              <a16:creationId xmlns:a16="http://schemas.microsoft.com/office/drawing/2014/main" id="{BAE501BD-C824-4160-9F25-E1A98F2B45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7" name="AutoShape 1" descr="Vista previa de toda la pantalla">
          <a:extLst>
            <a:ext uri="{FF2B5EF4-FFF2-40B4-BE49-F238E27FC236}">
              <a16:creationId xmlns:a16="http://schemas.microsoft.com/office/drawing/2014/main" id="{B28095EF-62F6-4DCF-8674-2B688AE428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8" name="AutoShape 1" descr="Vista previa de toda la pantalla">
          <a:extLst>
            <a:ext uri="{FF2B5EF4-FFF2-40B4-BE49-F238E27FC236}">
              <a16:creationId xmlns:a16="http://schemas.microsoft.com/office/drawing/2014/main" id="{D6C65FBE-75FF-4504-AB70-769351BF84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19" name="AutoShape 1" descr="Vista previa de toda la pantalla">
          <a:extLst>
            <a:ext uri="{FF2B5EF4-FFF2-40B4-BE49-F238E27FC236}">
              <a16:creationId xmlns:a16="http://schemas.microsoft.com/office/drawing/2014/main" id="{DB4B9A13-01F0-4AF5-AA2F-50998D120D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0" name="AutoShape 1" descr="Vista previa de toda la pantalla">
          <a:extLst>
            <a:ext uri="{FF2B5EF4-FFF2-40B4-BE49-F238E27FC236}">
              <a16:creationId xmlns:a16="http://schemas.microsoft.com/office/drawing/2014/main" id="{E6D2FA35-2DFF-462D-9258-97D116859D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1" name="AutoShape 1" descr="Vista previa de toda la pantalla">
          <a:extLst>
            <a:ext uri="{FF2B5EF4-FFF2-40B4-BE49-F238E27FC236}">
              <a16:creationId xmlns:a16="http://schemas.microsoft.com/office/drawing/2014/main" id="{52879341-D4F1-473E-BAA4-462F2C2AC7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2" name="AutoShape 1" descr="Vista previa de toda la pantalla">
          <a:extLst>
            <a:ext uri="{FF2B5EF4-FFF2-40B4-BE49-F238E27FC236}">
              <a16:creationId xmlns:a16="http://schemas.microsoft.com/office/drawing/2014/main" id="{E809417B-9E74-460F-8A2E-FE84C995EB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3" name="AutoShape 1" descr="Vista previa de toda la pantalla">
          <a:extLst>
            <a:ext uri="{FF2B5EF4-FFF2-40B4-BE49-F238E27FC236}">
              <a16:creationId xmlns:a16="http://schemas.microsoft.com/office/drawing/2014/main" id="{973B4336-6DA1-4392-A6C3-543166B811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4" name="AutoShape 1" descr="Vista previa de toda la pantalla">
          <a:extLst>
            <a:ext uri="{FF2B5EF4-FFF2-40B4-BE49-F238E27FC236}">
              <a16:creationId xmlns:a16="http://schemas.microsoft.com/office/drawing/2014/main" id="{74154253-36C0-4F3F-A583-3313A278E4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5" name="AutoShape 1" descr="Vista previa de toda la pantalla">
          <a:extLst>
            <a:ext uri="{FF2B5EF4-FFF2-40B4-BE49-F238E27FC236}">
              <a16:creationId xmlns:a16="http://schemas.microsoft.com/office/drawing/2014/main" id="{F121D21A-786A-4EA7-8853-565B9D3371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6" name="AutoShape 1" descr="Vista previa de toda la pantalla">
          <a:extLst>
            <a:ext uri="{FF2B5EF4-FFF2-40B4-BE49-F238E27FC236}">
              <a16:creationId xmlns:a16="http://schemas.microsoft.com/office/drawing/2014/main" id="{8C7F38B2-877D-43DE-A9E1-6190AD79A9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7" name="AutoShape 1" descr="Vista previa de toda la pantalla">
          <a:extLst>
            <a:ext uri="{FF2B5EF4-FFF2-40B4-BE49-F238E27FC236}">
              <a16:creationId xmlns:a16="http://schemas.microsoft.com/office/drawing/2014/main" id="{E7E5EF33-6D14-4904-B70E-495A98F279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8" name="AutoShape 1" descr="Vista previa de toda la pantalla">
          <a:extLst>
            <a:ext uri="{FF2B5EF4-FFF2-40B4-BE49-F238E27FC236}">
              <a16:creationId xmlns:a16="http://schemas.microsoft.com/office/drawing/2014/main" id="{49F70E9D-E585-41AE-BB49-8D4809870E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29" name="AutoShape 1" descr="Vista previa de toda la pantalla">
          <a:extLst>
            <a:ext uri="{FF2B5EF4-FFF2-40B4-BE49-F238E27FC236}">
              <a16:creationId xmlns:a16="http://schemas.microsoft.com/office/drawing/2014/main" id="{561AFAB5-D8F0-4E58-90A8-6E0DB2601E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0" name="AutoShape 1" descr="Vista previa de toda la pantalla">
          <a:extLst>
            <a:ext uri="{FF2B5EF4-FFF2-40B4-BE49-F238E27FC236}">
              <a16:creationId xmlns:a16="http://schemas.microsoft.com/office/drawing/2014/main" id="{851C8FEB-A632-4FFB-9A2E-A754B6329C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1" name="AutoShape 1" descr="Vista previa de toda la pantalla">
          <a:extLst>
            <a:ext uri="{FF2B5EF4-FFF2-40B4-BE49-F238E27FC236}">
              <a16:creationId xmlns:a16="http://schemas.microsoft.com/office/drawing/2014/main" id="{E70CBC49-BDE9-4359-AC3C-F297996BCD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2" name="AutoShape 1" descr="Vista previa de toda la pantalla">
          <a:extLst>
            <a:ext uri="{FF2B5EF4-FFF2-40B4-BE49-F238E27FC236}">
              <a16:creationId xmlns:a16="http://schemas.microsoft.com/office/drawing/2014/main" id="{164BD620-DCF3-44F0-AD2C-FFD2C53195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3" name="AutoShape 1" descr="Vista previa de toda la pantalla">
          <a:extLst>
            <a:ext uri="{FF2B5EF4-FFF2-40B4-BE49-F238E27FC236}">
              <a16:creationId xmlns:a16="http://schemas.microsoft.com/office/drawing/2014/main" id="{0D7CBC42-5C55-4AB9-BD95-1AA71C4146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4" name="AutoShape 1" descr="Vista previa de toda la pantalla">
          <a:extLst>
            <a:ext uri="{FF2B5EF4-FFF2-40B4-BE49-F238E27FC236}">
              <a16:creationId xmlns:a16="http://schemas.microsoft.com/office/drawing/2014/main" id="{11943186-F2ED-47D3-B261-6A7C7B2D31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5" name="AutoShape 1" descr="Vista previa de toda la pantalla">
          <a:extLst>
            <a:ext uri="{FF2B5EF4-FFF2-40B4-BE49-F238E27FC236}">
              <a16:creationId xmlns:a16="http://schemas.microsoft.com/office/drawing/2014/main" id="{40FC32AD-7403-452F-93A8-2BC61A0CAC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6" name="AutoShape 1" descr="Vista previa de toda la pantalla">
          <a:extLst>
            <a:ext uri="{FF2B5EF4-FFF2-40B4-BE49-F238E27FC236}">
              <a16:creationId xmlns:a16="http://schemas.microsoft.com/office/drawing/2014/main" id="{ACE4314A-7129-4F10-AB7B-66D2CE835A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7" name="AutoShape 1" descr="Vista previa de toda la pantalla">
          <a:extLst>
            <a:ext uri="{FF2B5EF4-FFF2-40B4-BE49-F238E27FC236}">
              <a16:creationId xmlns:a16="http://schemas.microsoft.com/office/drawing/2014/main" id="{CC7CA54A-852F-4921-B2BC-6470E4F43A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8" name="AutoShape 1" descr="Vista previa de toda la pantalla">
          <a:extLst>
            <a:ext uri="{FF2B5EF4-FFF2-40B4-BE49-F238E27FC236}">
              <a16:creationId xmlns:a16="http://schemas.microsoft.com/office/drawing/2014/main" id="{A72DA16C-3794-4670-AA61-0159F3E75D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39" name="AutoShape 1" descr="Vista previa de toda la pantalla">
          <a:extLst>
            <a:ext uri="{FF2B5EF4-FFF2-40B4-BE49-F238E27FC236}">
              <a16:creationId xmlns:a16="http://schemas.microsoft.com/office/drawing/2014/main" id="{0D17DAF3-73C6-43F0-8201-C4070ECE0C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0" name="AutoShape 1" descr="Vista previa de toda la pantalla">
          <a:extLst>
            <a:ext uri="{FF2B5EF4-FFF2-40B4-BE49-F238E27FC236}">
              <a16:creationId xmlns:a16="http://schemas.microsoft.com/office/drawing/2014/main" id="{35D67F44-ABF1-4587-9A60-224BBDFBC3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1" name="AutoShape 1" descr="Vista previa de toda la pantalla">
          <a:extLst>
            <a:ext uri="{FF2B5EF4-FFF2-40B4-BE49-F238E27FC236}">
              <a16:creationId xmlns:a16="http://schemas.microsoft.com/office/drawing/2014/main" id="{028A01D3-AAB3-486A-A5B5-4D071F05DE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2" name="AutoShape 1" descr="Vista previa de toda la pantalla">
          <a:extLst>
            <a:ext uri="{FF2B5EF4-FFF2-40B4-BE49-F238E27FC236}">
              <a16:creationId xmlns:a16="http://schemas.microsoft.com/office/drawing/2014/main" id="{29449B32-F5EB-4B14-801C-2906996374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3" name="AutoShape 1" descr="Vista previa de toda la pantalla">
          <a:extLst>
            <a:ext uri="{FF2B5EF4-FFF2-40B4-BE49-F238E27FC236}">
              <a16:creationId xmlns:a16="http://schemas.microsoft.com/office/drawing/2014/main" id="{4C2CA96F-4DB9-4E5A-AC28-F794F548C6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4" name="AutoShape 1" descr="Vista previa de toda la pantalla">
          <a:extLst>
            <a:ext uri="{FF2B5EF4-FFF2-40B4-BE49-F238E27FC236}">
              <a16:creationId xmlns:a16="http://schemas.microsoft.com/office/drawing/2014/main" id="{A7D12FA5-BB3C-44E8-8DE4-A6885A59E3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5" name="AutoShape 1" descr="Vista previa de toda la pantalla">
          <a:extLst>
            <a:ext uri="{FF2B5EF4-FFF2-40B4-BE49-F238E27FC236}">
              <a16:creationId xmlns:a16="http://schemas.microsoft.com/office/drawing/2014/main" id="{0FCEA301-6512-4B2D-B5A7-257E86E217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6" name="AutoShape 1" descr="Vista previa de toda la pantalla">
          <a:extLst>
            <a:ext uri="{FF2B5EF4-FFF2-40B4-BE49-F238E27FC236}">
              <a16:creationId xmlns:a16="http://schemas.microsoft.com/office/drawing/2014/main" id="{70F7C548-048B-404F-9C7C-27C9985ACF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7" name="AutoShape 1" descr="Vista previa de toda la pantalla">
          <a:extLst>
            <a:ext uri="{FF2B5EF4-FFF2-40B4-BE49-F238E27FC236}">
              <a16:creationId xmlns:a16="http://schemas.microsoft.com/office/drawing/2014/main" id="{0A2D3758-7E5E-4F08-9525-4EEA7EAC02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8" name="AutoShape 1" descr="Vista previa de toda la pantalla">
          <a:extLst>
            <a:ext uri="{FF2B5EF4-FFF2-40B4-BE49-F238E27FC236}">
              <a16:creationId xmlns:a16="http://schemas.microsoft.com/office/drawing/2014/main" id="{F46BA30F-6CAF-44F0-B916-E8B35278E4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49" name="AutoShape 1" descr="Vista previa de toda la pantalla">
          <a:extLst>
            <a:ext uri="{FF2B5EF4-FFF2-40B4-BE49-F238E27FC236}">
              <a16:creationId xmlns:a16="http://schemas.microsoft.com/office/drawing/2014/main" id="{7BA6B268-F9B8-4265-BF1E-1FA7457F87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0" name="AutoShape 1" descr="Vista previa de toda la pantalla">
          <a:extLst>
            <a:ext uri="{FF2B5EF4-FFF2-40B4-BE49-F238E27FC236}">
              <a16:creationId xmlns:a16="http://schemas.microsoft.com/office/drawing/2014/main" id="{98ECD3A3-2C0B-49C1-8D5B-6F887471CF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1" name="AutoShape 1" descr="Vista previa de toda la pantalla">
          <a:extLst>
            <a:ext uri="{FF2B5EF4-FFF2-40B4-BE49-F238E27FC236}">
              <a16:creationId xmlns:a16="http://schemas.microsoft.com/office/drawing/2014/main" id="{0F11AD83-4271-4ED1-AAEF-B04BB1C386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2" name="AutoShape 1" descr="Vista previa de toda la pantalla">
          <a:extLst>
            <a:ext uri="{FF2B5EF4-FFF2-40B4-BE49-F238E27FC236}">
              <a16:creationId xmlns:a16="http://schemas.microsoft.com/office/drawing/2014/main" id="{9EE5E36A-F1C2-4AD2-8521-254C54F045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3" name="AutoShape 1" descr="Vista previa de toda la pantalla">
          <a:extLst>
            <a:ext uri="{FF2B5EF4-FFF2-40B4-BE49-F238E27FC236}">
              <a16:creationId xmlns:a16="http://schemas.microsoft.com/office/drawing/2014/main" id="{8518B7B6-81BF-4A5A-A6C1-FD6F58A755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4" name="AutoShape 1" descr="Vista previa de toda la pantalla">
          <a:extLst>
            <a:ext uri="{FF2B5EF4-FFF2-40B4-BE49-F238E27FC236}">
              <a16:creationId xmlns:a16="http://schemas.microsoft.com/office/drawing/2014/main" id="{8D8A4B1E-954F-4B63-9AA5-FF2DE2E437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5" name="AutoShape 1" descr="Vista previa de toda la pantalla">
          <a:extLst>
            <a:ext uri="{FF2B5EF4-FFF2-40B4-BE49-F238E27FC236}">
              <a16:creationId xmlns:a16="http://schemas.microsoft.com/office/drawing/2014/main" id="{AC6CE8FF-CA1F-4D73-8F44-640F9CC1F7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6" name="AutoShape 1" descr="Vista previa de toda la pantalla">
          <a:extLst>
            <a:ext uri="{FF2B5EF4-FFF2-40B4-BE49-F238E27FC236}">
              <a16:creationId xmlns:a16="http://schemas.microsoft.com/office/drawing/2014/main" id="{CB399690-5B5C-4ECE-BB27-E477706C66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7" name="AutoShape 1" descr="Vista previa de toda la pantalla">
          <a:extLst>
            <a:ext uri="{FF2B5EF4-FFF2-40B4-BE49-F238E27FC236}">
              <a16:creationId xmlns:a16="http://schemas.microsoft.com/office/drawing/2014/main" id="{DDDD0D35-E5EF-44D7-89A8-D815FC25A0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8" name="AutoShape 1" descr="Vista previa de toda la pantalla">
          <a:extLst>
            <a:ext uri="{FF2B5EF4-FFF2-40B4-BE49-F238E27FC236}">
              <a16:creationId xmlns:a16="http://schemas.microsoft.com/office/drawing/2014/main" id="{32DDC14E-3037-4E20-879D-D6B3D15711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59" name="AutoShape 1" descr="Vista previa de toda la pantalla">
          <a:extLst>
            <a:ext uri="{FF2B5EF4-FFF2-40B4-BE49-F238E27FC236}">
              <a16:creationId xmlns:a16="http://schemas.microsoft.com/office/drawing/2014/main" id="{75FDDCCC-BFCB-4EB0-97C6-B1AA136B1E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0" name="AutoShape 1" descr="Vista previa de toda la pantalla">
          <a:extLst>
            <a:ext uri="{FF2B5EF4-FFF2-40B4-BE49-F238E27FC236}">
              <a16:creationId xmlns:a16="http://schemas.microsoft.com/office/drawing/2014/main" id="{CBDE6FDF-09A7-40AB-9051-B381BF38A3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1" name="AutoShape 1" descr="Vista previa de toda la pantalla">
          <a:extLst>
            <a:ext uri="{FF2B5EF4-FFF2-40B4-BE49-F238E27FC236}">
              <a16:creationId xmlns:a16="http://schemas.microsoft.com/office/drawing/2014/main" id="{E1BBED17-827A-4A19-A40D-8DD207F5D4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2" name="AutoShape 1" descr="Vista previa de toda la pantalla">
          <a:extLst>
            <a:ext uri="{FF2B5EF4-FFF2-40B4-BE49-F238E27FC236}">
              <a16:creationId xmlns:a16="http://schemas.microsoft.com/office/drawing/2014/main" id="{C7795A84-3EAF-40AB-90FD-CC317F5745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3" name="AutoShape 1" descr="Vista previa de toda la pantalla">
          <a:extLst>
            <a:ext uri="{FF2B5EF4-FFF2-40B4-BE49-F238E27FC236}">
              <a16:creationId xmlns:a16="http://schemas.microsoft.com/office/drawing/2014/main" id="{323B90BC-899B-46F4-BD13-5A7B62E041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4" name="AutoShape 1" descr="Vista previa de toda la pantalla">
          <a:extLst>
            <a:ext uri="{FF2B5EF4-FFF2-40B4-BE49-F238E27FC236}">
              <a16:creationId xmlns:a16="http://schemas.microsoft.com/office/drawing/2014/main" id="{6C68063E-AA21-4C15-9772-68EAC36AF4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5" name="AutoShape 1" descr="Vista previa de toda la pantalla">
          <a:extLst>
            <a:ext uri="{FF2B5EF4-FFF2-40B4-BE49-F238E27FC236}">
              <a16:creationId xmlns:a16="http://schemas.microsoft.com/office/drawing/2014/main" id="{8FD7A99D-A037-435F-8711-0B33D7ED6A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6" name="AutoShape 1" descr="Vista previa de toda la pantalla">
          <a:extLst>
            <a:ext uri="{FF2B5EF4-FFF2-40B4-BE49-F238E27FC236}">
              <a16:creationId xmlns:a16="http://schemas.microsoft.com/office/drawing/2014/main" id="{B49D6992-7239-43E6-80AF-896A4CBB50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7" name="AutoShape 1" descr="Vista previa de toda la pantalla">
          <a:extLst>
            <a:ext uri="{FF2B5EF4-FFF2-40B4-BE49-F238E27FC236}">
              <a16:creationId xmlns:a16="http://schemas.microsoft.com/office/drawing/2014/main" id="{A09487B0-CAF9-49B4-B2AB-83DEEC2665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8" name="AutoShape 1" descr="Vista previa de toda la pantalla">
          <a:extLst>
            <a:ext uri="{FF2B5EF4-FFF2-40B4-BE49-F238E27FC236}">
              <a16:creationId xmlns:a16="http://schemas.microsoft.com/office/drawing/2014/main" id="{6D6B3A4C-B175-44B1-8882-B4750DA102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69" name="AutoShape 1" descr="Vista previa de toda la pantalla">
          <a:extLst>
            <a:ext uri="{FF2B5EF4-FFF2-40B4-BE49-F238E27FC236}">
              <a16:creationId xmlns:a16="http://schemas.microsoft.com/office/drawing/2014/main" id="{3AD37700-C031-40B5-96B4-4023A778D5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0" name="AutoShape 1" descr="Vista previa de toda la pantalla">
          <a:extLst>
            <a:ext uri="{FF2B5EF4-FFF2-40B4-BE49-F238E27FC236}">
              <a16:creationId xmlns:a16="http://schemas.microsoft.com/office/drawing/2014/main" id="{8A2FC618-1F61-4339-965A-46567E17F7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1" name="AutoShape 1" descr="Vista previa de toda la pantalla">
          <a:extLst>
            <a:ext uri="{FF2B5EF4-FFF2-40B4-BE49-F238E27FC236}">
              <a16:creationId xmlns:a16="http://schemas.microsoft.com/office/drawing/2014/main" id="{8C193D4B-71B6-4B56-B34C-E1BD3B941C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2" name="AutoShape 1" descr="Vista previa de toda la pantalla">
          <a:extLst>
            <a:ext uri="{FF2B5EF4-FFF2-40B4-BE49-F238E27FC236}">
              <a16:creationId xmlns:a16="http://schemas.microsoft.com/office/drawing/2014/main" id="{ECE8C2C7-3245-4C8C-B431-A6C876917B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3" name="AutoShape 1" descr="Vista previa de toda la pantalla">
          <a:extLst>
            <a:ext uri="{FF2B5EF4-FFF2-40B4-BE49-F238E27FC236}">
              <a16:creationId xmlns:a16="http://schemas.microsoft.com/office/drawing/2014/main" id="{846E1E56-F817-47BF-97E3-2CDE8257DB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4" name="AutoShape 1" descr="Vista previa de toda la pantalla">
          <a:extLst>
            <a:ext uri="{FF2B5EF4-FFF2-40B4-BE49-F238E27FC236}">
              <a16:creationId xmlns:a16="http://schemas.microsoft.com/office/drawing/2014/main" id="{2DC63657-DBBA-481E-B9B2-3DC4087E1F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5" name="AutoShape 1" descr="Vista previa de toda la pantalla">
          <a:extLst>
            <a:ext uri="{FF2B5EF4-FFF2-40B4-BE49-F238E27FC236}">
              <a16:creationId xmlns:a16="http://schemas.microsoft.com/office/drawing/2014/main" id="{D1E40F70-066C-43A3-A6FC-47FC110A44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6" name="AutoShape 1" descr="Vista previa de toda la pantalla">
          <a:extLst>
            <a:ext uri="{FF2B5EF4-FFF2-40B4-BE49-F238E27FC236}">
              <a16:creationId xmlns:a16="http://schemas.microsoft.com/office/drawing/2014/main" id="{93B0EC5E-AC57-4DCC-B12A-3BFF5E473F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7" name="AutoShape 1" descr="Vista previa de toda la pantalla">
          <a:extLst>
            <a:ext uri="{FF2B5EF4-FFF2-40B4-BE49-F238E27FC236}">
              <a16:creationId xmlns:a16="http://schemas.microsoft.com/office/drawing/2014/main" id="{F8F0E1BE-487E-4B9F-9440-A878C0E20B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8" name="AutoShape 1" descr="Vista previa de toda la pantalla">
          <a:extLst>
            <a:ext uri="{FF2B5EF4-FFF2-40B4-BE49-F238E27FC236}">
              <a16:creationId xmlns:a16="http://schemas.microsoft.com/office/drawing/2014/main" id="{962696A8-764F-47FB-A216-CEA5261957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79" name="AutoShape 1" descr="Vista previa de toda la pantalla">
          <a:extLst>
            <a:ext uri="{FF2B5EF4-FFF2-40B4-BE49-F238E27FC236}">
              <a16:creationId xmlns:a16="http://schemas.microsoft.com/office/drawing/2014/main" id="{0DD361FF-B8EE-4302-8CD1-5A11106F3C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0" name="AutoShape 1" descr="Vista previa de toda la pantalla">
          <a:extLst>
            <a:ext uri="{FF2B5EF4-FFF2-40B4-BE49-F238E27FC236}">
              <a16:creationId xmlns:a16="http://schemas.microsoft.com/office/drawing/2014/main" id="{7AED68FE-8EF6-41D3-A099-990919B8C9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1" name="AutoShape 1" descr="Vista previa de toda la pantalla">
          <a:extLst>
            <a:ext uri="{FF2B5EF4-FFF2-40B4-BE49-F238E27FC236}">
              <a16:creationId xmlns:a16="http://schemas.microsoft.com/office/drawing/2014/main" id="{EDE56CBC-45D4-4B4A-A423-135FAA769F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2" name="AutoShape 1" descr="Vista previa de toda la pantalla">
          <a:extLst>
            <a:ext uri="{FF2B5EF4-FFF2-40B4-BE49-F238E27FC236}">
              <a16:creationId xmlns:a16="http://schemas.microsoft.com/office/drawing/2014/main" id="{D598AD7B-9EDB-4770-9D05-6A77B05576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3" name="AutoShape 1" descr="Vista previa de toda la pantalla">
          <a:extLst>
            <a:ext uri="{FF2B5EF4-FFF2-40B4-BE49-F238E27FC236}">
              <a16:creationId xmlns:a16="http://schemas.microsoft.com/office/drawing/2014/main" id="{C4653B8A-98C5-4151-B77E-86A3DE8788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4" name="AutoShape 1" descr="Vista previa de toda la pantalla">
          <a:extLst>
            <a:ext uri="{FF2B5EF4-FFF2-40B4-BE49-F238E27FC236}">
              <a16:creationId xmlns:a16="http://schemas.microsoft.com/office/drawing/2014/main" id="{2006A962-4C6F-48D1-A6CE-D951ADDB02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5" name="AutoShape 1" descr="Vista previa de toda la pantalla">
          <a:extLst>
            <a:ext uri="{FF2B5EF4-FFF2-40B4-BE49-F238E27FC236}">
              <a16:creationId xmlns:a16="http://schemas.microsoft.com/office/drawing/2014/main" id="{42296A7A-EA8D-4429-8A63-FB3201CA3A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6" name="AutoShape 1" descr="Vista previa de toda la pantalla">
          <a:extLst>
            <a:ext uri="{FF2B5EF4-FFF2-40B4-BE49-F238E27FC236}">
              <a16:creationId xmlns:a16="http://schemas.microsoft.com/office/drawing/2014/main" id="{8FE916CF-8AA3-4022-A899-D9FBE9F133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7" name="AutoShape 1" descr="Vista previa de toda la pantalla">
          <a:extLst>
            <a:ext uri="{FF2B5EF4-FFF2-40B4-BE49-F238E27FC236}">
              <a16:creationId xmlns:a16="http://schemas.microsoft.com/office/drawing/2014/main" id="{16C9BA5E-7A70-4CE0-B547-85E25F89E7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8" name="AutoShape 1" descr="Vista previa de toda la pantalla">
          <a:extLst>
            <a:ext uri="{FF2B5EF4-FFF2-40B4-BE49-F238E27FC236}">
              <a16:creationId xmlns:a16="http://schemas.microsoft.com/office/drawing/2014/main" id="{F9E7FC2C-7F96-4C35-900E-F1BEAD6C0C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89" name="AutoShape 1" descr="Vista previa de toda la pantalla">
          <a:extLst>
            <a:ext uri="{FF2B5EF4-FFF2-40B4-BE49-F238E27FC236}">
              <a16:creationId xmlns:a16="http://schemas.microsoft.com/office/drawing/2014/main" id="{E43219C9-CF75-4E86-A665-91E8D37994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0" name="AutoShape 1" descr="Vista previa de toda la pantalla">
          <a:extLst>
            <a:ext uri="{FF2B5EF4-FFF2-40B4-BE49-F238E27FC236}">
              <a16:creationId xmlns:a16="http://schemas.microsoft.com/office/drawing/2014/main" id="{67B1BF4D-92DC-453F-BBAE-30684DCCF0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1" name="AutoShape 1" descr="Vista previa de toda la pantalla">
          <a:extLst>
            <a:ext uri="{FF2B5EF4-FFF2-40B4-BE49-F238E27FC236}">
              <a16:creationId xmlns:a16="http://schemas.microsoft.com/office/drawing/2014/main" id="{7C4A990F-37FB-417E-829D-8517732C78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2" name="AutoShape 1" descr="Vista previa de toda la pantalla">
          <a:extLst>
            <a:ext uri="{FF2B5EF4-FFF2-40B4-BE49-F238E27FC236}">
              <a16:creationId xmlns:a16="http://schemas.microsoft.com/office/drawing/2014/main" id="{D42567B4-48CB-4991-9590-C2F139CF4B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3" name="AutoShape 1" descr="Vista previa de toda la pantalla">
          <a:extLst>
            <a:ext uri="{FF2B5EF4-FFF2-40B4-BE49-F238E27FC236}">
              <a16:creationId xmlns:a16="http://schemas.microsoft.com/office/drawing/2014/main" id="{F2D93A1A-1DC2-48F3-B3CD-703A8C1308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4" name="AutoShape 1" descr="Vista previa de toda la pantalla">
          <a:extLst>
            <a:ext uri="{FF2B5EF4-FFF2-40B4-BE49-F238E27FC236}">
              <a16:creationId xmlns:a16="http://schemas.microsoft.com/office/drawing/2014/main" id="{4A11025E-02DD-49E2-874F-412565F0E9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5" name="AutoShape 1" descr="Vista previa de toda la pantalla">
          <a:extLst>
            <a:ext uri="{FF2B5EF4-FFF2-40B4-BE49-F238E27FC236}">
              <a16:creationId xmlns:a16="http://schemas.microsoft.com/office/drawing/2014/main" id="{12A06B0E-6622-44D3-AAEA-4C65AAFD94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6" name="AutoShape 1" descr="Vista previa de toda la pantalla">
          <a:extLst>
            <a:ext uri="{FF2B5EF4-FFF2-40B4-BE49-F238E27FC236}">
              <a16:creationId xmlns:a16="http://schemas.microsoft.com/office/drawing/2014/main" id="{2C3A4DE8-1546-4EC7-B093-75CFAC62A1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7" name="AutoShape 1" descr="Vista previa de toda la pantalla">
          <a:extLst>
            <a:ext uri="{FF2B5EF4-FFF2-40B4-BE49-F238E27FC236}">
              <a16:creationId xmlns:a16="http://schemas.microsoft.com/office/drawing/2014/main" id="{B985A108-C94C-49A0-B0EA-988C138095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8" name="AutoShape 1" descr="Vista previa de toda la pantalla">
          <a:extLst>
            <a:ext uri="{FF2B5EF4-FFF2-40B4-BE49-F238E27FC236}">
              <a16:creationId xmlns:a16="http://schemas.microsoft.com/office/drawing/2014/main" id="{3F9DB78E-201A-4B67-B72D-988F4462B4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299" name="AutoShape 1" descr="Vista previa de toda la pantalla">
          <a:extLst>
            <a:ext uri="{FF2B5EF4-FFF2-40B4-BE49-F238E27FC236}">
              <a16:creationId xmlns:a16="http://schemas.microsoft.com/office/drawing/2014/main" id="{AC09ADC1-3EBF-4361-BCBE-88B13276CF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0" name="AutoShape 1" descr="Vista previa de toda la pantalla">
          <a:extLst>
            <a:ext uri="{FF2B5EF4-FFF2-40B4-BE49-F238E27FC236}">
              <a16:creationId xmlns:a16="http://schemas.microsoft.com/office/drawing/2014/main" id="{D0BC46F2-62A5-49C4-BEE7-8C864E3011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1" name="AutoShape 1" descr="Vista previa de toda la pantalla">
          <a:extLst>
            <a:ext uri="{FF2B5EF4-FFF2-40B4-BE49-F238E27FC236}">
              <a16:creationId xmlns:a16="http://schemas.microsoft.com/office/drawing/2014/main" id="{89883EA2-8C61-4DE6-B8CC-C7254E8FDD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2" name="AutoShape 1" descr="Vista previa de toda la pantalla">
          <a:extLst>
            <a:ext uri="{FF2B5EF4-FFF2-40B4-BE49-F238E27FC236}">
              <a16:creationId xmlns:a16="http://schemas.microsoft.com/office/drawing/2014/main" id="{17A7E245-74B1-4111-A116-1F2E16B0E5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3" name="AutoShape 1" descr="Vista previa de toda la pantalla">
          <a:extLst>
            <a:ext uri="{FF2B5EF4-FFF2-40B4-BE49-F238E27FC236}">
              <a16:creationId xmlns:a16="http://schemas.microsoft.com/office/drawing/2014/main" id="{559FC919-F728-422F-A980-94689B9EA5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4" name="AutoShape 1" descr="Vista previa de toda la pantalla">
          <a:extLst>
            <a:ext uri="{FF2B5EF4-FFF2-40B4-BE49-F238E27FC236}">
              <a16:creationId xmlns:a16="http://schemas.microsoft.com/office/drawing/2014/main" id="{9851EF33-216A-4300-A41C-AB19AAA1BA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5" name="AutoShape 1" descr="Vista previa de toda la pantalla">
          <a:extLst>
            <a:ext uri="{FF2B5EF4-FFF2-40B4-BE49-F238E27FC236}">
              <a16:creationId xmlns:a16="http://schemas.microsoft.com/office/drawing/2014/main" id="{188DCED2-E78B-49BE-9CE0-3ABEE012B9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6" name="AutoShape 1" descr="Vista previa de toda la pantalla">
          <a:extLst>
            <a:ext uri="{FF2B5EF4-FFF2-40B4-BE49-F238E27FC236}">
              <a16:creationId xmlns:a16="http://schemas.microsoft.com/office/drawing/2014/main" id="{9013352D-8F9B-4882-BEF1-AC0C8FB318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7" name="AutoShape 1" descr="Vista previa de toda la pantalla">
          <a:extLst>
            <a:ext uri="{FF2B5EF4-FFF2-40B4-BE49-F238E27FC236}">
              <a16:creationId xmlns:a16="http://schemas.microsoft.com/office/drawing/2014/main" id="{D14A3C5B-41ED-4134-89E5-FFFED53B38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8" name="AutoShape 1" descr="Vista previa de toda la pantalla">
          <a:extLst>
            <a:ext uri="{FF2B5EF4-FFF2-40B4-BE49-F238E27FC236}">
              <a16:creationId xmlns:a16="http://schemas.microsoft.com/office/drawing/2014/main" id="{22370A8A-96D3-45E7-8BE1-3395464BE5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09" name="AutoShape 1" descr="Vista previa de toda la pantalla">
          <a:extLst>
            <a:ext uri="{FF2B5EF4-FFF2-40B4-BE49-F238E27FC236}">
              <a16:creationId xmlns:a16="http://schemas.microsoft.com/office/drawing/2014/main" id="{E9C91DBB-27A9-41B2-B12A-4116C413EA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0" name="AutoShape 1" descr="Vista previa de toda la pantalla">
          <a:extLst>
            <a:ext uri="{FF2B5EF4-FFF2-40B4-BE49-F238E27FC236}">
              <a16:creationId xmlns:a16="http://schemas.microsoft.com/office/drawing/2014/main" id="{9AC32ECD-500A-42BC-AD5D-393CC26F42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1" name="AutoShape 1" descr="Vista previa de toda la pantalla">
          <a:extLst>
            <a:ext uri="{FF2B5EF4-FFF2-40B4-BE49-F238E27FC236}">
              <a16:creationId xmlns:a16="http://schemas.microsoft.com/office/drawing/2014/main" id="{1F3CF69C-CD3A-4EF3-B195-79410CB127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2" name="AutoShape 1" descr="Vista previa de toda la pantalla">
          <a:extLst>
            <a:ext uri="{FF2B5EF4-FFF2-40B4-BE49-F238E27FC236}">
              <a16:creationId xmlns:a16="http://schemas.microsoft.com/office/drawing/2014/main" id="{F6909E64-DE21-42F0-8C0F-442546657B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3" name="AutoShape 1" descr="Vista previa de toda la pantalla">
          <a:extLst>
            <a:ext uri="{FF2B5EF4-FFF2-40B4-BE49-F238E27FC236}">
              <a16:creationId xmlns:a16="http://schemas.microsoft.com/office/drawing/2014/main" id="{E2581239-102A-405C-9B4A-687EB73B0F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4" name="AutoShape 1" descr="Vista previa de toda la pantalla">
          <a:extLst>
            <a:ext uri="{FF2B5EF4-FFF2-40B4-BE49-F238E27FC236}">
              <a16:creationId xmlns:a16="http://schemas.microsoft.com/office/drawing/2014/main" id="{3EA792F4-547A-46AD-845E-0FE18DE22A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5" name="AutoShape 1" descr="Vista previa de toda la pantalla">
          <a:extLst>
            <a:ext uri="{FF2B5EF4-FFF2-40B4-BE49-F238E27FC236}">
              <a16:creationId xmlns:a16="http://schemas.microsoft.com/office/drawing/2014/main" id="{73ED1737-049F-47E6-AF47-0B28771DC2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6" name="AutoShape 1" descr="Vista previa de toda la pantalla">
          <a:extLst>
            <a:ext uri="{FF2B5EF4-FFF2-40B4-BE49-F238E27FC236}">
              <a16:creationId xmlns:a16="http://schemas.microsoft.com/office/drawing/2014/main" id="{42D53905-CA2B-44C3-8B05-584F0011B4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7" name="AutoShape 1" descr="Vista previa de toda la pantalla">
          <a:extLst>
            <a:ext uri="{FF2B5EF4-FFF2-40B4-BE49-F238E27FC236}">
              <a16:creationId xmlns:a16="http://schemas.microsoft.com/office/drawing/2014/main" id="{DF2F8229-E700-49C4-AA4B-BEF0E46974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8" name="AutoShape 1" descr="Vista previa de toda la pantalla">
          <a:extLst>
            <a:ext uri="{FF2B5EF4-FFF2-40B4-BE49-F238E27FC236}">
              <a16:creationId xmlns:a16="http://schemas.microsoft.com/office/drawing/2014/main" id="{4B0B13F5-8E85-4D71-B612-890E9D17F0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19" name="AutoShape 1" descr="Vista previa de toda la pantalla">
          <a:extLst>
            <a:ext uri="{FF2B5EF4-FFF2-40B4-BE49-F238E27FC236}">
              <a16:creationId xmlns:a16="http://schemas.microsoft.com/office/drawing/2014/main" id="{007B45B4-3C53-42F0-A020-894D02FF35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0" name="AutoShape 1" descr="Vista previa de toda la pantalla">
          <a:extLst>
            <a:ext uri="{FF2B5EF4-FFF2-40B4-BE49-F238E27FC236}">
              <a16:creationId xmlns:a16="http://schemas.microsoft.com/office/drawing/2014/main" id="{92A08D54-2EFE-4A3E-9210-D56FE537E9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1" name="AutoShape 1" descr="Vista previa de toda la pantalla">
          <a:extLst>
            <a:ext uri="{FF2B5EF4-FFF2-40B4-BE49-F238E27FC236}">
              <a16:creationId xmlns:a16="http://schemas.microsoft.com/office/drawing/2014/main" id="{A567CA20-8F11-469A-B8F4-133BDB0BFA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2" name="AutoShape 1" descr="Vista previa de toda la pantalla">
          <a:extLst>
            <a:ext uri="{FF2B5EF4-FFF2-40B4-BE49-F238E27FC236}">
              <a16:creationId xmlns:a16="http://schemas.microsoft.com/office/drawing/2014/main" id="{2D03C79D-40C7-49E8-8144-CE205A1276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3" name="AutoShape 1" descr="Vista previa de toda la pantalla">
          <a:extLst>
            <a:ext uri="{FF2B5EF4-FFF2-40B4-BE49-F238E27FC236}">
              <a16:creationId xmlns:a16="http://schemas.microsoft.com/office/drawing/2014/main" id="{4F18AF8A-E6D6-4A59-A685-955526B145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4" name="AutoShape 1" descr="Vista previa de toda la pantalla">
          <a:extLst>
            <a:ext uri="{FF2B5EF4-FFF2-40B4-BE49-F238E27FC236}">
              <a16:creationId xmlns:a16="http://schemas.microsoft.com/office/drawing/2014/main" id="{CDB2D4A7-DD91-4880-B254-9298DBD685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5" name="AutoShape 1" descr="Vista previa de toda la pantalla">
          <a:extLst>
            <a:ext uri="{FF2B5EF4-FFF2-40B4-BE49-F238E27FC236}">
              <a16:creationId xmlns:a16="http://schemas.microsoft.com/office/drawing/2014/main" id="{7E5BD41C-C8CA-4122-AD9E-F6C6481B2D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6" name="AutoShape 1" descr="Vista previa de toda la pantalla">
          <a:extLst>
            <a:ext uri="{FF2B5EF4-FFF2-40B4-BE49-F238E27FC236}">
              <a16:creationId xmlns:a16="http://schemas.microsoft.com/office/drawing/2014/main" id="{DF1E3BF2-6883-4858-8016-C18C18F02F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7" name="AutoShape 1" descr="Vista previa de toda la pantalla">
          <a:extLst>
            <a:ext uri="{FF2B5EF4-FFF2-40B4-BE49-F238E27FC236}">
              <a16:creationId xmlns:a16="http://schemas.microsoft.com/office/drawing/2014/main" id="{2319E5E4-3D95-4929-9D81-39E7626BFB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8" name="AutoShape 1" descr="Vista previa de toda la pantalla">
          <a:extLst>
            <a:ext uri="{FF2B5EF4-FFF2-40B4-BE49-F238E27FC236}">
              <a16:creationId xmlns:a16="http://schemas.microsoft.com/office/drawing/2014/main" id="{5EB50079-9C5B-414A-A872-C03F0C6AE3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29" name="AutoShape 1" descr="Vista previa de toda la pantalla">
          <a:extLst>
            <a:ext uri="{FF2B5EF4-FFF2-40B4-BE49-F238E27FC236}">
              <a16:creationId xmlns:a16="http://schemas.microsoft.com/office/drawing/2014/main" id="{52591903-C072-4AF7-8EC8-C59E35E0D2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0" name="AutoShape 1" descr="Vista previa de toda la pantalla">
          <a:extLst>
            <a:ext uri="{FF2B5EF4-FFF2-40B4-BE49-F238E27FC236}">
              <a16:creationId xmlns:a16="http://schemas.microsoft.com/office/drawing/2014/main" id="{25FD65E5-FC63-46EF-802E-DE5AD0B895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1" name="AutoShape 1" descr="Vista previa de toda la pantalla">
          <a:extLst>
            <a:ext uri="{FF2B5EF4-FFF2-40B4-BE49-F238E27FC236}">
              <a16:creationId xmlns:a16="http://schemas.microsoft.com/office/drawing/2014/main" id="{4A0D70FE-1E9D-428D-BD31-80AA6649C6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2" name="AutoShape 1" descr="Vista previa de toda la pantalla">
          <a:extLst>
            <a:ext uri="{FF2B5EF4-FFF2-40B4-BE49-F238E27FC236}">
              <a16:creationId xmlns:a16="http://schemas.microsoft.com/office/drawing/2014/main" id="{93AB3E39-48FC-4596-BEEC-E01A9DA5B2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3" name="AutoShape 1" descr="Vista previa de toda la pantalla">
          <a:extLst>
            <a:ext uri="{FF2B5EF4-FFF2-40B4-BE49-F238E27FC236}">
              <a16:creationId xmlns:a16="http://schemas.microsoft.com/office/drawing/2014/main" id="{B203716F-ADA7-41FF-A027-1E60907198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4" name="AutoShape 1" descr="Vista previa de toda la pantalla">
          <a:extLst>
            <a:ext uri="{FF2B5EF4-FFF2-40B4-BE49-F238E27FC236}">
              <a16:creationId xmlns:a16="http://schemas.microsoft.com/office/drawing/2014/main" id="{5109C288-9CC8-46B1-A0D1-1F34788DCF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5" name="AutoShape 1" descr="Vista previa de toda la pantalla">
          <a:extLst>
            <a:ext uri="{FF2B5EF4-FFF2-40B4-BE49-F238E27FC236}">
              <a16:creationId xmlns:a16="http://schemas.microsoft.com/office/drawing/2014/main" id="{34E8ED1A-E27A-4D3C-9E1C-310BD40DEE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6" name="AutoShape 1" descr="Vista previa de toda la pantalla">
          <a:extLst>
            <a:ext uri="{FF2B5EF4-FFF2-40B4-BE49-F238E27FC236}">
              <a16:creationId xmlns:a16="http://schemas.microsoft.com/office/drawing/2014/main" id="{CF98726E-37A8-47B8-9D00-54A9D3D314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7" name="AutoShape 1" descr="Vista previa de toda la pantalla">
          <a:extLst>
            <a:ext uri="{FF2B5EF4-FFF2-40B4-BE49-F238E27FC236}">
              <a16:creationId xmlns:a16="http://schemas.microsoft.com/office/drawing/2014/main" id="{62F465A4-55F5-486E-BCE5-708174695D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8" name="AutoShape 1" descr="Vista previa de toda la pantalla">
          <a:extLst>
            <a:ext uri="{FF2B5EF4-FFF2-40B4-BE49-F238E27FC236}">
              <a16:creationId xmlns:a16="http://schemas.microsoft.com/office/drawing/2014/main" id="{069037A3-ACF7-4C7E-979E-5388A78268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39" name="AutoShape 1" descr="Vista previa de toda la pantalla">
          <a:extLst>
            <a:ext uri="{FF2B5EF4-FFF2-40B4-BE49-F238E27FC236}">
              <a16:creationId xmlns:a16="http://schemas.microsoft.com/office/drawing/2014/main" id="{13CBE381-4774-4F69-B0D9-509AF2DACB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0" name="AutoShape 1" descr="Vista previa de toda la pantalla">
          <a:extLst>
            <a:ext uri="{FF2B5EF4-FFF2-40B4-BE49-F238E27FC236}">
              <a16:creationId xmlns:a16="http://schemas.microsoft.com/office/drawing/2014/main" id="{730DA95B-941C-45AE-826F-365C3159B9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1" name="AutoShape 1" descr="Vista previa de toda la pantalla">
          <a:extLst>
            <a:ext uri="{FF2B5EF4-FFF2-40B4-BE49-F238E27FC236}">
              <a16:creationId xmlns:a16="http://schemas.microsoft.com/office/drawing/2014/main" id="{D148D027-4237-426B-9D0A-B7C14D1495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2" name="AutoShape 1" descr="Vista previa de toda la pantalla">
          <a:extLst>
            <a:ext uri="{FF2B5EF4-FFF2-40B4-BE49-F238E27FC236}">
              <a16:creationId xmlns:a16="http://schemas.microsoft.com/office/drawing/2014/main" id="{352AE0E7-5909-4684-A1EC-DA07F349DE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3" name="AutoShape 1" descr="Vista previa de toda la pantalla">
          <a:extLst>
            <a:ext uri="{FF2B5EF4-FFF2-40B4-BE49-F238E27FC236}">
              <a16:creationId xmlns:a16="http://schemas.microsoft.com/office/drawing/2014/main" id="{B93E313E-676C-4C55-9BAC-1056D16408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4" name="AutoShape 1" descr="Vista previa de toda la pantalla">
          <a:extLst>
            <a:ext uri="{FF2B5EF4-FFF2-40B4-BE49-F238E27FC236}">
              <a16:creationId xmlns:a16="http://schemas.microsoft.com/office/drawing/2014/main" id="{F49C0942-566B-4FF3-AF9B-5AA8055C7E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5" name="AutoShape 1" descr="Vista previa de toda la pantalla">
          <a:extLst>
            <a:ext uri="{FF2B5EF4-FFF2-40B4-BE49-F238E27FC236}">
              <a16:creationId xmlns:a16="http://schemas.microsoft.com/office/drawing/2014/main" id="{71CBC168-9208-4F5C-961A-2A9320D4C0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6" name="AutoShape 1" descr="Vista previa de toda la pantalla">
          <a:extLst>
            <a:ext uri="{FF2B5EF4-FFF2-40B4-BE49-F238E27FC236}">
              <a16:creationId xmlns:a16="http://schemas.microsoft.com/office/drawing/2014/main" id="{DA0B29F6-02B7-47D7-86A6-54C9C0B35D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7" name="AutoShape 1" descr="Vista previa de toda la pantalla">
          <a:extLst>
            <a:ext uri="{FF2B5EF4-FFF2-40B4-BE49-F238E27FC236}">
              <a16:creationId xmlns:a16="http://schemas.microsoft.com/office/drawing/2014/main" id="{46619552-168C-46F2-8331-7347EACBEE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8" name="AutoShape 1" descr="Vista previa de toda la pantalla">
          <a:extLst>
            <a:ext uri="{FF2B5EF4-FFF2-40B4-BE49-F238E27FC236}">
              <a16:creationId xmlns:a16="http://schemas.microsoft.com/office/drawing/2014/main" id="{08BF117B-2345-47FB-B8BE-68867309CE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49" name="AutoShape 1" descr="Vista previa de toda la pantalla">
          <a:extLst>
            <a:ext uri="{FF2B5EF4-FFF2-40B4-BE49-F238E27FC236}">
              <a16:creationId xmlns:a16="http://schemas.microsoft.com/office/drawing/2014/main" id="{8C31DA09-094D-49D1-A6CB-2D6FB33AF2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0" name="AutoShape 1" descr="Vista previa de toda la pantalla">
          <a:extLst>
            <a:ext uri="{FF2B5EF4-FFF2-40B4-BE49-F238E27FC236}">
              <a16:creationId xmlns:a16="http://schemas.microsoft.com/office/drawing/2014/main" id="{BE4C02DF-7779-47F4-871D-37461F8108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1" name="AutoShape 1" descr="Vista previa de toda la pantalla">
          <a:extLst>
            <a:ext uri="{FF2B5EF4-FFF2-40B4-BE49-F238E27FC236}">
              <a16:creationId xmlns:a16="http://schemas.microsoft.com/office/drawing/2014/main" id="{3F4EE6E0-BDEE-42CF-A5B2-EC953F4FB2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2" name="AutoShape 1" descr="Vista previa de toda la pantalla">
          <a:extLst>
            <a:ext uri="{FF2B5EF4-FFF2-40B4-BE49-F238E27FC236}">
              <a16:creationId xmlns:a16="http://schemas.microsoft.com/office/drawing/2014/main" id="{3A0DEE04-994A-44F5-891B-69DB7BC7A3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3" name="AutoShape 1" descr="Vista previa de toda la pantalla">
          <a:extLst>
            <a:ext uri="{FF2B5EF4-FFF2-40B4-BE49-F238E27FC236}">
              <a16:creationId xmlns:a16="http://schemas.microsoft.com/office/drawing/2014/main" id="{4BE149C7-B966-4DA0-8207-5275E1E81F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4" name="AutoShape 1" descr="Vista previa de toda la pantalla">
          <a:extLst>
            <a:ext uri="{FF2B5EF4-FFF2-40B4-BE49-F238E27FC236}">
              <a16:creationId xmlns:a16="http://schemas.microsoft.com/office/drawing/2014/main" id="{E21FCCE2-4D20-44D4-871F-DEC3CFD5A3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5" name="AutoShape 1" descr="Vista previa de toda la pantalla">
          <a:extLst>
            <a:ext uri="{FF2B5EF4-FFF2-40B4-BE49-F238E27FC236}">
              <a16:creationId xmlns:a16="http://schemas.microsoft.com/office/drawing/2014/main" id="{8EB6C44F-1B61-4318-9F86-9B778FC38C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6" name="AutoShape 1" descr="Vista previa de toda la pantalla">
          <a:extLst>
            <a:ext uri="{FF2B5EF4-FFF2-40B4-BE49-F238E27FC236}">
              <a16:creationId xmlns:a16="http://schemas.microsoft.com/office/drawing/2014/main" id="{F7BB510E-3872-4B2E-93CD-9C7046EA52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7" name="AutoShape 1" descr="Vista previa de toda la pantalla">
          <a:extLst>
            <a:ext uri="{FF2B5EF4-FFF2-40B4-BE49-F238E27FC236}">
              <a16:creationId xmlns:a16="http://schemas.microsoft.com/office/drawing/2014/main" id="{B922334F-B9B1-4D81-AEB4-1392EE3BB2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8" name="AutoShape 1" descr="Vista previa de toda la pantalla">
          <a:extLst>
            <a:ext uri="{FF2B5EF4-FFF2-40B4-BE49-F238E27FC236}">
              <a16:creationId xmlns:a16="http://schemas.microsoft.com/office/drawing/2014/main" id="{68DA8490-D784-4A29-B35F-4D1EBF93A4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59" name="AutoShape 1" descr="Vista previa de toda la pantalla">
          <a:extLst>
            <a:ext uri="{FF2B5EF4-FFF2-40B4-BE49-F238E27FC236}">
              <a16:creationId xmlns:a16="http://schemas.microsoft.com/office/drawing/2014/main" id="{07E137C4-1DCA-4FA6-A6BC-089C7CA87B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0" name="AutoShape 1" descr="Vista previa de toda la pantalla">
          <a:extLst>
            <a:ext uri="{FF2B5EF4-FFF2-40B4-BE49-F238E27FC236}">
              <a16:creationId xmlns:a16="http://schemas.microsoft.com/office/drawing/2014/main" id="{2C6FBB82-DC04-43D2-AF96-610348E7FF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1" name="AutoShape 1" descr="Vista previa de toda la pantalla">
          <a:extLst>
            <a:ext uri="{FF2B5EF4-FFF2-40B4-BE49-F238E27FC236}">
              <a16:creationId xmlns:a16="http://schemas.microsoft.com/office/drawing/2014/main" id="{555DF008-B4F4-4F50-B752-D77D9A1E01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2" name="AutoShape 1" descr="Vista previa de toda la pantalla">
          <a:extLst>
            <a:ext uri="{FF2B5EF4-FFF2-40B4-BE49-F238E27FC236}">
              <a16:creationId xmlns:a16="http://schemas.microsoft.com/office/drawing/2014/main" id="{3ED0B29A-ED32-4C84-8D80-87E378BD91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3" name="AutoShape 1" descr="Vista previa de toda la pantalla">
          <a:extLst>
            <a:ext uri="{FF2B5EF4-FFF2-40B4-BE49-F238E27FC236}">
              <a16:creationId xmlns:a16="http://schemas.microsoft.com/office/drawing/2014/main" id="{7CDB7CF7-C46A-4C56-BE98-E4B2023F9F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4" name="AutoShape 1" descr="Vista previa de toda la pantalla">
          <a:extLst>
            <a:ext uri="{FF2B5EF4-FFF2-40B4-BE49-F238E27FC236}">
              <a16:creationId xmlns:a16="http://schemas.microsoft.com/office/drawing/2014/main" id="{7AF6A80E-3C0B-4E1F-B5AB-51CA2CC765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5" name="AutoShape 1" descr="Vista previa de toda la pantalla">
          <a:extLst>
            <a:ext uri="{FF2B5EF4-FFF2-40B4-BE49-F238E27FC236}">
              <a16:creationId xmlns:a16="http://schemas.microsoft.com/office/drawing/2014/main" id="{E12C4BE1-5890-4D4A-B397-382A25476A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6" name="AutoShape 1" descr="Vista previa de toda la pantalla">
          <a:extLst>
            <a:ext uri="{FF2B5EF4-FFF2-40B4-BE49-F238E27FC236}">
              <a16:creationId xmlns:a16="http://schemas.microsoft.com/office/drawing/2014/main" id="{2E94C139-CAB0-4112-9BF8-CEBBF62FA2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7" name="AutoShape 1" descr="Vista previa de toda la pantalla">
          <a:extLst>
            <a:ext uri="{FF2B5EF4-FFF2-40B4-BE49-F238E27FC236}">
              <a16:creationId xmlns:a16="http://schemas.microsoft.com/office/drawing/2014/main" id="{73609C50-E149-48F3-BE56-FA021F2874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8" name="AutoShape 1" descr="Vista previa de toda la pantalla">
          <a:extLst>
            <a:ext uri="{FF2B5EF4-FFF2-40B4-BE49-F238E27FC236}">
              <a16:creationId xmlns:a16="http://schemas.microsoft.com/office/drawing/2014/main" id="{7E66A659-EC6A-4B25-B012-A40308F12D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69" name="AutoShape 1" descr="Vista previa de toda la pantalla">
          <a:extLst>
            <a:ext uri="{FF2B5EF4-FFF2-40B4-BE49-F238E27FC236}">
              <a16:creationId xmlns:a16="http://schemas.microsoft.com/office/drawing/2014/main" id="{31BA9613-AAD7-4A23-BA7A-8C15DCC20F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70" name="AutoShape 1" descr="Vista previa de toda la pantalla">
          <a:extLst>
            <a:ext uri="{FF2B5EF4-FFF2-40B4-BE49-F238E27FC236}">
              <a16:creationId xmlns:a16="http://schemas.microsoft.com/office/drawing/2014/main" id="{C8E51E2E-E2B2-43A9-812D-C51F844966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71" name="AutoShape 1" descr="Vista previa de toda la pantalla">
          <a:extLst>
            <a:ext uri="{FF2B5EF4-FFF2-40B4-BE49-F238E27FC236}">
              <a16:creationId xmlns:a16="http://schemas.microsoft.com/office/drawing/2014/main" id="{2F9FCCB8-8998-46EB-81E8-AFEBF450AD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72" name="AutoShape 1" descr="Vista previa de toda la pantalla">
          <a:extLst>
            <a:ext uri="{FF2B5EF4-FFF2-40B4-BE49-F238E27FC236}">
              <a16:creationId xmlns:a16="http://schemas.microsoft.com/office/drawing/2014/main" id="{99376659-39F4-4A67-B2E7-F9C2D98CF3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73" name="AutoShape 1" descr="Vista previa de toda la pantalla">
          <a:extLst>
            <a:ext uri="{FF2B5EF4-FFF2-40B4-BE49-F238E27FC236}">
              <a16:creationId xmlns:a16="http://schemas.microsoft.com/office/drawing/2014/main" id="{66E9DB1D-C141-4542-B6E9-F6E8C00585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74" name="AutoShape 1" descr="Vista previa de toda la pantalla">
          <a:extLst>
            <a:ext uri="{FF2B5EF4-FFF2-40B4-BE49-F238E27FC236}">
              <a16:creationId xmlns:a16="http://schemas.microsoft.com/office/drawing/2014/main" id="{A5A00C2D-0A9A-410C-941C-31888B8A07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1375" name="AutoShape 1" descr="Vista previa de toda la pantalla">
          <a:extLst>
            <a:ext uri="{FF2B5EF4-FFF2-40B4-BE49-F238E27FC236}">
              <a16:creationId xmlns:a16="http://schemas.microsoft.com/office/drawing/2014/main" id="{37414089-5112-45B5-B813-6009DE3D2A86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76" name="AutoShape 1" descr="Vista previa de toda la pantalla">
          <a:extLst>
            <a:ext uri="{FF2B5EF4-FFF2-40B4-BE49-F238E27FC236}">
              <a16:creationId xmlns:a16="http://schemas.microsoft.com/office/drawing/2014/main" id="{6E473301-5483-4797-BA14-1C3DA36610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77" name="AutoShape 1" descr="Vista previa de toda la pantalla">
          <a:extLst>
            <a:ext uri="{FF2B5EF4-FFF2-40B4-BE49-F238E27FC236}">
              <a16:creationId xmlns:a16="http://schemas.microsoft.com/office/drawing/2014/main" id="{BBDB6AD6-E2A9-4C39-8A21-31651DD6DE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78" name="AutoShape 1" descr="Vista previa de toda la pantalla">
          <a:extLst>
            <a:ext uri="{FF2B5EF4-FFF2-40B4-BE49-F238E27FC236}">
              <a16:creationId xmlns:a16="http://schemas.microsoft.com/office/drawing/2014/main" id="{A0F3217D-5721-4CD3-8E18-79FD72FF1A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79" name="AutoShape 1" descr="Vista previa de toda la pantalla">
          <a:extLst>
            <a:ext uri="{FF2B5EF4-FFF2-40B4-BE49-F238E27FC236}">
              <a16:creationId xmlns:a16="http://schemas.microsoft.com/office/drawing/2014/main" id="{C8CBEF06-C821-4C95-AE1F-5244590D92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0" name="AutoShape 1" descr="Vista previa de toda la pantalla">
          <a:extLst>
            <a:ext uri="{FF2B5EF4-FFF2-40B4-BE49-F238E27FC236}">
              <a16:creationId xmlns:a16="http://schemas.microsoft.com/office/drawing/2014/main" id="{6B408959-710C-4D60-ADD6-E1D1B6779A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1" name="AutoShape 1" descr="Vista previa de toda la pantalla">
          <a:extLst>
            <a:ext uri="{FF2B5EF4-FFF2-40B4-BE49-F238E27FC236}">
              <a16:creationId xmlns:a16="http://schemas.microsoft.com/office/drawing/2014/main" id="{EE9D9AC8-8727-4278-9D0B-43BED33567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2" name="AutoShape 1" descr="Vista previa de toda la pantalla">
          <a:extLst>
            <a:ext uri="{FF2B5EF4-FFF2-40B4-BE49-F238E27FC236}">
              <a16:creationId xmlns:a16="http://schemas.microsoft.com/office/drawing/2014/main" id="{02DAD1D3-33EA-4921-AE9E-E652DF91D3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3" name="AutoShape 1" descr="Vista previa de toda la pantalla">
          <a:extLst>
            <a:ext uri="{FF2B5EF4-FFF2-40B4-BE49-F238E27FC236}">
              <a16:creationId xmlns:a16="http://schemas.microsoft.com/office/drawing/2014/main" id="{3C25BF48-6C4D-45D1-86EA-B38ACE69D6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4" name="AutoShape 1" descr="Vista previa de toda la pantalla">
          <a:extLst>
            <a:ext uri="{FF2B5EF4-FFF2-40B4-BE49-F238E27FC236}">
              <a16:creationId xmlns:a16="http://schemas.microsoft.com/office/drawing/2014/main" id="{2614BB93-1D58-4D46-AAED-D181C38506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5" name="AutoShape 1" descr="Vista previa de toda la pantalla">
          <a:extLst>
            <a:ext uri="{FF2B5EF4-FFF2-40B4-BE49-F238E27FC236}">
              <a16:creationId xmlns:a16="http://schemas.microsoft.com/office/drawing/2014/main" id="{7161E3C5-1BFB-4A75-9023-6F3235DC01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6" name="AutoShape 1" descr="Vista previa de toda la pantalla">
          <a:extLst>
            <a:ext uri="{FF2B5EF4-FFF2-40B4-BE49-F238E27FC236}">
              <a16:creationId xmlns:a16="http://schemas.microsoft.com/office/drawing/2014/main" id="{465B507C-9B51-4F30-93A3-CA2BB6D90D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7" name="AutoShape 1" descr="Vista previa de toda la pantalla">
          <a:extLst>
            <a:ext uri="{FF2B5EF4-FFF2-40B4-BE49-F238E27FC236}">
              <a16:creationId xmlns:a16="http://schemas.microsoft.com/office/drawing/2014/main" id="{DFFE9E57-6F95-4188-BF83-D8C8530F14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8" name="AutoShape 1" descr="Vista previa de toda la pantalla">
          <a:extLst>
            <a:ext uri="{FF2B5EF4-FFF2-40B4-BE49-F238E27FC236}">
              <a16:creationId xmlns:a16="http://schemas.microsoft.com/office/drawing/2014/main" id="{1766F3D3-3F8F-42D2-8050-68EFDF491D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89" name="AutoShape 1" descr="Vista previa de toda la pantalla">
          <a:extLst>
            <a:ext uri="{FF2B5EF4-FFF2-40B4-BE49-F238E27FC236}">
              <a16:creationId xmlns:a16="http://schemas.microsoft.com/office/drawing/2014/main" id="{4C7F0776-93D6-46BD-8377-5FE6E157A0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0" name="AutoShape 1" descr="Vista previa de toda la pantalla">
          <a:extLst>
            <a:ext uri="{FF2B5EF4-FFF2-40B4-BE49-F238E27FC236}">
              <a16:creationId xmlns:a16="http://schemas.microsoft.com/office/drawing/2014/main" id="{1E886855-84C1-4654-8765-960936BA14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1" name="AutoShape 1" descr="Vista previa de toda la pantalla">
          <a:extLst>
            <a:ext uri="{FF2B5EF4-FFF2-40B4-BE49-F238E27FC236}">
              <a16:creationId xmlns:a16="http://schemas.microsoft.com/office/drawing/2014/main" id="{B42D7803-DD59-4AD9-A43A-7F0C7E9377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2" name="AutoShape 1" descr="Vista previa de toda la pantalla">
          <a:extLst>
            <a:ext uri="{FF2B5EF4-FFF2-40B4-BE49-F238E27FC236}">
              <a16:creationId xmlns:a16="http://schemas.microsoft.com/office/drawing/2014/main" id="{33860B61-054F-43BA-B347-11AB58A2E7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3" name="AutoShape 1" descr="Vista previa de toda la pantalla">
          <a:extLst>
            <a:ext uri="{FF2B5EF4-FFF2-40B4-BE49-F238E27FC236}">
              <a16:creationId xmlns:a16="http://schemas.microsoft.com/office/drawing/2014/main" id="{D1E3D4CF-E4AE-447E-B244-5BF2F45CFD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4" name="AutoShape 1" descr="Vista previa de toda la pantalla">
          <a:extLst>
            <a:ext uri="{FF2B5EF4-FFF2-40B4-BE49-F238E27FC236}">
              <a16:creationId xmlns:a16="http://schemas.microsoft.com/office/drawing/2014/main" id="{1FC4D2F4-37D7-4973-BA83-A4356139EF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5" name="AutoShape 1" descr="Vista previa de toda la pantalla">
          <a:extLst>
            <a:ext uri="{FF2B5EF4-FFF2-40B4-BE49-F238E27FC236}">
              <a16:creationId xmlns:a16="http://schemas.microsoft.com/office/drawing/2014/main" id="{CE22AB30-3252-4AF5-B0E0-B040EBDF39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6" name="AutoShape 1" descr="Vista previa de toda la pantalla">
          <a:extLst>
            <a:ext uri="{FF2B5EF4-FFF2-40B4-BE49-F238E27FC236}">
              <a16:creationId xmlns:a16="http://schemas.microsoft.com/office/drawing/2014/main" id="{B6B55444-6561-4871-8ECA-5C93065806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7" name="AutoShape 1" descr="Vista previa de toda la pantalla">
          <a:extLst>
            <a:ext uri="{FF2B5EF4-FFF2-40B4-BE49-F238E27FC236}">
              <a16:creationId xmlns:a16="http://schemas.microsoft.com/office/drawing/2014/main" id="{320F45B9-9C83-49E7-9844-E528A30231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8" name="AutoShape 1" descr="Vista previa de toda la pantalla">
          <a:extLst>
            <a:ext uri="{FF2B5EF4-FFF2-40B4-BE49-F238E27FC236}">
              <a16:creationId xmlns:a16="http://schemas.microsoft.com/office/drawing/2014/main" id="{5F0190AC-5F93-4F6B-88BB-3CDF6CFC86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399" name="AutoShape 1" descr="Vista previa de toda la pantalla">
          <a:extLst>
            <a:ext uri="{FF2B5EF4-FFF2-40B4-BE49-F238E27FC236}">
              <a16:creationId xmlns:a16="http://schemas.microsoft.com/office/drawing/2014/main" id="{5FD1E669-231C-4B87-869E-C30CF2587B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0" name="AutoShape 1" descr="Vista previa de toda la pantalla">
          <a:extLst>
            <a:ext uri="{FF2B5EF4-FFF2-40B4-BE49-F238E27FC236}">
              <a16:creationId xmlns:a16="http://schemas.microsoft.com/office/drawing/2014/main" id="{69C1FC73-C6EF-4632-A561-B1676DA247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1" name="AutoShape 1" descr="Vista previa de toda la pantalla">
          <a:extLst>
            <a:ext uri="{FF2B5EF4-FFF2-40B4-BE49-F238E27FC236}">
              <a16:creationId xmlns:a16="http://schemas.microsoft.com/office/drawing/2014/main" id="{8019BBCF-1B62-4BC9-9932-A9AB72861D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2" name="AutoShape 1" descr="Vista previa de toda la pantalla">
          <a:extLst>
            <a:ext uri="{FF2B5EF4-FFF2-40B4-BE49-F238E27FC236}">
              <a16:creationId xmlns:a16="http://schemas.microsoft.com/office/drawing/2014/main" id="{9DB323BE-D488-47E6-9041-8A5EA6018C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3" name="AutoShape 1" descr="Vista previa de toda la pantalla">
          <a:extLst>
            <a:ext uri="{FF2B5EF4-FFF2-40B4-BE49-F238E27FC236}">
              <a16:creationId xmlns:a16="http://schemas.microsoft.com/office/drawing/2014/main" id="{BA148106-B1F5-469D-B575-1E4CE35852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4" name="AutoShape 1" descr="Vista previa de toda la pantalla">
          <a:extLst>
            <a:ext uri="{FF2B5EF4-FFF2-40B4-BE49-F238E27FC236}">
              <a16:creationId xmlns:a16="http://schemas.microsoft.com/office/drawing/2014/main" id="{480ED743-79F7-4583-92BD-24591DD2B5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5" name="AutoShape 1" descr="Vista previa de toda la pantalla">
          <a:extLst>
            <a:ext uri="{FF2B5EF4-FFF2-40B4-BE49-F238E27FC236}">
              <a16:creationId xmlns:a16="http://schemas.microsoft.com/office/drawing/2014/main" id="{3BEE8DAB-E15E-4393-85AA-1C34BE567C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6" name="AutoShape 1" descr="Vista previa de toda la pantalla">
          <a:extLst>
            <a:ext uri="{FF2B5EF4-FFF2-40B4-BE49-F238E27FC236}">
              <a16:creationId xmlns:a16="http://schemas.microsoft.com/office/drawing/2014/main" id="{BCD99A28-766C-4A0E-9A68-B98FC4F161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7" name="AutoShape 1" descr="Vista previa de toda la pantalla">
          <a:extLst>
            <a:ext uri="{FF2B5EF4-FFF2-40B4-BE49-F238E27FC236}">
              <a16:creationId xmlns:a16="http://schemas.microsoft.com/office/drawing/2014/main" id="{3ED983F5-9D19-446E-A519-65CD3E0510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8" name="AutoShape 1" descr="Vista previa de toda la pantalla">
          <a:extLst>
            <a:ext uri="{FF2B5EF4-FFF2-40B4-BE49-F238E27FC236}">
              <a16:creationId xmlns:a16="http://schemas.microsoft.com/office/drawing/2014/main" id="{E6FA729E-0527-4178-81FC-0C6895C4E8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09" name="AutoShape 1" descr="Vista previa de toda la pantalla">
          <a:extLst>
            <a:ext uri="{FF2B5EF4-FFF2-40B4-BE49-F238E27FC236}">
              <a16:creationId xmlns:a16="http://schemas.microsoft.com/office/drawing/2014/main" id="{06B7FE0A-2862-4F40-86AB-D63F1B500E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0" name="AutoShape 1" descr="Vista previa de toda la pantalla">
          <a:extLst>
            <a:ext uri="{FF2B5EF4-FFF2-40B4-BE49-F238E27FC236}">
              <a16:creationId xmlns:a16="http://schemas.microsoft.com/office/drawing/2014/main" id="{857DC820-CC80-4A05-89AE-27C82B70BC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1" name="AutoShape 1" descr="Vista previa de toda la pantalla">
          <a:extLst>
            <a:ext uri="{FF2B5EF4-FFF2-40B4-BE49-F238E27FC236}">
              <a16:creationId xmlns:a16="http://schemas.microsoft.com/office/drawing/2014/main" id="{CC9C9F43-F84D-4E72-917D-F2467AC345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2" name="AutoShape 1" descr="Vista previa de toda la pantalla">
          <a:extLst>
            <a:ext uri="{FF2B5EF4-FFF2-40B4-BE49-F238E27FC236}">
              <a16:creationId xmlns:a16="http://schemas.microsoft.com/office/drawing/2014/main" id="{0B4EA492-CC99-47E5-A201-3F2BC7593C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3" name="AutoShape 1" descr="Vista previa de toda la pantalla">
          <a:extLst>
            <a:ext uri="{FF2B5EF4-FFF2-40B4-BE49-F238E27FC236}">
              <a16:creationId xmlns:a16="http://schemas.microsoft.com/office/drawing/2014/main" id="{47B3802E-CE6F-4776-B55C-6E18EC29D1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4" name="AutoShape 1" descr="Vista previa de toda la pantalla">
          <a:extLst>
            <a:ext uri="{FF2B5EF4-FFF2-40B4-BE49-F238E27FC236}">
              <a16:creationId xmlns:a16="http://schemas.microsoft.com/office/drawing/2014/main" id="{AF5A400A-DFA4-42AF-9314-EA446DA045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5" name="AutoShape 1" descr="Vista previa de toda la pantalla">
          <a:extLst>
            <a:ext uri="{FF2B5EF4-FFF2-40B4-BE49-F238E27FC236}">
              <a16:creationId xmlns:a16="http://schemas.microsoft.com/office/drawing/2014/main" id="{715FCD24-ED0D-4B4B-A0D5-F5D24D0793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6" name="AutoShape 1" descr="Vista previa de toda la pantalla">
          <a:extLst>
            <a:ext uri="{FF2B5EF4-FFF2-40B4-BE49-F238E27FC236}">
              <a16:creationId xmlns:a16="http://schemas.microsoft.com/office/drawing/2014/main" id="{B2BD1C6D-ACBE-4A40-B6B0-6ADABF77D5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7" name="AutoShape 1" descr="Vista previa de toda la pantalla">
          <a:extLst>
            <a:ext uri="{FF2B5EF4-FFF2-40B4-BE49-F238E27FC236}">
              <a16:creationId xmlns:a16="http://schemas.microsoft.com/office/drawing/2014/main" id="{0CD717D7-1200-4577-B683-9DA2F984E2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8" name="AutoShape 1" descr="Vista previa de toda la pantalla">
          <a:extLst>
            <a:ext uri="{FF2B5EF4-FFF2-40B4-BE49-F238E27FC236}">
              <a16:creationId xmlns:a16="http://schemas.microsoft.com/office/drawing/2014/main" id="{8207102B-AEA9-4AFD-801A-DDF263F6A6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19" name="AutoShape 1" descr="Vista previa de toda la pantalla">
          <a:extLst>
            <a:ext uri="{FF2B5EF4-FFF2-40B4-BE49-F238E27FC236}">
              <a16:creationId xmlns:a16="http://schemas.microsoft.com/office/drawing/2014/main" id="{E3994D6A-8BA5-473A-800D-4F958839B3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0" name="AutoShape 1" descr="Vista previa de toda la pantalla">
          <a:extLst>
            <a:ext uri="{FF2B5EF4-FFF2-40B4-BE49-F238E27FC236}">
              <a16:creationId xmlns:a16="http://schemas.microsoft.com/office/drawing/2014/main" id="{B875B644-1951-47C5-A90B-F775F8D214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1" name="AutoShape 1" descr="Vista previa de toda la pantalla">
          <a:extLst>
            <a:ext uri="{FF2B5EF4-FFF2-40B4-BE49-F238E27FC236}">
              <a16:creationId xmlns:a16="http://schemas.microsoft.com/office/drawing/2014/main" id="{E7E71294-640D-419D-BD21-88F67F6E61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2" name="AutoShape 1" descr="Vista previa de toda la pantalla">
          <a:extLst>
            <a:ext uri="{FF2B5EF4-FFF2-40B4-BE49-F238E27FC236}">
              <a16:creationId xmlns:a16="http://schemas.microsoft.com/office/drawing/2014/main" id="{3B17E65B-2E64-4154-89B5-F2EBA3C443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3" name="AutoShape 1" descr="Vista previa de toda la pantalla">
          <a:extLst>
            <a:ext uri="{FF2B5EF4-FFF2-40B4-BE49-F238E27FC236}">
              <a16:creationId xmlns:a16="http://schemas.microsoft.com/office/drawing/2014/main" id="{61D68632-EA0C-4A67-94A6-F3D6EC86E6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4" name="AutoShape 1" descr="Vista previa de toda la pantalla">
          <a:extLst>
            <a:ext uri="{FF2B5EF4-FFF2-40B4-BE49-F238E27FC236}">
              <a16:creationId xmlns:a16="http://schemas.microsoft.com/office/drawing/2014/main" id="{F240F0CE-97A1-408C-9059-08A4DB6B31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5" name="AutoShape 1" descr="Vista previa de toda la pantalla">
          <a:extLst>
            <a:ext uri="{FF2B5EF4-FFF2-40B4-BE49-F238E27FC236}">
              <a16:creationId xmlns:a16="http://schemas.microsoft.com/office/drawing/2014/main" id="{1FF956E6-F900-4897-97A9-80F079B182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6" name="AutoShape 1" descr="Vista previa de toda la pantalla">
          <a:extLst>
            <a:ext uri="{FF2B5EF4-FFF2-40B4-BE49-F238E27FC236}">
              <a16:creationId xmlns:a16="http://schemas.microsoft.com/office/drawing/2014/main" id="{BC6B2546-12DA-4627-96E9-5EE6A725B7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7" name="AutoShape 1" descr="Vista previa de toda la pantalla">
          <a:extLst>
            <a:ext uri="{FF2B5EF4-FFF2-40B4-BE49-F238E27FC236}">
              <a16:creationId xmlns:a16="http://schemas.microsoft.com/office/drawing/2014/main" id="{25C84884-1B69-4E8A-A795-2CBD44BADD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8" name="AutoShape 1" descr="Vista previa de toda la pantalla">
          <a:extLst>
            <a:ext uri="{FF2B5EF4-FFF2-40B4-BE49-F238E27FC236}">
              <a16:creationId xmlns:a16="http://schemas.microsoft.com/office/drawing/2014/main" id="{C73A6DC0-8625-447B-8629-D3FC4B8610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29" name="AutoShape 1" descr="Vista previa de toda la pantalla">
          <a:extLst>
            <a:ext uri="{FF2B5EF4-FFF2-40B4-BE49-F238E27FC236}">
              <a16:creationId xmlns:a16="http://schemas.microsoft.com/office/drawing/2014/main" id="{180FBF9D-54A0-4074-845B-D79DF311A3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0" name="AutoShape 1" descr="Vista previa de toda la pantalla">
          <a:extLst>
            <a:ext uri="{FF2B5EF4-FFF2-40B4-BE49-F238E27FC236}">
              <a16:creationId xmlns:a16="http://schemas.microsoft.com/office/drawing/2014/main" id="{6B588894-85F7-4702-9564-433C6E5B81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1" name="AutoShape 1" descr="Vista previa de toda la pantalla">
          <a:extLst>
            <a:ext uri="{FF2B5EF4-FFF2-40B4-BE49-F238E27FC236}">
              <a16:creationId xmlns:a16="http://schemas.microsoft.com/office/drawing/2014/main" id="{C55B1C89-B16E-40AB-A06A-CAAC2674CE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2" name="AutoShape 1" descr="Vista previa de toda la pantalla">
          <a:extLst>
            <a:ext uri="{FF2B5EF4-FFF2-40B4-BE49-F238E27FC236}">
              <a16:creationId xmlns:a16="http://schemas.microsoft.com/office/drawing/2014/main" id="{21AACFB4-5F98-4FB5-8223-F70C17A27D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3" name="AutoShape 1" descr="Vista previa de toda la pantalla">
          <a:extLst>
            <a:ext uri="{FF2B5EF4-FFF2-40B4-BE49-F238E27FC236}">
              <a16:creationId xmlns:a16="http://schemas.microsoft.com/office/drawing/2014/main" id="{A469A315-E7FD-4FAF-BA0F-A402E2709D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4" name="AutoShape 1" descr="Vista previa de toda la pantalla">
          <a:extLst>
            <a:ext uri="{FF2B5EF4-FFF2-40B4-BE49-F238E27FC236}">
              <a16:creationId xmlns:a16="http://schemas.microsoft.com/office/drawing/2014/main" id="{BABE038F-DF5E-4088-966A-BC8E2EEC95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5" name="AutoShape 1" descr="Vista previa de toda la pantalla">
          <a:extLst>
            <a:ext uri="{FF2B5EF4-FFF2-40B4-BE49-F238E27FC236}">
              <a16:creationId xmlns:a16="http://schemas.microsoft.com/office/drawing/2014/main" id="{4C15E463-6764-40CA-B2CA-63BCD5E9B6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6" name="AutoShape 1" descr="Vista previa de toda la pantalla">
          <a:extLst>
            <a:ext uri="{FF2B5EF4-FFF2-40B4-BE49-F238E27FC236}">
              <a16:creationId xmlns:a16="http://schemas.microsoft.com/office/drawing/2014/main" id="{38006FDB-388D-42DA-9E5D-861AA3A004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7" name="AutoShape 1" descr="Vista previa de toda la pantalla">
          <a:extLst>
            <a:ext uri="{FF2B5EF4-FFF2-40B4-BE49-F238E27FC236}">
              <a16:creationId xmlns:a16="http://schemas.microsoft.com/office/drawing/2014/main" id="{3F70BB25-9ACD-4003-81A7-8A8810DBEB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8" name="AutoShape 1" descr="Vista previa de toda la pantalla">
          <a:extLst>
            <a:ext uri="{FF2B5EF4-FFF2-40B4-BE49-F238E27FC236}">
              <a16:creationId xmlns:a16="http://schemas.microsoft.com/office/drawing/2014/main" id="{AACAD34B-D98D-4B51-8F1F-FCBA24F175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39" name="AutoShape 1" descr="Vista previa de toda la pantalla">
          <a:extLst>
            <a:ext uri="{FF2B5EF4-FFF2-40B4-BE49-F238E27FC236}">
              <a16:creationId xmlns:a16="http://schemas.microsoft.com/office/drawing/2014/main" id="{1D8F8E2A-7F7B-4408-A093-3BC8133ACC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40" name="AutoShape 1" descr="Vista previa de toda la pantalla">
          <a:extLst>
            <a:ext uri="{FF2B5EF4-FFF2-40B4-BE49-F238E27FC236}">
              <a16:creationId xmlns:a16="http://schemas.microsoft.com/office/drawing/2014/main" id="{C3627CB4-B2D2-454F-A9DE-3553622ADE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41" name="AutoShape 1" descr="Vista previa de toda la pantalla">
          <a:extLst>
            <a:ext uri="{FF2B5EF4-FFF2-40B4-BE49-F238E27FC236}">
              <a16:creationId xmlns:a16="http://schemas.microsoft.com/office/drawing/2014/main" id="{509561CA-99C3-434C-8C66-65129F4EEF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42" name="AutoShape 1" descr="Vista previa de toda la pantalla">
          <a:extLst>
            <a:ext uri="{FF2B5EF4-FFF2-40B4-BE49-F238E27FC236}">
              <a16:creationId xmlns:a16="http://schemas.microsoft.com/office/drawing/2014/main" id="{518ADF25-E791-49E3-8C8B-0363E8999D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43" name="AutoShape 1" descr="Vista previa de toda la pantalla">
          <a:extLst>
            <a:ext uri="{FF2B5EF4-FFF2-40B4-BE49-F238E27FC236}">
              <a16:creationId xmlns:a16="http://schemas.microsoft.com/office/drawing/2014/main" id="{AD15ADE9-33AB-43C2-9EF2-132EB74F9D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44" name="AutoShape 1" descr="Vista previa de toda la pantalla">
          <a:extLst>
            <a:ext uri="{FF2B5EF4-FFF2-40B4-BE49-F238E27FC236}">
              <a16:creationId xmlns:a16="http://schemas.microsoft.com/office/drawing/2014/main" id="{8E9C32A9-BACC-49B2-954E-DB51E71191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45" name="AutoShape 1" descr="Vista previa de toda la pantalla">
          <a:extLst>
            <a:ext uri="{FF2B5EF4-FFF2-40B4-BE49-F238E27FC236}">
              <a16:creationId xmlns:a16="http://schemas.microsoft.com/office/drawing/2014/main" id="{6B9259DA-6DB4-437B-8A71-E89EE12F72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46" name="AutoShape 1" descr="Vista previa de toda la pantalla">
          <a:extLst>
            <a:ext uri="{FF2B5EF4-FFF2-40B4-BE49-F238E27FC236}">
              <a16:creationId xmlns:a16="http://schemas.microsoft.com/office/drawing/2014/main" id="{0B3DE0D0-F4C1-4EF9-8D47-F456F0326D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47" name="AutoShape 1" descr="Vista previa de toda la pantalla">
          <a:extLst>
            <a:ext uri="{FF2B5EF4-FFF2-40B4-BE49-F238E27FC236}">
              <a16:creationId xmlns:a16="http://schemas.microsoft.com/office/drawing/2014/main" id="{BEEB913E-F511-4471-8809-2383E8862A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48" name="AutoShape 1" descr="Vista previa de toda la pantalla">
          <a:extLst>
            <a:ext uri="{FF2B5EF4-FFF2-40B4-BE49-F238E27FC236}">
              <a16:creationId xmlns:a16="http://schemas.microsoft.com/office/drawing/2014/main" id="{F1286408-25DA-4EA9-9DD4-FA90BA6E67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49" name="AutoShape 1" descr="Vista previa de toda la pantalla">
          <a:extLst>
            <a:ext uri="{FF2B5EF4-FFF2-40B4-BE49-F238E27FC236}">
              <a16:creationId xmlns:a16="http://schemas.microsoft.com/office/drawing/2014/main" id="{D6494E8D-C491-49EE-84FD-4335393FA8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50" name="AutoShape 1" descr="Vista previa de toda la pantalla">
          <a:extLst>
            <a:ext uri="{FF2B5EF4-FFF2-40B4-BE49-F238E27FC236}">
              <a16:creationId xmlns:a16="http://schemas.microsoft.com/office/drawing/2014/main" id="{9EE97E32-6AFD-4CC8-A501-8070029A5F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51" name="AutoShape 1" descr="Vista previa de toda la pantalla">
          <a:extLst>
            <a:ext uri="{FF2B5EF4-FFF2-40B4-BE49-F238E27FC236}">
              <a16:creationId xmlns:a16="http://schemas.microsoft.com/office/drawing/2014/main" id="{BC28F7CB-BF92-47D3-996D-3E3801DF59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52" name="AutoShape 1" descr="Vista previa de toda la pantalla">
          <a:extLst>
            <a:ext uri="{FF2B5EF4-FFF2-40B4-BE49-F238E27FC236}">
              <a16:creationId xmlns:a16="http://schemas.microsoft.com/office/drawing/2014/main" id="{5A4916AB-24B6-4EAF-8F2F-FF24AAEDBE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53" name="AutoShape 1" descr="Vista previa de toda la pantalla">
          <a:extLst>
            <a:ext uri="{FF2B5EF4-FFF2-40B4-BE49-F238E27FC236}">
              <a16:creationId xmlns:a16="http://schemas.microsoft.com/office/drawing/2014/main" id="{6CBB8FE5-2031-4B7B-820D-3C66916A60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54" name="AutoShape 1" descr="Vista previa de toda la pantalla">
          <a:extLst>
            <a:ext uri="{FF2B5EF4-FFF2-40B4-BE49-F238E27FC236}">
              <a16:creationId xmlns:a16="http://schemas.microsoft.com/office/drawing/2014/main" id="{832C7C2D-D4AA-42E4-A072-D1EDEAC196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55" name="AutoShape 1" descr="Vista previa de toda la pantalla">
          <a:extLst>
            <a:ext uri="{FF2B5EF4-FFF2-40B4-BE49-F238E27FC236}">
              <a16:creationId xmlns:a16="http://schemas.microsoft.com/office/drawing/2014/main" id="{1AD92CCB-CB0D-443F-956E-A2902A1171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56" name="AutoShape 1" descr="Vista previa de toda la pantalla">
          <a:extLst>
            <a:ext uri="{FF2B5EF4-FFF2-40B4-BE49-F238E27FC236}">
              <a16:creationId xmlns:a16="http://schemas.microsoft.com/office/drawing/2014/main" id="{0A6EC7A5-68E2-46B3-B06B-E50CFCD073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57" name="AutoShape 1" descr="Vista previa de toda la pantalla">
          <a:extLst>
            <a:ext uri="{FF2B5EF4-FFF2-40B4-BE49-F238E27FC236}">
              <a16:creationId xmlns:a16="http://schemas.microsoft.com/office/drawing/2014/main" id="{7FB9288E-4E24-4043-BDCB-BD4827AC40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58" name="AutoShape 1" descr="Vista previa de toda la pantalla">
          <a:extLst>
            <a:ext uri="{FF2B5EF4-FFF2-40B4-BE49-F238E27FC236}">
              <a16:creationId xmlns:a16="http://schemas.microsoft.com/office/drawing/2014/main" id="{E30C8834-476A-493E-BE5D-41A9453EE9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59" name="AutoShape 1" descr="Vista previa de toda la pantalla">
          <a:extLst>
            <a:ext uri="{FF2B5EF4-FFF2-40B4-BE49-F238E27FC236}">
              <a16:creationId xmlns:a16="http://schemas.microsoft.com/office/drawing/2014/main" id="{0B7026D2-3198-4D3B-BE2E-EF44F60EC9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60" name="AutoShape 1" descr="Vista previa de toda la pantalla">
          <a:extLst>
            <a:ext uri="{FF2B5EF4-FFF2-40B4-BE49-F238E27FC236}">
              <a16:creationId xmlns:a16="http://schemas.microsoft.com/office/drawing/2014/main" id="{607C4D0D-4ADE-46F7-A6DD-68307798C4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61" name="AutoShape 1" descr="Vista previa de toda la pantalla">
          <a:extLst>
            <a:ext uri="{FF2B5EF4-FFF2-40B4-BE49-F238E27FC236}">
              <a16:creationId xmlns:a16="http://schemas.microsoft.com/office/drawing/2014/main" id="{4C94433E-327D-479C-A8D7-579608ED72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62" name="AutoShape 1" descr="Vista previa de toda la pantalla">
          <a:extLst>
            <a:ext uri="{FF2B5EF4-FFF2-40B4-BE49-F238E27FC236}">
              <a16:creationId xmlns:a16="http://schemas.microsoft.com/office/drawing/2014/main" id="{AEE27D41-5F60-498F-A646-337D807517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63" name="AutoShape 1" descr="Vista previa de toda la pantalla">
          <a:extLst>
            <a:ext uri="{FF2B5EF4-FFF2-40B4-BE49-F238E27FC236}">
              <a16:creationId xmlns:a16="http://schemas.microsoft.com/office/drawing/2014/main" id="{9006BDFF-7049-4C3E-9874-7AFCD2C3A2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64" name="AutoShape 1" descr="Vista previa de toda la pantalla">
          <a:extLst>
            <a:ext uri="{FF2B5EF4-FFF2-40B4-BE49-F238E27FC236}">
              <a16:creationId xmlns:a16="http://schemas.microsoft.com/office/drawing/2014/main" id="{2C4A81D9-86CB-4748-A9D1-21D41D70D0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65" name="AutoShape 1" descr="Vista previa de toda la pantalla">
          <a:extLst>
            <a:ext uri="{FF2B5EF4-FFF2-40B4-BE49-F238E27FC236}">
              <a16:creationId xmlns:a16="http://schemas.microsoft.com/office/drawing/2014/main" id="{579AE147-8C18-4A65-93C3-2D0E79AC03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66" name="AutoShape 1" descr="Vista previa de toda la pantalla">
          <a:extLst>
            <a:ext uri="{FF2B5EF4-FFF2-40B4-BE49-F238E27FC236}">
              <a16:creationId xmlns:a16="http://schemas.microsoft.com/office/drawing/2014/main" id="{EBEA1EC4-40FF-40CF-8A1C-77CF68212D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67" name="AutoShape 1" descr="Vista previa de toda la pantalla">
          <a:extLst>
            <a:ext uri="{FF2B5EF4-FFF2-40B4-BE49-F238E27FC236}">
              <a16:creationId xmlns:a16="http://schemas.microsoft.com/office/drawing/2014/main" id="{7DCC2F65-4839-4FF1-A4EB-93B56BAC8C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68" name="AutoShape 1" descr="Vista previa de toda la pantalla">
          <a:extLst>
            <a:ext uri="{FF2B5EF4-FFF2-40B4-BE49-F238E27FC236}">
              <a16:creationId xmlns:a16="http://schemas.microsoft.com/office/drawing/2014/main" id="{7167B4CD-4E80-4310-928A-3257AABD8B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69" name="AutoShape 1" descr="Vista previa de toda la pantalla">
          <a:extLst>
            <a:ext uri="{FF2B5EF4-FFF2-40B4-BE49-F238E27FC236}">
              <a16:creationId xmlns:a16="http://schemas.microsoft.com/office/drawing/2014/main" id="{FCB1680F-C02A-4516-9F28-7B1BDE33FD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70" name="AutoShape 1" descr="Vista previa de toda la pantalla">
          <a:extLst>
            <a:ext uri="{FF2B5EF4-FFF2-40B4-BE49-F238E27FC236}">
              <a16:creationId xmlns:a16="http://schemas.microsoft.com/office/drawing/2014/main" id="{4B8EA14A-408C-436E-A2A8-7A2EE229F2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71" name="AutoShape 1" descr="Vista previa de toda la pantalla">
          <a:extLst>
            <a:ext uri="{FF2B5EF4-FFF2-40B4-BE49-F238E27FC236}">
              <a16:creationId xmlns:a16="http://schemas.microsoft.com/office/drawing/2014/main" id="{6F9A9875-61B2-41D7-8083-296B679AEA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72" name="AutoShape 1" descr="Vista previa de toda la pantalla">
          <a:extLst>
            <a:ext uri="{FF2B5EF4-FFF2-40B4-BE49-F238E27FC236}">
              <a16:creationId xmlns:a16="http://schemas.microsoft.com/office/drawing/2014/main" id="{553D47AB-5C31-4C6D-A8CA-000E8F3A6A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73" name="AutoShape 1" descr="Vista previa de toda la pantalla">
          <a:extLst>
            <a:ext uri="{FF2B5EF4-FFF2-40B4-BE49-F238E27FC236}">
              <a16:creationId xmlns:a16="http://schemas.microsoft.com/office/drawing/2014/main" id="{EBCCD93F-0250-4F14-8FE1-878C830A25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74" name="AutoShape 1" descr="Vista previa de toda la pantalla">
          <a:extLst>
            <a:ext uri="{FF2B5EF4-FFF2-40B4-BE49-F238E27FC236}">
              <a16:creationId xmlns:a16="http://schemas.microsoft.com/office/drawing/2014/main" id="{782BD2CF-5D78-48FA-B8CE-2B49346D67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75" name="AutoShape 1" descr="Vista previa de toda la pantalla">
          <a:extLst>
            <a:ext uri="{FF2B5EF4-FFF2-40B4-BE49-F238E27FC236}">
              <a16:creationId xmlns:a16="http://schemas.microsoft.com/office/drawing/2014/main" id="{9D051844-8B7A-4676-A560-0F10F8EAA1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76" name="AutoShape 1" descr="Vista previa de toda la pantalla">
          <a:extLst>
            <a:ext uri="{FF2B5EF4-FFF2-40B4-BE49-F238E27FC236}">
              <a16:creationId xmlns:a16="http://schemas.microsoft.com/office/drawing/2014/main" id="{E8DFCA8E-C76B-4D8E-A57C-F14B715A83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77" name="AutoShape 1" descr="Vista previa de toda la pantalla">
          <a:extLst>
            <a:ext uri="{FF2B5EF4-FFF2-40B4-BE49-F238E27FC236}">
              <a16:creationId xmlns:a16="http://schemas.microsoft.com/office/drawing/2014/main" id="{33EA6445-812F-4435-8CD1-85FF07BBDA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78" name="AutoShape 1" descr="Vista previa de toda la pantalla">
          <a:extLst>
            <a:ext uri="{FF2B5EF4-FFF2-40B4-BE49-F238E27FC236}">
              <a16:creationId xmlns:a16="http://schemas.microsoft.com/office/drawing/2014/main" id="{3CE28B12-5B83-4A52-AAF0-73E30A8259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79" name="AutoShape 1" descr="Vista previa de toda la pantalla">
          <a:extLst>
            <a:ext uri="{FF2B5EF4-FFF2-40B4-BE49-F238E27FC236}">
              <a16:creationId xmlns:a16="http://schemas.microsoft.com/office/drawing/2014/main" id="{28414214-E088-406D-9691-106E289E37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80" name="AutoShape 1" descr="Vista previa de toda la pantalla">
          <a:extLst>
            <a:ext uri="{FF2B5EF4-FFF2-40B4-BE49-F238E27FC236}">
              <a16:creationId xmlns:a16="http://schemas.microsoft.com/office/drawing/2014/main" id="{396CE9EB-716C-4460-9899-C7D212FA60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81" name="AutoShape 1" descr="Vista previa de toda la pantalla">
          <a:extLst>
            <a:ext uri="{FF2B5EF4-FFF2-40B4-BE49-F238E27FC236}">
              <a16:creationId xmlns:a16="http://schemas.microsoft.com/office/drawing/2014/main" id="{2F09EC87-A242-43DF-8D46-E3DD4953E8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82" name="AutoShape 1" descr="Vista previa de toda la pantalla">
          <a:extLst>
            <a:ext uri="{FF2B5EF4-FFF2-40B4-BE49-F238E27FC236}">
              <a16:creationId xmlns:a16="http://schemas.microsoft.com/office/drawing/2014/main" id="{3CD5DB19-04B0-46AC-99C2-C7E21D280C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83" name="AutoShape 1" descr="Vista previa de toda la pantalla">
          <a:extLst>
            <a:ext uri="{FF2B5EF4-FFF2-40B4-BE49-F238E27FC236}">
              <a16:creationId xmlns:a16="http://schemas.microsoft.com/office/drawing/2014/main" id="{2B5548A0-9A7E-4AEB-BC70-6A8154F8CF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84" name="AutoShape 1" descr="Vista previa de toda la pantalla">
          <a:extLst>
            <a:ext uri="{FF2B5EF4-FFF2-40B4-BE49-F238E27FC236}">
              <a16:creationId xmlns:a16="http://schemas.microsoft.com/office/drawing/2014/main" id="{7505CE93-C253-4E22-B2DD-C7D310694E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85" name="AutoShape 1" descr="Vista previa de toda la pantalla">
          <a:extLst>
            <a:ext uri="{FF2B5EF4-FFF2-40B4-BE49-F238E27FC236}">
              <a16:creationId xmlns:a16="http://schemas.microsoft.com/office/drawing/2014/main" id="{6DEA8408-BEE9-4DF0-AF02-5074EE6D94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86" name="AutoShape 1" descr="Vista previa de toda la pantalla">
          <a:extLst>
            <a:ext uri="{FF2B5EF4-FFF2-40B4-BE49-F238E27FC236}">
              <a16:creationId xmlns:a16="http://schemas.microsoft.com/office/drawing/2014/main" id="{255ED45F-E228-450B-8F2E-799CC072C5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87" name="AutoShape 1" descr="Vista previa de toda la pantalla">
          <a:extLst>
            <a:ext uri="{FF2B5EF4-FFF2-40B4-BE49-F238E27FC236}">
              <a16:creationId xmlns:a16="http://schemas.microsoft.com/office/drawing/2014/main" id="{0F5E50C9-7810-4615-AF2E-DD1E781E16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88" name="AutoShape 1" descr="Vista previa de toda la pantalla">
          <a:extLst>
            <a:ext uri="{FF2B5EF4-FFF2-40B4-BE49-F238E27FC236}">
              <a16:creationId xmlns:a16="http://schemas.microsoft.com/office/drawing/2014/main" id="{5705F611-179C-4363-AE32-87B4C9F86E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89" name="AutoShape 1" descr="Vista previa de toda la pantalla">
          <a:extLst>
            <a:ext uri="{FF2B5EF4-FFF2-40B4-BE49-F238E27FC236}">
              <a16:creationId xmlns:a16="http://schemas.microsoft.com/office/drawing/2014/main" id="{782A3AF3-FC63-499B-8711-4E2769DB44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90" name="AutoShape 1" descr="Vista previa de toda la pantalla">
          <a:extLst>
            <a:ext uri="{FF2B5EF4-FFF2-40B4-BE49-F238E27FC236}">
              <a16:creationId xmlns:a16="http://schemas.microsoft.com/office/drawing/2014/main" id="{54CB9386-C634-470E-8F83-CCFAD5B904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91" name="AutoShape 1" descr="Vista previa de toda la pantalla">
          <a:extLst>
            <a:ext uri="{FF2B5EF4-FFF2-40B4-BE49-F238E27FC236}">
              <a16:creationId xmlns:a16="http://schemas.microsoft.com/office/drawing/2014/main" id="{BED5094C-D5AC-4FBB-8062-BD05E7D24C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92" name="AutoShape 1" descr="Vista previa de toda la pantalla">
          <a:extLst>
            <a:ext uri="{FF2B5EF4-FFF2-40B4-BE49-F238E27FC236}">
              <a16:creationId xmlns:a16="http://schemas.microsoft.com/office/drawing/2014/main" id="{10F50646-A6DC-4688-8C97-CD8A27B1F5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93" name="AutoShape 1" descr="Vista previa de toda la pantalla">
          <a:extLst>
            <a:ext uri="{FF2B5EF4-FFF2-40B4-BE49-F238E27FC236}">
              <a16:creationId xmlns:a16="http://schemas.microsoft.com/office/drawing/2014/main" id="{EEEEFE3E-EC3A-48F8-9C63-A433949E8B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94" name="AutoShape 1" descr="Vista previa de toda la pantalla">
          <a:extLst>
            <a:ext uri="{FF2B5EF4-FFF2-40B4-BE49-F238E27FC236}">
              <a16:creationId xmlns:a16="http://schemas.microsoft.com/office/drawing/2014/main" id="{C39B17F4-1661-4D3B-89EB-4532F982FE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95" name="AutoShape 1" descr="Vista previa de toda la pantalla">
          <a:extLst>
            <a:ext uri="{FF2B5EF4-FFF2-40B4-BE49-F238E27FC236}">
              <a16:creationId xmlns:a16="http://schemas.microsoft.com/office/drawing/2014/main" id="{D7188B5A-2101-4F95-BCB4-21DA6AEDC1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96" name="AutoShape 1" descr="Vista previa de toda la pantalla">
          <a:extLst>
            <a:ext uri="{FF2B5EF4-FFF2-40B4-BE49-F238E27FC236}">
              <a16:creationId xmlns:a16="http://schemas.microsoft.com/office/drawing/2014/main" id="{A2AE450D-FBED-426F-89A8-EAC300B1E4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97" name="AutoShape 1" descr="Vista previa de toda la pantalla">
          <a:extLst>
            <a:ext uri="{FF2B5EF4-FFF2-40B4-BE49-F238E27FC236}">
              <a16:creationId xmlns:a16="http://schemas.microsoft.com/office/drawing/2014/main" id="{9C96269B-CC2E-4694-AD7A-E962CAD8D7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98" name="AutoShape 1" descr="Vista previa de toda la pantalla">
          <a:extLst>
            <a:ext uri="{FF2B5EF4-FFF2-40B4-BE49-F238E27FC236}">
              <a16:creationId xmlns:a16="http://schemas.microsoft.com/office/drawing/2014/main" id="{65B14E90-3207-4825-9F93-BEBEFB76F3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499" name="AutoShape 1" descr="Vista previa de toda la pantalla">
          <a:extLst>
            <a:ext uri="{FF2B5EF4-FFF2-40B4-BE49-F238E27FC236}">
              <a16:creationId xmlns:a16="http://schemas.microsoft.com/office/drawing/2014/main" id="{8236BC5C-EA5E-4678-990F-046F2E3D39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00" name="AutoShape 1" descr="Vista previa de toda la pantalla">
          <a:extLst>
            <a:ext uri="{FF2B5EF4-FFF2-40B4-BE49-F238E27FC236}">
              <a16:creationId xmlns:a16="http://schemas.microsoft.com/office/drawing/2014/main" id="{1832FC56-B739-4012-BFC5-08241D6795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01" name="AutoShape 1" descr="Vista previa de toda la pantalla">
          <a:extLst>
            <a:ext uri="{FF2B5EF4-FFF2-40B4-BE49-F238E27FC236}">
              <a16:creationId xmlns:a16="http://schemas.microsoft.com/office/drawing/2014/main" id="{C4A48911-1315-445E-BB98-BB40176E7B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02" name="AutoShape 1" descr="Vista previa de toda la pantalla">
          <a:extLst>
            <a:ext uri="{FF2B5EF4-FFF2-40B4-BE49-F238E27FC236}">
              <a16:creationId xmlns:a16="http://schemas.microsoft.com/office/drawing/2014/main" id="{916EF718-62E5-44B1-A1E5-1A77ED762A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03" name="AutoShape 1" descr="Vista previa de toda la pantalla">
          <a:extLst>
            <a:ext uri="{FF2B5EF4-FFF2-40B4-BE49-F238E27FC236}">
              <a16:creationId xmlns:a16="http://schemas.microsoft.com/office/drawing/2014/main" id="{46B34B4B-24B0-4D77-9BF6-215F172CEB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04" name="AutoShape 1" descr="Vista previa de toda la pantalla">
          <a:extLst>
            <a:ext uri="{FF2B5EF4-FFF2-40B4-BE49-F238E27FC236}">
              <a16:creationId xmlns:a16="http://schemas.microsoft.com/office/drawing/2014/main" id="{DB55E052-0128-4045-AF81-E1F810821D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05" name="AutoShape 1" descr="Vista previa de toda la pantalla">
          <a:extLst>
            <a:ext uri="{FF2B5EF4-FFF2-40B4-BE49-F238E27FC236}">
              <a16:creationId xmlns:a16="http://schemas.microsoft.com/office/drawing/2014/main" id="{8F0F378E-856C-4767-B4B0-AC436D9573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06" name="AutoShape 1" descr="Vista previa de toda la pantalla">
          <a:extLst>
            <a:ext uri="{FF2B5EF4-FFF2-40B4-BE49-F238E27FC236}">
              <a16:creationId xmlns:a16="http://schemas.microsoft.com/office/drawing/2014/main" id="{42F7B397-1077-46ED-8B82-565DEA2350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07" name="AutoShape 1" descr="Vista previa de toda la pantalla">
          <a:extLst>
            <a:ext uri="{FF2B5EF4-FFF2-40B4-BE49-F238E27FC236}">
              <a16:creationId xmlns:a16="http://schemas.microsoft.com/office/drawing/2014/main" id="{8F1A5657-8A39-4817-B3EF-1DEDC433AB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08" name="AutoShape 1" descr="Vista previa de toda la pantalla">
          <a:extLst>
            <a:ext uri="{FF2B5EF4-FFF2-40B4-BE49-F238E27FC236}">
              <a16:creationId xmlns:a16="http://schemas.microsoft.com/office/drawing/2014/main" id="{BC5A5AB6-B097-43B2-86EF-5F618A250C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09" name="AutoShape 1" descr="Vista previa de toda la pantalla">
          <a:extLst>
            <a:ext uri="{FF2B5EF4-FFF2-40B4-BE49-F238E27FC236}">
              <a16:creationId xmlns:a16="http://schemas.microsoft.com/office/drawing/2014/main" id="{AB2E914D-DB52-4F14-8FDE-C33E7FABE0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10" name="AutoShape 1" descr="Vista previa de toda la pantalla">
          <a:extLst>
            <a:ext uri="{FF2B5EF4-FFF2-40B4-BE49-F238E27FC236}">
              <a16:creationId xmlns:a16="http://schemas.microsoft.com/office/drawing/2014/main" id="{B6A4A94C-C9EA-4EAD-A8B5-3B4BA4D3CA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11" name="AutoShape 1" descr="Vista previa de toda la pantalla">
          <a:extLst>
            <a:ext uri="{FF2B5EF4-FFF2-40B4-BE49-F238E27FC236}">
              <a16:creationId xmlns:a16="http://schemas.microsoft.com/office/drawing/2014/main" id="{1BDB133C-BD0E-4C73-80AD-1D424C7198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12" name="AutoShape 1" descr="Vista previa de toda la pantalla">
          <a:extLst>
            <a:ext uri="{FF2B5EF4-FFF2-40B4-BE49-F238E27FC236}">
              <a16:creationId xmlns:a16="http://schemas.microsoft.com/office/drawing/2014/main" id="{CA855DCB-A07A-4E75-986D-35A48E6E55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13" name="AutoShape 1" descr="Vista previa de toda la pantalla">
          <a:extLst>
            <a:ext uri="{FF2B5EF4-FFF2-40B4-BE49-F238E27FC236}">
              <a16:creationId xmlns:a16="http://schemas.microsoft.com/office/drawing/2014/main" id="{58649CDA-A78F-40E6-8FA0-BDF5F42117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14" name="AutoShape 1" descr="Vista previa de toda la pantalla">
          <a:extLst>
            <a:ext uri="{FF2B5EF4-FFF2-40B4-BE49-F238E27FC236}">
              <a16:creationId xmlns:a16="http://schemas.microsoft.com/office/drawing/2014/main" id="{87DB0980-1B7C-4F2C-8DC8-4A400A4585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15" name="AutoShape 1" descr="Vista previa de toda la pantalla">
          <a:extLst>
            <a:ext uri="{FF2B5EF4-FFF2-40B4-BE49-F238E27FC236}">
              <a16:creationId xmlns:a16="http://schemas.microsoft.com/office/drawing/2014/main" id="{53F7EC6B-E8D0-4457-849F-7E21676D6B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16" name="AutoShape 1" descr="Vista previa de toda la pantalla">
          <a:extLst>
            <a:ext uri="{FF2B5EF4-FFF2-40B4-BE49-F238E27FC236}">
              <a16:creationId xmlns:a16="http://schemas.microsoft.com/office/drawing/2014/main" id="{6AC82EC8-074F-4E2A-A534-8EF3855FED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17" name="AutoShape 1" descr="Vista previa de toda la pantalla">
          <a:extLst>
            <a:ext uri="{FF2B5EF4-FFF2-40B4-BE49-F238E27FC236}">
              <a16:creationId xmlns:a16="http://schemas.microsoft.com/office/drawing/2014/main" id="{91FC00F0-5374-4040-8CAE-89BAEE5BA4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18" name="AutoShape 1" descr="Vista previa de toda la pantalla">
          <a:extLst>
            <a:ext uri="{FF2B5EF4-FFF2-40B4-BE49-F238E27FC236}">
              <a16:creationId xmlns:a16="http://schemas.microsoft.com/office/drawing/2014/main" id="{F0211FF7-6068-496D-A659-9EE7CB37D6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19" name="AutoShape 1" descr="Vista previa de toda la pantalla">
          <a:extLst>
            <a:ext uri="{FF2B5EF4-FFF2-40B4-BE49-F238E27FC236}">
              <a16:creationId xmlns:a16="http://schemas.microsoft.com/office/drawing/2014/main" id="{86F3C01D-B178-44D1-BBB0-23184BECE3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20" name="AutoShape 1" descr="Vista previa de toda la pantalla">
          <a:extLst>
            <a:ext uri="{FF2B5EF4-FFF2-40B4-BE49-F238E27FC236}">
              <a16:creationId xmlns:a16="http://schemas.microsoft.com/office/drawing/2014/main" id="{950638E9-E20A-40F8-94D1-64C968EB30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21" name="AutoShape 1" descr="Vista previa de toda la pantalla">
          <a:extLst>
            <a:ext uri="{FF2B5EF4-FFF2-40B4-BE49-F238E27FC236}">
              <a16:creationId xmlns:a16="http://schemas.microsoft.com/office/drawing/2014/main" id="{6C78784D-72CF-4124-AACC-143EA2D1AF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22" name="AutoShape 1" descr="Vista previa de toda la pantalla">
          <a:extLst>
            <a:ext uri="{FF2B5EF4-FFF2-40B4-BE49-F238E27FC236}">
              <a16:creationId xmlns:a16="http://schemas.microsoft.com/office/drawing/2014/main" id="{C364BE79-662D-42FF-A1D2-D8B6166974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23" name="AutoShape 1" descr="Vista previa de toda la pantalla">
          <a:extLst>
            <a:ext uri="{FF2B5EF4-FFF2-40B4-BE49-F238E27FC236}">
              <a16:creationId xmlns:a16="http://schemas.microsoft.com/office/drawing/2014/main" id="{39804CDD-5A12-4A54-9A34-8D18775A87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24" name="AutoShape 1" descr="Vista previa de toda la pantalla">
          <a:extLst>
            <a:ext uri="{FF2B5EF4-FFF2-40B4-BE49-F238E27FC236}">
              <a16:creationId xmlns:a16="http://schemas.microsoft.com/office/drawing/2014/main" id="{440C1CF3-4EFD-408F-ACA2-77823CA52F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25" name="AutoShape 1" descr="Vista previa de toda la pantalla">
          <a:extLst>
            <a:ext uri="{FF2B5EF4-FFF2-40B4-BE49-F238E27FC236}">
              <a16:creationId xmlns:a16="http://schemas.microsoft.com/office/drawing/2014/main" id="{B2416470-26C4-49EF-9BD0-2B18B41F13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26" name="AutoShape 1" descr="Vista previa de toda la pantalla">
          <a:extLst>
            <a:ext uri="{FF2B5EF4-FFF2-40B4-BE49-F238E27FC236}">
              <a16:creationId xmlns:a16="http://schemas.microsoft.com/office/drawing/2014/main" id="{353FE252-6E58-4EAA-B3EB-3BBCBF7B5B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27" name="AutoShape 1" descr="Vista previa de toda la pantalla">
          <a:extLst>
            <a:ext uri="{FF2B5EF4-FFF2-40B4-BE49-F238E27FC236}">
              <a16:creationId xmlns:a16="http://schemas.microsoft.com/office/drawing/2014/main" id="{198EFE7E-0B9A-4F77-904A-EB897B8C1A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28" name="AutoShape 1" descr="Vista previa de toda la pantalla">
          <a:extLst>
            <a:ext uri="{FF2B5EF4-FFF2-40B4-BE49-F238E27FC236}">
              <a16:creationId xmlns:a16="http://schemas.microsoft.com/office/drawing/2014/main" id="{1BD4E389-9F31-45A5-B35F-066DA529A6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29" name="AutoShape 1" descr="Vista previa de toda la pantalla">
          <a:extLst>
            <a:ext uri="{FF2B5EF4-FFF2-40B4-BE49-F238E27FC236}">
              <a16:creationId xmlns:a16="http://schemas.microsoft.com/office/drawing/2014/main" id="{E698F07C-B8FD-428B-9E59-66802DD1AD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30" name="AutoShape 1" descr="Vista previa de toda la pantalla">
          <a:extLst>
            <a:ext uri="{FF2B5EF4-FFF2-40B4-BE49-F238E27FC236}">
              <a16:creationId xmlns:a16="http://schemas.microsoft.com/office/drawing/2014/main" id="{96CAE22E-9981-4F0E-9955-48CEBF3769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31" name="AutoShape 1" descr="Vista previa de toda la pantalla">
          <a:extLst>
            <a:ext uri="{FF2B5EF4-FFF2-40B4-BE49-F238E27FC236}">
              <a16:creationId xmlns:a16="http://schemas.microsoft.com/office/drawing/2014/main" id="{FE5A31F0-090A-4493-95E9-1825FB0CB1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32" name="AutoShape 1" descr="Vista previa de toda la pantalla">
          <a:extLst>
            <a:ext uri="{FF2B5EF4-FFF2-40B4-BE49-F238E27FC236}">
              <a16:creationId xmlns:a16="http://schemas.microsoft.com/office/drawing/2014/main" id="{5A6DCDA3-18D6-4E97-BA35-EDFCBF28B1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33" name="AutoShape 1" descr="Vista previa de toda la pantalla">
          <a:extLst>
            <a:ext uri="{FF2B5EF4-FFF2-40B4-BE49-F238E27FC236}">
              <a16:creationId xmlns:a16="http://schemas.microsoft.com/office/drawing/2014/main" id="{3B69A9CC-165F-4F30-8B2C-1E44CC147B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34" name="AutoShape 1" descr="Vista previa de toda la pantalla">
          <a:extLst>
            <a:ext uri="{FF2B5EF4-FFF2-40B4-BE49-F238E27FC236}">
              <a16:creationId xmlns:a16="http://schemas.microsoft.com/office/drawing/2014/main" id="{06FDF804-0A1C-4A4A-ADF9-800E91A6E4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35" name="AutoShape 1" descr="Vista previa de toda la pantalla">
          <a:extLst>
            <a:ext uri="{FF2B5EF4-FFF2-40B4-BE49-F238E27FC236}">
              <a16:creationId xmlns:a16="http://schemas.microsoft.com/office/drawing/2014/main" id="{1945A3AD-39F0-46D1-8A19-AF06043D18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36" name="AutoShape 1" descr="Vista previa de toda la pantalla">
          <a:extLst>
            <a:ext uri="{FF2B5EF4-FFF2-40B4-BE49-F238E27FC236}">
              <a16:creationId xmlns:a16="http://schemas.microsoft.com/office/drawing/2014/main" id="{57E0D72F-A623-43DD-80F5-5E7F243B66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37" name="AutoShape 1" descr="Vista previa de toda la pantalla">
          <a:extLst>
            <a:ext uri="{FF2B5EF4-FFF2-40B4-BE49-F238E27FC236}">
              <a16:creationId xmlns:a16="http://schemas.microsoft.com/office/drawing/2014/main" id="{76A56D39-8C18-4D01-99FD-A5818D56C8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38" name="AutoShape 1" descr="Vista previa de toda la pantalla">
          <a:extLst>
            <a:ext uri="{FF2B5EF4-FFF2-40B4-BE49-F238E27FC236}">
              <a16:creationId xmlns:a16="http://schemas.microsoft.com/office/drawing/2014/main" id="{B5FCCD16-5F9B-4FFE-AA87-48E5DFC16B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39" name="AutoShape 1" descr="Vista previa de toda la pantalla">
          <a:extLst>
            <a:ext uri="{FF2B5EF4-FFF2-40B4-BE49-F238E27FC236}">
              <a16:creationId xmlns:a16="http://schemas.microsoft.com/office/drawing/2014/main" id="{25D3089C-F8AD-49A1-866F-A4872A886B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40" name="AutoShape 1" descr="Vista previa de toda la pantalla">
          <a:extLst>
            <a:ext uri="{FF2B5EF4-FFF2-40B4-BE49-F238E27FC236}">
              <a16:creationId xmlns:a16="http://schemas.microsoft.com/office/drawing/2014/main" id="{7EABE0BB-D5F3-4B69-9653-7EDA05499B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41" name="AutoShape 1" descr="Vista previa de toda la pantalla">
          <a:extLst>
            <a:ext uri="{FF2B5EF4-FFF2-40B4-BE49-F238E27FC236}">
              <a16:creationId xmlns:a16="http://schemas.microsoft.com/office/drawing/2014/main" id="{91CC4316-C39B-49A7-88C9-5FA7DF8DE1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42" name="AutoShape 1" descr="Vista previa de toda la pantalla">
          <a:extLst>
            <a:ext uri="{FF2B5EF4-FFF2-40B4-BE49-F238E27FC236}">
              <a16:creationId xmlns:a16="http://schemas.microsoft.com/office/drawing/2014/main" id="{B40A0293-B60E-4AA0-81DF-949DE44216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43" name="AutoShape 1" descr="Vista previa de toda la pantalla">
          <a:extLst>
            <a:ext uri="{FF2B5EF4-FFF2-40B4-BE49-F238E27FC236}">
              <a16:creationId xmlns:a16="http://schemas.microsoft.com/office/drawing/2014/main" id="{1A50D701-5C99-48A2-BC55-425BDD1D5A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1544" name="AutoShape 1" descr="Vista previa de toda la pantalla">
          <a:extLst>
            <a:ext uri="{FF2B5EF4-FFF2-40B4-BE49-F238E27FC236}">
              <a16:creationId xmlns:a16="http://schemas.microsoft.com/office/drawing/2014/main" id="{936A52E9-9748-4983-A7EF-3C6B4FAA497C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45" name="AutoShape 1" descr="Vista previa de toda la pantalla">
          <a:extLst>
            <a:ext uri="{FF2B5EF4-FFF2-40B4-BE49-F238E27FC236}">
              <a16:creationId xmlns:a16="http://schemas.microsoft.com/office/drawing/2014/main" id="{A404F28C-BD66-4126-9074-AFEC652168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46" name="AutoShape 1" descr="Vista previa de toda la pantalla">
          <a:extLst>
            <a:ext uri="{FF2B5EF4-FFF2-40B4-BE49-F238E27FC236}">
              <a16:creationId xmlns:a16="http://schemas.microsoft.com/office/drawing/2014/main" id="{BC61EF51-E8AE-4A91-8536-C5EEB78B4B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47" name="AutoShape 1" descr="Vista previa de toda la pantalla">
          <a:extLst>
            <a:ext uri="{FF2B5EF4-FFF2-40B4-BE49-F238E27FC236}">
              <a16:creationId xmlns:a16="http://schemas.microsoft.com/office/drawing/2014/main" id="{B535A96C-5E2B-4EFA-9088-1B18F28565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48" name="AutoShape 1" descr="Vista previa de toda la pantalla">
          <a:extLst>
            <a:ext uri="{FF2B5EF4-FFF2-40B4-BE49-F238E27FC236}">
              <a16:creationId xmlns:a16="http://schemas.microsoft.com/office/drawing/2014/main" id="{2B546862-1F4C-4185-8ED1-C44C5112E7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49" name="AutoShape 1" descr="Vista previa de toda la pantalla">
          <a:extLst>
            <a:ext uri="{FF2B5EF4-FFF2-40B4-BE49-F238E27FC236}">
              <a16:creationId xmlns:a16="http://schemas.microsoft.com/office/drawing/2014/main" id="{2304D596-46F5-456F-9EFE-B567063051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50" name="AutoShape 1" descr="Vista previa de toda la pantalla">
          <a:extLst>
            <a:ext uri="{FF2B5EF4-FFF2-40B4-BE49-F238E27FC236}">
              <a16:creationId xmlns:a16="http://schemas.microsoft.com/office/drawing/2014/main" id="{AD93D819-86F8-4C49-9DBE-1C5AEF96E3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51" name="AutoShape 1" descr="Vista previa de toda la pantalla">
          <a:extLst>
            <a:ext uri="{FF2B5EF4-FFF2-40B4-BE49-F238E27FC236}">
              <a16:creationId xmlns:a16="http://schemas.microsoft.com/office/drawing/2014/main" id="{0AB3AFE6-E960-4D0E-9664-9F919AD9D5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52" name="AutoShape 1" descr="Vista previa de toda la pantalla">
          <a:extLst>
            <a:ext uri="{FF2B5EF4-FFF2-40B4-BE49-F238E27FC236}">
              <a16:creationId xmlns:a16="http://schemas.microsoft.com/office/drawing/2014/main" id="{A7234BD6-1480-4649-ABAE-485591D729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53" name="AutoShape 1" descr="Vista previa de toda la pantalla">
          <a:extLst>
            <a:ext uri="{FF2B5EF4-FFF2-40B4-BE49-F238E27FC236}">
              <a16:creationId xmlns:a16="http://schemas.microsoft.com/office/drawing/2014/main" id="{C032009F-4C3E-4CE3-AD08-5F627F06AA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54" name="AutoShape 1" descr="Vista previa de toda la pantalla">
          <a:extLst>
            <a:ext uri="{FF2B5EF4-FFF2-40B4-BE49-F238E27FC236}">
              <a16:creationId xmlns:a16="http://schemas.microsoft.com/office/drawing/2014/main" id="{0F686225-B0F1-48E7-AF38-894F0907A3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55" name="AutoShape 1" descr="Vista previa de toda la pantalla">
          <a:extLst>
            <a:ext uri="{FF2B5EF4-FFF2-40B4-BE49-F238E27FC236}">
              <a16:creationId xmlns:a16="http://schemas.microsoft.com/office/drawing/2014/main" id="{40776C21-C9F9-4FFE-A1DD-54D63DC380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56" name="AutoShape 1" descr="Vista previa de toda la pantalla">
          <a:extLst>
            <a:ext uri="{FF2B5EF4-FFF2-40B4-BE49-F238E27FC236}">
              <a16:creationId xmlns:a16="http://schemas.microsoft.com/office/drawing/2014/main" id="{957434F5-8CFD-4E17-8DC1-CD5A1694BC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57" name="AutoShape 1" descr="Vista previa de toda la pantalla">
          <a:extLst>
            <a:ext uri="{FF2B5EF4-FFF2-40B4-BE49-F238E27FC236}">
              <a16:creationId xmlns:a16="http://schemas.microsoft.com/office/drawing/2014/main" id="{4E8639FE-F80D-4A73-8B9B-CD8EE9F104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58" name="AutoShape 1" descr="Vista previa de toda la pantalla">
          <a:extLst>
            <a:ext uri="{FF2B5EF4-FFF2-40B4-BE49-F238E27FC236}">
              <a16:creationId xmlns:a16="http://schemas.microsoft.com/office/drawing/2014/main" id="{8556F972-4433-431C-B639-83DBC88471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59" name="AutoShape 1" descr="Vista previa de toda la pantalla">
          <a:extLst>
            <a:ext uri="{FF2B5EF4-FFF2-40B4-BE49-F238E27FC236}">
              <a16:creationId xmlns:a16="http://schemas.microsoft.com/office/drawing/2014/main" id="{3EB59F6C-6A6E-4A04-A15C-417925C18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60" name="AutoShape 1" descr="Vista previa de toda la pantalla">
          <a:extLst>
            <a:ext uri="{FF2B5EF4-FFF2-40B4-BE49-F238E27FC236}">
              <a16:creationId xmlns:a16="http://schemas.microsoft.com/office/drawing/2014/main" id="{9C054D61-123E-42D0-82C2-2B5756D189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61" name="AutoShape 1" descr="Vista previa de toda la pantalla">
          <a:extLst>
            <a:ext uri="{FF2B5EF4-FFF2-40B4-BE49-F238E27FC236}">
              <a16:creationId xmlns:a16="http://schemas.microsoft.com/office/drawing/2014/main" id="{D646C3F2-66F5-47E8-8FCE-B72F0AE39F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62" name="AutoShape 1" descr="Vista previa de toda la pantalla">
          <a:extLst>
            <a:ext uri="{FF2B5EF4-FFF2-40B4-BE49-F238E27FC236}">
              <a16:creationId xmlns:a16="http://schemas.microsoft.com/office/drawing/2014/main" id="{A3944C39-B548-4BDB-89D3-64AC60C31C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63" name="AutoShape 1" descr="Vista previa de toda la pantalla">
          <a:extLst>
            <a:ext uri="{FF2B5EF4-FFF2-40B4-BE49-F238E27FC236}">
              <a16:creationId xmlns:a16="http://schemas.microsoft.com/office/drawing/2014/main" id="{8A5AEAC5-D8FF-4FC6-8827-BA3FC38717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64" name="AutoShape 1" descr="Vista previa de toda la pantalla">
          <a:extLst>
            <a:ext uri="{FF2B5EF4-FFF2-40B4-BE49-F238E27FC236}">
              <a16:creationId xmlns:a16="http://schemas.microsoft.com/office/drawing/2014/main" id="{7FCC219B-74B2-4A44-84FB-59C855156B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65" name="AutoShape 1" descr="Vista previa de toda la pantalla">
          <a:extLst>
            <a:ext uri="{FF2B5EF4-FFF2-40B4-BE49-F238E27FC236}">
              <a16:creationId xmlns:a16="http://schemas.microsoft.com/office/drawing/2014/main" id="{F53D20D0-AFC1-4742-A58D-C5028A81A8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66" name="AutoShape 1" descr="Vista previa de toda la pantalla">
          <a:extLst>
            <a:ext uri="{FF2B5EF4-FFF2-40B4-BE49-F238E27FC236}">
              <a16:creationId xmlns:a16="http://schemas.microsoft.com/office/drawing/2014/main" id="{1B112A2A-509D-48E5-8DB5-C37DBFEAA1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67" name="AutoShape 1" descr="Vista previa de toda la pantalla">
          <a:extLst>
            <a:ext uri="{FF2B5EF4-FFF2-40B4-BE49-F238E27FC236}">
              <a16:creationId xmlns:a16="http://schemas.microsoft.com/office/drawing/2014/main" id="{7728AE07-3F21-4705-87C7-A6FF04952D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68" name="AutoShape 1" descr="Vista previa de toda la pantalla">
          <a:extLst>
            <a:ext uri="{FF2B5EF4-FFF2-40B4-BE49-F238E27FC236}">
              <a16:creationId xmlns:a16="http://schemas.microsoft.com/office/drawing/2014/main" id="{D89DF7C0-E698-40BB-A188-FCB396FA2C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69" name="AutoShape 1" descr="Vista previa de toda la pantalla">
          <a:extLst>
            <a:ext uri="{FF2B5EF4-FFF2-40B4-BE49-F238E27FC236}">
              <a16:creationId xmlns:a16="http://schemas.microsoft.com/office/drawing/2014/main" id="{E5469C22-B6C3-43B0-9595-592198E912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70" name="AutoShape 1" descr="Vista previa de toda la pantalla">
          <a:extLst>
            <a:ext uri="{FF2B5EF4-FFF2-40B4-BE49-F238E27FC236}">
              <a16:creationId xmlns:a16="http://schemas.microsoft.com/office/drawing/2014/main" id="{829CE6FC-777E-4598-9732-D6A7D16CDA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71" name="AutoShape 1" descr="Vista previa de toda la pantalla">
          <a:extLst>
            <a:ext uri="{FF2B5EF4-FFF2-40B4-BE49-F238E27FC236}">
              <a16:creationId xmlns:a16="http://schemas.microsoft.com/office/drawing/2014/main" id="{4E2FAA56-9B5A-4752-9501-5141F8A017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72" name="AutoShape 1" descr="Vista previa de toda la pantalla">
          <a:extLst>
            <a:ext uri="{FF2B5EF4-FFF2-40B4-BE49-F238E27FC236}">
              <a16:creationId xmlns:a16="http://schemas.microsoft.com/office/drawing/2014/main" id="{A117B0B3-B79C-4F4C-80AA-92A55F94CE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73" name="AutoShape 1" descr="Vista previa de toda la pantalla">
          <a:extLst>
            <a:ext uri="{FF2B5EF4-FFF2-40B4-BE49-F238E27FC236}">
              <a16:creationId xmlns:a16="http://schemas.microsoft.com/office/drawing/2014/main" id="{91F4C02B-7733-4B7B-A5C2-5ECB0FEF38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74" name="AutoShape 1" descr="Vista previa de toda la pantalla">
          <a:extLst>
            <a:ext uri="{FF2B5EF4-FFF2-40B4-BE49-F238E27FC236}">
              <a16:creationId xmlns:a16="http://schemas.microsoft.com/office/drawing/2014/main" id="{9129D26E-5F5C-42C0-9AAF-48B2A1FF9E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75" name="AutoShape 1" descr="Vista previa de toda la pantalla">
          <a:extLst>
            <a:ext uri="{FF2B5EF4-FFF2-40B4-BE49-F238E27FC236}">
              <a16:creationId xmlns:a16="http://schemas.microsoft.com/office/drawing/2014/main" id="{5B5CCFF3-339C-423C-9C70-A9C41FAB12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76" name="AutoShape 1" descr="Vista previa de toda la pantalla">
          <a:extLst>
            <a:ext uri="{FF2B5EF4-FFF2-40B4-BE49-F238E27FC236}">
              <a16:creationId xmlns:a16="http://schemas.microsoft.com/office/drawing/2014/main" id="{FD01D589-7A74-419C-AEEE-D3B21BBB5D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77" name="AutoShape 1" descr="Vista previa de toda la pantalla">
          <a:extLst>
            <a:ext uri="{FF2B5EF4-FFF2-40B4-BE49-F238E27FC236}">
              <a16:creationId xmlns:a16="http://schemas.microsoft.com/office/drawing/2014/main" id="{70149465-56B6-4105-86B5-D661E39B4D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78" name="AutoShape 1" descr="Vista previa de toda la pantalla">
          <a:extLst>
            <a:ext uri="{FF2B5EF4-FFF2-40B4-BE49-F238E27FC236}">
              <a16:creationId xmlns:a16="http://schemas.microsoft.com/office/drawing/2014/main" id="{A1F31F5D-C16A-421C-878A-01A08AAB5C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79" name="AutoShape 1" descr="Vista previa de toda la pantalla">
          <a:extLst>
            <a:ext uri="{FF2B5EF4-FFF2-40B4-BE49-F238E27FC236}">
              <a16:creationId xmlns:a16="http://schemas.microsoft.com/office/drawing/2014/main" id="{3522D389-CF9E-463D-8E0B-47DD5F22E2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80" name="AutoShape 1" descr="Vista previa de toda la pantalla">
          <a:extLst>
            <a:ext uri="{FF2B5EF4-FFF2-40B4-BE49-F238E27FC236}">
              <a16:creationId xmlns:a16="http://schemas.microsoft.com/office/drawing/2014/main" id="{94E9DDB6-B865-468E-A680-16A9C5D99D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81" name="AutoShape 1" descr="Vista previa de toda la pantalla">
          <a:extLst>
            <a:ext uri="{FF2B5EF4-FFF2-40B4-BE49-F238E27FC236}">
              <a16:creationId xmlns:a16="http://schemas.microsoft.com/office/drawing/2014/main" id="{0B8D0925-19AC-4463-B402-BE3C9B8F41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82" name="AutoShape 1" descr="Vista previa de toda la pantalla">
          <a:extLst>
            <a:ext uri="{FF2B5EF4-FFF2-40B4-BE49-F238E27FC236}">
              <a16:creationId xmlns:a16="http://schemas.microsoft.com/office/drawing/2014/main" id="{B6C506D3-EC4E-436E-9443-37DCFBA98E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83" name="AutoShape 1" descr="Vista previa de toda la pantalla">
          <a:extLst>
            <a:ext uri="{FF2B5EF4-FFF2-40B4-BE49-F238E27FC236}">
              <a16:creationId xmlns:a16="http://schemas.microsoft.com/office/drawing/2014/main" id="{02539D62-679C-43CE-B20D-072999F165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84" name="AutoShape 1" descr="Vista previa de toda la pantalla">
          <a:extLst>
            <a:ext uri="{FF2B5EF4-FFF2-40B4-BE49-F238E27FC236}">
              <a16:creationId xmlns:a16="http://schemas.microsoft.com/office/drawing/2014/main" id="{E4525CA6-FC01-4AC3-BDB7-389CE2FB6B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85" name="AutoShape 1" descr="Vista previa de toda la pantalla">
          <a:extLst>
            <a:ext uri="{FF2B5EF4-FFF2-40B4-BE49-F238E27FC236}">
              <a16:creationId xmlns:a16="http://schemas.microsoft.com/office/drawing/2014/main" id="{38EEDFB7-5A1C-432E-9D9A-4543D7D255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86" name="AutoShape 1" descr="Vista previa de toda la pantalla">
          <a:extLst>
            <a:ext uri="{FF2B5EF4-FFF2-40B4-BE49-F238E27FC236}">
              <a16:creationId xmlns:a16="http://schemas.microsoft.com/office/drawing/2014/main" id="{2D13A458-711B-4CF6-BA40-D669CDC02F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87" name="AutoShape 1" descr="Vista previa de toda la pantalla">
          <a:extLst>
            <a:ext uri="{FF2B5EF4-FFF2-40B4-BE49-F238E27FC236}">
              <a16:creationId xmlns:a16="http://schemas.microsoft.com/office/drawing/2014/main" id="{EB9F464D-E428-4A06-B45B-2E32337051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88" name="AutoShape 1" descr="Vista previa de toda la pantalla">
          <a:extLst>
            <a:ext uri="{FF2B5EF4-FFF2-40B4-BE49-F238E27FC236}">
              <a16:creationId xmlns:a16="http://schemas.microsoft.com/office/drawing/2014/main" id="{A80D7C45-9A2F-4865-93AD-B636B4EDDD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89" name="AutoShape 1" descr="Vista previa de toda la pantalla">
          <a:extLst>
            <a:ext uri="{FF2B5EF4-FFF2-40B4-BE49-F238E27FC236}">
              <a16:creationId xmlns:a16="http://schemas.microsoft.com/office/drawing/2014/main" id="{8D7ADAD7-34F1-4BD3-805E-6094974354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0" name="AutoShape 1" descr="Vista previa de toda la pantalla">
          <a:extLst>
            <a:ext uri="{FF2B5EF4-FFF2-40B4-BE49-F238E27FC236}">
              <a16:creationId xmlns:a16="http://schemas.microsoft.com/office/drawing/2014/main" id="{105366D8-27EA-49EE-B801-F5AF3558C1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1" name="AutoShape 1" descr="Vista previa de toda la pantalla">
          <a:extLst>
            <a:ext uri="{FF2B5EF4-FFF2-40B4-BE49-F238E27FC236}">
              <a16:creationId xmlns:a16="http://schemas.microsoft.com/office/drawing/2014/main" id="{CEC310C1-EDA8-430F-A5DF-2085C40149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2" name="AutoShape 1" descr="Vista previa de toda la pantalla">
          <a:extLst>
            <a:ext uri="{FF2B5EF4-FFF2-40B4-BE49-F238E27FC236}">
              <a16:creationId xmlns:a16="http://schemas.microsoft.com/office/drawing/2014/main" id="{9436671C-3155-4D46-891B-5DBC726376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3" name="AutoShape 1" descr="Vista previa de toda la pantalla">
          <a:extLst>
            <a:ext uri="{FF2B5EF4-FFF2-40B4-BE49-F238E27FC236}">
              <a16:creationId xmlns:a16="http://schemas.microsoft.com/office/drawing/2014/main" id="{96461EAF-10DF-4CFC-9EA9-735D79F223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4" name="AutoShape 1" descr="Vista previa de toda la pantalla">
          <a:extLst>
            <a:ext uri="{FF2B5EF4-FFF2-40B4-BE49-F238E27FC236}">
              <a16:creationId xmlns:a16="http://schemas.microsoft.com/office/drawing/2014/main" id="{F5EADF00-EC11-46A0-94A1-D9B2C45963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5" name="AutoShape 1" descr="Vista previa de toda la pantalla">
          <a:extLst>
            <a:ext uri="{FF2B5EF4-FFF2-40B4-BE49-F238E27FC236}">
              <a16:creationId xmlns:a16="http://schemas.microsoft.com/office/drawing/2014/main" id="{9F7916C2-C8AD-4C60-87CB-079CB215A0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6" name="AutoShape 1" descr="Vista previa de toda la pantalla">
          <a:extLst>
            <a:ext uri="{FF2B5EF4-FFF2-40B4-BE49-F238E27FC236}">
              <a16:creationId xmlns:a16="http://schemas.microsoft.com/office/drawing/2014/main" id="{D8A173FB-5000-46A9-9818-D980968050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7" name="AutoShape 1" descr="Vista previa de toda la pantalla">
          <a:extLst>
            <a:ext uri="{FF2B5EF4-FFF2-40B4-BE49-F238E27FC236}">
              <a16:creationId xmlns:a16="http://schemas.microsoft.com/office/drawing/2014/main" id="{FB6AD429-2A8A-4C38-9752-8432946811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8" name="AutoShape 1" descr="Vista previa de toda la pantalla">
          <a:extLst>
            <a:ext uri="{FF2B5EF4-FFF2-40B4-BE49-F238E27FC236}">
              <a16:creationId xmlns:a16="http://schemas.microsoft.com/office/drawing/2014/main" id="{E8E49A4B-2688-49EC-B685-85B508C3A1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599" name="AutoShape 1" descr="Vista previa de toda la pantalla">
          <a:extLst>
            <a:ext uri="{FF2B5EF4-FFF2-40B4-BE49-F238E27FC236}">
              <a16:creationId xmlns:a16="http://schemas.microsoft.com/office/drawing/2014/main" id="{E7D6C8B0-1932-437B-9394-90B1EE7275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0" name="AutoShape 1" descr="Vista previa de toda la pantalla">
          <a:extLst>
            <a:ext uri="{FF2B5EF4-FFF2-40B4-BE49-F238E27FC236}">
              <a16:creationId xmlns:a16="http://schemas.microsoft.com/office/drawing/2014/main" id="{68776E95-BE15-4623-BB5D-39CF5474FD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1" name="AutoShape 1" descr="Vista previa de toda la pantalla">
          <a:extLst>
            <a:ext uri="{FF2B5EF4-FFF2-40B4-BE49-F238E27FC236}">
              <a16:creationId xmlns:a16="http://schemas.microsoft.com/office/drawing/2014/main" id="{A1A89A87-9B90-446A-9BB1-72D154CF57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2" name="AutoShape 1" descr="Vista previa de toda la pantalla">
          <a:extLst>
            <a:ext uri="{FF2B5EF4-FFF2-40B4-BE49-F238E27FC236}">
              <a16:creationId xmlns:a16="http://schemas.microsoft.com/office/drawing/2014/main" id="{C845924D-9B26-4179-8C53-73D0620D2D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3" name="AutoShape 1" descr="Vista previa de toda la pantalla">
          <a:extLst>
            <a:ext uri="{FF2B5EF4-FFF2-40B4-BE49-F238E27FC236}">
              <a16:creationId xmlns:a16="http://schemas.microsoft.com/office/drawing/2014/main" id="{5F421EE8-420A-4386-B055-DF32071845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4" name="AutoShape 1" descr="Vista previa de toda la pantalla">
          <a:extLst>
            <a:ext uri="{FF2B5EF4-FFF2-40B4-BE49-F238E27FC236}">
              <a16:creationId xmlns:a16="http://schemas.microsoft.com/office/drawing/2014/main" id="{447843CF-2EE1-41F8-AE95-ED3083B460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5" name="AutoShape 1" descr="Vista previa de toda la pantalla">
          <a:extLst>
            <a:ext uri="{FF2B5EF4-FFF2-40B4-BE49-F238E27FC236}">
              <a16:creationId xmlns:a16="http://schemas.microsoft.com/office/drawing/2014/main" id="{1355E743-2957-40F6-8E94-C509F0DD97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6" name="AutoShape 1" descr="Vista previa de toda la pantalla">
          <a:extLst>
            <a:ext uri="{FF2B5EF4-FFF2-40B4-BE49-F238E27FC236}">
              <a16:creationId xmlns:a16="http://schemas.microsoft.com/office/drawing/2014/main" id="{2A1BCE46-4797-48A1-B040-B00FA7CCEA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7" name="AutoShape 1" descr="Vista previa de toda la pantalla">
          <a:extLst>
            <a:ext uri="{FF2B5EF4-FFF2-40B4-BE49-F238E27FC236}">
              <a16:creationId xmlns:a16="http://schemas.microsoft.com/office/drawing/2014/main" id="{ED0499D1-3E76-4546-AEDE-3BECC70337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8" name="AutoShape 1" descr="Vista previa de toda la pantalla">
          <a:extLst>
            <a:ext uri="{FF2B5EF4-FFF2-40B4-BE49-F238E27FC236}">
              <a16:creationId xmlns:a16="http://schemas.microsoft.com/office/drawing/2014/main" id="{AEC6C5EA-D585-4385-8BB8-DCDD2EFA19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09" name="AutoShape 1" descr="Vista previa de toda la pantalla">
          <a:extLst>
            <a:ext uri="{FF2B5EF4-FFF2-40B4-BE49-F238E27FC236}">
              <a16:creationId xmlns:a16="http://schemas.microsoft.com/office/drawing/2014/main" id="{BF83AD3A-B4EE-4CD8-A2F6-D20E306C83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0" name="AutoShape 1" descr="Vista previa de toda la pantalla">
          <a:extLst>
            <a:ext uri="{FF2B5EF4-FFF2-40B4-BE49-F238E27FC236}">
              <a16:creationId xmlns:a16="http://schemas.microsoft.com/office/drawing/2014/main" id="{FAEA19A8-CB7D-46A1-8B85-F106743E79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1" name="AutoShape 1" descr="Vista previa de toda la pantalla">
          <a:extLst>
            <a:ext uri="{FF2B5EF4-FFF2-40B4-BE49-F238E27FC236}">
              <a16:creationId xmlns:a16="http://schemas.microsoft.com/office/drawing/2014/main" id="{3BA28380-6DD0-4DB1-9C52-DF68C01814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2" name="AutoShape 1" descr="Vista previa de toda la pantalla">
          <a:extLst>
            <a:ext uri="{FF2B5EF4-FFF2-40B4-BE49-F238E27FC236}">
              <a16:creationId xmlns:a16="http://schemas.microsoft.com/office/drawing/2014/main" id="{D32221E0-D236-4D4C-B16F-27E4175865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3" name="AutoShape 1" descr="Vista previa de toda la pantalla">
          <a:extLst>
            <a:ext uri="{FF2B5EF4-FFF2-40B4-BE49-F238E27FC236}">
              <a16:creationId xmlns:a16="http://schemas.microsoft.com/office/drawing/2014/main" id="{A7FDEB28-57EA-47C1-95D6-78CC8CA0AD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4" name="AutoShape 1" descr="Vista previa de toda la pantalla">
          <a:extLst>
            <a:ext uri="{FF2B5EF4-FFF2-40B4-BE49-F238E27FC236}">
              <a16:creationId xmlns:a16="http://schemas.microsoft.com/office/drawing/2014/main" id="{F9A5E9A9-8D65-4DEA-8CCA-B31ACC838D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5" name="AutoShape 1" descr="Vista previa de toda la pantalla">
          <a:extLst>
            <a:ext uri="{FF2B5EF4-FFF2-40B4-BE49-F238E27FC236}">
              <a16:creationId xmlns:a16="http://schemas.microsoft.com/office/drawing/2014/main" id="{6D91CB0A-2674-4DC7-9163-3EDFA4BD40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6" name="AutoShape 1" descr="Vista previa de toda la pantalla">
          <a:extLst>
            <a:ext uri="{FF2B5EF4-FFF2-40B4-BE49-F238E27FC236}">
              <a16:creationId xmlns:a16="http://schemas.microsoft.com/office/drawing/2014/main" id="{70CE9FCF-447E-4BF6-91E8-E9B5E09D9F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7" name="AutoShape 1" descr="Vista previa de toda la pantalla">
          <a:extLst>
            <a:ext uri="{FF2B5EF4-FFF2-40B4-BE49-F238E27FC236}">
              <a16:creationId xmlns:a16="http://schemas.microsoft.com/office/drawing/2014/main" id="{68F2E0B6-A47F-436F-93B2-D8C5401A35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8" name="AutoShape 1" descr="Vista previa de toda la pantalla">
          <a:extLst>
            <a:ext uri="{FF2B5EF4-FFF2-40B4-BE49-F238E27FC236}">
              <a16:creationId xmlns:a16="http://schemas.microsoft.com/office/drawing/2014/main" id="{8E6FA3D4-A780-4A55-8A54-97111BD665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19" name="AutoShape 1" descr="Vista previa de toda la pantalla">
          <a:extLst>
            <a:ext uri="{FF2B5EF4-FFF2-40B4-BE49-F238E27FC236}">
              <a16:creationId xmlns:a16="http://schemas.microsoft.com/office/drawing/2014/main" id="{C1386696-6421-4C67-9D89-41426F9DB4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0" name="AutoShape 1" descr="Vista previa de toda la pantalla">
          <a:extLst>
            <a:ext uri="{FF2B5EF4-FFF2-40B4-BE49-F238E27FC236}">
              <a16:creationId xmlns:a16="http://schemas.microsoft.com/office/drawing/2014/main" id="{C26FA3FF-4CAD-4FB1-953E-A00975661E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1" name="AutoShape 1" descr="Vista previa de toda la pantalla">
          <a:extLst>
            <a:ext uri="{FF2B5EF4-FFF2-40B4-BE49-F238E27FC236}">
              <a16:creationId xmlns:a16="http://schemas.microsoft.com/office/drawing/2014/main" id="{C42AC59B-02BE-4D42-B6F6-6A8B05C16E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2" name="AutoShape 1" descr="Vista previa de toda la pantalla">
          <a:extLst>
            <a:ext uri="{FF2B5EF4-FFF2-40B4-BE49-F238E27FC236}">
              <a16:creationId xmlns:a16="http://schemas.microsoft.com/office/drawing/2014/main" id="{EF93ADFE-838D-4377-B2AB-1BA37002A3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3" name="AutoShape 1" descr="Vista previa de toda la pantalla">
          <a:extLst>
            <a:ext uri="{FF2B5EF4-FFF2-40B4-BE49-F238E27FC236}">
              <a16:creationId xmlns:a16="http://schemas.microsoft.com/office/drawing/2014/main" id="{7FBC5C05-67D8-4066-8874-C4360E68D3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4" name="AutoShape 1" descr="Vista previa de toda la pantalla">
          <a:extLst>
            <a:ext uri="{FF2B5EF4-FFF2-40B4-BE49-F238E27FC236}">
              <a16:creationId xmlns:a16="http://schemas.microsoft.com/office/drawing/2014/main" id="{DE6AB453-9C6D-47B3-93DC-C0C58DA576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5" name="AutoShape 1" descr="Vista previa de toda la pantalla">
          <a:extLst>
            <a:ext uri="{FF2B5EF4-FFF2-40B4-BE49-F238E27FC236}">
              <a16:creationId xmlns:a16="http://schemas.microsoft.com/office/drawing/2014/main" id="{BB80791C-A152-409D-A693-09F3197247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6" name="AutoShape 1" descr="Vista previa de toda la pantalla">
          <a:extLst>
            <a:ext uri="{FF2B5EF4-FFF2-40B4-BE49-F238E27FC236}">
              <a16:creationId xmlns:a16="http://schemas.microsoft.com/office/drawing/2014/main" id="{8BB2CFFB-0659-4559-8D56-53DB91C9F0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7" name="AutoShape 1" descr="Vista previa de toda la pantalla">
          <a:extLst>
            <a:ext uri="{FF2B5EF4-FFF2-40B4-BE49-F238E27FC236}">
              <a16:creationId xmlns:a16="http://schemas.microsoft.com/office/drawing/2014/main" id="{0E8E2D58-4DA6-4F33-9633-96EEBE964B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8" name="AutoShape 1" descr="Vista previa de toda la pantalla">
          <a:extLst>
            <a:ext uri="{FF2B5EF4-FFF2-40B4-BE49-F238E27FC236}">
              <a16:creationId xmlns:a16="http://schemas.microsoft.com/office/drawing/2014/main" id="{4E5E4C5B-7859-4F2E-A266-347D711D21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29" name="AutoShape 1" descr="Vista previa de toda la pantalla">
          <a:extLst>
            <a:ext uri="{FF2B5EF4-FFF2-40B4-BE49-F238E27FC236}">
              <a16:creationId xmlns:a16="http://schemas.microsoft.com/office/drawing/2014/main" id="{01583D3C-5581-42D0-8FFC-76E31661DB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0" name="AutoShape 1" descr="Vista previa de toda la pantalla">
          <a:extLst>
            <a:ext uri="{FF2B5EF4-FFF2-40B4-BE49-F238E27FC236}">
              <a16:creationId xmlns:a16="http://schemas.microsoft.com/office/drawing/2014/main" id="{9894AF09-EEC6-4D73-8158-EA068199C0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1" name="AutoShape 1" descr="Vista previa de toda la pantalla">
          <a:extLst>
            <a:ext uri="{FF2B5EF4-FFF2-40B4-BE49-F238E27FC236}">
              <a16:creationId xmlns:a16="http://schemas.microsoft.com/office/drawing/2014/main" id="{987BE610-D62D-4AE5-9F6D-C2719EE886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2" name="AutoShape 1" descr="Vista previa de toda la pantalla">
          <a:extLst>
            <a:ext uri="{FF2B5EF4-FFF2-40B4-BE49-F238E27FC236}">
              <a16:creationId xmlns:a16="http://schemas.microsoft.com/office/drawing/2014/main" id="{02084C19-92AB-444F-BF01-C44C74207E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3" name="AutoShape 1" descr="Vista previa de toda la pantalla">
          <a:extLst>
            <a:ext uri="{FF2B5EF4-FFF2-40B4-BE49-F238E27FC236}">
              <a16:creationId xmlns:a16="http://schemas.microsoft.com/office/drawing/2014/main" id="{AA4A104E-1944-42A2-99F3-2A96629CBB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4" name="AutoShape 1" descr="Vista previa de toda la pantalla">
          <a:extLst>
            <a:ext uri="{FF2B5EF4-FFF2-40B4-BE49-F238E27FC236}">
              <a16:creationId xmlns:a16="http://schemas.microsoft.com/office/drawing/2014/main" id="{0AF20459-3E53-4846-982C-FF975E237C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5" name="AutoShape 1" descr="Vista previa de toda la pantalla">
          <a:extLst>
            <a:ext uri="{FF2B5EF4-FFF2-40B4-BE49-F238E27FC236}">
              <a16:creationId xmlns:a16="http://schemas.microsoft.com/office/drawing/2014/main" id="{84507DB2-27F7-46D4-A3A2-32E57AD9E7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6" name="AutoShape 1" descr="Vista previa de toda la pantalla">
          <a:extLst>
            <a:ext uri="{FF2B5EF4-FFF2-40B4-BE49-F238E27FC236}">
              <a16:creationId xmlns:a16="http://schemas.microsoft.com/office/drawing/2014/main" id="{4824744B-5FBD-44A5-B353-BBF02B6C0C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7" name="AutoShape 1" descr="Vista previa de toda la pantalla">
          <a:extLst>
            <a:ext uri="{FF2B5EF4-FFF2-40B4-BE49-F238E27FC236}">
              <a16:creationId xmlns:a16="http://schemas.microsoft.com/office/drawing/2014/main" id="{AEF541E2-70A9-41BF-B210-1DAB2B208B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8" name="AutoShape 1" descr="Vista previa de toda la pantalla">
          <a:extLst>
            <a:ext uri="{FF2B5EF4-FFF2-40B4-BE49-F238E27FC236}">
              <a16:creationId xmlns:a16="http://schemas.microsoft.com/office/drawing/2014/main" id="{B2FC1CCB-BE9C-43C0-9EE4-7FA5FF89D0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39" name="AutoShape 1" descr="Vista previa de toda la pantalla">
          <a:extLst>
            <a:ext uri="{FF2B5EF4-FFF2-40B4-BE49-F238E27FC236}">
              <a16:creationId xmlns:a16="http://schemas.microsoft.com/office/drawing/2014/main" id="{A7E4CC82-99EC-494D-B796-112237D95C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0" name="AutoShape 1" descr="Vista previa de toda la pantalla">
          <a:extLst>
            <a:ext uri="{FF2B5EF4-FFF2-40B4-BE49-F238E27FC236}">
              <a16:creationId xmlns:a16="http://schemas.microsoft.com/office/drawing/2014/main" id="{416628C4-2B92-43C4-B68C-4D80A23F36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1" name="AutoShape 1" descr="Vista previa de toda la pantalla">
          <a:extLst>
            <a:ext uri="{FF2B5EF4-FFF2-40B4-BE49-F238E27FC236}">
              <a16:creationId xmlns:a16="http://schemas.microsoft.com/office/drawing/2014/main" id="{3B5D4E4D-AE24-4464-A7D2-19FD786145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2" name="AutoShape 1" descr="Vista previa de toda la pantalla">
          <a:extLst>
            <a:ext uri="{FF2B5EF4-FFF2-40B4-BE49-F238E27FC236}">
              <a16:creationId xmlns:a16="http://schemas.microsoft.com/office/drawing/2014/main" id="{CA95C2E0-E9FD-42A8-A76C-441B567D2B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3" name="AutoShape 1" descr="Vista previa de toda la pantalla">
          <a:extLst>
            <a:ext uri="{FF2B5EF4-FFF2-40B4-BE49-F238E27FC236}">
              <a16:creationId xmlns:a16="http://schemas.microsoft.com/office/drawing/2014/main" id="{6590B30D-AA25-4AE8-9668-17F31F7469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4" name="AutoShape 1" descr="Vista previa de toda la pantalla">
          <a:extLst>
            <a:ext uri="{FF2B5EF4-FFF2-40B4-BE49-F238E27FC236}">
              <a16:creationId xmlns:a16="http://schemas.microsoft.com/office/drawing/2014/main" id="{4ECDF82D-2AE9-44C3-97F5-4D44BD4ED7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5" name="AutoShape 1" descr="Vista previa de toda la pantalla">
          <a:extLst>
            <a:ext uri="{FF2B5EF4-FFF2-40B4-BE49-F238E27FC236}">
              <a16:creationId xmlns:a16="http://schemas.microsoft.com/office/drawing/2014/main" id="{6F544F1C-E945-472F-A599-BF57CA5146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6" name="AutoShape 1" descr="Vista previa de toda la pantalla">
          <a:extLst>
            <a:ext uri="{FF2B5EF4-FFF2-40B4-BE49-F238E27FC236}">
              <a16:creationId xmlns:a16="http://schemas.microsoft.com/office/drawing/2014/main" id="{03EE0F8D-BE68-4273-A057-0F1B633953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7" name="AutoShape 1" descr="Vista previa de toda la pantalla">
          <a:extLst>
            <a:ext uri="{FF2B5EF4-FFF2-40B4-BE49-F238E27FC236}">
              <a16:creationId xmlns:a16="http://schemas.microsoft.com/office/drawing/2014/main" id="{4E788BED-B3F6-4681-A64C-4912BBEAFC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8" name="AutoShape 1" descr="Vista previa de toda la pantalla">
          <a:extLst>
            <a:ext uri="{FF2B5EF4-FFF2-40B4-BE49-F238E27FC236}">
              <a16:creationId xmlns:a16="http://schemas.microsoft.com/office/drawing/2014/main" id="{98E60094-CC50-4B69-8C17-1587930EFD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49" name="AutoShape 1" descr="Vista previa de toda la pantalla">
          <a:extLst>
            <a:ext uri="{FF2B5EF4-FFF2-40B4-BE49-F238E27FC236}">
              <a16:creationId xmlns:a16="http://schemas.microsoft.com/office/drawing/2014/main" id="{9A1FC37E-5167-4A3E-A24F-33F121481F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0" name="AutoShape 1" descr="Vista previa de toda la pantalla">
          <a:extLst>
            <a:ext uri="{FF2B5EF4-FFF2-40B4-BE49-F238E27FC236}">
              <a16:creationId xmlns:a16="http://schemas.microsoft.com/office/drawing/2014/main" id="{5A85E056-F608-4384-80C0-6FF9E4AC0A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1" name="AutoShape 1" descr="Vista previa de toda la pantalla">
          <a:extLst>
            <a:ext uri="{FF2B5EF4-FFF2-40B4-BE49-F238E27FC236}">
              <a16:creationId xmlns:a16="http://schemas.microsoft.com/office/drawing/2014/main" id="{66E07646-5452-4C24-B8B4-C9617223F4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2" name="AutoShape 1" descr="Vista previa de toda la pantalla">
          <a:extLst>
            <a:ext uri="{FF2B5EF4-FFF2-40B4-BE49-F238E27FC236}">
              <a16:creationId xmlns:a16="http://schemas.microsoft.com/office/drawing/2014/main" id="{BAD295CE-CA0F-4D00-A9AF-074D2EE34D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3" name="AutoShape 1" descr="Vista previa de toda la pantalla">
          <a:extLst>
            <a:ext uri="{FF2B5EF4-FFF2-40B4-BE49-F238E27FC236}">
              <a16:creationId xmlns:a16="http://schemas.microsoft.com/office/drawing/2014/main" id="{AD4B4802-19E2-402B-978D-C54B3D74FB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4" name="AutoShape 1" descr="Vista previa de toda la pantalla">
          <a:extLst>
            <a:ext uri="{FF2B5EF4-FFF2-40B4-BE49-F238E27FC236}">
              <a16:creationId xmlns:a16="http://schemas.microsoft.com/office/drawing/2014/main" id="{9A8D5D55-B235-4809-B61B-7E0ADF5076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5" name="AutoShape 1" descr="Vista previa de toda la pantalla">
          <a:extLst>
            <a:ext uri="{FF2B5EF4-FFF2-40B4-BE49-F238E27FC236}">
              <a16:creationId xmlns:a16="http://schemas.microsoft.com/office/drawing/2014/main" id="{556E780F-FE66-4F70-982A-C42E680E74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6" name="AutoShape 1" descr="Vista previa de toda la pantalla">
          <a:extLst>
            <a:ext uri="{FF2B5EF4-FFF2-40B4-BE49-F238E27FC236}">
              <a16:creationId xmlns:a16="http://schemas.microsoft.com/office/drawing/2014/main" id="{7BD9F376-53C6-4E28-8D3C-C44BF9D703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7" name="AutoShape 1" descr="Vista previa de toda la pantalla">
          <a:extLst>
            <a:ext uri="{FF2B5EF4-FFF2-40B4-BE49-F238E27FC236}">
              <a16:creationId xmlns:a16="http://schemas.microsoft.com/office/drawing/2014/main" id="{82B04813-D392-480A-925A-07D1611F30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8" name="AutoShape 1" descr="Vista previa de toda la pantalla">
          <a:extLst>
            <a:ext uri="{FF2B5EF4-FFF2-40B4-BE49-F238E27FC236}">
              <a16:creationId xmlns:a16="http://schemas.microsoft.com/office/drawing/2014/main" id="{C0232542-19A1-43EA-AD49-02CA1616B7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59" name="AutoShape 1" descr="Vista previa de toda la pantalla">
          <a:extLst>
            <a:ext uri="{FF2B5EF4-FFF2-40B4-BE49-F238E27FC236}">
              <a16:creationId xmlns:a16="http://schemas.microsoft.com/office/drawing/2014/main" id="{5939D2C5-155D-4ECE-9FB1-1E2F8969A2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0" name="AutoShape 1" descr="Vista previa de toda la pantalla">
          <a:extLst>
            <a:ext uri="{FF2B5EF4-FFF2-40B4-BE49-F238E27FC236}">
              <a16:creationId xmlns:a16="http://schemas.microsoft.com/office/drawing/2014/main" id="{2E40EA3D-6BD6-4441-8B85-D163B3BBB3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1" name="AutoShape 1" descr="Vista previa de toda la pantalla">
          <a:extLst>
            <a:ext uri="{FF2B5EF4-FFF2-40B4-BE49-F238E27FC236}">
              <a16:creationId xmlns:a16="http://schemas.microsoft.com/office/drawing/2014/main" id="{E59F2704-87DB-4922-9C31-74CC218846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2" name="AutoShape 1" descr="Vista previa de toda la pantalla">
          <a:extLst>
            <a:ext uri="{FF2B5EF4-FFF2-40B4-BE49-F238E27FC236}">
              <a16:creationId xmlns:a16="http://schemas.microsoft.com/office/drawing/2014/main" id="{CC48DC3E-2DA7-4F75-8DC3-A7B0295B1F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3" name="AutoShape 1" descr="Vista previa de toda la pantalla">
          <a:extLst>
            <a:ext uri="{FF2B5EF4-FFF2-40B4-BE49-F238E27FC236}">
              <a16:creationId xmlns:a16="http://schemas.microsoft.com/office/drawing/2014/main" id="{2879966A-A2D8-4DD2-9C21-831D9FADE6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4" name="AutoShape 1" descr="Vista previa de toda la pantalla">
          <a:extLst>
            <a:ext uri="{FF2B5EF4-FFF2-40B4-BE49-F238E27FC236}">
              <a16:creationId xmlns:a16="http://schemas.microsoft.com/office/drawing/2014/main" id="{E1CB2D8E-B580-41AD-BAB0-7E79FF774C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5" name="AutoShape 1" descr="Vista previa de toda la pantalla">
          <a:extLst>
            <a:ext uri="{FF2B5EF4-FFF2-40B4-BE49-F238E27FC236}">
              <a16:creationId xmlns:a16="http://schemas.microsoft.com/office/drawing/2014/main" id="{2D9C8016-283A-4379-BDA1-71BB47FEE4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6" name="AutoShape 1" descr="Vista previa de toda la pantalla">
          <a:extLst>
            <a:ext uri="{FF2B5EF4-FFF2-40B4-BE49-F238E27FC236}">
              <a16:creationId xmlns:a16="http://schemas.microsoft.com/office/drawing/2014/main" id="{BAD65901-C11E-42D4-B159-D6E28F1063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7" name="AutoShape 1" descr="Vista previa de toda la pantalla">
          <a:extLst>
            <a:ext uri="{FF2B5EF4-FFF2-40B4-BE49-F238E27FC236}">
              <a16:creationId xmlns:a16="http://schemas.microsoft.com/office/drawing/2014/main" id="{26C0D6AB-F0C0-412B-817D-8961DA47AE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8" name="AutoShape 1" descr="Vista previa de toda la pantalla">
          <a:extLst>
            <a:ext uri="{FF2B5EF4-FFF2-40B4-BE49-F238E27FC236}">
              <a16:creationId xmlns:a16="http://schemas.microsoft.com/office/drawing/2014/main" id="{D6F34746-2E6F-4083-8339-BC0CF23D98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69" name="AutoShape 1" descr="Vista previa de toda la pantalla">
          <a:extLst>
            <a:ext uri="{FF2B5EF4-FFF2-40B4-BE49-F238E27FC236}">
              <a16:creationId xmlns:a16="http://schemas.microsoft.com/office/drawing/2014/main" id="{862328C7-D2CC-43E3-A146-7198396296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0" name="AutoShape 1" descr="Vista previa de toda la pantalla">
          <a:extLst>
            <a:ext uri="{FF2B5EF4-FFF2-40B4-BE49-F238E27FC236}">
              <a16:creationId xmlns:a16="http://schemas.microsoft.com/office/drawing/2014/main" id="{86DE87A8-8754-4E0E-8792-20D64AA2C0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1" name="AutoShape 1" descr="Vista previa de toda la pantalla">
          <a:extLst>
            <a:ext uri="{FF2B5EF4-FFF2-40B4-BE49-F238E27FC236}">
              <a16:creationId xmlns:a16="http://schemas.microsoft.com/office/drawing/2014/main" id="{F637823F-8730-4D11-BB75-6B846AEDE9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2" name="AutoShape 1" descr="Vista previa de toda la pantalla">
          <a:extLst>
            <a:ext uri="{FF2B5EF4-FFF2-40B4-BE49-F238E27FC236}">
              <a16:creationId xmlns:a16="http://schemas.microsoft.com/office/drawing/2014/main" id="{0CBFCE29-239A-4C5B-A1E4-8D3BB5ADAB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3" name="AutoShape 1" descr="Vista previa de toda la pantalla">
          <a:extLst>
            <a:ext uri="{FF2B5EF4-FFF2-40B4-BE49-F238E27FC236}">
              <a16:creationId xmlns:a16="http://schemas.microsoft.com/office/drawing/2014/main" id="{ADD3222C-8C78-433E-8FDD-8305EEAA91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4" name="AutoShape 1" descr="Vista previa de toda la pantalla">
          <a:extLst>
            <a:ext uri="{FF2B5EF4-FFF2-40B4-BE49-F238E27FC236}">
              <a16:creationId xmlns:a16="http://schemas.microsoft.com/office/drawing/2014/main" id="{99863BDA-C6EC-448B-9912-261A9DA93A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5" name="AutoShape 1" descr="Vista previa de toda la pantalla">
          <a:extLst>
            <a:ext uri="{FF2B5EF4-FFF2-40B4-BE49-F238E27FC236}">
              <a16:creationId xmlns:a16="http://schemas.microsoft.com/office/drawing/2014/main" id="{2164F90F-7801-4DF0-80F7-D1892DEAB0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6" name="AutoShape 1" descr="Vista previa de toda la pantalla">
          <a:extLst>
            <a:ext uri="{FF2B5EF4-FFF2-40B4-BE49-F238E27FC236}">
              <a16:creationId xmlns:a16="http://schemas.microsoft.com/office/drawing/2014/main" id="{022911B3-CBEF-45F9-908E-1B66D4FAAA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7" name="AutoShape 1" descr="Vista previa de toda la pantalla">
          <a:extLst>
            <a:ext uri="{FF2B5EF4-FFF2-40B4-BE49-F238E27FC236}">
              <a16:creationId xmlns:a16="http://schemas.microsoft.com/office/drawing/2014/main" id="{A8946039-7357-4079-AEAE-A5FD50B3AC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8" name="AutoShape 1" descr="Vista previa de toda la pantalla">
          <a:extLst>
            <a:ext uri="{FF2B5EF4-FFF2-40B4-BE49-F238E27FC236}">
              <a16:creationId xmlns:a16="http://schemas.microsoft.com/office/drawing/2014/main" id="{51EA3D20-1BFC-494F-8C19-9D9FCFDCB4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79" name="AutoShape 1" descr="Vista previa de toda la pantalla">
          <a:extLst>
            <a:ext uri="{FF2B5EF4-FFF2-40B4-BE49-F238E27FC236}">
              <a16:creationId xmlns:a16="http://schemas.microsoft.com/office/drawing/2014/main" id="{8B24313B-F1F4-41D8-B17C-39E4F64E4F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0" name="AutoShape 1" descr="Vista previa de toda la pantalla">
          <a:extLst>
            <a:ext uri="{FF2B5EF4-FFF2-40B4-BE49-F238E27FC236}">
              <a16:creationId xmlns:a16="http://schemas.microsoft.com/office/drawing/2014/main" id="{84B5D3AA-1C33-40F9-BDAD-909B90447B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1" name="AutoShape 1" descr="Vista previa de toda la pantalla">
          <a:extLst>
            <a:ext uri="{FF2B5EF4-FFF2-40B4-BE49-F238E27FC236}">
              <a16:creationId xmlns:a16="http://schemas.microsoft.com/office/drawing/2014/main" id="{645E49B7-E8EC-40F4-979A-6A52C657FE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2" name="AutoShape 1" descr="Vista previa de toda la pantalla">
          <a:extLst>
            <a:ext uri="{FF2B5EF4-FFF2-40B4-BE49-F238E27FC236}">
              <a16:creationId xmlns:a16="http://schemas.microsoft.com/office/drawing/2014/main" id="{4340E9C4-A057-480D-A8DF-5ADCCF8AA1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3" name="AutoShape 1" descr="Vista previa de toda la pantalla">
          <a:extLst>
            <a:ext uri="{FF2B5EF4-FFF2-40B4-BE49-F238E27FC236}">
              <a16:creationId xmlns:a16="http://schemas.microsoft.com/office/drawing/2014/main" id="{2D2CBE03-4D4E-447B-8DC1-111979B449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4" name="AutoShape 1" descr="Vista previa de toda la pantalla">
          <a:extLst>
            <a:ext uri="{FF2B5EF4-FFF2-40B4-BE49-F238E27FC236}">
              <a16:creationId xmlns:a16="http://schemas.microsoft.com/office/drawing/2014/main" id="{144EC196-93DA-4DB8-9C9E-5F570F7BDB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5" name="AutoShape 1" descr="Vista previa de toda la pantalla">
          <a:extLst>
            <a:ext uri="{FF2B5EF4-FFF2-40B4-BE49-F238E27FC236}">
              <a16:creationId xmlns:a16="http://schemas.microsoft.com/office/drawing/2014/main" id="{2616F91A-7C57-4DF1-A508-38965E86EC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6" name="AutoShape 1" descr="Vista previa de toda la pantalla">
          <a:extLst>
            <a:ext uri="{FF2B5EF4-FFF2-40B4-BE49-F238E27FC236}">
              <a16:creationId xmlns:a16="http://schemas.microsoft.com/office/drawing/2014/main" id="{2ADBAEF0-106D-49BF-941F-DB2E3C5F16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7" name="AutoShape 1" descr="Vista previa de toda la pantalla">
          <a:extLst>
            <a:ext uri="{FF2B5EF4-FFF2-40B4-BE49-F238E27FC236}">
              <a16:creationId xmlns:a16="http://schemas.microsoft.com/office/drawing/2014/main" id="{36210EF7-B4D2-4391-85DC-049D3E0E37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8" name="AutoShape 1" descr="Vista previa de toda la pantalla">
          <a:extLst>
            <a:ext uri="{FF2B5EF4-FFF2-40B4-BE49-F238E27FC236}">
              <a16:creationId xmlns:a16="http://schemas.microsoft.com/office/drawing/2014/main" id="{30E181B8-C7A6-4680-86EB-18CF930136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89" name="AutoShape 1" descr="Vista previa de toda la pantalla">
          <a:extLst>
            <a:ext uri="{FF2B5EF4-FFF2-40B4-BE49-F238E27FC236}">
              <a16:creationId xmlns:a16="http://schemas.microsoft.com/office/drawing/2014/main" id="{EB2F2C1D-77DE-493B-B696-76E5F71540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0" name="AutoShape 1" descr="Vista previa de toda la pantalla">
          <a:extLst>
            <a:ext uri="{FF2B5EF4-FFF2-40B4-BE49-F238E27FC236}">
              <a16:creationId xmlns:a16="http://schemas.microsoft.com/office/drawing/2014/main" id="{25A0BDF1-6467-49A0-B484-DB77BB21C4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1" name="AutoShape 1" descr="Vista previa de toda la pantalla">
          <a:extLst>
            <a:ext uri="{FF2B5EF4-FFF2-40B4-BE49-F238E27FC236}">
              <a16:creationId xmlns:a16="http://schemas.microsoft.com/office/drawing/2014/main" id="{27A8C233-2C86-4187-8058-D9F15B7A74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2" name="AutoShape 1" descr="Vista previa de toda la pantalla">
          <a:extLst>
            <a:ext uri="{FF2B5EF4-FFF2-40B4-BE49-F238E27FC236}">
              <a16:creationId xmlns:a16="http://schemas.microsoft.com/office/drawing/2014/main" id="{EB6C0A6B-B30D-4048-938F-957AE67D95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3" name="AutoShape 1" descr="Vista previa de toda la pantalla">
          <a:extLst>
            <a:ext uri="{FF2B5EF4-FFF2-40B4-BE49-F238E27FC236}">
              <a16:creationId xmlns:a16="http://schemas.microsoft.com/office/drawing/2014/main" id="{A43B0FD5-8CD4-4FDD-85ED-55E7A7F72F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4" name="AutoShape 1" descr="Vista previa de toda la pantalla">
          <a:extLst>
            <a:ext uri="{FF2B5EF4-FFF2-40B4-BE49-F238E27FC236}">
              <a16:creationId xmlns:a16="http://schemas.microsoft.com/office/drawing/2014/main" id="{B2E3055D-7F7F-46F6-8406-CF1998BF05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5" name="AutoShape 1" descr="Vista previa de toda la pantalla">
          <a:extLst>
            <a:ext uri="{FF2B5EF4-FFF2-40B4-BE49-F238E27FC236}">
              <a16:creationId xmlns:a16="http://schemas.microsoft.com/office/drawing/2014/main" id="{5CFAC17F-BD39-42FB-9A3F-D8E025FE19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6" name="AutoShape 1" descr="Vista previa de toda la pantalla">
          <a:extLst>
            <a:ext uri="{FF2B5EF4-FFF2-40B4-BE49-F238E27FC236}">
              <a16:creationId xmlns:a16="http://schemas.microsoft.com/office/drawing/2014/main" id="{B14971C3-4372-48CD-A2A2-F8CE04B522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7" name="AutoShape 1" descr="Vista previa de toda la pantalla">
          <a:extLst>
            <a:ext uri="{FF2B5EF4-FFF2-40B4-BE49-F238E27FC236}">
              <a16:creationId xmlns:a16="http://schemas.microsoft.com/office/drawing/2014/main" id="{D864C893-2AB8-4E17-942B-1D3F8A9E83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8" name="AutoShape 1" descr="Vista previa de toda la pantalla">
          <a:extLst>
            <a:ext uri="{FF2B5EF4-FFF2-40B4-BE49-F238E27FC236}">
              <a16:creationId xmlns:a16="http://schemas.microsoft.com/office/drawing/2014/main" id="{10D66126-4C5E-41C3-9C72-1D0AE8EF23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699" name="AutoShape 1" descr="Vista previa de toda la pantalla">
          <a:extLst>
            <a:ext uri="{FF2B5EF4-FFF2-40B4-BE49-F238E27FC236}">
              <a16:creationId xmlns:a16="http://schemas.microsoft.com/office/drawing/2014/main" id="{14118CA2-AFCF-4191-B29F-936F771549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0" name="AutoShape 1" descr="Vista previa de toda la pantalla">
          <a:extLst>
            <a:ext uri="{FF2B5EF4-FFF2-40B4-BE49-F238E27FC236}">
              <a16:creationId xmlns:a16="http://schemas.microsoft.com/office/drawing/2014/main" id="{1E061DD7-F3CD-4E79-BE4C-188117736A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1" name="AutoShape 1" descr="Vista previa de toda la pantalla">
          <a:extLst>
            <a:ext uri="{FF2B5EF4-FFF2-40B4-BE49-F238E27FC236}">
              <a16:creationId xmlns:a16="http://schemas.microsoft.com/office/drawing/2014/main" id="{59AB7676-15BB-4774-90D2-5A4DED630D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2" name="AutoShape 1" descr="Vista previa de toda la pantalla">
          <a:extLst>
            <a:ext uri="{FF2B5EF4-FFF2-40B4-BE49-F238E27FC236}">
              <a16:creationId xmlns:a16="http://schemas.microsoft.com/office/drawing/2014/main" id="{A09B01F7-0716-4E70-A629-47503E6AAE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3" name="AutoShape 1" descr="Vista previa de toda la pantalla">
          <a:extLst>
            <a:ext uri="{FF2B5EF4-FFF2-40B4-BE49-F238E27FC236}">
              <a16:creationId xmlns:a16="http://schemas.microsoft.com/office/drawing/2014/main" id="{7382D2CD-5FA8-4B58-89C3-AACA4843B7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4" name="AutoShape 1" descr="Vista previa de toda la pantalla">
          <a:extLst>
            <a:ext uri="{FF2B5EF4-FFF2-40B4-BE49-F238E27FC236}">
              <a16:creationId xmlns:a16="http://schemas.microsoft.com/office/drawing/2014/main" id="{EE659EFA-3AB0-4802-92D9-68861FCDFD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5" name="AutoShape 1" descr="Vista previa de toda la pantalla">
          <a:extLst>
            <a:ext uri="{FF2B5EF4-FFF2-40B4-BE49-F238E27FC236}">
              <a16:creationId xmlns:a16="http://schemas.microsoft.com/office/drawing/2014/main" id="{1F85A030-FF60-4ABA-AE12-695765F941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6" name="AutoShape 1" descr="Vista previa de toda la pantalla">
          <a:extLst>
            <a:ext uri="{FF2B5EF4-FFF2-40B4-BE49-F238E27FC236}">
              <a16:creationId xmlns:a16="http://schemas.microsoft.com/office/drawing/2014/main" id="{A3E1FA34-C52B-4D22-9551-BD665AAC53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7" name="AutoShape 1" descr="Vista previa de toda la pantalla">
          <a:extLst>
            <a:ext uri="{FF2B5EF4-FFF2-40B4-BE49-F238E27FC236}">
              <a16:creationId xmlns:a16="http://schemas.microsoft.com/office/drawing/2014/main" id="{7337C8C8-2783-4D9B-94CA-B5AA8A54A8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8" name="AutoShape 1" descr="Vista previa de toda la pantalla">
          <a:extLst>
            <a:ext uri="{FF2B5EF4-FFF2-40B4-BE49-F238E27FC236}">
              <a16:creationId xmlns:a16="http://schemas.microsoft.com/office/drawing/2014/main" id="{6355D4F7-70EF-4D88-B214-FF30A25354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09" name="AutoShape 1" descr="Vista previa de toda la pantalla">
          <a:extLst>
            <a:ext uri="{FF2B5EF4-FFF2-40B4-BE49-F238E27FC236}">
              <a16:creationId xmlns:a16="http://schemas.microsoft.com/office/drawing/2014/main" id="{192CA1DD-ABF0-4030-B0C6-48EAA53F58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10" name="AutoShape 1" descr="Vista previa de toda la pantalla">
          <a:extLst>
            <a:ext uri="{FF2B5EF4-FFF2-40B4-BE49-F238E27FC236}">
              <a16:creationId xmlns:a16="http://schemas.microsoft.com/office/drawing/2014/main" id="{321570CD-B7E8-4131-8F4F-BA468A3B9B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11" name="AutoShape 1" descr="Vista previa de toda la pantalla">
          <a:extLst>
            <a:ext uri="{FF2B5EF4-FFF2-40B4-BE49-F238E27FC236}">
              <a16:creationId xmlns:a16="http://schemas.microsoft.com/office/drawing/2014/main" id="{801D50FB-0302-4079-8F14-E82185B13D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12" name="AutoShape 1" descr="Vista previa de toda la pantalla">
          <a:extLst>
            <a:ext uri="{FF2B5EF4-FFF2-40B4-BE49-F238E27FC236}">
              <a16:creationId xmlns:a16="http://schemas.microsoft.com/office/drawing/2014/main" id="{76B7EB55-B72A-4E05-8ADA-49C63FD7C6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1713" name="AutoShape 1" descr="Vista previa de toda la pantalla">
          <a:extLst>
            <a:ext uri="{FF2B5EF4-FFF2-40B4-BE49-F238E27FC236}">
              <a16:creationId xmlns:a16="http://schemas.microsoft.com/office/drawing/2014/main" id="{F95C4DA9-BE93-4460-8D08-0F9A71CE0FE7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14" name="AutoShape 1" descr="Vista previa de toda la pantalla">
          <a:extLst>
            <a:ext uri="{FF2B5EF4-FFF2-40B4-BE49-F238E27FC236}">
              <a16:creationId xmlns:a16="http://schemas.microsoft.com/office/drawing/2014/main" id="{A3C2868B-3CCE-4950-88B0-1D64CD9FF2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15" name="AutoShape 1" descr="Vista previa de toda la pantalla">
          <a:extLst>
            <a:ext uri="{FF2B5EF4-FFF2-40B4-BE49-F238E27FC236}">
              <a16:creationId xmlns:a16="http://schemas.microsoft.com/office/drawing/2014/main" id="{40023CB3-90D1-4B04-976A-0896EC724C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16" name="AutoShape 1" descr="Vista previa de toda la pantalla">
          <a:extLst>
            <a:ext uri="{FF2B5EF4-FFF2-40B4-BE49-F238E27FC236}">
              <a16:creationId xmlns:a16="http://schemas.microsoft.com/office/drawing/2014/main" id="{1531F16A-DF09-4E05-A590-7DF5B02EA9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17" name="AutoShape 1" descr="Vista previa de toda la pantalla">
          <a:extLst>
            <a:ext uri="{FF2B5EF4-FFF2-40B4-BE49-F238E27FC236}">
              <a16:creationId xmlns:a16="http://schemas.microsoft.com/office/drawing/2014/main" id="{BA202F51-DED7-4A03-B4B1-DFAC780D37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18" name="AutoShape 1" descr="Vista previa de toda la pantalla">
          <a:extLst>
            <a:ext uri="{FF2B5EF4-FFF2-40B4-BE49-F238E27FC236}">
              <a16:creationId xmlns:a16="http://schemas.microsoft.com/office/drawing/2014/main" id="{136FA5D4-0309-4661-A78E-E358A46FB8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19" name="AutoShape 1" descr="Vista previa de toda la pantalla">
          <a:extLst>
            <a:ext uri="{FF2B5EF4-FFF2-40B4-BE49-F238E27FC236}">
              <a16:creationId xmlns:a16="http://schemas.microsoft.com/office/drawing/2014/main" id="{990301E2-E579-4CC1-A6B7-C74FAB0921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0" name="AutoShape 1" descr="Vista previa de toda la pantalla">
          <a:extLst>
            <a:ext uri="{FF2B5EF4-FFF2-40B4-BE49-F238E27FC236}">
              <a16:creationId xmlns:a16="http://schemas.microsoft.com/office/drawing/2014/main" id="{66569F54-1F92-493A-B224-FB2124B48F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1" name="AutoShape 1" descr="Vista previa de toda la pantalla">
          <a:extLst>
            <a:ext uri="{FF2B5EF4-FFF2-40B4-BE49-F238E27FC236}">
              <a16:creationId xmlns:a16="http://schemas.microsoft.com/office/drawing/2014/main" id="{0BFA2EC7-B4E1-4A34-BA16-0FD6601D12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2" name="AutoShape 1" descr="Vista previa de toda la pantalla">
          <a:extLst>
            <a:ext uri="{FF2B5EF4-FFF2-40B4-BE49-F238E27FC236}">
              <a16:creationId xmlns:a16="http://schemas.microsoft.com/office/drawing/2014/main" id="{D1E508A6-48C2-4A54-A1F8-9C6DB28A83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3" name="AutoShape 1" descr="Vista previa de toda la pantalla">
          <a:extLst>
            <a:ext uri="{FF2B5EF4-FFF2-40B4-BE49-F238E27FC236}">
              <a16:creationId xmlns:a16="http://schemas.microsoft.com/office/drawing/2014/main" id="{62C95737-F554-406E-9571-C1080A472F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4" name="AutoShape 1" descr="Vista previa de toda la pantalla">
          <a:extLst>
            <a:ext uri="{FF2B5EF4-FFF2-40B4-BE49-F238E27FC236}">
              <a16:creationId xmlns:a16="http://schemas.microsoft.com/office/drawing/2014/main" id="{1FB88789-AC21-4223-83E9-05E3E59CFB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5" name="AutoShape 1" descr="Vista previa de toda la pantalla">
          <a:extLst>
            <a:ext uri="{FF2B5EF4-FFF2-40B4-BE49-F238E27FC236}">
              <a16:creationId xmlns:a16="http://schemas.microsoft.com/office/drawing/2014/main" id="{F97645B1-1CA5-416A-BC01-B3B21E8635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6" name="AutoShape 1" descr="Vista previa de toda la pantalla">
          <a:extLst>
            <a:ext uri="{FF2B5EF4-FFF2-40B4-BE49-F238E27FC236}">
              <a16:creationId xmlns:a16="http://schemas.microsoft.com/office/drawing/2014/main" id="{4CD925B7-28C0-410A-8DB8-934457AD91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7" name="AutoShape 1" descr="Vista previa de toda la pantalla">
          <a:extLst>
            <a:ext uri="{FF2B5EF4-FFF2-40B4-BE49-F238E27FC236}">
              <a16:creationId xmlns:a16="http://schemas.microsoft.com/office/drawing/2014/main" id="{240CB4CB-F51A-4514-ADE5-E759B88FCA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8" name="AutoShape 1" descr="Vista previa de toda la pantalla">
          <a:extLst>
            <a:ext uri="{FF2B5EF4-FFF2-40B4-BE49-F238E27FC236}">
              <a16:creationId xmlns:a16="http://schemas.microsoft.com/office/drawing/2014/main" id="{EF4F1950-F454-4C3F-B764-0272015A26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29" name="AutoShape 1" descr="Vista previa de toda la pantalla">
          <a:extLst>
            <a:ext uri="{FF2B5EF4-FFF2-40B4-BE49-F238E27FC236}">
              <a16:creationId xmlns:a16="http://schemas.microsoft.com/office/drawing/2014/main" id="{0C44E4C6-9E0D-43DE-8E9F-3E7AC23E55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0" name="AutoShape 1" descr="Vista previa de toda la pantalla">
          <a:extLst>
            <a:ext uri="{FF2B5EF4-FFF2-40B4-BE49-F238E27FC236}">
              <a16:creationId xmlns:a16="http://schemas.microsoft.com/office/drawing/2014/main" id="{8269B478-619A-4BFD-8F70-3F629DC34E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1" name="AutoShape 1" descr="Vista previa de toda la pantalla">
          <a:extLst>
            <a:ext uri="{FF2B5EF4-FFF2-40B4-BE49-F238E27FC236}">
              <a16:creationId xmlns:a16="http://schemas.microsoft.com/office/drawing/2014/main" id="{D03A4846-DE4C-45CC-9560-7A38B65756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2" name="AutoShape 1" descr="Vista previa de toda la pantalla">
          <a:extLst>
            <a:ext uri="{FF2B5EF4-FFF2-40B4-BE49-F238E27FC236}">
              <a16:creationId xmlns:a16="http://schemas.microsoft.com/office/drawing/2014/main" id="{67F68B99-2BAE-46F9-958C-6401E2EB82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3" name="AutoShape 1" descr="Vista previa de toda la pantalla">
          <a:extLst>
            <a:ext uri="{FF2B5EF4-FFF2-40B4-BE49-F238E27FC236}">
              <a16:creationId xmlns:a16="http://schemas.microsoft.com/office/drawing/2014/main" id="{F6AA84EA-9C7B-44A6-8146-C93205F10E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4" name="AutoShape 1" descr="Vista previa de toda la pantalla">
          <a:extLst>
            <a:ext uri="{FF2B5EF4-FFF2-40B4-BE49-F238E27FC236}">
              <a16:creationId xmlns:a16="http://schemas.microsoft.com/office/drawing/2014/main" id="{4770BF1B-B54C-41DC-A92E-F7546B05E7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5" name="AutoShape 1" descr="Vista previa de toda la pantalla">
          <a:extLst>
            <a:ext uri="{FF2B5EF4-FFF2-40B4-BE49-F238E27FC236}">
              <a16:creationId xmlns:a16="http://schemas.microsoft.com/office/drawing/2014/main" id="{D3AFDF6C-17B9-44F3-991D-0605D79573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6" name="AutoShape 1" descr="Vista previa de toda la pantalla">
          <a:extLst>
            <a:ext uri="{FF2B5EF4-FFF2-40B4-BE49-F238E27FC236}">
              <a16:creationId xmlns:a16="http://schemas.microsoft.com/office/drawing/2014/main" id="{A078AAEC-4BCF-4EEF-8B8C-55E314296D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7" name="AutoShape 1" descr="Vista previa de toda la pantalla">
          <a:extLst>
            <a:ext uri="{FF2B5EF4-FFF2-40B4-BE49-F238E27FC236}">
              <a16:creationId xmlns:a16="http://schemas.microsoft.com/office/drawing/2014/main" id="{E35C493B-D3E1-4F41-B1F1-CBAB9263AE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8" name="AutoShape 1" descr="Vista previa de toda la pantalla">
          <a:extLst>
            <a:ext uri="{FF2B5EF4-FFF2-40B4-BE49-F238E27FC236}">
              <a16:creationId xmlns:a16="http://schemas.microsoft.com/office/drawing/2014/main" id="{761DD130-59E6-4291-A570-8694F68CEB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39" name="AutoShape 1" descr="Vista previa de toda la pantalla">
          <a:extLst>
            <a:ext uri="{FF2B5EF4-FFF2-40B4-BE49-F238E27FC236}">
              <a16:creationId xmlns:a16="http://schemas.microsoft.com/office/drawing/2014/main" id="{829B5FC6-4412-4FF6-A8F6-09EB5E8F43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0" name="AutoShape 1" descr="Vista previa de toda la pantalla">
          <a:extLst>
            <a:ext uri="{FF2B5EF4-FFF2-40B4-BE49-F238E27FC236}">
              <a16:creationId xmlns:a16="http://schemas.microsoft.com/office/drawing/2014/main" id="{0A3E690B-D367-410C-AC38-114A8DB2FD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1" name="AutoShape 1" descr="Vista previa de toda la pantalla">
          <a:extLst>
            <a:ext uri="{FF2B5EF4-FFF2-40B4-BE49-F238E27FC236}">
              <a16:creationId xmlns:a16="http://schemas.microsoft.com/office/drawing/2014/main" id="{6926E96E-6961-477E-AB64-BEF93AE380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2" name="AutoShape 1" descr="Vista previa de toda la pantalla">
          <a:extLst>
            <a:ext uri="{FF2B5EF4-FFF2-40B4-BE49-F238E27FC236}">
              <a16:creationId xmlns:a16="http://schemas.microsoft.com/office/drawing/2014/main" id="{3E1E0758-703C-412B-B2E3-DD13CB4FD8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3" name="AutoShape 1" descr="Vista previa de toda la pantalla">
          <a:extLst>
            <a:ext uri="{FF2B5EF4-FFF2-40B4-BE49-F238E27FC236}">
              <a16:creationId xmlns:a16="http://schemas.microsoft.com/office/drawing/2014/main" id="{6DFA62CB-15C5-4A04-ADBE-7833596064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4" name="AutoShape 1" descr="Vista previa de toda la pantalla">
          <a:extLst>
            <a:ext uri="{FF2B5EF4-FFF2-40B4-BE49-F238E27FC236}">
              <a16:creationId xmlns:a16="http://schemas.microsoft.com/office/drawing/2014/main" id="{531DA34E-9674-4EFD-BDE9-0219F5B282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5" name="AutoShape 1" descr="Vista previa de toda la pantalla">
          <a:extLst>
            <a:ext uri="{FF2B5EF4-FFF2-40B4-BE49-F238E27FC236}">
              <a16:creationId xmlns:a16="http://schemas.microsoft.com/office/drawing/2014/main" id="{3755ED39-8A24-481F-8EF5-AFB4F58048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6" name="AutoShape 1" descr="Vista previa de toda la pantalla">
          <a:extLst>
            <a:ext uri="{FF2B5EF4-FFF2-40B4-BE49-F238E27FC236}">
              <a16:creationId xmlns:a16="http://schemas.microsoft.com/office/drawing/2014/main" id="{1CDF828B-D36C-43AE-BDB8-4F278AF376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7" name="AutoShape 1" descr="Vista previa de toda la pantalla">
          <a:extLst>
            <a:ext uri="{FF2B5EF4-FFF2-40B4-BE49-F238E27FC236}">
              <a16:creationId xmlns:a16="http://schemas.microsoft.com/office/drawing/2014/main" id="{1ACD4D13-8830-43F1-9720-C77220D35A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8" name="AutoShape 1" descr="Vista previa de toda la pantalla">
          <a:extLst>
            <a:ext uri="{FF2B5EF4-FFF2-40B4-BE49-F238E27FC236}">
              <a16:creationId xmlns:a16="http://schemas.microsoft.com/office/drawing/2014/main" id="{30AADBEE-7F74-4432-9CE2-511B39674C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49" name="AutoShape 1" descr="Vista previa de toda la pantalla">
          <a:extLst>
            <a:ext uri="{FF2B5EF4-FFF2-40B4-BE49-F238E27FC236}">
              <a16:creationId xmlns:a16="http://schemas.microsoft.com/office/drawing/2014/main" id="{5D211D69-3778-4306-8AC5-20B9298E3F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0" name="AutoShape 1" descr="Vista previa de toda la pantalla">
          <a:extLst>
            <a:ext uri="{FF2B5EF4-FFF2-40B4-BE49-F238E27FC236}">
              <a16:creationId xmlns:a16="http://schemas.microsoft.com/office/drawing/2014/main" id="{B93BB62B-634F-4BD4-AA8C-49B17CD08B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1" name="AutoShape 1" descr="Vista previa de toda la pantalla">
          <a:extLst>
            <a:ext uri="{FF2B5EF4-FFF2-40B4-BE49-F238E27FC236}">
              <a16:creationId xmlns:a16="http://schemas.microsoft.com/office/drawing/2014/main" id="{24002AB1-ACD9-4D70-9CC2-BD2EAB9F08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2" name="AutoShape 1" descr="Vista previa de toda la pantalla">
          <a:extLst>
            <a:ext uri="{FF2B5EF4-FFF2-40B4-BE49-F238E27FC236}">
              <a16:creationId xmlns:a16="http://schemas.microsoft.com/office/drawing/2014/main" id="{591FBF7D-CA46-484E-9BF9-BBA80C3B0A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3" name="AutoShape 1" descr="Vista previa de toda la pantalla">
          <a:extLst>
            <a:ext uri="{FF2B5EF4-FFF2-40B4-BE49-F238E27FC236}">
              <a16:creationId xmlns:a16="http://schemas.microsoft.com/office/drawing/2014/main" id="{C52F4D9C-674A-4292-A0CE-018B9171BB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4" name="AutoShape 1" descr="Vista previa de toda la pantalla">
          <a:extLst>
            <a:ext uri="{FF2B5EF4-FFF2-40B4-BE49-F238E27FC236}">
              <a16:creationId xmlns:a16="http://schemas.microsoft.com/office/drawing/2014/main" id="{1520E463-35F7-4565-BA9F-43A5FE3999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5" name="AutoShape 1" descr="Vista previa de toda la pantalla">
          <a:extLst>
            <a:ext uri="{FF2B5EF4-FFF2-40B4-BE49-F238E27FC236}">
              <a16:creationId xmlns:a16="http://schemas.microsoft.com/office/drawing/2014/main" id="{42BAB7FA-3A54-4C6E-8947-96604C3FB2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6" name="AutoShape 1" descr="Vista previa de toda la pantalla">
          <a:extLst>
            <a:ext uri="{FF2B5EF4-FFF2-40B4-BE49-F238E27FC236}">
              <a16:creationId xmlns:a16="http://schemas.microsoft.com/office/drawing/2014/main" id="{D76888F9-8D0C-42DF-96F1-4C1F0FEC87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7" name="AutoShape 1" descr="Vista previa de toda la pantalla">
          <a:extLst>
            <a:ext uri="{FF2B5EF4-FFF2-40B4-BE49-F238E27FC236}">
              <a16:creationId xmlns:a16="http://schemas.microsoft.com/office/drawing/2014/main" id="{FA557431-3A89-44F1-B7B3-D448403072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8" name="AutoShape 1" descr="Vista previa de toda la pantalla">
          <a:extLst>
            <a:ext uri="{FF2B5EF4-FFF2-40B4-BE49-F238E27FC236}">
              <a16:creationId xmlns:a16="http://schemas.microsoft.com/office/drawing/2014/main" id="{E8CD5DEE-DE65-4854-BC8B-1DC6055819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59" name="AutoShape 1" descr="Vista previa de toda la pantalla">
          <a:extLst>
            <a:ext uri="{FF2B5EF4-FFF2-40B4-BE49-F238E27FC236}">
              <a16:creationId xmlns:a16="http://schemas.microsoft.com/office/drawing/2014/main" id="{5865EA1B-CF8F-43E0-97A6-FE532B05EA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0" name="AutoShape 1" descr="Vista previa de toda la pantalla">
          <a:extLst>
            <a:ext uri="{FF2B5EF4-FFF2-40B4-BE49-F238E27FC236}">
              <a16:creationId xmlns:a16="http://schemas.microsoft.com/office/drawing/2014/main" id="{8ABFA854-3BA8-4CAF-B131-648A214955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1" name="AutoShape 1" descr="Vista previa de toda la pantalla">
          <a:extLst>
            <a:ext uri="{FF2B5EF4-FFF2-40B4-BE49-F238E27FC236}">
              <a16:creationId xmlns:a16="http://schemas.microsoft.com/office/drawing/2014/main" id="{0D6C3C10-08E5-496C-840C-60D372FD45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2" name="AutoShape 1" descr="Vista previa de toda la pantalla">
          <a:extLst>
            <a:ext uri="{FF2B5EF4-FFF2-40B4-BE49-F238E27FC236}">
              <a16:creationId xmlns:a16="http://schemas.microsoft.com/office/drawing/2014/main" id="{08B3C323-ECF8-45A8-B549-7155CAF4A6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3" name="AutoShape 1" descr="Vista previa de toda la pantalla">
          <a:extLst>
            <a:ext uri="{FF2B5EF4-FFF2-40B4-BE49-F238E27FC236}">
              <a16:creationId xmlns:a16="http://schemas.microsoft.com/office/drawing/2014/main" id="{D5FDE884-D318-4E7F-85AE-9F859F0E10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4" name="AutoShape 1" descr="Vista previa de toda la pantalla">
          <a:extLst>
            <a:ext uri="{FF2B5EF4-FFF2-40B4-BE49-F238E27FC236}">
              <a16:creationId xmlns:a16="http://schemas.microsoft.com/office/drawing/2014/main" id="{76741624-C6F4-464C-A574-C3D362DF74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5" name="AutoShape 1" descr="Vista previa de toda la pantalla">
          <a:extLst>
            <a:ext uri="{FF2B5EF4-FFF2-40B4-BE49-F238E27FC236}">
              <a16:creationId xmlns:a16="http://schemas.microsoft.com/office/drawing/2014/main" id="{D5417C05-DA98-46D9-B3DB-719692C3CC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6" name="AutoShape 1" descr="Vista previa de toda la pantalla">
          <a:extLst>
            <a:ext uri="{FF2B5EF4-FFF2-40B4-BE49-F238E27FC236}">
              <a16:creationId xmlns:a16="http://schemas.microsoft.com/office/drawing/2014/main" id="{AC749303-866C-496C-9E31-5D5928821B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7" name="AutoShape 1" descr="Vista previa de toda la pantalla">
          <a:extLst>
            <a:ext uri="{FF2B5EF4-FFF2-40B4-BE49-F238E27FC236}">
              <a16:creationId xmlns:a16="http://schemas.microsoft.com/office/drawing/2014/main" id="{E82D10BA-4270-4728-B863-033954EA59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8" name="AutoShape 1" descr="Vista previa de toda la pantalla">
          <a:extLst>
            <a:ext uri="{FF2B5EF4-FFF2-40B4-BE49-F238E27FC236}">
              <a16:creationId xmlns:a16="http://schemas.microsoft.com/office/drawing/2014/main" id="{A3893750-CF47-49C8-B46A-26DCA8C323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69" name="AutoShape 1" descr="Vista previa de toda la pantalla">
          <a:extLst>
            <a:ext uri="{FF2B5EF4-FFF2-40B4-BE49-F238E27FC236}">
              <a16:creationId xmlns:a16="http://schemas.microsoft.com/office/drawing/2014/main" id="{5BEA1384-D24C-4322-B76F-64BD48F5BA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0" name="AutoShape 1" descr="Vista previa de toda la pantalla">
          <a:extLst>
            <a:ext uri="{FF2B5EF4-FFF2-40B4-BE49-F238E27FC236}">
              <a16:creationId xmlns:a16="http://schemas.microsoft.com/office/drawing/2014/main" id="{5C5C00A8-0BCD-4F39-85DF-7C8D1D7EC4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1" name="AutoShape 1" descr="Vista previa de toda la pantalla">
          <a:extLst>
            <a:ext uri="{FF2B5EF4-FFF2-40B4-BE49-F238E27FC236}">
              <a16:creationId xmlns:a16="http://schemas.microsoft.com/office/drawing/2014/main" id="{F983734A-6626-4219-999C-8D5F5D088B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2" name="AutoShape 1" descr="Vista previa de toda la pantalla">
          <a:extLst>
            <a:ext uri="{FF2B5EF4-FFF2-40B4-BE49-F238E27FC236}">
              <a16:creationId xmlns:a16="http://schemas.microsoft.com/office/drawing/2014/main" id="{5F23D00A-3D69-4B4A-877E-AE0F3FDBF0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3" name="AutoShape 1" descr="Vista previa de toda la pantalla">
          <a:extLst>
            <a:ext uri="{FF2B5EF4-FFF2-40B4-BE49-F238E27FC236}">
              <a16:creationId xmlns:a16="http://schemas.microsoft.com/office/drawing/2014/main" id="{7D29B349-BF6D-46AE-B2B2-1C8F952CD3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4" name="AutoShape 1" descr="Vista previa de toda la pantalla">
          <a:extLst>
            <a:ext uri="{FF2B5EF4-FFF2-40B4-BE49-F238E27FC236}">
              <a16:creationId xmlns:a16="http://schemas.microsoft.com/office/drawing/2014/main" id="{ACA5C90E-392D-4D7B-B978-D2C59F3543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5" name="AutoShape 1" descr="Vista previa de toda la pantalla">
          <a:extLst>
            <a:ext uri="{FF2B5EF4-FFF2-40B4-BE49-F238E27FC236}">
              <a16:creationId xmlns:a16="http://schemas.microsoft.com/office/drawing/2014/main" id="{DC09F784-8734-40E1-833F-D4158BEC3D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6" name="AutoShape 1" descr="Vista previa de toda la pantalla">
          <a:extLst>
            <a:ext uri="{FF2B5EF4-FFF2-40B4-BE49-F238E27FC236}">
              <a16:creationId xmlns:a16="http://schemas.microsoft.com/office/drawing/2014/main" id="{87A4E6F4-4586-4C69-9B18-555739D5FE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7" name="AutoShape 1" descr="Vista previa de toda la pantalla">
          <a:extLst>
            <a:ext uri="{FF2B5EF4-FFF2-40B4-BE49-F238E27FC236}">
              <a16:creationId xmlns:a16="http://schemas.microsoft.com/office/drawing/2014/main" id="{52B304A7-998B-4DBB-AC2F-39433A67D0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8" name="AutoShape 1" descr="Vista previa de toda la pantalla">
          <a:extLst>
            <a:ext uri="{FF2B5EF4-FFF2-40B4-BE49-F238E27FC236}">
              <a16:creationId xmlns:a16="http://schemas.microsoft.com/office/drawing/2014/main" id="{ADC81552-8EBE-4B7A-B9EA-94CD6AE511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79" name="AutoShape 1" descr="Vista previa de toda la pantalla">
          <a:extLst>
            <a:ext uri="{FF2B5EF4-FFF2-40B4-BE49-F238E27FC236}">
              <a16:creationId xmlns:a16="http://schemas.microsoft.com/office/drawing/2014/main" id="{4ED0F9B7-73F3-471F-B076-E44951FA56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0" name="AutoShape 1" descr="Vista previa de toda la pantalla">
          <a:extLst>
            <a:ext uri="{FF2B5EF4-FFF2-40B4-BE49-F238E27FC236}">
              <a16:creationId xmlns:a16="http://schemas.microsoft.com/office/drawing/2014/main" id="{F1BC160F-8434-418F-BC54-FDB17E7A4A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1" name="AutoShape 1" descr="Vista previa de toda la pantalla">
          <a:extLst>
            <a:ext uri="{FF2B5EF4-FFF2-40B4-BE49-F238E27FC236}">
              <a16:creationId xmlns:a16="http://schemas.microsoft.com/office/drawing/2014/main" id="{47B3A234-5D8D-4896-808C-010F8879B9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2" name="AutoShape 1" descr="Vista previa de toda la pantalla">
          <a:extLst>
            <a:ext uri="{FF2B5EF4-FFF2-40B4-BE49-F238E27FC236}">
              <a16:creationId xmlns:a16="http://schemas.microsoft.com/office/drawing/2014/main" id="{6F177E4C-7405-4672-8A5C-4BEE8C58E4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3" name="AutoShape 1" descr="Vista previa de toda la pantalla">
          <a:extLst>
            <a:ext uri="{FF2B5EF4-FFF2-40B4-BE49-F238E27FC236}">
              <a16:creationId xmlns:a16="http://schemas.microsoft.com/office/drawing/2014/main" id="{7B4657CF-DFB9-4672-A732-F5EFBBA937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4" name="AutoShape 1" descr="Vista previa de toda la pantalla">
          <a:extLst>
            <a:ext uri="{FF2B5EF4-FFF2-40B4-BE49-F238E27FC236}">
              <a16:creationId xmlns:a16="http://schemas.microsoft.com/office/drawing/2014/main" id="{C20ADA91-05AE-40E0-BDA7-31600235EF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5" name="AutoShape 1" descr="Vista previa de toda la pantalla">
          <a:extLst>
            <a:ext uri="{FF2B5EF4-FFF2-40B4-BE49-F238E27FC236}">
              <a16:creationId xmlns:a16="http://schemas.microsoft.com/office/drawing/2014/main" id="{AF7E104E-8EBC-4CB9-8AC6-29E607F51B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6" name="AutoShape 1" descr="Vista previa de toda la pantalla">
          <a:extLst>
            <a:ext uri="{FF2B5EF4-FFF2-40B4-BE49-F238E27FC236}">
              <a16:creationId xmlns:a16="http://schemas.microsoft.com/office/drawing/2014/main" id="{6D149FED-03C0-466D-B18E-53155ABD8B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7" name="AutoShape 1" descr="Vista previa de toda la pantalla">
          <a:extLst>
            <a:ext uri="{FF2B5EF4-FFF2-40B4-BE49-F238E27FC236}">
              <a16:creationId xmlns:a16="http://schemas.microsoft.com/office/drawing/2014/main" id="{E8A76764-069D-41DA-BB59-FF5965F16D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8" name="AutoShape 1" descr="Vista previa de toda la pantalla">
          <a:extLst>
            <a:ext uri="{FF2B5EF4-FFF2-40B4-BE49-F238E27FC236}">
              <a16:creationId xmlns:a16="http://schemas.microsoft.com/office/drawing/2014/main" id="{CD2C8DEC-EE85-42AA-9F71-BD290151B5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89" name="AutoShape 1" descr="Vista previa de toda la pantalla">
          <a:extLst>
            <a:ext uri="{FF2B5EF4-FFF2-40B4-BE49-F238E27FC236}">
              <a16:creationId xmlns:a16="http://schemas.microsoft.com/office/drawing/2014/main" id="{DD8CB8F8-13DD-4BF4-B532-FD7186B675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0" name="AutoShape 1" descr="Vista previa de toda la pantalla">
          <a:extLst>
            <a:ext uri="{FF2B5EF4-FFF2-40B4-BE49-F238E27FC236}">
              <a16:creationId xmlns:a16="http://schemas.microsoft.com/office/drawing/2014/main" id="{722D46DB-8613-476D-B1F1-693628F5C5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1" name="AutoShape 1" descr="Vista previa de toda la pantalla">
          <a:extLst>
            <a:ext uri="{FF2B5EF4-FFF2-40B4-BE49-F238E27FC236}">
              <a16:creationId xmlns:a16="http://schemas.microsoft.com/office/drawing/2014/main" id="{062E3968-34B6-4FB7-AAE4-F506E5F537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2" name="AutoShape 1" descr="Vista previa de toda la pantalla">
          <a:extLst>
            <a:ext uri="{FF2B5EF4-FFF2-40B4-BE49-F238E27FC236}">
              <a16:creationId xmlns:a16="http://schemas.microsoft.com/office/drawing/2014/main" id="{42E7ABF6-F319-4B18-B2A7-373CD8A550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3" name="AutoShape 1" descr="Vista previa de toda la pantalla">
          <a:extLst>
            <a:ext uri="{FF2B5EF4-FFF2-40B4-BE49-F238E27FC236}">
              <a16:creationId xmlns:a16="http://schemas.microsoft.com/office/drawing/2014/main" id="{9AD65A8B-3655-44B3-ABD5-15EC8C2DAB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4" name="AutoShape 1" descr="Vista previa de toda la pantalla">
          <a:extLst>
            <a:ext uri="{FF2B5EF4-FFF2-40B4-BE49-F238E27FC236}">
              <a16:creationId xmlns:a16="http://schemas.microsoft.com/office/drawing/2014/main" id="{559D44A5-6AD9-4970-A4C1-F906E295A5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5" name="AutoShape 1" descr="Vista previa de toda la pantalla">
          <a:extLst>
            <a:ext uri="{FF2B5EF4-FFF2-40B4-BE49-F238E27FC236}">
              <a16:creationId xmlns:a16="http://schemas.microsoft.com/office/drawing/2014/main" id="{57A83296-EA5F-415D-A87C-7EDBF08ADF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6" name="AutoShape 1" descr="Vista previa de toda la pantalla">
          <a:extLst>
            <a:ext uri="{FF2B5EF4-FFF2-40B4-BE49-F238E27FC236}">
              <a16:creationId xmlns:a16="http://schemas.microsoft.com/office/drawing/2014/main" id="{A5435AF5-52E0-403B-B7A5-08BFEB95FD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7" name="AutoShape 1" descr="Vista previa de toda la pantalla">
          <a:extLst>
            <a:ext uri="{FF2B5EF4-FFF2-40B4-BE49-F238E27FC236}">
              <a16:creationId xmlns:a16="http://schemas.microsoft.com/office/drawing/2014/main" id="{B8482016-7DFF-4CB6-9132-A32C27BC6E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8" name="AutoShape 1" descr="Vista previa de toda la pantalla">
          <a:extLst>
            <a:ext uri="{FF2B5EF4-FFF2-40B4-BE49-F238E27FC236}">
              <a16:creationId xmlns:a16="http://schemas.microsoft.com/office/drawing/2014/main" id="{99EA8755-4FF1-4D5E-8D3F-A89CE59FC4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799" name="AutoShape 1" descr="Vista previa de toda la pantalla">
          <a:extLst>
            <a:ext uri="{FF2B5EF4-FFF2-40B4-BE49-F238E27FC236}">
              <a16:creationId xmlns:a16="http://schemas.microsoft.com/office/drawing/2014/main" id="{250E5EA0-7398-403D-A0C5-789788A329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0" name="AutoShape 1" descr="Vista previa de toda la pantalla">
          <a:extLst>
            <a:ext uri="{FF2B5EF4-FFF2-40B4-BE49-F238E27FC236}">
              <a16:creationId xmlns:a16="http://schemas.microsoft.com/office/drawing/2014/main" id="{5D336FEF-036E-493B-A6CE-851B527704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1" name="AutoShape 1" descr="Vista previa de toda la pantalla">
          <a:extLst>
            <a:ext uri="{FF2B5EF4-FFF2-40B4-BE49-F238E27FC236}">
              <a16:creationId xmlns:a16="http://schemas.microsoft.com/office/drawing/2014/main" id="{A48F5CCE-BBE7-4151-96F9-B83B3B67AC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2" name="AutoShape 1" descr="Vista previa de toda la pantalla">
          <a:extLst>
            <a:ext uri="{FF2B5EF4-FFF2-40B4-BE49-F238E27FC236}">
              <a16:creationId xmlns:a16="http://schemas.microsoft.com/office/drawing/2014/main" id="{14E670DE-4759-4F1C-9419-C1CF459E1A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3" name="AutoShape 1" descr="Vista previa de toda la pantalla">
          <a:extLst>
            <a:ext uri="{FF2B5EF4-FFF2-40B4-BE49-F238E27FC236}">
              <a16:creationId xmlns:a16="http://schemas.microsoft.com/office/drawing/2014/main" id="{3B197F35-5654-45CC-9BB6-8A994DE241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4" name="AutoShape 1" descr="Vista previa de toda la pantalla">
          <a:extLst>
            <a:ext uri="{FF2B5EF4-FFF2-40B4-BE49-F238E27FC236}">
              <a16:creationId xmlns:a16="http://schemas.microsoft.com/office/drawing/2014/main" id="{A6DED830-68EC-4B31-914C-74360BA15E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5" name="AutoShape 1" descr="Vista previa de toda la pantalla">
          <a:extLst>
            <a:ext uri="{FF2B5EF4-FFF2-40B4-BE49-F238E27FC236}">
              <a16:creationId xmlns:a16="http://schemas.microsoft.com/office/drawing/2014/main" id="{8AD50CBD-BADE-452B-9BDD-9E5CB83680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6" name="AutoShape 1" descr="Vista previa de toda la pantalla">
          <a:extLst>
            <a:ext uri="{FF2B5EF4-FFF2-40B4-BE49-F238E27FC236}">
              <a16:creationId xmlns:a16="http://schemas.microsoft.com/office/drawing/2014/main" id="{A057B4BE-4985-42EB-B8E2-B84621EA3B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7" name="AutoShape 1" descr="Vista previa de toda la pantalla">
          <a:extLst>
            <a:ext uri="{FF2B5EF4-FFF2-40B4-BE49-F238E27FC236}">
              <a16:creationId xmlns:a16="http://schemas.microsoft.com/office/drawing/2014/main" id="{3A6F946A-7387-4655-93B5-7A01507CA4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8" name="AutoShape 1" descr="Vista previa de toda la pantalla">
          <a:extLst>
            <a:ext uri="{FF2B5EF4-FFF2-40B4-BE49-F238E27FC236}">
              <a16:creationId xmlns:a16="http://schemas.microsoft.com/office/drawing/2014/main" id="{021A40EF-9DDF-4023-8EFA-D1AE0ADC57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09" name="AutoShape 1" descr="Vista previa de toda la pantalla">
          <a:extLst>
            <a:ext uri="{FF2B5EF4-FFF2-40B4-BE49-F238E27FC236}">
              <a16:creationId xmlns:a16="http://schemas.microsoft.com/office/drawing/2014/main" id="{ADA74799-6469-4AB8-8530-77226FAFCA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0" name="AutoShape 1" descr="Vista previa de toda la pantalla">
          <a:extLst>
            <a:ext uri="{FF2B5EF4-FFF2-40B4-BE49-F238E27FC236}">
              <a16:creationId xmlns:a16="http://schemas.microsoft.com/office/drawing/2014/main" id="{002BCC53-10F4-4C05-AA65-F7CF18C731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1" name="AutoShape 1" descr="Vista previa de toda la pantalla">
          <a:extLst>
            <a:ext uri="{FF2B5EF4-FFF2-40B4-BE49-F238E27FC236}">
              <a16:creationId xmlns:a16="http://schemas.microsoft.com/office/drawing/2014/main" id="{98B7437C-527C-46AF-A141-65D2BA188C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2" name="AutoShape 1" descr="Vista previa de toda la pantalla">
          <a:extLst>
            <a:ext uri="{FF2B5EF4-FFF2-40B4-BE49-F238E27FC236}">
              <a16:creationId xmlns:a16="http://schemas.microsoft.com/office/drawing/2014/main" id="{0E8979A4-D002-4617-BFED-BE821054C3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3" name="AutoShape 1" descr="Vista previa de toda la pantalla">
          <a:extLst>
            <a:ext uri="{FF2B5EF4-FFF2-40B4-BE49-F238E27FC236}">
              <a16:creationId xmlns:a16="http://schemas.microsoft.com/office/drawing/2014/main" id="{D3F3D651-60A0-48B2-AC36-3B205596CC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4" name="AutoShape 1" descr="Vista previa de toda la pantalla">
          <a:extLst>
            <a:ext uri="{FF2B5EF4-FFF2-40B4-BE49-F238E27FC236}">
              <a16:creationId xmlns:a16="http://schemas.microsoft.com/office/drawing/2014/main" id="{648239BC-8AC1-4F00-85D8-8E1F37CF07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5" name="AutoShape 1" descr="Vista previa de toda la pantalla">
          <a:extLst>
            <a:ext uri="{FF2B5EF4-FFF2-40B4-BE49-F238E27FC236}">
              <a16:creationId xmlns:a16="http://schemas.microsoft.com/office/drawing/2014/main" id="{B3320084-0DE6-4CD5-9E6D-34AFE07F96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6" name="AutoShape 1" descr="Vista previa de toda la pantalla">
          <a:extLst>
            <a:ext uri="{FF2B5EF4-FFF2-40B4-BE49-F238E27FC236}">
              <a16:creationId xmlns:a16="http://schemas.microsoft.com/office/drawing/2014/main" id="{BFE0A236-E0C4-43B0-92D9-59F6BA23D2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7" name="AutoShape 1" descr="Vista previa de toda la pantalla">
          <a:extLst>
            <a:ext uri="{FF2B5EF4-FFF2-40B4-BE49-F238E27FC236}">
              <a16:creationId xmlns:a16="http://schemas.microsoft.com/office/drawing/2014/main" id="{5853C784-602C-490A-9D3A-32DAE06441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8" name="AutoShape 1" descr="Vista previa de toda la pantalla">
          <a:extLst>
            <a:ext uri="{FF2B5EF4-FFF2-40B4-BE49-F238E27FC236}">
              <a16:creationId xmlns:a16="http://schemas.microsoft.com/office/drawing/2014/main" id="{5234FB34-100A-4F24-A02E-2FA5A0CEE2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19" name="AutoShape 1" descr="Vista previa de toda la pantalla">
          <a:extLst>
            <a:ext uri="{FF2B5EF4-FFF2-40B4-BE49-F238E27FC236}">
              <a16:creationId xmlns:a16="http://schemas.microsoft.com/office/drawing/2014/main" id="{48CD5144-1301-4394-A65F-259C9D7807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0" name="AutoShape 1" descr="Vista previa de toda la pantalla">
          <a:extLst>
            <a:ext uri="{FF2B5EF4-FFF2-40B4-BE49-F238E27FC236}">
              <a16:creationId xmlns:a16="http://schemas.microsoft.com/office/drawing/2014/main" id="{920FCC33-823D-41DF-9F60-BA4AB54CBD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1" name="AutoShape 1" descr="Vista previa de toda la pantalla">
          <a:extLst>
            <a:ext uri="{FF2B5EF4-FFF2-40B4-BE49-F238E27FC236}">
              <a16:creationId xmlns:a16="http://schemas.microsoft.com/office/drawing/2014/main" id="{2F9663E9-5981-4D9F-A307-6873DADE00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2" name="AutoShape 1" descr="Vista previa de toda la pantalla">
          <a:extLst>
            <a:ext uri="{FF2B5EF4-FFF2-40B4-BE49-F238E27FC236}">
              <a16:creationId xmlns:a16="http://schemas.microsoft.com/office/drawing/2014/main" id="{197F5793-BFCB-4662-855A-11819A1220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3" name="AutoShape 1" descr="Vista previa de toda la pantalla">
          <a:extLst>
            <a:ext uri="{FF2B5EF4-FFF2-40B4-BE49-F238E27FC236}">
              <a16:creationId xmlns:a16="http://schemas.microsoft.com/office/drawing/2014/main" id="{78541985-8587-4A5E-9211-BB27D4F385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4" name="AutoShape 1" descr="Vista previa de toda la pantalla">
          <a:extLst>
            <a:ext uri="{FF2B5EF4-FFF2-40B4-BE49-F238E27FC236}">
              <a16:creationId xmlns:a16="http://schemas.microsoft.com/office/drawing/2014/main" id="{7BA58EB9-C0E1-434B-ACA9-627D612310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5" name="AutoShape 1" descr="Vista previa de toda la pantalla">
          <a:extLst>
            <a:ext uri="{FF2B5EF4-FFF2-40B4-BE49-F238E27FC236}">
              <a16:creationId xmlns:a16="http://schemas.microsoft.com/office/drawing/2014/main" id="{D94E584A-83C0-4195-87B0-2A1E3FC693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6" name="AutoShape 1" descr="Vista previa de toda la pantalla">
          <a:extLst>
            <a:ext uri="{FF2B5EF4-FFF2-40B4-BE49-F238E27FC236}">
              <a16:creationId xmlns:a16="http://schemas.microsoft.com/office/drawing/2014/main" id="{D36BC652-EBFE-485D-859F-F4903878B2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7" name="AutoShape 1" descr="Vista previa de toda la pantalla">
          <a:extLst>
            <a:ext uri="{FF2B5EF4-FFF2-40B4-BE49-F238E27FC236}">
              <a16:creationId xmlns:a16="http://schemas.microsoft.com/office/drawing/2014/main" id="{08122738-CFD3-4FC3-AB28-C54198E6BF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8" name="AutoShape 1" descr="Vista previa de toda la pantalla">
          <a:extLst>
            <a:ext uri="{FF2B5EF4-FFF2-40B4-BE49-F238E27FC236}">
              <a16:creationId xmlns:a16="http://schemas.microsoft.com/office/drawing/2014/main" id="{2068ACDE-2CAF-478D-83D0-17EDBCDC4D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29" name="AutoShape 1" descr="Vista previa de toda la pantalla">
          <a:extLst>
            <a:ext uri="{FF2B5EF4-FFF2-40B4-BE49-F238E27FC236}">
              <a16:creationId xmlns:a16="http://schemas.microsoft.com/office/drawing/2014/main" id="{47D7B169-4B79-4844-85BB-CE561B776E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0" name="AutoShape 1" descr="Vista previa de toda la pantalla">
          <a:extLst>
            <a:ext uri="{FF2B5EF4-FFF2-40B4-BE49-F238E27FC236}">
              <a16:creationId xmlns:a16="http://schemas.microsoft.com/office/drawing/2014/main" id="{3ED91730-E855-4A07-8B39-56AC10111B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1" name="AutoShape 1" descr="Vista previa de toda la pantalla">
          <a:extLst>
            <a:ext uri="{FF2B5EF4-FFF2-40B4-BE49-F238E27FC236}">
              <a16:creationId xmlns:a16="http://schemas.microsoft.com/office/drawing/2014/main" id="{A78451E4-3BFB-4B91-971D-56097E31B4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2" name="AutoShape 1" descr="Vista previa de toda la pantalla">
          <a:extLst>
            <a:ext uri="{FF2B5EF4-FFF2-40B4-BE49-F238E27FC236}">
              <a16:creationId xmlns:a16="http://schemas.microsoft.com/office/drawing/2014/main" id="{360E5E22-9688-45AD-B8A9-8396A6995B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3" name="AutoShape 1" descr="Vista previa de toda la pantalla">
          <a:extLst>
            <a:ext uri="{FF2B5EF4-FFF2-40B4-BE49-F238E27FC236}">
              <a16:creationId xmlns:a16="http://schemas.microsoft.com/office/drawing/2014/main" id="{61881BD6-F2E1-402A-8E2F-81A786EB4E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4" name="AutoShape 1" descr="Vista previa de toda la pantalla">
          <a:extLst>
            <a:ext uri="{FF2B5EF4-FFF2-40B4-BE49-F238E27FC236}">
              <a16:creationId xmlns:a16="http://schemas.microsoft.com/office/drawing/2014/main" id="{EAFDC27A-75C0-4F7B-AE74-31547EB0F1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5" name="AutoShape 1" descr="Vista previa de toda la pantalla">
          <a:extLst>
            <a:ext uri="{FF2B5EF4-FFF2-40B4-BE49-F238E27FC236}">
              <a16:creationId xmlns:a16="http://schemas.microsoft.com/office/drawing/2014/main" id="{5CA60011-FAE0-4E85-8C7A-7566A8E4DB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6" name="AutoShape 1" descr="Vista previa de toda la pantalla">
          <a:extLst>
            <a:ext uri="{FF2B5EF4-FFF2-40B4-BE49-F238E27FC236}">
              <a16:creationId xmlns:a16="http://schemas.microsoft.com/office/drawing/2014/main" id="{7F5AF3E0-9AB2-43FB-A5CF-978A3E68C2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7" name="AutoShape 1" descr="Vista previa de toda la pantalla">
          <a:extLst>
            <a:ext uri="{FF2B5EF4-FFF2-40B4-BE49-F238E27FC236}">
              <a16:creationId xmlns:a16="http://schemas.microsoft.com/office/drawing/2014/main" id="{C9C03DF9-8A9A-4623-BDEB-5FDD0C556D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8" name="AutoShape 1" descr="Vista previa de toda la pantalla">
          <a:extLst>
            <a:ext uri="{FF2B5EF4-FFF2-40B4-BE49-F238E27FC236}">
              <a16:creationId xmlns:a16="http://schemas.microsoft.com/office/drawing/2014/main" id="{02EF479C-61C9-457E-BF0E-7E55644A11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39" name="AutoShape 1" descr="Vista previa de toda la pantalla">
          <a:extLst>
            <a:ext uri="{FF2B5EF4-FFF2-40B4-BE49-F238E27FC236}">
              <a16:creationId xmlns:a16="http://schemas.microsoft.com/office/drawing/2014/main" id="{864DE428-C2FB-4081-B878-57B806021A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0" name="AutoShape 1" descr="Vista previa de toda la pantalla">
          <a:extLst>
            <a:ext uri="{FF2B5EF4-FFF2-40B4-BE49-F238E27FC236}">
              <a16:creationId xmlns:a16="http://schemas.microsoft.com/office/drawing/2014/main" id="{461DD734-D818-4C53-8C18-19EA803D84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1" name="AutoShape 1" descr="Vista previa de toda la pantalla">
          <a:extLst>
            <a:ext uri="{FF2B5EF4-FFF2-40B4-BE49-F238E27FC236}">
              <a16:creationId xmlns:a16="http://schemas.microsoft.com/office/drawing/2014/main" id="{B6DA8EB7-0DD8-457B-A56A-EABAFD249C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2" name="AutoShape 1" descr="Vista previa de toda la pantalla">
          <a:extLst>
            <a:ext uri="{FF2B5EF4-FFF2-40B4-BE49-F238E27FC236}">
              <a16:creationId xmlns:a16="http://schemas.microsoft.com/office/drawing/2014/main" id="{D2837A67-2461-4253-ACC6-E47E86DDA3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3" name="AutoShape 1" descr="Vista previa de toda la pantalla">
          <a:extLst>
            <a:ext uri="{FF2B5EF4-FFF2-40B4-BE49-F238E27FC236}">
              <a16:creationId xmlns:a16="http://schemas.microsoft.com/office/drawing/2014/main" id="{C1BCA1B2-82B9-4840-8D25-09B60A62C2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4" name="AutoShape 1" descr="Vista previa de toda la pantalla">
          <a:extLst>
            <a:ext uri="{FF2B5EF4-FFF2-40B4-BE49-F238E27FC236}">
              <a16:creationId xmlns:a16="http://schemas.microsoft.com/office/drawing/2014/main" id="{A6D0CA02-1430-4B4A-ACE1-DB9A70678A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5" name="AutoShape 1" descr="Vista previa de toda la pantalla">
          <a:extLst>
            <a:ext uri="{FF2B5EF4-FFF2-40B4-BE49-F238E27FC236}">
              <a16:creationId xmlns:a16="http://schemas.microsoft.com/office/drawing/2014/main" id="{1A73DFC8-A03C-4F51-908C-5C8304CE29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6" name="AutoShape 1" descr="Vista previa de toda la pantalla">
          <a:extLst>
            <a:ext uri="{FF2B5EF4-FFF2-40B4-BE49-F238E27FC236}">
              <a16:creationId xmlns:a16="http://schemas.microsoft.com/office/drawing/2014/main" id="{C1A78746-41F5-43DB-9395-42AA9E0716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7" name="AutoShape 1" descr="Vista previa de toda la pantalla">
          <a:extLst>
            <a:ext uri="{FF2B5EF4-FFF2-40B4-BE49-F238E27FC236}">
              <a16:creationId xmlns:a16="http://schemas.microsoft.com/office/drawing/2014/main" id="{99E55DB5-A50D-4FA4-99A7-ED4771DCDC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8" name="AutoShape 1" descr="Vista previa de toda la pantalla">
          <a:extLst>
            <a:ext uri="{FF2B5EF4-FFF2-40B4-BE49-F238E27FC236}">
              <a16:creationId xmlns:a16="http://schemas.microsoft.com/office/drawing/2014/main" id="{6BF89CF4-B194-47AE-ADE9-013CBD6584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49" name="AutoShape 1" descr="Vista previa de toda la pantalla">
          <a:extLst>
            <a:ext uri="{FF2B5EF4-FFF2-40B4-BE49-F238E27FC236}">
              <a16:creationId xmlns:a16="http://schemas.microsoft.com/office/drawing/2014/main" id="{2FC84DB9-B846-4674-80D7-68C86BC201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0" name="AutoShape 1" descr="Vista previa de toda la pantalla">
          <a:extLst>
            <a:ext uri="{FF2B5EF4-FFF2-40B4-BE49-F238E27FC236}">
              <a16:creationId xmlns:a16="http://schemas.microsoft.com/office/drawing/2014/main" id="{AD801078-E6C0-473B-ACDD-F7DBB51365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1" name="AutoShape 1" descr="Vista previa de toda la pantalla">
          <a:extLst>
            <a:ext uri="{FF2B5EF4-FFF2-40B4-BE49-F238E27FC236}">
              <a16:creationId xmlns:a16="http://schemas.microsoft.com/office/drawing/2014/main" id="{08DA38E7-D504-4EA8-A3E4-F10553CAD5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2" name="AutoShape 1" descr="Vista previa de toda la pantalla">
          <a:extLst>
            <a:ext uri="{FF2B5EF4-FFF2-40B4-BE49-F238E27FC236}">
              <a16:creationId xmlns:a16="http://schemas.microsoft.com/office/drawing/2014/main" id="{E719BCE7-F0D0-4260-9D96-13319B2F49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3" name="AutoShape 1" descr="Vista previa de toda la pantalla">
          <a:extLst>
            <a:ext uri="{FF2B5EF4-FFF2-40B4-BE49-F238E27FC236}">
              <a16:creationId xmlns:a16="http://schemas.microsoft.com/office/drawing/2014/main" id="{C849DA7A-3343-4E7F-9148-6A6515588B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4" name="AutoShape 1" descr="Vista previa de toda la pantalla">
          <a:extLst>
            <a:ext uri="{FF2B5EF4-FFF2-40B4-BE49-F238E27FC236}">
              <a16:creationId xmlns:a16="http://schemas.microsoft.com/office/drawing/2014/main" id="{9E9BABBA-7312-4DEF-A95F-FCA18239DF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5" name="AutoShape 1" descr="Vista previa de toda la pantalla">
          <a:extLst>
            <a:ext uri="{FF2B5EF4-FFF2-40B4-BE49-F238E27FC236}">
              <a16:creationId xmlns:a16="http://schemas.microsoft.com/office/drawing/2014/main" id="{37E0C2D6-2D03-4A08-9E20-BFC2B3F6A2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6" name="AutoShape 1" descr="Vista previa de toda la pantalla">
          <a:extLst>
            <a:ext uri="{FF2B5EF4-FFF2-40B4-BE49-F238E27FC236}">
              <a16:creationId xmlns:a16="http://schemas.microsoft.com/office/drawing/2014/main" id="{5FE44F1C-0CFE-4919-ABD3-FD4670D743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7" name="AutoShape 1" descr="Vista previa de toda la pantalla">
          <a:extLst>
            <a:ext uri="{FF2B5EF4-FFF2-40B4-BE49-F238E27FC236}">
              <a16:creationId xmlns:a16="http://schemas.microsoft.com/office/drawing/2014/main" id="{B40BBC7F-E436-4789-9A47-474A3C1A81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8" name="AutoShape 1" descr="Vista previa de toda la pantalla">
          <a:extLst>
            <a:ext uri="{FF2B5EF4-FFF2-40B4-BE49-F238E27FC236}">
              <a16:creationId xmlns:a16="http://schemas.microsoft.com/office/drawing/2014/main" id="{C00D85AA-94F7-4438-8B77-FB9561FD51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59" name="AutoShape 1" descr="Vista previa de toda la pantalla">
          <a:extLst>
            <a:ext uri="{FF2B5EF4-FFF2-40B4-BE49-F238E27FC236}">
              <a16:creationId xmlns:a16="http://schemas.microsoft.com/office/drawing/2014/main" id="{DC5D4F03-3393-494F-9810-6B98D4EECD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0" name="AutoShape 1" descr="Vista previa de toda la pantalla">
          <a:extLst>
            <a:ext uri="{FF2B5EF4-FFF2-40B4-BE49-F238E27FC236}">
              <a16:creationId xmlns:a16="http://schemas.microsoft.com/office/drawing/2014/main" id="{FB50C21A-35CC-49B0-9CE9-8B1891D732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1" name="AutoShape 1" descr="Vista previa de toda la pantalla">
          <a:extLst>
            <a:ext uri="{FF2B5EF4-FFF2-40B4-BE49-F238E27FC236}">
              <a16:creationId xmlns:a16="http://schemas.microsoft.com/office/drawing/2014/main" id="{5AD6F3DD-25EF-417F-8632-4139F43C2B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2" name="AutoShape 1" descr="Vista previa de toda la pantalla">
          <a:extLst>
            <a:ext uri="{FF2B5EF4-FFF2-40B4-BE49-F238E27FC236}">
              <a16:creationId xmlns:a16="http://schemas.microsoft.com/office/drawing/2014/main" id="{F413C88E-1BF2-46D8-9AB8-EBD798DB43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3" name="AutoShape 1" descr="Vista previa de toda la pantalla">
          <a:extLst>
            <a:ext uri="{FF2B5EF4-FFF2-40B4-BE49-F238E27FC236}">
              <a16:creationId xmlns:a16="http://schemas.microsoft.com/office/drawing/2014/main" id="{B4D6B859-90A1-4DED-A0E7-14C20F45AA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4" name="AutoShape 1" descr="Vista previa de toda la pantalla">
          <a:extLst>
            <a:ext uri="{FF2B5EF4-FFF2-40B4-BE49-F238E27FC236}">
              <a16:creationId xmlns:a16="http://schemas.microsoft.com/office/drawing/2014/main" id="{41DA9027-4DEB-46F8-8BB0-3AF8ABEFE1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5" name="AutoShape 1" descr="Vista previa de toda la pantalla">
          <a:extLst>
            <a:ext uri="{FF2B5EF4-FFF2-40B4-BE49-F238E27FC236}">
              <a16:creationId xmlns:a16="http://schemas.microsoft.com/office/drawing/2014/main" id="{5883025A-594F-4554-B2BF-6AD3F6ADBC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6" name="AutoShape 1" descr="Vista previa de toda la pantalla">
          <a:extLst>
            <a:ext uri="{FF2B5EF4-FFF2-40B4-BE49-F238E27FC236}">
              <a16:creationId xmlns:a16="http://schemas.microsoft.com/office/drawing/2014/main" id="{764A3993-4A13-44FF-81AB-3294EC5E00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7" name="AutoShape 1" descr="Vista previa de toda la pantalla">
          <a:extLst>
            <a:ext uri="{FF2B5EF4-FFF2-40B4-BE49-F238E27FC236}">
              <a16:creationId xmlns:a16="http://schemas.microsoft.com/office/drawing/2014/main" id="{81836CDA-1C11-45C8-826E-3C8B1ABA67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8" name="AutoShape 1" descr="Vista previa de toda la pantalla">
          <a:extLst>
            <a:ext uri="{FF2B5EF4-FFF2-40B4-BE49-F238E27FC236}">
              <a16:creationId xmlns:a16="http://schemas.microsoft.com/office/drawing/2014/main" id="{6585B7AD-C2E7-499E-9C77-0A543BC137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69" name="AutoShape 1" descr="Vista previa de toda la pantalla">
          <a:extLst>
            <a:ext uri="{FF2B5EF4-FFF2-40B4-BE49-F238E27FC236}">
              <a16:creationId xmlns:a16="http://schemas.microsoft.com/office/drawing/2014/main" id="{BF9CF668-EB5D-4235-BCBF-7D2BBCB395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0" name="AutoShape 1" descr="Vista previa de toda la pantalla">
          <a:extLst>
            <a:ext uri="{FF2B5EF4-FFF2-40B4-BE49-F238E27FC236}">
              <a16:creationId xmlns:a16="http://schemas.microsoft.com/office/drawing/2014/main" id="{5676B3F2-FB43-42AC-88D8-21325E0059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1" name="AutoShape 1" descr="Vista previa de toda la pantalla">
          <a:extLst>
            <a:ext uri="{FF2B5EF4-FFF2-40B4-BE49-F238E27FC236}">
              <a16:creationId xmlns:a16="http://schemas.microsoft.com/office/drawing/2014/main" id="{CB5C8ED5-A1D8-49EB-9FE3-2AE8865BA3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2" name="AutoShape 1" descr="Vista previa de toda la pantalla">
          <a:extLst>
            <a:ext uri="{FF2B5EF4-FFF2-40B4-BE49-F238E27FC236}">
              <a16:creationId xmlns:a16="http://schemas.microsoft.com/office/drawing/2014/main" id="{BDC4B67C-68B3-4978-8258-B92FDA226D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3" name="AutoShape 1" descr="Vista previa de toda la pantalla">
          <a:extLst>
            <a:ext uri="{FF2B5EF4-FFF2-40B4-BE49-F238E27FC236}">
              <a16:creationId xmlns:a16="http://schemas.microsoft.com/office/drawing/2014/main" id="{D372A1C3-7F24-44F6-803E-83575089F9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4" name="AutoShape 1" descr="Vista previa de toda la pantalla">
          <a:extLst>
            <a:ext uri="{FF2B5EF4-FFF2-40B4-BE49-F238E27FC236}">
              <a16:creationId xmlns:a16="http://schemas.microsoft.com/office/drawing/2014/main" id="{3AED780C-C0A7-4C1F-AB94-ADB40C4BB5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5" name="AutoShape 1" descr="Vista previa de toda la pantalla">
          <a:extLst>
            <a:ext uri="{FF2B5EF4-FFF2-40B4-BE49-F238E27FC236}">
              <a16:creationId xmlns:a16="http://schemas.microsoft.com/office/drawing/2014/main" id="{68FBC688-26C3-4743-A31F-1EDCB36D93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6" name="AutoShape 1" descr="Vista previa de toda la pantalla">
          <a:extLst>
            <a:ext uri="{FF2B5EF4-FFF2-40B4-BE49-F238E27FC236}">
              <a16:creationId xmlns:a16="http://schemas.microsoft.com/office/drawing/2014/main" id="{919308EF-6324-49F6-B4E6-22BD7707FF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7" name="AutoShape 1" descr="Vista previa de toda la pantalla">
          <a:extLst>
            <a:ext uri="{FF2B5EF4-FFF2-40B4-BE49-F238E27FC236}">
              <a16:creationId xmlns:a16="http://schemas.microsoft.com/office/drawing/2014/main" id="{B5683B74-8E71-40D8-B8AA-2384EC0A5D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8" name="AutoShape 1" descr="Vista previa de toda la pantalla">
          <a:extLst>
            <a:ext uri="{FF2B5EF4-FFF2-40B4-BE49-F238E27FC236}">
              <a16:creationId xmlns:a16="http://schemas.microsoft.com/office/drawing/2014/main" id="{D0A2B573-D551-48D3-A60A-6BB6503875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79" name="AutoShape 1" descr="Vista previa de toda la pantalla">
          <a:extLst>
            <a:ext uri="{FF2B5EF4-FFF2-40B4-BE49-F238E27FC236}">
              <a16:creationId xmlns:a16="http://schemas.microsoft.com/office/drawing/2014/main" id="{4525FCE2-BDEE-44F4-99A5-FF6B92C5E9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0" name="AutoShape 1" descr="Vista previa de toda la pantalla">
          <a:extLst>
            <a:ext uri="{FF2B5EF4-FFF2-40B4-BE49-F238E27FC236}">
              <a16:creationId xmlns:a16="http://schemas.microsoft.com/office/drawing/2014/main" id="{978CAA9D-9ED3-4358-B66B-78CD2C1F08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1" name="AutoShape 1" descr="Vista previa de toda la pantalla">
          <a:extLst>
            <a:ext uri="{FF2B5EF4-FFF2-40B4-BE49-F238E27FC236}">
              <a16:creationId xmlns:a16="http://schemas.microsoft.com/office/drawing/2014/main" id="{30A20E42-055B-4276-8967-35BBD411C3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2" name="AutoShape 1" descr="Vista previa de toda la pantalla">
          <a:extLst>
            <a:ext uri="{FF2B5EF4-FFF2-40B4-BE49-F238E27FC236}">
              <a16:creationId xmlns:a16="http://schemas.microsoft.com/office/drawing/2014/main" id="{ED5D8978-7711-4779-AEBC-0F34712670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3" name="AutoShape 1" descr="Vista previa de toda la pantalla">
          <a:extLst>
            <a:ext uri="{FF2B5EF4-FFF2-40B4-BE49-F238E27FC236}">
              <a16:creationId xmlns:a16="http://schemas.microsoft.com/office/drawing/2014/main" id="{B533A534-EC38-42B4-9DD9-1F16AADA63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4" name="AutoShape 1" descr="Vista previa de toda la pantalla">
          <a:extLst>
            <a:ext uri="{FF2B5EF4-FFF2-40B4-BE49-F238E27FC236}">
              <a16:creationId xmlns:a16="http://schemas.microsoft.com/office/drawing/2014/main" id="{159DB629-6C4C-4A55-8E53-B16E77B6CA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5" name="AutoShape 1" descr="Vista previa de toda la pantalla">
          <a:extLst>
            <a:ext uri="{FF2B5EF4-FFF2-40B4-BE49-F238E27FC236}">
              <a16:creationId xmlns:a16="http://schemas.microsoft.com/office/drawing/2014/main" id="{7E6138BF-3130-4BF1-A2D5-F1E64106A0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6" name="AutoShape 1" descr="Vista previa de toda la pantalla">
          <a:extLst>
            <a:ext uri="{FF2B5EF4-FFF2-40B4-BE49-F238E27FC236}">
              <a16:creationId xmlns:a16="http://schemas.microsoft.com/office/drawing/2014/main" id="{108F75C9-E635-4041-B0C7-B40017720E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7" name="AutoShape 1" descr="Vista previa de toda la pantalla">
          <a:extLst>
            <a:ext uri="{FF2B5EF4-FFF2-40B4-BE49-F238E27FC236}">
              <a16:creationId xmlns:a16="http://schemas.microsoft.com/office/drawing/2014/main" id="{50F41333-A8F8-4C5E-B96A-5F8C85EBB0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8" name="AutoShape 1" descr="Vista previa de toda la pantalla">
          <a:extLst>
            <a:ext uri="{FF2B5EF4-FFF2-40B4-BE49-F238E27FC236}">
              <a16:creationId xmlns:a16="http://schemas.microsoft.com/office/drawing/2014/main" id="{7DB0F556-8307-41C1-A73D-76CA614C87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89" name="AutoShape 1" descr="Vista previa de toda la pantalla">
          <a:extLst>
            <a:ext uri="{FF2B5EF4-FFF2-40B4-BE49-F238E27FC236}">
              <a16:creationId xmlns:a16="http://schemas.microsoft.com/office/drawing/2014/main" id="{8A56A188-30B6-4302-AA1F-494B0F6A47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0" name="AutoShape 1" descr="Vista previa de toda la pantalla">
          <a:extLst>
            <a:ext uri="{FF2B5EF4-FFF2-40B4-BE49-F238E27FC236}">
              <a16:creationId xmlns:a16="http://schemas.microsoft.com/office/drawing/2014/main" id="{1DA6E4EE-9730-415C-ABCF-67782F1652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1" name="AutoShape 1" descr="Vista previa de toda la pantalla">
          <a:extLst>
            <a:ext uri="{FF2B5EF4-FFF2-40B4-BE49-F238E27FC236}">
              <a16:creationId xmlns:a16="http://schemas.microsoft.com/office/drawing/2014/main" id="{74DCDC03-E9D9-46D2-AA6B-0901DF2E22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2" name="AutoShape 1" descr="Vista previa de toda la pantalla">
          <a:extLst>
            <a:ext uri="{FF2B5EF4-FFF2-40B4-BE49-F238E27FC236}">
              <a16:creationId xmlns:a16="http://schemas.microsoft.com/office/drawing/2014/main" id="{9D218D0B-5D07-49C5-AC25-A2B38BBC6D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3" name="AutoShape 1" descr="Vista previa de toda la pantalla">
          <a:extLst>
            <a:ext uri="{FF2B5EF4-FFF2-40B4-BE49-F238E27FC236}">
              <a16:creationId xmlns:a16="http://schemas.microsoft.com/office/drawing/2014/main" id="{86C6C8B1-3048-4B57-9166-0F3E07233F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4" name="AutoShape 1" descr="Vista previa de toda la pantalla">
          <a:extLst>
            <a:ext uri="{FF2B5EF4-FFF2-40B4-BE49-F238E27FC236}">
              <a16:creationId xmlns:a16="http://schemas.microsoft.com/office/drawing/2014/main" id="{915DC033-0518-4F1F-846E-4FCF9D24CA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5" name="AutoShape 1" descr="Vista previa de toda la pantalla">
          <a:extLst>
            <a:ext uri="{FF2B5EF4-FFF2-40B4-BE49-F238E27FC236}">
              <a16:creationId xmlns:a16="http://schemas.microsoft.com/office/drawing/2014/main" id="{8C5B06C6-64CF-4C7C-BF97-D00D415593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6" name="AutoShape 1" descr="Vista previa de toda la pantalla">
          <a:extLst>
            <a:ext uri="{FF2B5EF4-FFF2-40B4-BE49-F238E27FC236}">
              <a16:creationId xmlns:a16="http://schemas.microsoft.com/office/drawing/2014/main" id="{1CB16E70-D459-42A4-B799-AF41CB5F48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7" name="AutoShape 1" descr="Vista previa de toda la pantalla">
          <a:extLst>
            <a:ext uri="{FF2B5EF4-FFF2-40B4-BE49-F238E27FC236}">
              <a16:creationId xmlns:a16="http://schemas.microsoft.com/office/drawing/2014/main" id="{D9F5BE96-0ADC-4B98-8D10-E4772CF6D1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8" name="AutoShape 1" descr="Vista previa de toda la pantalla">
          <a:extLst>
            <a:ext uri="{FF2B5EF4-FFF2-40B4-BE49-F238E27FC236}">
              <a16:creationId xmlns:a16="http://schemas.microsoft.com/office/drawing/2014/main" id="{D146579E-A002-4C50-A76E-F93566FCBA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899" name="AutoShape 1" descr="Vista previa de toda la pantalla">
          <a:extLst>
            <a:ext uri="{FF2B5EF4-FFF2-40B4-BE49-F238E27FC236}">
              <a16:creationId xmlns:a16="http://schemas.microsoft.com/office/drawing/2014/main" id="{1512A605-8948-4350-A89A-32A3A3D995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0" name="AutoShape 1" descr="Vista previa de toda la pantalla">
          <a:extLst>
            <a:ext uri="{FF2B5EF4-FFF2-40B4-BE49-F238E27FC236}">
              <a16:creationId xmlns:a16="http://schemas.microsoft.com/office/drawing/2014/main" id="{8003C47B-DEE7-4EAE-AE6F-2C2CB158AA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1" name="AutoShape 1" descr="Vista previa de toda la pantalla">
          <a:extLst>
            <a:ext uri="{FF2B5EF4-FFF2-40B4-BE49-F238E27FC236}">
              <a16:creationId xmlns:a16="http://schemas.microsoft.com/office/drawing/2014/main" id="{3B22D337-0198-43F2-89B9-D64A83B354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2" name="AutoShape 1" descr="Vista previa de toda la pantalla">
          <a:extLst>
            <a:ext uri="{FF2B5EF4-FFF2-40B4-BE49-F238E27FC236}">
              <a16:creationId xmlns:a16="http://schemas.microsoft.com/office/drawing/2014/main" id="{7A2CEA71-6C93-4909-8899-2DA0A1DBC8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3" name="AutoShape 1" descr="Vista previa de toda la pantalla">
          <a:extLst>
            <a:ext uri="{FF2B5EF4-FFF2-40B4-BE49-F238E27FC236}">
              <a16:creationId xmlns:a16="http://schemas.microsoft.com/office/drawing/2014/main" id="{47F8EFA4-2634-494A-A427-6991A1CB4D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4" name="AutoShape 1" descr="Vista previa de toda la pantalla">
          <a:extLst>
            <a:ext uri="{FF2B5EF4-FFF2-40B4-BE49-F238E27FC236}">
              <a16:creationId xmlns:a16="http://schemas.microsoft.com/office/drawing/2014/main" id="{EC4591BA-198E-4C84-B2C5-832739B3FA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5" name="AutoShape 1" descr="Vista previa de toda la pantalla">
          <a:extLst>
            <a:ext uri="{FF2B5EF4-FFF2-40B4-BE49-F238E27FC236}">
              <a16:creationId xmlns:a16="http://schemas.microsoft.com/office/drawing/2014/main" id="{E24DC66B-480E-42B4-847F-044D341184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6" name="AutoShape 1" descr="Vista previa de toda la pantalla">
          <a:extLst>
            <a:ext uri="{FF2B5EF4-FFF2-40B4-BE49-F238E27FC236}">
              <a16:creationId xmlns:a16="http://schemas.microsoft.com/office/drawing/2014/main" id="{9AD0A786-96AE-4ACA-825A-9679A99722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7" name="AutoShape 1" descr="Vista previa de toda la pantalla">
          <a:extLst>
            <a:ext uri="{FF2B5EF4-FFF2-40B4-BE49-F238E27FC236}">
              <a16:creationId xmlns:a16="http://schemas.microsoft.com/office/drawing/2014/main" id="{EDD5C42E-D7C3-477B-977A-1E9740C2A4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8" name="AutoShape 1" descr="Vista previa de toda la pantalla">
          <a:extLst>
            <a:ext uri="{FF2B5EF4-FFF2-40B4-BE49-F238E27FC236}">
              <a16:creationId xmlns:a16="http://schemas.microsoft.com/office/drawing/2014/main" id="{E150FB22-CAE5-48CF-8181-7D6D2C42C7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09" name="AutoShape 1" descr="Vista previa de toda la pantalla">
          <a:extLst>
            <a:ext uri="{FF2B5EF4-FFF2-40B4-BE49-F238E27FC236}">
              <a16:creationId xmlns:a16="http://schemas.microsoft.com/office/drawing/2014/main" id="{1D327F95-E52F-4447-892D-7090848ACA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0" name="AutoShape 1" descr="Vista previa de toda la pantalla">
          <a:extLst>
            <a:ext uri="{FF2B5EF4-FFF2-40B4-BE49-F238E27FC236}">
              <a16:creationId xmlns:a16="http://schemas.microsoft.com/office/drawing/2014/main" id="{FB57622D-1D68-42A9-B3F0-D0913D2E17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1" name="AutoShape 1" descr="Vista previa de toda la pantalla">
          <a:extLst>
            <a:ext uri="{FF2B5EF4-FFF2-40B4-BE49-F238E27FC236}">
              <a16:creationId xmlns:a16="http://schemas.microsoft.com/office/drawing/2014/main" id="{316BBE37-13F7-439E-A03E-83ECE28CE4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2" name="AutoShape 1" descr="Vista previa de toda la pantalla">
          <a:extLst>
            <a:ext uri="{FF2B5EF4-FFF2-40B4-BE49-F238E27FC236}">
              <a16:creationId xmlns:a16="http://schemas.microsoft.com/office/drawing/2014/main" id="{131939C8-EA23-4B96-AD87-F9D1B6F176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3" name="AutoShape 1" descr="Vista previa de toda la pantalla">
          <a:extLst>
            <a:ext uri="{FF2B5EF4-FFF2-40B4-BE49-F238E27FC236}">
              <a16:creationId xmlns:a16="http://schemas.microsoft.com/office/drawing/2014/main" id="{05DA2EAD-B75A-4911-85D7-3639484735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4" name="AutoShape 1" descr="Vista previa de toda la pantalla">
          <a:extLst>
            <a:ext uri="{FF2B5EF4-FFF2-40B4-BE49-F238E27FC236}">
              <a16:creationId xmlns:a16="http://schemas.microsoft.com/office/drawing/2014/main" id="{808C706C-1778-4EA1-B4CC-F7B206AD72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5" name="AutoShape 1" descr="Vista previa de toda la pantalla">
          <a:extLst>
            <a:ext uri="{FF2B5EF4-FFF2-40B4-BE49-F238E27FC236}">
              <a16:creationId xmlns:a16="http://schemas.microsoft.com/office/drawing/2014/main" id="{A1C78C87-85E7-4CF4-A4E3-4A84EBA8C9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6" name="AutoShape 1" descr="Vista previa de toda la pantalla">
          <a:extLst>
            <a:ext uri="{FF2B5EF4-FFF2-40B4-BE49-F238E27FC236}">
              <a16:creationId xmlns:a16="http://schemas.microsoft.com/office/drawing/2014/main" id="{5141B91E-35F7-4628-BE1A-0DE2A0B041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7" name="AutoShape 1" descr="Vista previa de toda la pantalla">
          <a:extLst>
            <a:ext uri="{FF2B5EF4-FFF2-40B4-BE49-F238E27FC236}">
              <a16:creationId xmlns:a16="http://schemas.microsoft.com/office/drawing/2014/main" id="{7996B6BC-6769-45A4-BA66-9DFD514D80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8" name="AutoShape 1" descr="Vista previa de toda la pantalla">
          <a:extLst>
            <a:ext uri="{FF2B5EF4-FFF2-40B4-BE49-F238E27FC236}">
              <a16:creationId xmlns:a16="http://schemas.microsoft.com/office/drawing/2014/main" id="{D1A0D294-3F0D-4D93-84EF-5D5AECC24B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19" name="AutoShape 1" descr="Vista previa de toda la pantalla">
          <a:extLst>
            <a:ext uri="{FF2B5EF4-FFF2-40B4-BE49-F238E27FC236}">
              <a16:creationId xmlns:a16="http://schemas.microsoft.com/office/drawing/2014/main" id="{FE4B6541-D257-4FA3-877C-111C246AF2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0" name="AutoShape 1" descr="Vista previa de toda la pantalla">
          <a:extLst>
            <a:ext uri="{FF2B5EF4-FFF2-40B4-BE49-F238E27FC236}">
              <a16:creationId xmlns:a16="http://schemas.microsoft.com/office/drawing/2014/main" id="{B745F800-B54B-466E-B9F4-DBFEF78333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1" name="AutoShape 1" descr="Vista previa de toda la pantalla">
          <a:extLst>
            <a:ext uri="{FF2B5EF4-FFF2-40B4-BE49-F238E27FC236}">
              <a16:creationId xmlns:a16="http://schemas.microsoft.com/office/drawing/2014/main" id="{AB38DD33-DFE3-4ABE-84FC-131E28385A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2" name="AutoShape 1" descr="Vista previa de toda la pantalla">
          <a:extLst>
            <a:ext uri="{FF2B5EF4-FFF2-40B4-BE49-F238E27FC236}">
              <a16:creationId xmlns:a16="http://schemas.microsoft.com/office/drawing/2014/main" id="{399E77B9-3648-4BA8-B23B-DC2FE96039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3" name="AutoShape 1" descr="Vista previa de toda la pantalla">
          <a:extLst>
            <a:ext uri="{FF2B5EF4-FFF2-40B4-BE49-F238E27FC236}">
              <a16:creationId xmlns:a16="http://schemas.microsoft.com/office/drawing/2014/main" id="{DE561189-17D1-4EE2-BB81-2FD3BED89B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4" name="AutoShape 1" descr="Vista previa de toda la pantalla">
          <a:extLst>
            <a:ext uri="{FF2B5EF4-FFF2-40B4-BE49-F238E27FC236}">
              <a16:creationId xmlns:a16="http://schemas.microsoft.com/office/drawing/2014/main" id="{E0CE8E70-0FCC-484E-9CCA-C59E5534DB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5" name="AutoShape 1" descr="Vista previa de toda la pantalla">
          <a:extLst>
            <a:ext uri="{FF2B5EF4-FFF2-40B4-BE49-F238E27FC236}">
              <a16:creationId xmlns:a16="http://schemas.microsoft.com/office/drawing/2014/main" id="{79F7C3B3-667D-4493-9BE9-06003F5C41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6" name="AutoShape 1" descr="Vista previa de toda la pantalla">
          <a:extLst>
            <a:ext uri="{FF2B5EF4-FFF2-40B4-BE49-F238E27FC236}">
              <a16:creationId xmlns:a16="http://schemas.microsoft.com/office/drawing/2014/main" id="{F8F31F0C-68FE-472F-8B2D-E476C68FE4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7" name="AutoShape 1" descr="Vista previa de toda la pantalla">
          <a:extLst>
            <a:ext uri="{FF2B5EF4-FFF2-40B4-BE49-F238E27FC236}">
              <a16:creationId xmlns:a16="http://schemas.microsoft.com/office/drawing/2014/main" id="{D5B0EA7E-8B24-4744-84B2-299E40D8CA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8" name="AutoShape 1" descr="Vista previa de toda la pantalla">
          <a:extLst>
            <a:ext uri="{FF2B5EF4-FFF2-40B4-BE49-F238E27FC236}">
              <a16:creationId xmlns:a16="http://schemas.microsoft.com/office/drawing/2014/main" id="{B2B8F057-6C89-48EF-B442-EF1A1A1F27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29" name="AutoShape 1" descr="Vista previa de toda la pantalla">
          <a:extLst>
            <a:ext uri="{FF2B5EF4-FFF2-40B4-BE49-F238E27FC236}">
              <a16:creationId xmlns:a16="http://schemas.microsoft.com/office/drawing/2014/main" id="{4C5BCBD9-A487-4C34-B60E-B0E610E79A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0" name="AutoShape 1" descr="Vista previa de toda la pantalla">
          <a:extLst>
            <a:ext uri="{FF2B5EF4-FFF2-40B4-BE49-F238E27FC236}">
              <a16:creationId xmlns:a16="http://schemas.microsoft.com/office/drawing/2014/main" id="{C1420DDD-459C-4929-8B75-4DE82EC9C3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1" name="AutoShape 1" descr="Vista previa de toda la pantalla">
          <a:extLst>
            <a:ext uri="{FF2B5EF4-FFF2-40B4-BE49-F238E27FC236}">
              <a16:creationId xmlns:a16="http://schemas.microsoft.com/office/drawing/2014/main" id="{9BE60067-FC0A-4147-AF2A-E13233257F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2" name="AutoShape 1" descr="Vista previa de toda la pantalla">
          <a:extLst>
            <a:ext uri="{FF2B5EF4-FFF2-40B4-BE49-F238E27FC236}">
              <a16:creationId xmlns:a16="http://schemas.microsoft.com/office/drawing/2014/main" id="{53330FD2-4577-4B5A-A92B-951F048A7C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3" name="AutoShape 1" descr="Vista previa de toda la pantalla">
          <a:extLst>
            <a:ext uri="{FF2B5EF4-FFF2-40B4-BE49-F238E27FC236}">
              <a16:creationId xmlns:a16="http://schemas.microsoft.com/office/drawing/2014/main" id="{F6E2293D-0E50-460C-8C44-208D857D4B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4" name="AutoShape 1" descr="Vista previa de toda la pantalla">
          <a:extLst>
            <a:ext uri="{FF2B5EF4-FFF2-40B4-BE49-F238E27FC236}">
              <a16:creationId xmlns:a16="http://schemas.microsoft.com/office/drawing/2014/main" id="{7C022792-29AC-49AD-AF38-481EE47BC0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5" name="AutoShape 1" descr="Vista previa de toda la pantalla">
          <a:extLst>
            <a:ext uri="{FF2B5EF4-FFF2-40B4-BE49-F238E27FC236}">
              <a16:creationId xmlns:a16="http://schemas.microsoft.com/office/drawing/2014/main" id="{B70AA03A-2ADE-491D-B7D6-353F522BBD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6" name="AutoShape 1" descr="Vista previa de toda la pantalla">
          <a:extLst>
            <a:ext uri="{FF2B5EF4-FFF2-40B4-BE49-F238E27FC236}">
              <a16:creationId xmlns:a16="http://schemas.microsoft.com/office/drawing/2014/main" id="{8A8D5FD1-C646-451D-B7DC-F33BB1ED2C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7" name="AutoShape 1" descr="Vista previa de toda la pantalla">
          <a:extLst>
            <a:ext uri="{FF2B5EF4-FFF2-40B4-BE49-F238E27FC236}">
              <a16:creationId xmlns:a16="http://schemas.microsoft.com/office/drawing/2014/main" id="{EB375EE5-EB29-4E4A-9F60-6519D63249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8" name="AutoShape 1" descr="Vista previa de toda la pantalla">
          <a:extLst>
            <a:ext uri="{FF2B5EF4-FFF2-40B4-BE49-F238E27FC236}">
              <a16:creationId xmlns:a16="http://schemas.microsoft.com/office/drawing/2014/main" id="{F73E368B-FCB5-47F9-A092-A5C9AD8C1E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39" name="AutoShape 1" descr="Vista previa de toda la pantalla">
          <a:extLst>
            <a:ext uri="{FF2B5EF4-FFF2-40B4-BE49-F238E27FC236}">
              <a16:creationId xmlns:a16="http://schemas.microsoft.com/office/drawing/2014/main" id="{1625516A-A572-42A1-B043-E8DEE8D028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0" name="AutoShape 1" descr="Vista previa de toda la pantalla">
          <a:extLst>
            <a:ext uri="{FF2B5EF4-FFF2-40B4-BE49-F238E27FC236}">
              <a16:creationId xmlns:a16="http://schemas.microsoft.com/office/drawing/2014/main" id="{EBBB0D34-E1E8-4F7F-9BEA-D5F499CACC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1" name="AutoShape 1" descr="Vista previa de toda la pantalla">
          <a:extLst>
            <a:ext uri="{FF2B5EF4-FFF2-40B4-BE49-F238E27FC236}">
              <a16:creationId xmlns:a16="http://schemas.microsoft.com/office/drawing/2014/main" id="{532FD316-7FC1-4618-B813-4762D2D583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2" name="AutoShape 1" descr="Vista previa de toda la pantalla">
          <a:extLst>
            <a:ext uri="{FF2B5EF4-FFF2-40B4-BE49-F238E27FC236}">
              <a16:creationId xmlns:a16="http://schemas.microsoft.com/office/drawing/2014/main" id="{AF35B9EF-BC2F-4882-8640-B59FFDD6A6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3" name="AutoShape 1" descr="Vista previa de toda la pantalla">
          <a:extLst>
            <a:ext uri="{FF2B5EF4-FFF2-40B4-BE49-F238E27FC236}">
              <a16:creationId xmlns:a16="http://schemas.microsoft.com/office/drawing/2014/main" id="{C8EA3F2B-78B3-4125-A974-8C134B14FA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4" name="AutoShape 1" descr="Vista previa de toda la pantalla">
          <a:extLst>
            <a:ext uri="{FF2B5EF4-FFF2-40B4-BE49-F238E27FC236}">
              <a16:creationId xmlns:a16="http://schemas.microsoft.com/office/drawing/2014/main" id="{18A1B339-8EA9-4D6B-A592-F3A89B5F33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5" name="AutoShape 1" descr="Vista previa de toda la pantalla">
          <a:extLst>
            <a:ext uri="{FF2B5EF4-FFF2-40B4-BE49-F238E27FC236}">
              <a16:creationId xmlns:a16="http://schemas.microsoft.com/office/drawing/2014/main" id="{11CB3A58-F2CE-4322-BEB4-4388B917BD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6" name="AutoShape 1" descr="Vista previa de toda la pantalla">
          <a:extLst>
            <a:ext uri="{FF2B5EF4-FFF2-40B4-BE49-F238E27FC236}">
              <a16:creationId xmlns:a16="http://schemas.microsoft.com/office/drawing/2014/main" id="{61039457-DC91-4CE1-A72B-914772FEC4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7" name="AutoShape 1" descr="Vista previa de toda la pantalla">
          <a:extLst>
            <a:ext uri="{FF2B5EF4-FFF2-40B4-BE49-F238E27FC236}">
              <a16:creationId xmlns:a16="http://schemas.microsoft.com/office/drawing/2014/main" id="{B28106C4-C228-4BCB-90DE-D51B1ED72B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8" name="AutoShape 1" descr="Vista previa de toda la pantalla">
          <a:extLst>
            <a:ext uri="{FF2B5EF4-FFF2-40B4-BE49-F238E27FC236}">
              <a16:creationId xmlns:a16="http://schemas.microsoft.com/office/drawing/2014/main" id="{166993E2-D32D-4101-BC5E-5074F9579A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49" name="AutoShape 1" descr="Vista previa de toda la pantalla">
          <a:extLst>
            <a:ext uri="{FF2B5EF4-FFF2-40B4-BE49-F238E27FC236}">
              <a16:creationId xmlns:a16="http://schemas.microsoft.com/office/drawing/2014/main" id="{FAED8288-054A-45FB-940B-2C448E24F1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0" name="AutoShape 1" descr="Vista previa de toda la pantalla">
          <a:extLst>
            <a:ext uri="{FF2B5EF4-FFF2-40B4-BE49-F238E27FC236}">
              <a16:creationId xmlns:a16="http://schemas.microsoft.com/office/drawing/2014/main" id="{B4A1DDE1-1194-44EF-B751-80E7A4AFBD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1" name="AutoShape 1" descr="Vista previa de toda la pantalla">
          <a:extLst>
            <a:ext uri="{FF2B5EF4-FFF2-40B4-BE49-F238E27FC236}">
              <a16:creationId xmlns:a16="http://schemas.microsoft.com/office/drawing/2014/main" id="{AACC6121-3DD8-432E-AB6A-C448AB1CEB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2" name="AutoShape 1" descr="Vista previa de toda la pantalla">
          <a:extLst>
            <a:ext uri="{FF2B5EF4-FFF2-40B4-BE49-F238E27FC236}">
              <a16:creationId xmlns:a16="http://schemas.microsoft.com/office/drawing/2014/main" id="{3E04C734-D53F-446D-8B7E-C80CFA5844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3" name="AutoShape 1" descr="Vista previa de toda la pantalla">
          <a:extLst>
            <a:ext uri="{FF2B5EF4-FFF2-40B4-BE49-F238E27FC236}">
              <a16:creationId xmlns:a16="http://schemas.microsoft.com/office/drawing/2014/main" id="{77406458-884D-4498-AB08-4A124EE58C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4" name="AutoShape 1" descr="Vista previa de toda la pantalla">
          <a:extLst>
            <a:ext uri="{FF2B5EF4-FFF2-40B4-BE49-F238E27FC236}">
              <a16:creationId xmlns:a16="http://schemas.microsoft.com/office/drawing/2014/main" id="{1924E120-D3E1-4CE6-A7C6-E4D445849F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5" name="AutoShape 1" descr="Vista previa de toda la pantalla">
          <a:extLst>
            <a:ext uri="{FF2B5EF4-FFF2-40B4-BE49-F238E27FC236}">
              <a16:creationId xmlns:a16="http://schemas.microsoft.com/office/drawing/2014/main" id="{BA372371-B8BF-472D-8F4D-EB9694D135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6" name="AutoShape 1" descr="Vista previa de toda la pantalla">
          <a:extLst>
            <a:ext uri="{FF2B5EF4-FFF2-40B4-BE49-F238E27FC236}">
              <a16:creationId xmlns:a16="http://schemas.microsoft.com/office/drawing/2014/main" id="{E1CE3552-EDE1-49B4-8F28-82AA2CE6F4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7" name="AutoShape 1" descr="Vista previa de toda la pantalla">
          <a:extLst>
            <a:ext uri="{FF2B5EF4-FFF2-40B4-BE49-F238E27FC236}">
              <a16:creationId xmlns:a16="http://schemas.microsoft.com/office/drawing/2014/main" id="{93F1E5F3-2682-442B-BE60-5E87852EC6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8" name="AutoShape 1" descr="Vista previa de toda la pantalla">
          <a:extLst>
            <a:ext uri="{FF2B5EF4-FFF2-40B4-BE49-F238E27FC236}">
              <a16:creationId xmlns:a16="http://schemas.microsoft.com/office/drawing/2014/main" id="{1C553F3A-B657-4D7D-A58F-BFA3541657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59" name="AutoShape 1" descr="Vista previa de toda la pantalla">
          <a:extLst>
            <a:ext uri="{FF2B5EF4-FFF2-40B4-BE49-F238E27FC236}">
              <a16:creationId xmlns:a16="http://schemas.microsoft.com/office/drawing/2014/main" id="{460CE7D5-7A3C-43D5-A5C4-597D17C819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0" name="AutoShape 1" descr="Vista previa de toda la pantalla">
          <a:extLst>
            <a:ext uri="{FF2B5EF4-FFF2-40B4-BE49-F238E27FC236}">
              <a16:creationId xmlns:a16="http://schemas.microsoft.com/office/drawing/2014/main" id="{D726F58B-50AF-4B04-97C5-AA0AC4BE59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1" name="AutoShape 1" descr="Vista previa de toda la pantalla">
          <a:extLst>
            <a:ext uri="{FF2B5EF4-FFF2-40B4-BE49-F238E27FC236}">
              <a16:creationId xmlns:a16="http://schemas.microsoft.com/office/drawing/2014/main" id="{71C3E74D-4D1E-4158-BF4E-6D102EA512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2" name="AutoShape 1" descr="Vista previa de toda la pantalla">
          <a:extLst>
            <a:ext uri="{FF2B5EF4-FFF2-40B4-BE49-F238E27FC236}">
              <a16:creationId xmlns:a16="http://schemas.microsoft.com/office/drawing/2014/main" id="{1AFE61E1-AF9A-45AC-8A6F-019094956C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3" name="AutoShape 1" descr="Vista previa de toda la pantalla">
          <a:extLst>
            <a:ext uri="{FF2B5EF4-FFF2-40B4-BE49-F238E27FC236}">
              <a16:creationId xmlns:a16="http://schemas.microsoft.com/office/drawing/2014/main" id="{41C2AC3C-EE92-4A38-AB06-560F219E2B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4" name="AutoShape 1" descr="Vista previa de toda la pantalla">
          <a:extLst>
            <a:ext uri="{FF2B5EF4-FFF2-40B4-BE49-F238E27FC236}">
              <a16:creationId xmlns:a16="http://schemas.microsoft.com/office/drawing/2014/main" id="{57198134-2DD7-4B13-B50C-13C41C69A0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5" name="AutoShape 1" descr="Vista previa de toda la pantalla">
          <a:extLst>
            <a:ext uri="{FF2B5EF4-FFF2-40B4-BE49-F238E27FC236}">
              <a16:creationId xmlns:a16="http://schemas.microsoft.com/office/drawing/2014/main" id="{C5111D2F-E27E-428E-99D0-33640F208E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6" name="AutoShape 1" descr="Vista previa de toda la pantalla">
          <a:extLst>
            <a:ext uri="{FF2B5EF4-FFF2-40B4-BE49-F238E27FC236}">
              <a16:creationId xmlns:a16="http://schemas.microsoft.com/office/drawing/2014/main" id="{C55C23B1-7A3A-434E-A42E-9169D530AA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7" name="AutoShape 1" descr="Vista previa de toda la pantalla">
          <a:extLst>
            <a:ext uri="{FF2B5EF4-FFF2-40B4-BE49-F238E27FC236}">
              <a16:creationId xmlns:a16="http://schemas.microsoft.com/office/drawing/2014/main" id="{C97410F9-0D77-4272-A785-9E5FEF33D6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8" name="AutoShape 1" descr="Vista previa de toda la pantalla">
          <a:extLst>
            <a:ext uri="{FF2B5EF4-FFF2-40B4-BE49-F238E27FC236}">
              <a16:creationId xmlns:a16="http://schemas.microsoft.com/office/drawing/2014/main" id="{36AB32EE-68C6-449D-BD12-492956829B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69" name="AutoShape 1" descr="Vista previa de toda la pantalla">
          <a:extLst>
            <a:ext uri="{FF2B5EF4-FFF2-40B4-BE49-F238E27FC236}">
              <a16:creationId xmlns:a16="http://schemas.microsoft.com/office/drawing/2014/main" id="{A99A7506-65D0-4617-AE51-68BEEBAD1F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0" name="AutoShape 1" descr="Vista previa de toda la pantalla">
          <a:extLst>
            <a:ext uri="{FF2B5EF4-FFF2-40B4-BE49-F238E27FC236}">
              <a16:creationId xmlns:a16="http://schemas.microsoft.com/office/drawing/2014/main" id="{16C04B7F-7044-4A50-8DC6-07F816E597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1" name="AutoShape 1" descr="Vista previa de toda la pantalla">
          <a:extLst>
            <a:ext uri="{FF2B5EF4-FFF2-40B4-BE49-F238E27FC236}">
              <a16:creationId xmlns:a16="http://schemas.microsoft.com/office/drawing/2014/main" id="{494EF9B8-DFE7-49B0-965A-804B8E0284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2" name="AutoShape 1" descr="Vista previa de toda la pantalla">
          <a:extLst>
            <a:ext uri="{FF2B5EF4-FFF2-40B4-BE49-F238E27FC236}">
              <a16:creationId xmlns:a16="http://schemas.microsoft.com/office/drawing/2014/main" id="{2CAF0DA7-E5CE-4574-9DE0-0DC06820FE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3" name="AutoShape 1" descr="Vista previa de toda la pantalla">
          <a:extLst>
            <a:ext uri="{FF2B5EF4-FFF2-40B4-BE49-F238E27FC236}">
              <a16:creationId xmlns:a16="http://schemas.microsoft.com/office/drawing/2014/main" id="{4426BC66-F215-444C-88BD-E64F0F8A4B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4" name="AutoShape 1" descr="Vista previa de toda la pantalla">
          <a:extLst>
            <a:ext uri="{FF2B5EF4-FFF2-40B4-BE49-F238E27FC236}">
              <a16:creationId xmlns:a16="http://schemas.microsoft.com/office/drawing/2014/main" id="{4D3235C8-0105-4FE7-9B2B-A410E69505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5" name="AutoShape 1" descr="Vista previa de toda la pantalla">
          <a:extLst>
            <a:ext uri="{FF2B5EF4-FFF2-40B4-BE49-F238E27FC236}">
              <a16:creationId xmlns:a16="http://schemas.microsoft.com/office/drawing/2014/main" id="{4338AEC4-08DD-44E8-AF5F-81BD8012F7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6" name="AutoShape 1" descr="Vista previa de toda la pantalla">
          <a:extLst>
            <a:ext uri="{FF2B5EF4-FFF2-40B4-BE49-F238E27FC236}">
              <a16:creationId xmlns:a16="http://schemas.microsoft.com/office/drawing/2014/main" id="{EEA4B630-9F0D-4AC1-824A-A014642D3A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7" name="AutoShape 1" descr="Vista previa de toda la pantalla">
          <a:extLst>
            <a:ext uri="{FF2B5EF4-FFF2-40B4-BE49-F238E27FC236}">
              <a16:creationId xmlns:a16="http://schemas.microsoft.com/office/drawing/2014/main" id="{D6F0BA7C-741B-4BCF-943F-A5DA705DDA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8" name="AutoShape 1" descr="Vista previa de toda la pantalla">
          <a:extLst>
            <a:ext uri="{FF2B5EF4-FFF2-40B4-BE49-F238E27FC236}">
              <a16:creationId xmlns:a16="http://schemas.microsoft.com/office/drawing/2014/main" id="{E717F784-C8E3-47DB-BFB7-150AC99958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79" name="AutoShape 1" descr="Vista previa de toda la pantalla">
          <a:extLst>
            <a:ext uri="{FF2B5EF4-FFF2-40B4-BE49-F238E27FC236}">
              <a16:creationId xmlns:a16="http://schemas.microsoft.com/office/drawing/2014/main" id="{FD4388F0-9F91-431A-BAE7-D530C7D7F3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0" name="AutoShape 1" descr="Vista previa de toda la pantalla">
          <a:extLst>
            <a:ext uri="{FF2B5EF4-FFF2-40B4-BE49-F238E27FC236}">
              <a16:creationId xmlns:a16="http://schemas.microsoft.com/office/drawing/2014/main" id="{48065900-F454-427A-9FCA-65A9F7B20A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1" name="AutoShape 1" descr="Vista previa de toda la pantalla">
          <a:extLst>
            <a:ext uri="{FF2B5EF4-FFF2-40B4-BE49-F238E27FC236}">
              <a16:creationId xmlns:a16="http://schemas.microsoft.com/office/drawing/2014/main" id="{7A04D172-5230-4302-8AAA-76B0132E7D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2" name="AutoShape 1" descr="Vista previa de toda la pantalla">
          <a:extLst>
            <a:ext uri="{FF2B5EF4-FFF2-40B4-BE49-F238E27FC236}">
              <a16:creationId xmlns:a16="http://schemas.microsoft.com/office/drawing/2014/main" id="{99DECF23-730A-4748-8C92-BC4739A707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3" name="AutoShape 1" descr="Vista previa de toda la pantalla">
          <a:extLst>
            <a:ext uri="{FF2B5EF4-FFF2-40B4-BE49-F238E27FC236}">
              <a16:creationId xmlns:a16="http://schemas.microsoft.com/office/drawing/2014/main" id="{1BC72FD4-A6E7-4BE9-82DE-C9C8EED45E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4" name="AutoShape 1" descr="Vista previa de toda la pantalla">
          <a:extLst>
            <a:ext uri="{FF2B5EF4-FFF2-40B4-BE49-F238E27FC236}">
              <a16:creationId xmlns:a16="http://schemas.microsoft.com/office/drawing/2014/main" id="{6ACB441F-4701-41C6-83F4-5906EB1028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5" name="AutoShape 1" descr="Vista previa de toda la pantalla">
          <a:extLst>
            <a:ext uri="{FF2B5EF4-FFF2-40B4-BE49-F238E27FC236}">
              <a16:creationId xmlns:a16="http://schemas.microsoft.com/office/drawing/2014/main" id="{8F4C0590-FFFC-40A0-9815-9DC724C189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6" name="AutoShape 1" descr="Vista previa de toda la pantalla">
          <a:extLst>
            <a:ext uri="{FF2B5EF4-FFF2-40B4-BE49-F238E27FC236}">
              <a16:creationId xmlns:a16="http://schemas.microsoft.com/office/drawing/2014/main" id="{B1E4B953-824C-44BF-97E7-25402AB161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7" name="AutoShape 1" descr="Vista previa de toda la pantalla">
          <a:extLst>
            <a:ext uri="{FF2B5EF4-FFF2-40B4-BE49-F238E27FC236}">
              <a16:creationId xmlns:a16="http://schemas.microsoft.com/office/drawing/2014/main" id="{E99914C5-4B5B-414D-BF8E-7FF9E76C6B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8" name="AutoShape 1" descr="Vista previa de toda la pantalla">
          <a:extLst>
            <a:ext uri="{FF2B5EF4-FFF2-40B4-BE49-F238E27FC236}">
              <a16:creationId xmlns:a16="http://schemas.microsoft.com/office/drawing/2014/main" id="{9EBF707E-5BAD-4192-9543-79C135A157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89" name="AutoShape 1" descr="Vista previa de toda la pantalla">
          <a:extLst>
            <a:ext uri="{FF2B5EF4-FFF2-40B4-BE49-F238E27FC236}">
              <a16:creationId xmlns:a16="http://schemas.microsoft.com/office/drawing/2014/main" id="{52BDA010-E01D-4D95-919D-211843A99C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0" name="AutoShape 1" descr="Vista previa de toda la pantalla">
          <a:extLst>
            <a:ext uri="{FF2B5EF4-FFF2-40B4-BE49-F238E27FC236}">
              <a16:creationId xmlns:a16="http://schemas.microsoft.com/office/drawing/2014/main" id="{B43D34DB-A76D-492F-BCFC-AC23E006B7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1" name="AutoShape 1" descr="Vista previa de toda la pantalla">
          <a:extLst>
            <a:ext uri="{FF2B5EF4-FFF2-40B4-BE49-F238E27FC236}">
              <a16:creationId xmlns:a16="http://schemas.microsoft.com/office/drawing/2014/main" id="{742034AB-E6E7-4A5B-A9D4-BFD6358EE8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2" name="AutoShape 1" descr="Vista previa de toda la pantalla">
          <a:extLst>
            <a:ext uri="{FF2B5EF4-FFF2-40B4-BE49-F238E27FC236}">
              <a16:creationId xmlns:a16="http://schemas.microsoft.com/office/drawing/2014/main" id="{CAAB71E7-6B37-4D2C-A180-76263F012C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3" name="AutoShape 1" descr="Vista previa de toda la pantalla">
          <a:extLst>
            <a:ext uri="{FF2B5EF4-FFF2-40B4-BE49-F238E27FC236}">
              <a16:creationId xmlns:a16="http://schemas.microsoft.com/office/drawing/2014/main" id="{C7389AB3-6E5E-4828-940A-98F858AAA4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4" name="AutoShape 1" descr="Vista previa de toda la pantalla">
          <a:extLst>
            <a:ext uri="{FF2B5EF4-FFF2-40B4-BE49-F238E27FC236}">
              <a16:creationId xmlns:a16="http://schemas.microsoft.com/office/drawing/2014/main" id="{8E6753AA-DC05-453B-A607-E3EB974BF5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5" name="AutoShape 1" descr="Vista previa de toda la pantalla">
          <a:extLst>
            <a:ext uri="{FF2B5EF4-FFF2-40B4-BE49-F238E27FC236}">
              <a16:creationId xmlns:a16="http://schemas.microsoft.com/office/drawing/2014/main" id="{A59481D5-7FA3-41EC-80A3-281A16A613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6" name="AutoShape 1" descr="Vista previa de toda la pantalla">
          <a:extLst>
            <a:ext uri="{FF2B5EF4-FFF2-40B4-BE49-F238E27FC236}">
              <a16:creationId xmlns:a16="http://schemas.microsoft.com/office/drawing/2014/main" id="{AB0912D6-2946-4841-B976-ECB4B11091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7" name="AutoShape 1" descr="Vista previa de toda la pantalla">
          <a:extLst>
            <a:ext uri="{FF2B5EF4-FFF2-40B4-BE49-F238E27FC236}">
              <a16:creationId xmlns:a16="http://schemas.microsoft.com/office/drawing/2014/main" id="{B3CA8986-5B8E-4DCD-B33A-97BF3CF12B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8" name="AutoShape 1" descr="Vista previa de toda la pantalla">
          <a:extLst>
            <a:ext uri="{FF2B5EF4-FFF2-40B4-BE49-F238E27FC236}">
              <a16:creationId xmlns:a16="http://schemas.microsoft.com/office/drawing/2014/main" id="{1D5C12A0-1568-4773-B8B3-17D5AE5A82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1999" name="AutoShape 1" descr="Vista previa de toda la pantalla">
          <a:extLst>
            <a:ext uri="{FF2B5EF4-FFF2-40B4-BE49-F238E27FC236}">
              <a16:creationId xmlns:a16="http://schemas.microsoft.com/office/drawing/2014/main" id="{7BC75D21-EA54-4A72-A8F9-6C481E13F6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0" name="AutoShape 1" descr="Vista previa de toda la pantalla">
          <a:extLst>
            <a:ext uri="{FF2B5EF4-FFF2-40B4-BE49-F238E27FC236}">
              <a16:creationId xmlns:a16="http://schemas.microsoft.com/office/drawing/2014/main" id="{FB82EFA0-50AC-4F30-A9C0-97E124C4E9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1" name="AutoShape 1" descr="Vista previa de toda la pantalla">
          <a:extLst>
            <a:ext uri="{FF2B5EF4-FFF2-40B4-BE49-F238E27FC236}">
              <a16:creationId xmlns:a16="http://schemas.microsoft.com/office/drawing/2014/main" id="{C8D3BB91-F69F-412D-A91A-27725078AB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2" name="AutoShape 1" descr="Vista previa de toda la pantalla">
          <a:extLst>
            <a:ext uri="{FF2B5EF4-FFF2-40B4-BE49-F238E27FC236}">
              <a16:creationId xmlns:a16="http://schemas.microsoft.com/office/drawing/2014/main" id="{E78D0DBA-E0D6-40C8-A84D-2633ECF8EE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3" name="AutoShape 1" descr="Vista previa de toda la pantalla">
          <a:extLst>
            <a:ext uri="{FF2B5EF4-FFF2-40B4-BE49-F238E27FC236}">
              <a16:creationId xmlns:a16="http://schemas.microsoft.com/office/drawing/2014/main" id="{06795403-A127-401F-93D6-5A0ED15A1F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4" name="AutoShape 1" descr="Vista previa de toda la pantalla">
          <a:extLst>
            <a:ext uri="{FF2B5EF4-FFF2-40B4-BE49-F238E27FC236}">
              <a16:creationId xmlns:a16="http://schemas.microsoft.com/office/drawing/2014/main" id="{973B79C1-038D-41AC-94D3-B237A9ECFF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5" name="AutoShape 1" descr="Vista previa de toda la pantalla">
          <a:extLst>
            <a:ext uri="{FF2B5EF4-FFF2-40B4-BE49-F238E27FC236}">
              <a16:creationId xmlns:a16="http://schemas.microsoft.com/office/drawing/2014/main" id="{782BA537-2E15-4C9E-B697-D7CD412538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6" name="AutoShape 1" descr="Vista previa de toda la pantalla">
          <a:extLst>
            <a:ext uri="{FF2B5EF4-FFF2-40B4-BE49-F238E27FC236}">
              <a16:creationId xmlns:a16="http://schemas.microsoft.com/office/drawing/2014/main" id="{4DF40EFF-B1DE-4646-94ED-7501515FE7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7" name="AutoShape 1" descr="Vista previa de toda la pantalla">
          <a:extLst>
            <a:ext uri="{FF2B5EF4-FFF2-40B4-BE49-F238E27FC236}">
              <a16:creationId xmlns:a16="http://schemas.microsoft.com/office/drawing/2014/main" id="{18920551-4A93-499F-88AA-72AF44B35B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8" name="AutoShape 1" descr="Vista previa de toda la pantalla">
          <a:extLst>
            <a:ext uri="{FF2B5EF4-FFF2-40B4-BE49-F238E27FC236}">
              <a16:creationId xmlns:a16="http://schemas.microsoft.com/office/drawing/2014/main" id="{D4D74FD1-7AAD-4E75-ADBE-45DAE77A09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09" name="AutoShape 1" descr="Vista previa de toda la pantalla">
          <a:extLst>
            <a:ext uri="{FF2B5EF4-FFF2-40B4-BE49-F238E27FC236}">
              <a16:creationId xmlns:a16="http://schemas.microsoft.com/office/drawing/2014/main" id="{308069A4-846C-44CF-B831-A1D0928F9B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0" name="AutoShape 1" descr="Vista previa de toda la pantalla">
          <a:extLst>
            <a:ext uri="{FF2B5EF4-FFF2-40B4-BE49-F238E27FC236}">
              <a16:creationId xmlns:a16="http://schemas.microsoft.com/office/drawing/2014/main" id="{951CDB45-6ECC-4866-8291-AC36597371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1" name="AutoShape 1" descr="Vista previa de toda la pantalla">
          <a:extLst>
            <a:ext uri="{FF2B5EF4-FFF2-40B4-BE49-F238E27FC236}">
              <a16:creationId xmlns:a16="http://schemas.microsoft.com/office/drawing/2014/main" id="{ACACD5E9-0B27-4555-B115-323C8A4C4F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2" name="AutoShape 1" descr="Vista previa de toda la pantalla">
          <a:extLst>
            <a:ext uri="{FF2B5EF4-FFF2-40B4-BE49-F238E27FC236}">
              <a16:creationId xmlns:a16="http://schemas.microsoft.com/office/drawing/2014/main" id="{230EFD79-833F-4666-85D8-DE1A3B636C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3" name="AutoShape 1" descr="Vista previa de toda la pantalla">
          <a:extLst>
            <a:ext uri="{FF2B5EF4-FFF2-40B4-BE49-F238E27FC236}">
              <a16:creationId xmlns:a16="http://schemas.microsoft.com/office/drawing/2014/main" id="{BDEBA891-A175-4B4C-9C7C-8FF606B1E7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4" name="AutoShape 1" descr="Vista previa de toda la pantalla">
          <a:extLst>
            <a:ext uri="{FF2B5EF4-FFF2-40B4-BE49-F238E27FC236}">
              <a16:creationId xmlns:a16="http://schemas.microsoft.com/office/drawing/2014/main" id="{22CBD178-6615-48BC-9C2F-C954284B73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5" name="AutoShape 1" descr="Vista previa de toda la pantalla">
          <a:extLst>
            <a:ext uri="{FF2B5EF4-FFF2-40B4-BE49-F238E27FC236}">
              <a16:creationId xmlns:a16="http://schemas.microsoft.com/office/drawing/2014/main" id="{C00608C8-5982-4CA6-986A-5BE5518589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6" name="AutoShape 1" descr="Vista previa de toda la pantalla">
          <a:extLst>
            <a:ext uri="{FF2B5EF4-FFF2-40B4-BE49-F238E27FC236}">
              <a16:creationId xmlns:a16="http://schemas.microsoft.com/office/drawing/2014/main" id="{30759F3D-8110-444A-9671-CDF360F546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7" name="AutoShape 1" descr="Vista previa de toda la pantalla">
          <a:extLst>
            <a:ext uri="{FF2B5EF4-FFF2-40B4-BE49-F238E27FC236}">
              <a16:creationId xmlns:a16="http://schemas.microsoft.com/office/drawing/2014/main" id="{C10E6E2A-701F-4E6A-B5C4-4632462967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8" name="AutoShape 1" descr="Vista previa de toda la pantalla">
          <a:extLst>
            <a:ext uri="{FF2B5EF4-FFF2-40B4-BE49-F238E27FC236}">
              <a16:creationId xmlns:a16="http://schemas.microsoft.com/office/drawing/2014/main" id="{B77E8A2E-39AE-4157-9CA7-200531A21F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19" name="AutoShape 1" descr="Vista previa de toda la pantalla">
          <a:extLst>
            <a:ext uri="{FF2B5EF4-FFF2-40B4-BE49-F238E27FC236}">
              <a16:creationId xmlns:a16="http://schemas.microsoft.com/office/drawing/2014/main" id="{F3AF9281-8DAE-4B81-A6E5-5335B6CE2A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0" name="AutoShape 1" descr="Vista previa de toda la pantalla">
          <a:extLst>
            <a:ext uri="{FF2B5EF4-FFF2-40B4-BE49-F238E27FC236}">
              <a16:creationId xmlns:a16="http://schemas.microsoft.com/office/drawing/2014/main" id="{B5BBE125-3395-4920-8DB6-FFCC4A907D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1" name="AutoShape 1" descr="Vista previa de toda la pantalla">
          <a:extLst>
            <a:ext uri="{FF2B5EF4-FFF2-40B4-BE49-F238E27FC236}">
              <a16:creationId xmlns:a16="http://schemas.microsoft.com/office/drawing/2014/main" id="{9BC4D913-9C6D-4260-9413-215E06477E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2" name="AutoShape 1" descr="Vista previa de toda la pantalla">
          <a:extLst>
            <a:ext uri="{FF2B5EF4-FFF2-40B4-BE49-F238E27FC236}">
              <a16:creationId xmlns:a16="http://schemas.microsoft.com/office/drawing/2014/main" id="{A4927084-BC64-47B4-A6BE-C72791BFDA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3" name="AutoShape 1" descr="Vista previa de toda la pantalla">
          <a:extLst>
            <a:ext uri="{FF2B5EF4-FFF2-40B4-BE49-F238E27FC236}">
              <a16:creationId xmlns:a16="http://schemas.microsoft.com/office/drawing/2014/main" id="{F3AB3981-2AFE-40AD-BD2F-20636F15A5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4" name="AutoShape 1" descr="Vista previa de toda la pantalla">
          <a:extLst>
            <a:ext uri="{FF2B5EF4-FFF2-40B4-BE49-F238E27FC236}">
              <a16:creationId xmlns:a16="http://schemas.microsoft.com/office/drawing/2014/main" id="{28157F5C-CCE8-4C22-95C2-71150AE032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5" name="AutoShape 1" descr="Vista previa de toda la pantalla">
          <a:extLst>
            <a:ext uri="{FF2B5EF4-FFF2-40B4-BE49-F238E27FC236}">
              <a16:creationId xmlns:a16="http://schemas.microsoft.com/office/drawing/2014/main" id="{53C8BD10-DB74-4B20-8800-7B3EECA2ED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6" name="AutoShape 1" descr="Vista previa de toda la pantalla">
          <a:extLst>
            <a:ext uri="{FF2B5EF4-FFF2-40B4-BE49-F238E27FC236}">
              <a16:creationId xmlns:a16="http://schemas.microsoft.com/office/drawing/2014/main" id="{82164B92-27CE-4561-AB54-3438C48CC2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7" name="AutoShape 1" descr="Vista previa de toda la pantalla">
          <a:extLst>
            <a:ext uri="{FF2B5EF4-FFF2-40B4-BE49-F238E27FC236}">
              <a16:creationId xmlns:a16="http://schemas.microsoft.com/office/drawing/2014/main" id="{D19EF8BF-7FC5-46FD-8260-9A3D6121B9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8" name="AutoShape 1" descr="Vista previa de toda la pantalla">
          <a:extLst>
            <a:ext uri="{FF2B5EF4-FFF2-40B4-BE49-F238E27FC236}">
              <a16:creationId xmlns:a16="http://schemas.microsoft.com/office/drawing/2014/main" id="{F8B26CE1-5D4E-4B4F-9A6A-9251956789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29" name="AutoShape 1" descr="Vista previa de toda la pantalla">
          <a:extLst>
            <a:ext uri="{FF2B5EF4-FFF2-40B4-BE49-F238E27FC236}">
              <a16:creationId xmlns:a16="http://schemas.microsoft.com/office/drawing/2014/main" id="{159997C3-0E28-45B4-B19C-3DEBCE78F0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0" name="AutoShape 1" descr="Vista previa de toda la pantalla">
          <a:extLst>
            <a:ext uri="{FF2B5EF4-FFF2-40B4-BE49-F238E27FC236}">
              <a16:creationId xmlns:a16="http://schemas.microsoft.com/office/drawing/2014/main" id="{AD073C64-C1A7-4E50-BC63-EDDE5B7E45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1" name="AutoShape 1" descr="Vista previa de toda la pantalla">
          <a:extLst>
            <a:ext uri="{FF2B5EF4-FFF2-40B4-BE49-F238E27FC236}">
              <a16:creationId xmlns:a16="http://schemas.microsoft.com/office/drawing/2014/main" id="{1A651179-A055-410D-BC45-851013293D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2" name="AutoShape 1" descr="Vista previa de toda la pantalla">
          <a:extLst>
            <a:ext uri="{FF2B5EF4-FFF2-40B4-BE49-F238E27FC236}">
              <a16:creationId xmlns:a16="http://schemas.microsoft.com/office/drawing/2014/main" id="{1F658802-23ED-4764-8DE2-6844382C8D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3" name="AutoShape 1" descr="Vista previa de toda la pantalla">
          <a:extLst>
            <a:ext uri="{FF2B5EF4-FFF2-40B4-BE49-F238E27FC236}">
              <a16:creationId xmlns:a16="http://schemas.microsoft.com/office/drawing/2014/main" id="{164DFE3C-830B-4AEA-A7DD-4769DA2997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4" name="AutoShape 1" descr="Vista previa de toda la pantalla">
          <a:extLst>
            <a:ext uri="{FF2B5EF4-FFF2-40B4-BE49-F238E27FC236}">
              <a16:creationId xmlns:a16="http://schemas.microsoft.com/office/drawing/2014/main" id="{64AF3DFF-61AD-4837-85EA-67DC4068AE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5" name="AutoShape 1" descr="Vista previa de toda la pantalla">
          <a:extLst>
            <a:ext uri="{FF2B5EF4-FFF2-40B4-BE49-F238E27FC236}">
              <a16:creationId xmlns:a16="http://schemas.microsoft.com/office/drawing/2014/main" id="{96388F3B-FC4D-48D5-A15B-F30DB72DA8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6" name="AutoShape 1" descr="Vista previa de toda la pantalla">
          <a:extLst>
            <a:ext uri="{FF2B5EF4-FFF2-40B4-BE49-F238E27FC236}">
              <a16:creationId xmlns:a16="http://schemas.microsoft.com/office/drawing/2014/main" id="{A9247DB9-73D1-4D37-AEC8-1001F51AE8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7" name="AutoShape 1" descr="Vista previa de toda la pantalla">
          <a:extLst>
            <a:ext uri="{FF2B5EF4-FFF2-40B4-BE49-F238E27FC236}">
              <a16:creationId xmlns:a16="http://schemas.microsoft.com/office/drawing/2014/main" id="{FBCB50ED-8157-437E-A0AA-1485168273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8" name="AutoShape 1" descr="Vista previa de toda la pantalla">
          <a:extLst>
            <a:ext uri="{FF2B5EF4-FFF2-40B4-BE49-F238E27FC236}">
              <a16:creationId xmlns:a16="http://schemas.microsoft.com/office/drawing/2014/main" id="{B0728168-9501-48F0-92CD-40F492FEBC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39" name="AutoShape 1" descr="Vista previa de toda la pantalla">
          <a:extLst>
            <a:ext uri="{FF2B5EF4-FFF2-40B4-BE49-F238E27FC236}">
              <a16:creationId xmlns:a16="http://schemas.microsoft.com/office/drawing/2014/main" id="{D4E8B838-2419-4FA5-BCE1-8340A4E546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0" name="AutoShape 1" descr="Vista previa de toda la pantalla">
          <a:extLst>
            <a:ext uri="{FF2B5EF4-FFF2-40B4-BE49-F238E27FC236}">
              <a16:creationId xmlns:a16="http://schemas.microsoft.com/office/drawing/2014/main" id="{64203499-CAC9-4029-953E-3ACDD67BAD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1" name="AutoShape 1" descr="Vista previa de toda la pantalla">
          <a:extLst>
            <a:ext uri="{FF2B5EF4-FFF2-40B4-BE49-F238E27FC236}">
              <a16:creationId xmlns:a16="http://schemas.microsoft.com/office/drawing/2014/main" id="{57A842A2-04D5-4D66-BA4C-AC2661A003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2" name="AutoShape 1" descr="Vista previa de toda la pantalla">
          <a:extLst>
            <a:ext uri="{FF2B5EF4-FFF2-40B4-BE49-F238E27FC236}">
              <a16:creationId xmlns:a16="http://schemas.microsoft.com/office/drawing/2014/main" id="{C653CB76-65B1-41F5-BDD2-F0D029FCE4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3" name="AutoShape 1" descr="Vista previa de toda la pantalla">
          <a:extLst>
            <a:ext uri="{FF2B5EF4-FFF2-40B4-BE49-F238E27FC236}">
              <a16:creationId xmlns:a16="http://schemas.microsoft.com/office/drawing/2014/main" id="{F95E4A80-0B13-4529-BD0F-83AD232936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4" name="AutoShape 1" descr="Vista previa de toda la pantalla">
          <a:extLst>
            <a:ext uri="{FF2B5EF4-FFF2-40B4-BE49-F238E27FC236}">
              <a16:creationId xmlns:a16="http://schemas.microsoft.com/office/drawing/2014/main" id="{64E98127-2660-482E-A1F0-C1E58B746F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5" name="AutoShape 1" descr="Vista previa de toda la pantalla">
          <a:extLst>
            <a:ext uri="{FF2B5EF4-FFF2-40B4-BE49-F238E27FC236}">
              <a16:creationId xmlns:a16="http://schemas.microsoft.com/office/drawing/2014/main" id="{2D626111-BB0A-450B-AD9E-B6B5FB2F7E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6" name="AutoShape 1" descr="Vista previa de toda la pantalla">
          <a:extLst>
            <a:ext uri="{FF2B5EF4-FFF2-40B4-BE49-F238E27FC236}">
              <a16:creationId xmlns:a16="http://schemas.microsoft.com/office/drawing/2014/main" id="{1DFC2FB2-68E3-4922-8773-46CED63B1F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7" name="AutoShape 1" descr="Vista previa de toda la pantalla">
          <a:extLst>
            <a:ext uri="{FF2B5EF4-FFF2-40B4-BE49-F238E27FC236}">
              <a16:creationId xmlns:a16="http://schemas.microsoft.com/office/drawing/2014/main" id="{774393CB-6403-4A99-8EA4-AD705CEB3C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8" name="AutoShape 1" descr="Vista previa de toda la pantalla">
          <a:extLst>
            <a:ext uri="{FF2B5EF4-FFF2-40B4-BE49-F238E27FC236}">
              <a16:creationId xmlns:a16="http://schemas.microsoft.com/office/drawing/2014/main" id="{C238D005-B9B7-418B-8E9B-DBB30E2321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49" name="AutoShape 1" descr="Vista previa de toda la pantalla">
          <a:extLst>
            <a:ext uri="{FF2B5EF4-FFF2-40B4-BE49-F238E27FC236}">
              <a16:creationId xmlns:a16="http://schemas.microsoft.com/office/drawing/2014/main" id="{89B32209-91EF-4C37-8FFD-3FF7E5C179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2050" name="AutoShape 1" descr="Vista previa de toda la pantalla">
          <a:extLst>
            <a:ext uri="{FF2B5EF4-FFF2-40B4-BE49-F238E27FC236}">
              <a16:creationId xmlns:a16="http://schemas.microsoft.com/office/drawing/2014/main" id="{AA35ACF2-4957-4563-8EEC-B8B5C16092DC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51" name="AutoShape 1" descr="Vista previa de toda la pantalla">
          <a:extLst>
            <a:ext uri="{FF2B5EF4-FFF2-40B4-BE49-F238E27FC236}">
              <a16:creationId xmlns:a16="http://schemas.microsoft.com/office/drawing/2014/main" id="{6CADDECA-8340-43E9-A756-84011322E5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52" name="AutoShape 1" descr="Vista previa de toda la pantalla">
          <a:extLst>
            <a:ext uri="{FF2B5EF4-FFF2-40B4-BE49-F238E27FC236}">
              <a16:creationId xmlns:a16="http://schemas.microsoft.com/office/drawing/2014/main" id="{FA225BCA-A8B5-4426-A259-DC79B13B07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53" name="AutoShape 1" descr="Vista previa de toda la pantalla">
          <a:extLst>
            <a:ext uri="{FF2B5EF4-FFF2-40B4-BE49-F238E27FC236}">
              <a16:creationId xmlns:a16="http://schemas.microsoft.com/office/drawing/2014/main" id="{E709F5BE-811F-4F6D-9108-8BEA48ADE7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54" name="AutoShape 1" descr="Vista previa de toda la pantalla">
          <a:extLst>
            <a:ext uri="{FF2B5EF4-FFF2-40B4-BE49-F238E27FC236}">
              <a16:creationId xmlns:a16="http://schemas.microsoft.com/office/drawing/2014/main" id="{6CCB5C00-EAD4-4E4E-A9B0-C4BC2BD928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55" name="AutoShape 1" descr="Vista previa de toda la pantalla">
          <a:extLst>
            <a:ext uri="{FF2B5EF4-FFF2-40B4-BE49-F238E27FC236}">
              <a16:creationId xmlns:a16="http://schemas.microsoft.com/office/drawing/2014/main" id="{20782386-7418-410D-A22F-8A500C7314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56" name="AutoShape 1" descr="Vista previa de toda la pantalla">
          <a:extLst>
            <a:ext uri="{FF2B5EF4-FFF2-40B4-BE49-F238E27FC236}">
              <a16:creationId xmlns:a16="http://schemas.microsoft.com/office/drawing/2014/main" id="{3DF91107-74D2-447E-BEA4-CDBB3D3E90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57" name="AutoShape 1" descr="Vista previa de toda la pantalla">
          <a:extLst>
            <a:ext uri="{FF2B5EF4-FFF2-40B4-BE49-F238E27FC236}">
              <a16:creationId xmlns:a16="http://schemas.microsoft.com/office/drawing/2014/main" id="{AC334FE4-0E46-40D7-94F8-E84985B679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58" name="AutoShape 1" descr="Vista previa de toda la pantalla">
          <a:extLst>
            <a:ext uri="{FF2B5EF4-FFF2-40B4-BE49-F238E27FC236}">
              <a16:creationId xmlns:a16="http://schemas.microsoft.com/office/drawing/2014/main" id="{770B9F18-DF79-4D14-8FF2-DD78F868E3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59" name="AutoShape 1" descr="Vista previa de toda la pantalla">
          <a:extLst>
            <a:ext uri="{FF2B5EF4-FFF2-40B4-BE49-F238E27FC236}">
              <a16:creationId xmlns:a16="http://schemas.microsoft.com/office/drawing/2014/main" id="{705E31AE-5542-4E5F-A02E-F78BA5F39C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0" name="AutoShape 1" descr="Vista previa de toda la pantalla">
          <a:extLst>
            <a:ext uri="{FF2B5EF4-FFF2-40B4-BE49-F238E27FC236}">
              <a16:creationId xmlns:a16="http://schemas.microsoft.com/office/drawing/2014/main" id="{30C3672C-70E1-46A1-85AC-CD3DD02C96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1" name="AutoShape 1" descr="Vista previa de toda la pantalla">
          <a:extLst>
            <a:ext uri="{FF2B5EF4-FFF2-40B4-BE49-F238E27FC236}">
              <a16:creationId xmlns:a16="http://schemas.microsoft.com/office/drawing/2014/main" id="{769EFC39-DF90-44B3-9C12-349F01471C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2" name="AutoShape 1" descr="Vista previa de toda la pantalla">
          <a:extLst>
            <a:ext uri="{FF2B5EF4-FFF2-40B4-BE49-F238E27FC236}">
              <a16:creationId xmlns:a16="http://schemas.microsoft.com/office/drawing/2014/main" id="{D5EB02DD-71C5-4CF9-8864-28B9BC208F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3" name="AutoShape 1" descr="Vista previa de toda la pantalla">
          <a:extLst>
            <a:ext uri="{FF2B5EF4-FFF2-40B4-BE49-F238E27FC236}">
              <a16:creationId xmlns:a16="http://schemas.microsoft.com/office/drawing/2014/main" id="{BB095062-EC58-443B-A3A7-15FE1B0AF1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4" name="AutoShape 1" descr="Vista previa de toda la pantalla">
          <a:extLst>
            <a:ext uri="{FF2B5EF4-FFF2-40B4-BE49-F238E27FC236}">
              <a16:creationId xmlns:a16="http://schemas.microsoft.com/office/drawing/2014/main" id="{8BC670EC-B754-4474-B222-FCB8660E38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5" name="AutoShape 1" descr="Vista previa de toda la pantalla">
          <a:extLst>
            <a:ext uri="{FF2B5EF4-FFF2-40B4-BE49-F238E27FC236}">
              <a16:creationId xmlns:a16="http://schemas.microsoft.com/office/drawing/2014/main" id="{B5B23034-5845-4C52-A075-13C5D4534D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6" name="AutoShape 1" descr="Vista previa de toda la pantalla">
          <a:extLst>
            <a:ext uri="{FF2B5EF4-FFF2-40B4-BE49-F238E27FC236}">
              <a16:creationId xmlns:a16="http://schemas.microsoft.com/office/drawing/2014/main" id="{7CD0279D-48DC-4C2A-949C-FB8A36AA50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7" name="AutoShape 1" descr="Vista previa de toda la pantalla">
          <a:extLst>
            <a:ext uri="{FF2B5EF4-FFF2-40B4-BE49-F238E27FC236}">
              <a16:creationId xmlns:a16="http://schemas.microsoft.com/office/drawing/2014/main" id="{EF0209E5-94EA-4E28-8D3C-9DDB8F04A0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8" name="AutoShape 1" descr="Vista previa de toda la pantalla">
          <a:extLst>
            <a:ext uri="{FF2B5EF4-FFF2-40B4-BE49-F238E27FC236}">
              <a16:creationId xmlns:a16="http://schemas.microsoft.com/office/drawing/2014/main" id="{5A92409C-F08C-4716-8112-602C4AC197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69" name="AutoShape 1" descr="Vista previa de toda la pantalla">
          <a:extLst>
            <a:ext uri="{FF2B5EF4-FFF2-40B4-BE49-F238E27FC236}">
              <a16:creationId xmlns:a16="http://schemas.microsoft.com/office/drawing/2014/main" id="{C63B494D-255D-4CD9-8259-95B71363CC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0" name="AutoShape 1" descr="Vista previa de toda la pantalla">
          <a:extLst>
            <a:ext uri="{FF2B5EF4-FFF2-40B4-BE49-F238E27FC236}">
              <a16:creationId xmlns:a16="http://schemas.microsoft.com/office/drawing/2014/main" id="{9BF2A89B-BF0D-448F-A982-E63648AD31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1" name="AutoShape 1" descr="Vista previa de toda la pantalla">
          <a:extLst>
            <a:ext uri="{FF2B5EF4-FFF2-40B4-BE49-F238E27FC236}">
              <a16:creationId xmlns:a16="http://schemas.microsoft.com/office/drawing/2014/main" id="{0FAB8F52-7E8D-4313-8292-F64BC9E1F2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2" name="AutoShape 1" descr="Vista previa de toda la pantalla">
          <a:extLst>
            <a:ext uri="{FF2B5EF4-FFF2-40B4-BE49-F238E27FC236}">
              <a16:creationId xmlns:a16="http://schemas.microsoft.com/office/drawing/2014/main" id="{A0105F3F-8311-4A59-8165-F09D2AA458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3" name="AutoShape 1" descr="Vista previa de toda la pantalla">
          <a:extLst>
            <a:ext uri="{FF2B5EF4-FFF2-40B4-BE49-F238E27FC236}">
              <a16:creationId xmlns:a16="http://schemas.microsoft.com/office/drawing/2014/main" id="{9DBF7250-08B3-4B10-83E3-1BAEBE4DC3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4" name="AutoShape 1" descr="Vista previa de toda la pantalla">
          <a:extLst>
            <a:ext uri="{FF2B5EF4-FFF2-40B4-BE49-F238E27FC236}">
              <a16:creationId xmlns:a16="http://schemas.microsoft.com/office/drawing/2014/main" id="{77FD1451-A8F2-4F5B-92EE-DC14EF36D4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5" name="AutoShape 1" descr="Vista previa de toda la pantalla">
          <a:extLst>
            <a:ext uri="{FF2B5EF4-FFF2-40B4-BE49-F238E27FC236}">
              <a16:creationId xmlns:a16="http://schemas.microsoft.com/office/drawing/2014/main" id="{C9BFD8AB-C529-4684-BF16-50C40154C4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6" name="AutoShape 1" descr="Vista previa de toda la pantalla">
          <a:extLst>
            <a:ext uri="{FF2B5EF4-FFF2-40B4-BE49-F238E27FC236}">
              <a16:creationId xmlns:a16="http://schemas.microsoft.com/office/drawing/2014/main" id="{29F55A9C-CA36-4E93-AF44-0F8C2849D1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7" name="AutoShape 1" descr="Vista previa de toda la pantalla">
          <a:extLst>
            <a:ext uri="{FF2B5EF4-FFF2-40B4-BE49-F238E27FC236}">
              <a16:creationId xmlns:a16="http://schemas.microsoft.com/office/drawing/2014/main" id="{0CCD654D-34F1-4A53-BCF3-AFA5F1077E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8" name="AutoShape 1" descr="Vista previa de toda la pantalla">
          <a:extLst>
            <a:ext uri="{FF2B5EF4-FFF2-40B4-BE49-F238E27FC236}">
              <a16:creationId xmlns:a16="http://schemas.microsoft.com/office/drawing/2014/main" id="{490C442D-6200-4875-BC8D-39EA03446E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79" name="AutoShape 1" descr="Vista previa de toda la pantalla">
          <a:extLst>
            <a:ext uri="{FF2B5EF4-FFF2-40B4-BE49-F238E27FC236}">
              <a16:creationId xmlns:a16="http://schemas.microsoft.com/office/drawing/2014/main" id="{2FCE8DE9-7ABC-44E1-8AC1-DC474FBB10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0" name="AutoShape 1" descr="Vista previa de toda la pantalla">
          <a:extLst>
            <a:ext uri="{FF2B5EF4-FFF2-40B4-BE49-F238E27FC236}">
              <a16:creationId xmlns:a16="http://schemas.microsoft.com/office/drawing/2014/main" id="{38998C35-A7E3-4C55-BED7-32CD770D71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1" name="AutoShape 1" descr="Vista previa de toda la pantalla">
          <a:extLst>
            <a:ext uri="{FF2B5EF4-FFF2-40B4-BE49-F238E27FC236}">
              <a16:creationId xmlns:a16="http://schemas.microsoft.com/office/drawing/2014/main" id="{107827DB-CD7D-4335-B569-FE20F0DCD7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2" name="AutoShape 1" descr="Vista previa de toda la pantalla">
          <a:extLst>
            <a:ext uri="{FF2B5EF4-FFF2-40B4-BE49-F238E27FC236}">
              <a16:creationId xmlns:a16="http://schemas.microsoft.com/office/drawing/2014/main" id="{F09120BC-C237-4D37-8086-D75509CD7E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3" name="AutoShape 1" descr="Vista previa de toda la pantalla">
          <a:extLst>
            <a:ext uri="{FF2B5EF4-FFF2-40B4-BE49-F238E27FC236}">
              <a16:creationId xmlns:a16="http://schemas.microsoft.com/office/drawing/2014/main" id="{2E85AA44-6DB2-4E2C-A48C-B22E737533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4" name="AutoShape 1" descr="Vista previa de toda la pantalla">
          <a:extLst>
            <a:ext uri="{FF2B5EF4-FFF2-40B4-BE49-F238E27FC236}">
              <a16:creationId xmlns:a16="http://schemas.microsoft.com/office/drawing/2014/main" id="{68381108-717E-4B63-B80F-91A81482B8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5" name="AutoShape 1" descr="Vista previa de toda la pantalla">
          <a:extLst>
            <a:ext uri="{FF2B5EF4-FFF2-40B4-BE49-F238E27FC236}">
              <a16:creationId xmlns:a16="http://schemas.microsoft.com/office/drawing/2014/main" id="{A40D187A-7635-47D9-988E-73B64BE1E8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6" name="AutoShape 1" descr="Vista previa de toda la pantalla">
          <a:extLst>
            <a:ext uri="{FF2B5EF4-FFF2-40B4-BE49-F238E27FC236}">
              <a16:creationId xmlns:a16="http://schemas.microsoft.com/office/drawing/2014/main" id="{18FCDD01-5DD5-45A7-85A9-F4BC778F6F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7" name="AutoShape 1" descr="Vista previa de toda la pantalla">
          <a:extLst>
            <a:ext uri="{FF2B5EF4-FFF2-40B4-BE49-F238E27FC236}">
              <a16:creationId xmlns:a16="http://schemas.microsoft.com/office/drawing/2014/main" id="{4E1F9C26-743F-48E5-9A61-46D8F676F3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8" name="AutoShape 1" descr="Vista previa de toda la pantalla">
          <a:extLst>
            <a:ext uri="{FF2B5EF4-FFF2-40B4-BE49-F238E27FC236}">
              <a16:creationId xmlns:a16="http://schemas.microsoft.com/office/drawing/2014/main" id="{A4614254-EF49-49FC-992A-92FCE58324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89" name="AutoShape 1" descr="Vista previa de toda la pantalla">
          <a:extLst>
            <a:ext uri="{FF2B5EF4-FFF2-40B4-BE49-F238E27FC236}">
              <a16:creationId xmlns:a16="http://schemas.microsoft.com/office/drawing/2014/main" id="{39B1E234-1217-41B9-8810-AD161475C7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0" name="AutoShape 1" descr="Vista previa de toda la pantalla">
          <a:extLst>
            <a:ext uri="{FF2B5EF4-FFF2-40B4-BE49-F238E27FC236}">
              <a16:creationId xmlns:a16="http://schemas.microsoft.com/office/drawing/2014/main" id="{B4888318-A5D2-4C1D-8BBA-D47A20CC98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1" name="AutoShape 1" descr="Vista previa de toda la pantalla">
          <a:extLst>
            <a:ext uri="{FF2B5EF4-FFF2-40B4-BE49-F238E27FC236}">
              <a16:creationId xmlns:a16="http://schemas.microsoft.com/office/drawing/2014/main" id="{C6F19F99-B198-4101-875F-1DB4AF127F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2" name="AutoShape 1" descr="Vista previa de toda la pantalla">
          <a:extLst>
            <a:ext uri="{FF2B5EF4-FFF2-40B4-BE49-F238E27FC236}">
              <a16:creationId xmlns:a16="http://schemas.microsoft.com/office/drawing/2014/main" id="{6952B14A-E05B-4227-8A87-6F0CCE27F9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3" name="AutoShape 1" descr="Vista previa de toda la pantalla">
          <a:extLst>
            <a:ext uri="{FF2B5EF4-FFF2-40B4-BE49-F238E27FC236}">
              <a16:creationId xmlns:a16="http://schemas.microsoft.com/office/drawing/2014/main" id="{CF168586-242A-4DFD-877D-81C86F6346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4" name="AutoShape 1" descr="Vista previa de toda la pantalla">
          <a:extLst>
            <a:ext uri="{FF2B5EF4-FFF2-40B4-BE49-F238E27FC236}">
              <a16:creationId xmlns:a16="http://schemas.microsoft.com/office/drawing/2014/main" id="{4403FD1E-13A2-4835-9059-6153B67C33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5" name="AutoShape 1" descr="Vista previa de toda la pantalla">
          <a:extLst>
            <a:ext uri="{FF2B5EF4-FFF2-40B4-BE49-F238E27FC236}">
              <a16:creationId xmlns:a16="http://schemas.microsoft.com/office/drawing/2014/main" id="{D41C0BE9-36E6-40ED-AD1C-1EA7D8EE78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6" name="AutoShape 1" descr="Vista previa de toda la pantalla">
          <a:extLst>
            <a:ext uri="{FF2B5EF4-FFF2-40B4-BE49-F238E27FC236}">
              <a16:creationId xmlns:a16="http://schemas.microsoft.com/office/drawing/2014/main" id="{A577C372-4AE7-42C9-A58C-0550ADB19C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7" name="AutoShape 1" descr="Vista previa de toda la pantalla">
          <a:extLst>
            <a:ext uri="{FF2B5EF4-FFF2-40B4-BE49-F238E27FC236}">
              <a16:creationId xmlns:a16="http://schemas.microsoft.com/office/drawing/2014/main" id="{743541F1-87DD-4384-8DD9-841930C6BE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8" name="AutoShape 1" descr="Vista previa de toda la pantalla">
          <a:extLst>
            <a:ext uri="{FF2B5EF4-FFF2-40B4-BE49-F238E27FC236}">
              <a16:creationId xmlns:a16="http://schemas.microsoft.com/office/drawing/2014/main" id="{B74D440C-8EE2-447D-A6EA-76C9DA1C4A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099" name="AutoShape 1" descr="Vista previa de toda la pantalla">
          <a:extLst>
            <a:ext uri="{FF2B5EF4-FFF2-40B4-BE49-F238E27FC236}">
              <a16:creationId xmlns:a16="http://schemas.microsoft.com/office/drawing/2014/main" id="{A501E304-786F-45BC-909B-AAD9B50D8C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0" name="AutoShape 1" descr="Vista previa de toda la pantalla">
          <a:extLst>
            <a:ext uri="{FF2B5EF4-FFF2-40B4-BE49-F238E27FC236}">
              <a16:creationId xmlns:a16="http://schemas.microsoft.com/office/drawing/2014/main" id="{26C6B895-9FEA-4147-8881-93BF54C9A2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1" name="AutoShape 1" descr="Vista previa de toda la pantalla">
          <a:extLst>
            <a:ext uri="{FF2B5EF4-FFF2-40B4-BE49-F238E27FC236}">
              <a16:creationId xmlns:a16="http://schemas.microsoft.com/office/drawing/2014/main" id="{7A5256CD-0BDE-4EFD-B620-48AF1B5114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2" name="AutoShape 1" descr="Vista previa de toda la pantalla">
          <a:extLst>
            <a:ext uri="{FF2B5EF4-FFF2-40B4-BE49-F238E27FC236}">
              <a16:creationId xmlns:a16="http://schemas.microsoft.com/office/drawing/2014/main" id="{85F2EE46-E711-4F94-A3B8-94F105C88B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3" name="AutoShape 1" descr="Vista previa de toda la pantalla">
          <a:extLst>
            <a:ext uri="{FF2B5EF4-FFF2-40B4-BE49-F238E27FC236}">
              <a16:creationId xmlns:a16="http://schemas.microsoft.com/office/drawing/2014/main" id="{03CBB638-1140-4273-9A81-23C7551292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4" name="AutoShape 1" descr="Vista previa de toda la pantalla">
          <a:extLst>
            <a:ext uri="{FF2B5EF4-FFF2-40B4-BE49-F238E27FC236}">
              <a16:creationId xmlns:a16="http://schemas.microsoft.com/office/drawing/2014/main" id="{EA424D58-1E99-459B-94CC-F2BB6E0F14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5" name="AutoShape 1" descr="Vista previa de toda la pantalla">
          <a:extLst>
            <a:ext uri="{FF2B5EF4-FFF2-40B4-BE49-F238E27FC236}">
              <a16:creationId xmlns:a16="http://schemas.microsoft.com/office/drawing/2014/main" id="{9AA2361F-9EC0-499A-AF8F-D8812C0407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6" name="AutoShape 1" descr="Vista previa de toda la pantalla">
          <a:extLst>
            <a:ext uri="{FF2B5EF4-FFF2-40B4-BE49-F238E27FC236}">
              <a16:creationId xmlns:a16="http://schemas.microsoft.com/office/drawing/2014/main" id="{758769D5-AB84-4B7A-93F6-59017233FE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7" name="AutoShape 1" descr="Vista previa de toda la pantalla">
          <a:extLst>
            <a:ext uri="{FF2B5EF4-FFF2-40B4-BE49-F238E27FC236}">
              <a16:creationId xmlns:a16="http://schemas.microsoft.com/office/drawing/2014/main" id="{45A09884-4A16-4BBD-A4C9-BAEE42660D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8" name="AutoShape 1" descr="Vista previa de toda la pantalla">
          <a:extLst>
            <a:ext uri="{FF2B5EF4-FFF2-40B4-BE49-F238E27FC236}">
              <a16:creationId xmlns:a16="http://schemas.microsoft.com/office/drawing/2014/main" id="{69C4DE36-BD36-4162-B3BF-0EF31492DA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09" name="AutoShape 1" descr="Vista previa de toda la pantalla">
          <a:extLst>
            <a:ext uri="{FF2B5EF4-FFF2-40B4-BE49-F238E27FC236}">
              <a16:creationId xmlns:a16="http://schemas.microsoft.com/office/drawing/2014/main" id="{1C46AF01-8C9C-45E5-AEB3-74D7DD286C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0" name="AutoShape 1" descr="Vista previa de toda la pantalla">
          <a:extLst>
            <a:ext uri="{FF2B5EF4-FFF2-40B4-BE49-F238E27FC236}">
              <a16:creationId xmlns:a16="http://schemas.microsoft.com/office/drawing/2014/main" id="{C3F95BE1-D241-4730-8282-CB63DB0AF4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1" name="AutoShape 1" descr="Vista previa de toda la pantalla">
          <a:extLst>
            <a:ext uri="{FF2B5EF4-FFF2-40B4-BE49-F238E27FC236}">
              <a16:creationId xmlns:a16="http://schemas.microsoft.com/office/drawing/2014/main" id="{C3F164B7-3B26-46DD-BFA7-F975FFE9B6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2" name="AutoShape 1" descr="Vista previa de toda la pantalla">
          <a:extLst>
            <a:ext uri="{FF2B5EF4-FFF2-40B4-BE49-F238E27FC236}">
              <a16:creationId xmlns:a16="http://schemas.microsoft.com/office/drawing/2014/main" id="{69084911-DBA6-4CBD-8156-20AC37E948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3" name="AutoShape 1" descr="Vista previa de toda la pantalla">
          <a:extLst>
            <a:ext uri="{FF2B5EF4-FFF2-40B4-BE49-F238E27FC236}">
              <a16:creationId xmlns:a16="http://schemas.microsoft.com/office/drawing/2014/main" id="{87B9F9AD-6001-4412-B60A-F017337606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4" name="AutoShape 1" descr="Vista previa de toda la pantalla">
          <a:extLst>
            <a:ext uri="{FF2B5EF4-FFF2-40B4-BE49-F238E27FC236}">
              <a16:creationId xmlns:a16="http://schemas.microsoft.com/office/drawing/2014/main" id="{694C7770-1431-4D3D-AC51-650596E3C9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5" name="AutoShape 1" descr="Vista previa de toda la pantalla">
          <a:extLst>
            <a:ext uri="{FF2B5EF4-FFF2-40B4-BE49-F238E27FC236}">
              <a16:creationId xmlns:a16="http://schemas.microsoft.com/office/drawing/2014/main" id="{E2AEEBA6-C7B3-4312-969A-0BE347384A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6" name="AutoShape 1" descr="Vista previa de toda la pantalla">
          <a:extLst>
            <a:ext uri="{FF2B5EF4-FFF2-40B4-BE49-F238E27FC236}">
              <a16:creationId xmlns:a16="http://schemas.microsoft.com/office/drawing/2014/main" id="{92D870DE-604E-47C8-8271-665112DFE8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7" name="AutoShape 1" descr="Vista previa de toda la pantalla">
          <a:extLst>
            <a:ext uri="{FF2B5EF4-FFF2-40B4-BE49-F238E27FC236}">
              <a16:creationId xmlns:a16="http://schemas.microsoft.com/office/drawing/2014/main" id="{D87780EC-2BC6-4511-AB1B-7D4B01A777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8" name="AutoShape 1" descr="Vista previa de toda la pantalla">
          <a:extLst>
            <a:ext uri="{FF2B5EF4-FFF2-40B4-BE49-F238E27FC236}">
              <a16:creationId xmlns:a16="http://schemas.microsoft.com/office/drawing/2014/main" id="{EDF43C59-6F8E-447C-8B9B-38D735BBBF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19" name="AutoShape 1" descr="Vista previa de toda la pantalla">
          <a:extLst>
            <a:ext uri="{FF2B5EF4-FFF2-40B4-BE49-F238E27FC236}">
              <a16:creationId xmlns:a16="http://schemas.microsoft.com/office/drawing/2014/main" id="{31B70F91-536F-4800-B7F6-229A1F92CE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0" name="AutoShape 1" descr="Vista previa de toda la pantalla">
          <a:extLst>
            <a:ext uri="{FF2B5EF4-FFF2-40B4-BE49-F238E27FC236}">
              <a16:creationId xmlns:a16="http://schemas.microsoft.com/office/drawing/2014/main" id="{7EFE2DE6-3706-42B2-810C-2679A7DC25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1" name="AutoShape 1" descr="Vista previa de toda la pantalla">
          <a:extLst>
            <a:ext uri="{FF2B5EF4-FFF2-40B4-BE49-F238E27FC236}">
              <a16:creationId xmlns:a16="http://schemas.microsoft.com/office/drawing/2014/main" id="{4D9E6CA6-F5C9-4228-A8FC-4D9FFC42FE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2" name="AutoShape 1" descr="Vista previa de toda la pantalla">
          <a:extLst>
            <a:ext uri="{FF2B5EF4-FFF2-40B4-BE49-F238E27FC236}">
              <a16:creationId xmlns:a16="http://schemas.microsoft.com/office/drawing/2014/main" id="{094DA046-E0BD-49C4-AAE0-98A138C114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3" name="AutoShape 1" descr="Vista previa de toda la pantalla">
          <a:extLst>
            <a:ext uri="{FF2B5EF4-FFF2-40B4-BE49-F238E27FC236}">
              <a16:creationId xmlns:a16="http://schemas.microsoft.com/office/drawing/2014/main" id="{482BBD43-1945-44E3-AE06-EEFB84B2A4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4" name="AutoShape 1" descr="Vista previa de toda la pantalla">
          <a:extLst>
            <a:ext uri="{FF2B5EF4-FFF2-40B4-BE49-F238E27FC236}">
              <a16:creationId xmlns:a16="http://schemas.microsoft.com/office/drawing/2014/main" id="{06DF791B-2A3A-4699-8058-29979FAEE2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5" name="AutoShape 1" descr="Vista previa de toda la pantalla">
          <a:extLst>
            <a:ext uri="{FF2B5EF4-FFF2-40B4-BE49-F238E27FC236}">
              <a16:creationId xmlns:a16="http://schemas.microsoft.com/office/drawing/2014/main" id="{3D108D85-27CF-4304-892D-E46F671D11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6" name="AutoShape 1" descr="Vista previa de toda la pantalla">
          <a:extLst>
            <a:ext uri="{FF2B5EF4-FFF2-40B4-BE49-F238E27FC236}">
              <a16:creationId xmlns:a16="http://schemas.microsoft.com/office/drawing/2014/main" id="{585DCE8B-6112-4C32-AA0A-86977B6882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7" name="AutoShape 1" descr="Vista previa de toda la pantalla">
          <a:extLst>
            <a:ext uri="{FF2B5EF4-FFF2-40B4-BE49-F238E27FC236}">
              <a16:creationId xmlns:a16="http://schemas.microsoft.com/office/drawing/2014/main" id="{A301157D-0D00-44C0-99BB-59AF33430D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8" name="AutoShape 1" descr="Vista previa de toda la pantalla">
          <a:extLst>
            <a:ext uri="{FF2B5EF4-FFF2-40B4-BE49-F238E27FC236}">
              <a16:creationId xmlns:a16="http://schemas.microsoft.com/office/drawing/2014/main" id="{11638956-C72B-40EF-996C-43C9BC4F3E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29" name="AutoShape 1" descr="Vista previa de toda la pantalla">
          <a:extLst>
            <a:ext uri="{FF2B5EF4-FFF2-40B4-BE49-F238E27FC236}">
              <a16:creationId xmlns:a16="http://schemas.microsoft.com/office/drawing/2014/main" id="{AE0DC1F1-1F77-498D-9A7D-599CA0BB28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0" name="AutoShape 1" descr="Vista previa de toda la pantalla">
          <a:extLst>
            <a:ext uri="{FF2B5EF4-FFF2-40B4-BE49-F238E27FC236}">
              <a16:creationId xmlns:a16="http://schemas.microsoft.com/office/drawing/2014/main" id="{D35EA74E-44DC-442A-8FC2-E9BB53C074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1" name="AutoShape 1" descr="Vista previa de toda la pantalla">
          <a:extLst>
            <a:ext uri="{FF2B5EF4-FFF2-40B4-BE49-F238E27FC236}">
              <a16:creationId xmlns:a16="http://schemas.microsoft.com/office/drawing/2014/main" id="{704D79BC-3BF3-4A24-8AFE-453CBEC0F5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2" name="AutoShape 1" descr="Vista previa de toda la pantalla">
          <a:extLst>
            <a:ext uri="{FF2B5EF4-FFF2-40B4-BE49-F238E27FC236}">
              <a16:creationId xmlns:a16="http://schemas.microsoft.com/office/drawing/2014/main" id="{1D625DCB-B045-4228-ADEC-2339074EDC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3" name="AutoShape 1" descr="Vista previa de toda la pantalla">
          <a:extLst>
            <a:ext uri="{FF2B5EF4-FFF2-40B4-BE49-F238E27FC236}">
              <a16:creationId xmlns:a16="http://schemas.microsoft.com/office/drawing/2014/main" id="{FCBA01FE-F4A4-4C7D-8353-04EDDA9DED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4" name="AutoShape 1" descr="Vista previa de toda la pantalla">
          <a:extLst>
            <a:ext uri="{FF2B5EF4-FFF2-40B4-BE49-F238E27FC236}">
              <a16:creationId xmlns:a16="http://schemas.microsoft.com/office/drawing/2014/main" id="{E8A99FA8-F891-4B65-A0C8-E3CC7A49D8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5" name="AutoShape 1" descr="Vista previa de toda la pantalla">
          <a:extLst>
            <a:ext uri="{FF2B5EF4-FFF2-40B4-BE49-F238E27FC236}">
              <a16:creationId xmlns:a16="http://schemas.microsoft.com/office/drawing/2014/main" id="{5784425A-9325-4172-BA8B-20AFF9ACCC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6" name="AutoShape 1" descr="Vista previa de toda la pantalla">
          <a:extLst>
            <a:ext uri="{FF2B5EF4-FFF2-40B4-BE49-F238E27FC236}">
              <a16:creationId xmlns:a16="http://schemas.microsoft.com/office/drawing/2014/main" id="{2877BF1F-A0EC-41FE-809F-36A819D4C0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7" name="AutoShape 1" descr="Vista previa de toda la pantalla">
          <a:extLst>
            <a:ext uri="{FF2B5EF4-FFF2-40B4-BE49-F238E27FC236}">
              <a16:creationId xmlns:a16="http://schemas.microsoft.com/office/drawing/2014/main" id="{35F22397-2B55-43B3-B565-C01DDFAC41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8" name="AutoShape 1" descr="Vista previa de toda la pantalla">
          <a:extLst>
            <a:ext uri="{FF2B5EF4-FFF2-40B4-BE49-F238E27FC236}">
              <a16:creationId xmlns:a16="http://schemas.microsoft.com/office/drawing/2014/main" id="{9A8DAA91-F49B-45D0-AE78-BCD3635C84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39" name="AutoShape 1" descr="Vista previa de toda la pantalla">
          <a:extLst>
            <a:ext uri="{FF2B5EF4-FFF2-40B4-BE49-F238E27FC236}">
              <a16:creationId xmlns:a16="http://schemas.microsoft.com/office/drawing/2014/main" id="{CA8DF91D-DF70-4905-852A-48B7652DEC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0" name="AutoShape 1" descr="Vista previa de toda la pantalla">
          <a:extLst>
            <a:ext uri="{FF2B5EF4-FFF2-40B4-BE49-F238E27FC236}">
              <a16:creationId xmlns:a16="http://schemas.microsoft.com/office/drawing/2014/main" id="{89BB2316-44F2-4A4F-B40E-FFA57C828C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1" name="AutoShape 1" descr="Vista previa de toda la pantalla">
          <a:extLst>
            <a:ext uri="{FF2B5EF4-FFF2-40B4-BE49-F238E27FC236}">
              <a16:creationId xmlns:a16="http://schemas.microsoft.com/office/drawing/2014/main" id="{AA6ED2FD-F397-4AB1-8733-D968688C90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2" name="AutoShape 1" descr="Vista previa de toda la pantalla">
          <a:extLst>
            <a:ext uri="{FF2B5EF4-FFF2-40B4-BE49-F238E27FC236}">
              <a16:creationId xmlns:a16="http://schemas.microsoft.com/office/drawing/2014/main" id="{512513AA-ECCC-4C2D-AD58-9FBA046B30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3" name="AutoShape 1" descr="Vista previa de toda la pantalla">
          <a:extLst>
            <a:ext uri="{FF2B5EF4-FFF2-40B4-BE49-F238E27FC236}">
              <a16:creationId xmlns:a16="http://schemas.microsoft.com/office/drawing/2014/main" id="{11FF21A6-C75A-45F3-A88A-2ECEE1C008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4" name="AutoShape 1" descr="Vista previa de toda la pantalla">
          <a:extLst>
            <a:ext uri="{FF2B5EF4-FFF2-40B4-BE49-F238E27FC236}">
              <a16:creationId xmlns:a16="http://schemas.microsoft.com/office/drawing/2014/main" id="{3192ED5F-CE26-4D92-AC78-698EF6C2AC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5" name="AutoShape 1" descr="Vista previa de toda la pantalla">
          <a:extLst>
            <a:ext uri="{FF2B5EF4-FFF2-40B4-BE49-F238E27FC236}">
              <a16:creationId xmlns:a16="http://schemas.microsoft.com/office/drawing/2014/main" id="{BD59DD96-A49F-466A-B4B3-AACB1B5992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6" name="AutoShape 1" descr="Vista previa de toda la pantalla">
          <a:extLst>
            <a:ext uri="{FF2B5EF4-FFF2-40B4-BE49-F238E27FC236}">
              <a16:creationId xmlns:a16="http://schemas.microsoft.com/office/drawing/2014/main" id="{3185F380-5ACB-4F0F-9AF7-9531253974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7" name="AutoShape 1" descr="Vista previa de toda la pantalla">
          <a:extLst>
            <a:ext uri="{FF2B5EF4-FFF2-40B4-BE49-F238E27FC236}">
              <a16:creationId xmlns:a16="http://schemas.microsoft.com/office/drawing/2014/main" id="{AB55C8C8-3708-4956-9194-F8D62658AC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8" name="AutoShape 1" descr="Vista previa de toda la pantalla">
          <a:extLst>
            <a:ext uri="{FF2B5EF4-FFF2-40B4-BE49-F238E27FC236}">
              <a16:creationId xmlns:a16="http://schemas.microsoft.com/office/drawing/2014/main" id="{444755DB-629D-4735-B559-D13EEC65F6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49" name="AutoShape 1" descr="Vista previa de toda la pantalla">
          <a:extLst>
            <a:ext uri="{FF2B5EF4-FFF2-40B4-BE49-F238E27FC236}">
              <a16:creationId xmlns:a16="http://schemas.microsoft.com/office/drawing/2014/main" id="{53E249A1-7C15-48F2-B207-E9600D9C2B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0" name="AutoShape 1" descr="Vista previa de toda la pantalla">
          <a:extLst>
            <a:ext uri="{FF2B5EF4-FFF2-40B4-BE49-F238E27FC236}">
              <a16:creationId xmlns:a16="http://schemas.microsoft.com/office/drawing/2014/main" id="{F2D66C71-B252-4113-B883-D263012878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1" name="AutoShape 1" descr="Vista previa de toda la pantalla">
          <a:extLst>
            <a:ext uri="{FF2B5EF4-FFF2-40B4-BE49-F238E27FC236}">
              <a16:creationId xmlns:a16="http://schemas.microsoft.com/office/drawing/2014/main" id="{90D63EF0-FF4B-4830-81C4-B8A84E2B20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2" name="AutoShape 1" descr="Vista previa de toda la pantalla">
          <a:extLst>
            <a:ext uri="{FF2B5EF4-FFF2-40B4-BE49-F238E27FC236}">
              <a16:creationId xmlns:a16="http://schemas.microsoft.com/office/drawing/2014/main" id="{05527FB7-7A82-44BB-8F9A-45685ED389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3" name="AutoShape 1" descr="Vista previa de toda la pantalla">
          <a:extLst>
            <a:ext uri="{FF2B5EF4-FFF2-40B4-BE49-F238E27FC236}">
              <a16:creationId xmlns:a16="http://schemas.microsoft.com/office/drawing/2014/main" id="{D206059C-1ECB-44B5-BE8E-A5895FF886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4" name="AutoShape 1" descr="Vista previa de toda la pantalla">
          <a:extLst>
            <a:ext uri="{FF2B5EF4-FFF2-40B4-BE49-F238E27FC236}">
              <a16:creationId xmlns:a16="http://schemas.microsoft.com/office/drawing/2014/main" id="{DA1C147F-BD88-47EB-96FF-49CCD2D6C6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5" name="AutoShape 1" descr="Vista previa de toda la pantalla">
          <a:extLst>
            <a:ext uri="{FF2B5EF4-FFF2-40B4-BE49-F238E27FC236}">
              <a16:creationId xmlns:a16="http://schemas.microsoft.com/office/drawing/2014/main" id="{481D95B1-3ABF-4B04-9874-55FF01A7C2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6" name="AutoShape 1" descr="Vista previa de toda la pantalla">
          <a:extLst>
            <a:ext uri="{FF2B5EF4-FFF2-40B4-BE49-F238E27FC236}">
              <a16:creationId xmlns:a16="http://schemas.microsoft.com/office/drawing/2014/main" id="{B8AA8E89-371A-4536-8109-532F0EEAC2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7" name="AutoShape 1" descr="Vista previa de toda la pantalla">
          <a:extLst>
            <a:ext uri="{FF2B5EF4-FFF2-40B4-BE49-F238E27FC236}">
              <a16:creationId xmlns:a16="http://schemas.microsoft.com/office/drawing/2014/main" id="{F112CE0E-FD91-44A5-9CD5-0F1EDFBFF0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8" name="AutoShape 1" descr="Vista previa de toda la pantalla">
          <a:extLst>
            <a:ext uri="{FF2B5EF4-FFF2-40B4-BE49-F238E27FC236}">
              <a16:creationId xmlns:a16="http://schemas.microsoft.com/office/drawing/2014/main" id="{ACA81C48-61DA-457B-9A35-F3E81C8524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59" name="AutoShape 1" descr="Vista previa de toda la pantalla">
          <a:extLst>
            <a:ext uri="{FF2B5EF4-FFF2-40B4-BE49-F238E27FC236}">
              <a16:creationId xmlns:a16="http://schemas.microsoft.com/office/drawing/2014/main" id="{35F13E38-74B7-4BD1-B2E5-3E8F48BDA3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0" name="AutoShape 1" descr="Vista previa de toda la pantalla">
          <a:extLst>
            <a:ext uri="{FF2B5EF4-FFF2-40B4-BE49-F238E27FC236}">
              <a16:creationId xmlns:a16="http://schemas.microsoft.com/office/drawing/2014/main" id="{67E67302-7AC0-4BCD-BC94-5D9A98BB45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1" name="AutoShape 1" descr="Vista previa de toda la pantalla">
          <a:extLst>
            <a:ext uri="{FF2B5EF4-FFF2-40B4-BE49-F238E27FC236}">
              <a16:creationId xmlns:a16="http://schemas.microsoft.com/office/drawing/2014/main" id="{DE8FF305-3E90-4F68-B857-5BCCFEDB0D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2" name="AutoShape 1" descr="Vista previa de toda la pantalla">
          <a:extLst>
            <a:ext uri="{FF2B5EF4-FFF2-40B4-BE49-F238E27FC236}">
              <a16:creationId xmlns:a16="http://schemas.microsoft.com/office/drawing/2014/main" id="{51D57D95-111C-410B-B8DE-E3ABB432BB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3" name="AutoShape 1" descr="Vista previa de toda la pantalla">
          <a:extLst>
            <a:ext uri="{FF2B5EF4-FFF2-40B4-BE49-F238E27FC236}">
              <a16:creationId xmlns:a16="http://schemas.microsoft.com/office/drawing/2014/main" id="{05BB43CA-572F-49F7-A8F5-724DCE90A9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4" name="AutoShape 1" descr="Vista previa de toda la pantalla">
          <a:extLst>
            <a:ext uri="{FF2B5EF4-FFF2-40B4-BE49-F238E27FC236}">
              <a16:creationId xmlns:a16="http://schemas.microsoft.com/office/drawing/2014/main" id="{2DA9238D-45D8-4DB6-AC8B-09EF0A2056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5" name="AutoShape 1" descr="Vista previa de toda la pantalla">
          <a:extLst>
            <a:ext uri="{FF2B5EF4-FFF2-40B4-BE49-F238E27FC236}">
              <a16:creationId xmlns:a16="http://schemas.microsoft.com/office/drawing/2014/main" id="{CA93236D-C390-4685-8A14-C182C06552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6" name="AutoShape 1" descr="Vista previa de toda la pantalla">
          <a:extLst>
            <a:ext uri="{FF2B5EF4-FFF2-40B4-BE49-F238E27FC236}">
              <a16:creationId xmlns:a16="http://schemas.microsoft.com/office/drawing/2014/main" id="{25C1297A-43C0-463B-9E98-C3C8786C19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7" name="AutoShape 1" descr="Vista previa de toda la pantalla">
          <a:extLst>
            <a:ext uri="{FF2B5EF4-FFF2-40B4-BE49-F238E27FC236}">
              <a16:creationId xmlns:a16="http://schemas.microsoft.com/office/drawing/2014/main" id="{A3B0CF86-2248-4235-8507-AF207C047A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8" name="AutoShape 1" descr="Vista previa de toda la pantalla">
          <a:extLst>
            <a:ext uri="{FF2B5EF4-FFF2-40B4-BE49-F238E27FC236}">
              <a16:creationId xmlns:a16="http://schemas.microsoft.com/office/drawing/2014/main" id="{AF66173D-70E8-4F3B-BA93-E3DD07081F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69" name="AutoShape 1" descr="Vista previa de toda la pantalla">
          <a:extLst>
            <a:ext uri="{FF2B5EF4-FFF2-40B4-BE49-F238E27FC236}">
              <a16:creationId xmlns:a16="http://schemas.microsoft.com/office/drawing/2014/main" id="{94284EAE-1B8A-4BA9-B761-62D6FF1185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0" name="AutoShape 1" descr="Vista previa de toda la pantalla">
          <a:extLst>
            <a:ext uri="{FF2B5EF4-FFF2-40B4-BE49-F238E27FC236}">
              <a16:creationId xmlns:a16="http://schemas.microsoft.com/office/drawing/2014/main" id="{4FEE1253-B6DF-4362-B2C3-5C4CC8E5DD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1" name="AutoShape 1" descr="Vista previa de toda la pantalla">
          <a:extLst>
            <a:ext uri="{FF2B5EF4-FFF2-40B4-BE49-F238E27FC236}">
              <a16:creationId xmlns:a16="http://schemas.microsoft.com/office/drawing/2014/main" id="{1051BD94-BD52-457E-8E2B-4A8B6086F6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2" name="AutoShape 1" descr="Vista previa de toda la pantalla">
          <a:extLst>
            <a:ext uri="{FF2B5EF4-FFF2-40B4-BE49-F238E27FC236}">
              <a16:creationId xmlns:a16="http://schemas.microsoft.com/office/drawing/2014/main" id="{0854626C-67B7-44EE-B265-E8699AECE9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3" name="AutoShape 1" descr="Vista previa de toda la pantalla">
          <a:extLst>
            <a:ext uri="{FF2B5EF4-FFF2-40B4-BE49-F238E27FC236}">
              <a16:creationId xmlns:a16="http://schemas.microsoft.com/office/drawing/2014/main" id="{52B7E87A-6273-4837-BE91-CA393ECB49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4" name="AutoShape 1" descr="Vista previa de toda la pantalla">
          <a:extLst>
            <a:ext uri="{FF2B5EF4-FFF2-40B4-BE49-F238E27FC236}">
              <a16:creationId xmlns:a16="http://schemas.microsoft.com/office/drawing/2014/main" id="{BBC6EC02-F1C0-4651-AB73-159D4DE89E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5" name="AutoShape 1" descr="Vista previa de toda la pantalla">
          <a:extLst>
            <a:ext uri="{FF2B5EF4-FFF2-40B4-BE49-F238E27FC236}">
              <a16:creationId xmlns:a16="http://schemas.microsoft.com/office/drawing/2014/main" id="{E069B918-A2A7-438F-B043-F71FF92DC5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6" name="AutoShape 1" descr="Vista previa de toda la pantalla">
          <a:extLst>
            <a:ext uri="{FF2B5EF4-FFF2-40B4-BE49-F238E27FC236}">
              <a16:creationId xmlns:a16="http://schemas.microsoft.com/office/drawing/2014/main" id="{8030FDA0-8681-4C94-B9AD-59E23D79C8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7" name="AutoShape 1" descr="Vista previa de toda la pantalla">
          <a:extLst>
            <a:ext uri="{FF2B5EF4-FFF2-40B4-BE49-F238E27FC236}">
              <a16:creationId xmlns:a16="http://schemas.microsoft.com/office/drawing/2014/main" id="{FD0C6F13-C48D-4284-9FF7-EDA880FBCD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8" name="AutoShape 1" descr="Vista previa de toda la pantalla">
          <a:extLst>
            <a:ext uri="{FF2B5EF4-FFF2-40B4-BE49-F238E27FC236}">
              <a16:creationId xmlns:a16="http://schemas.microsoft.com/office/drawing/2014/main" id="{3CF522A5-93E2-4063-B278-1C16093879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79" name="AutoShape 1" descr="Vista previa de toda la pantalla">
          <a:extLst>
            <a:ext uri="{FF2B5EF4-FFF2-40B4-BE49-F238E27FC236}">
              <a16:creationId xmlns:a16="http://schemas.microsoft.com/office/drawing/2014/main" id="{2F080ED1-EAC2-43FD-AEC0-D9AADA40B1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0" name="AutoShape 1" descr="Vista previa de toda la pantalla">
          <a:extLst>
            <a:ext uri="{FF2B5EF4-FFF2-40B4-BE49-F238E27FC236}">
              <a16:creationId xmlns:a16="http://schemas.microsoft.com/office/drawing/2014/main" id="{ED82A339-FB23-4F4D-8CE3-03204EEC6B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1" name="AutoShape 1" descr="Vista previa de toda la pantalla">
          <a:extLst>
            <a:ext uri="{FF2B5EF4-FFF2-40B4-BE49-F238E27FC236}">
              <a16:creationId xmlns:a16="http://schemas.microsoft.com/office/drawing/2014/main" id="{0E8F7D87-8BC2-4D2C-9F31-C4AA659F77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2" name="AutoShape 1" descr="Vista previa de toda la pantalla">
          <a:extLst>
            <a:ext uri="{FF2B5EF4-FFF2-40B4-BE49-F238E27FC236}">
              <a16:creationId xmlns:a16="http://schemas.microsoft.com/office/drawing/2014/main" id="{C8CED5E5-F378-486C-B74F-F17EE496DF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3" name="AutoShape 1" descr="Vista previa de toda la pantalla">
          <a:extLst>
            <a:ext uri="{FF2B5EF4-FFF2-40B4-BE49-F238E27FC236}">
              <a16:creationId xmlns:a16="http://schemas.microsoft.com/office/drawing/2014/main" id="{404E4E8B-C75C-4876-A62F-E141668E61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4" name="AutoShape 1" descr="Vista previa de toda la pantalla">
          <a:extLst>
            <a:ext uri="{FF2B5EF4-FFF2-40B4-BE49-F238E27FC236}">
              <a16:creationId xmlns:a16="http://schemas.microsoft.com/office/drawing/2014/main" id="{3CFF7F73-7467-45F4-8CD7-F6B103DA9A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5" name="AutoShape 1" descr="Vista previa de toda la pantalla">
          <a:extLst>
            <a:ext uri="{FF2B5EF4-FFF2-40B4-BE49-F238E27FC236}">
              <a16:creationId xmlns:a16="http://schemas.microsoft.com/office/drawing/2014/main" id="{CA0C567A-4578-4698-BC65-066DE08D7E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6" name="AutoShape 1" descr="Vista previa de toda la pantalla">
          <a:extLst>
            <a:ext uri="{FF2B5EF4-FFF2-40B4-BE49-F238E27FC236}">
              <a16:creationId xmlns:a16="http://schemas.microsoft.com/office/drawing/2014/main" id="{68835CB5-4BF0-4060-8BDB-2961C3CBBA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7" name="AutoShape 1" descr="Vista previa de toda la pantalla">
          <a:extLst>
            <a:ext uri="{FF2B5EF4-FFF2-40B4-BE49-F238E27FC236}">
              <a16:creationId xmlns:a16="http://schemas.microsoft.com/office/drawing/2014/main" id="{2CDCAD16-FE96-4096-8363-772BA4B617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8" name="AutoShape 1" descr="Vista previa de toda la pantalla">
          <a:extLst>
            <a:ext uri="{FF2B5EF4-FFF2-40B4-BE49-F238E27FC236}">
              <a16:creationId xmlns:a16="http://schemas.microsoft.com/office/drawing/2014/main" id="{357C31BE-AE62-4B8A-BCF1-4BCC46C047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89" name="AutoShape 1" descr="Vista previa de toda la pantalla">
          <a:extLst>
            <a:ext uri="{FF2B5EF4-FFF2-40B4-BE49-F238E27FC236}">
              <a16:creationId xmlns:a16="http://schemas.microsoft.com/office/drawing/2014/main" id="{B97328E7-1654-4C02-B8C0-3168C54D71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0" name="AutoShape 1" descr="Vista previa de toda la pantalla">
          <a:extLst>
            <a:ext uri="{FF2B5EF4-FFF2-40B4-BE49-F238E27FC236}">
              <a16:creationId xmlns:a16="http://schemas.microsoft.com/office/drawing/2014/main" id="{B42F9254-1543-42FA-8A36-A8AAEF2573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1" name="AutoShape 1" descr="Vista previa de toda la pantalla">
          <a:extLst>
            <a:ext uri="{FF2B5EF4-FFF2-40B4-BE49-F238E27FC236}">
              <a16:creationId xmlns:a16="http://schemas.microsoft.com/office/drawing/2014/main" id="{8F42AB0F-71C2-4D40-BC71-9E93D28AE4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2" name="AutoShape 1" descr="Vista previa de toda la pantalla">
          <a:extLst>
            <a:ext uri="{FF2B5EF4-FFF2-40B4-BE49-F238E27FC236}">
              <a16:creationId xmlns:a16="http://schemas.microsoft.com/office/drawing/2014/main" id="{418AEC7A-9250-4139-8AEE-2D1C91C859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3" name="AutoShape 1" descr="Vista previa de toda la pantalla">
          <a:extLst>
            <a:ext uri="{FF2B5EF4-FFF2-40B4-BE49-F238E27FC236}">
              <a16:creationId xmlns:a16="http://schemas.microsoft.com/office/drawing/2014/main" id="{55D5A120-1AED-4A04-A473-C8C1841C10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4" name="AutoShape 1" descr="Vista previa de toda la pantalla">
          <a:extLst>
            <a:ext uri="{FF2B5EF4-FFF2-40B4-BE49-F238E27FC236}">
              <a16:creationId xmlns:a16="http://schemas.microsoft.com/office/drawing/2014/main" id="{6E588FED-EC96-4766-A9F0-AD5818BE00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5" name="AutoShape 1" descr="Vista previa de toda la pantalla">
          <a:extLst>
            <a:ext uri="{FF2B5EF4-FFF2-40B4-BE49-F238E27FC236}">
              <a16:creationId xmlns:a16="http://schemas.microsoft.com/office/drawing/2014/main" id="{72DA39F0-076C-4E5B-A83A-2AA3A0CD16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6" name="AutoShape 1" descr="Vista previa de toda la pantalla">
          <a:extLst>
            <a:ext uri="{FF2B5EF4-FFF2-40B4-BE49-F238E27FC236}">
              <a16:creationId xmlns:a16="http://schemas.microsoft.com/office/drawing/2014/main" id="{0D90D94C-AF6A-4788-810B-AC64C93585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7" name="AutoShape 1" descr="Vista previa de toda la pantalla">
          <a:extLst>
            <a:ext uri="{FF2B5EF4-FFF2-40B4-BE49-F238E27FC236}">
              <a16:creationId xmlns:a16="http://schemas.microsoft.com/office/drawing/2014/main" id="{7D971C46-8493-4834-A5EC-B1FBE5E055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8" name="AutoShape 1" descr="Vista previa de toda la pantalla">
          <a:extLst>
            <a:ext uri="{FF2B5EF4-FFF2-40B4-BE49-F238E27FC236}">
              <a16:creationId xmlns:a16="http://schemas.microsoft.com/office/drawing/2014/main" id="{6692C324-C594-49B6-9191-E5F2B956D9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199" name="AutoShape 1" descr="Vista previa de toda la pantalla">
          <a:extLst>
            <a:ext uri="{FF2B5EF4-FFF2-40B4-BE49-F238E27FC236}">
              <a16:creationId xmlns:a16="http://schemas.microsoft.com/office/drawing/2014/main" id="{1E929D6E-579A-4B58-B384-8885212354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0" name="AutoShape 1" descr="Vista previa de toda la pantalla">
          <a:extLst>
            <a:ext uri="{FF2B5EF4-FFF2-40B4-BE49-F238E27FC236}">
              <a16:creationId xmlns:a16="http://schemas.microsoft.com/office/drawing/2014/main" id="{BB52F695-D4E9-4FD2-8BB9-E61866BBDE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1" name="AutoShape 1" descr="Vista previa de toda la pantalla">
          <a:extLst>
            <a:ext uri="{FF2B5EF4-FFF2-40B4-BE49-F238E27FC236}">
              <a16:creationId xmlns:a16="http://schemas.microsoft.com/office/drawing/2014/main" id="{6C648185-10C3-4699-AB2E-500B986F96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2" name="AutoShape 1" descr="Vista previa de toda la pantalla">
          <a:extLst>
            <a:ext uri="{FF2B5EF4-FFF2-40B4-BE49-F238E27FC236}">
              <a16:creationId xmlns:a16="http://schemas.microsoft.com/office/drawing/2014/main" id="{C9A12AF3-9F46-46CA-A737-27E97512F1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3" name="AutoShape 1" descr="Vista previa de toda la pantalla">
          <a:extLst>
            <a:ext uri="{FF2B5EF4-FFF2-40B4-BE49-F238E27FC236}">
              <a16:creationId xmlns:a16="http://schemas.microsoft.com/office/drawing/2014/main" id="{DFAAC884-0DAF-4305-B530-3708D67F74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4" name="AutoShape 1" descr="Vista previa de toda la pantalla">
          <a:extLst>
            <a:ext uri="{FF2B5EF4-FFF2-40B4-BE49-F238E27FC236}">
              <a16:creationId xmlns:a16="http://schemas.microsoft.com/office/drawing/2014/main" id="{329AD15A-6052-4EFC-AA60-DD507AA345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5" name="AutoShape 1" descr="Vista previa de toda la pantalla">
          <a:extLst>
            <a:ext uri="{FF2B5EF4-FFF2-40B4-BE49-F238E27FC236}">
              <a16:creationId xmlns:a16="http://schemas.microsoft.com/office/drawing/2014/main" id="{69AE9885-27F1-4CC3-82D4-9FC8B4D97D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6" name="AutoShape 1" descr="Vista previa de toda la pantalla">
          <a:extLst>
            <a:ext uri="{FF2B5EF4-FFF2-40B4-BE49-F238E27FC236}">
              <a16:creationId xmlns:a16="http://schemas.microsoft.com/office/drawing/2014/main" id="{70FDC9E8-0A56-4232-9AE8-DB06ED6141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7" name="AutoShape 1" descr="Vista previa de toda la pantalla">
          <a:extLst>
            <a:ext uri="{FF2B5EF4-FFF2-40B4-BE49-F238E27FC236}">
              <a16:creationId xmlns:a16="http://schemas.microsoft.com/office/drawing/2014/main" id="{C3EE1CC9-E0DE-4148-835B-C063D48489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8" name="AutoShape 1" descr="Vista previa de toda la pantalla">
          <a:extLst>
            <a:ext uri="{FF2B5EF4-FFF2-40B4-BE49-F238E27FC236}">
              <a16:creationId xmlns:a16="http://schemas.microsoft.com/office/drawing/2014/main" id="{8D248291-33BB-4248-829D-10EE00E0D1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09" name="AutoShape 1" descr="Vista previa de toda la pantalla">
          <a:extLst>
            <a:ext uri="{FF2B5EF4-FFF2-40B4-BE49-F238E27FC236}">
              <a16:creationId xmlns:a16="http://schemas.microsoft.com/office/drawing/2014/main" id="{855C585D-B5E5-4960-B427-038809B7C8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10" name="AutoShape 1" descr="Vista previa de toda la pantalla">
          <a:extLst>
            <a:ext uri="{FF2B5EF4-FFF2-40B4-BE49-F238E27FC236}">
              <a16:creationId xmlns:a16="http://schemas.microsoft.com/office/drawing/2014/main" id="{3AA57E11-F488-46C9-AE74-593E20AC02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11" name="AutoShape 1" descr="Vista previa de toda la pantalla">
          <a:extLst>
            <a:ext uri="{FF2B5EF4-FFF2-40B4-BE49-F238E27FC236}">
              <a16:creationId xmlns:a16="http://schemas.microsoft.com/office/drawing/2014/main" id="{13DB9637-9D2D-425F-A9A5-4326FE872C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12" name="AutoShape 1" descr="Vista previa de toda la pantalla">
          <a:extLst>
            <a:ext uri="{FF2B5EF4-FFF2-40B4-BE49-F238E27FC236}">
              <a16:creationId xmlns:a16="http://schemas.microsoft.com/office/drawing/2014/main" id="{ED1E8F34-E533-4D5D-AA20-1724B05564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13" name="AutoShape 1" descr="Vista previa de toda la pantalla">
          <a:extLst>
            <a:ext uri="{FF2B5EF4-FFF2-40B4-BE49-F238E27FC236}">
              <a16:creationId xmlns:a16="http://schemas.microsoft.com/office/drawing/2014/main" id="{7F318B09-22F9-4D30-84C4-1BEC1BB0FB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14" name="AutoShape 1" descr="Vista previa de toda la pantalla">
          <a:extLst>
            <a:ext uri="{FF2B5EF4-FFF2-40B4-BE49-F238E27FC236}">
              <a16:creationId xmlns:a16="http://schemas.microsoft.com/office/drawing/2014/main" id="{D10EBFA3-9DCC-4EE6-8174-F1E2C59F1A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15" name="AutoShape 1" descr="Vista previa de toda la pantalla">
          <a:extLst>
            <a:ext uri="{FF2B5EF4-FFF2-40B4-BE49-F238E27FC236}">
              <a16:creationId xmlns:a16="http://schemas.microsoft.com/office/drawing/2014/main" id="{4F6FE115-FC48-4B0A-8332-7568CBD152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16" name="AutoShape 1" descr="Vista previa de toda la pantalla">
          <a:extLst>
            <a:ext uri="{FF2B5EF4-FFF2-40B4-BE49-F238E27FC236}">
              <a16:creationId xmlns:a16="http://schemas.microsoft.com/office/drawing/2014/main" id="{9AABB909-7516-46DA-BD6D-A7481E909E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17" name="AutoShape 1" descr="Vista previa de toda la pantalla">
          <a:extLst>
            <a:ext uri="{FF2B5EF4-FFF2-40B4-BE49-F238E27FC236}">
              <a16:creationId xmlns:a16="http://schemas.microsoft.com/office/drawing/2014/main" id="{DF2307AF-37A3-47F0-A76F-0211E20D03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18" name="AutoShape 1" descr="Vista previa de toda la pantalla">
          <a:extLst>
            <a:ext uri="{FF2B5EF4-FFF2-40B4-BE49-F238E27FC236}">
              <a16:creationId xmlns:a16="http://schemas.microsoft.com/office/drawing/2014/main" id="{2B535578-EBD4-4F9B-B4F5-6D3CE87EB8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2219" name="AutoShape 1" descr="Vista previa de toda la pantalla">
          <a:extLst>
            <a:ext uri="{FF2B5EF4-FFF2-40B4-BE49-F238E27FC236}">
              <a16:creationId xmlns:a16="http://schemas.microsoft.com/office/drawing/2014/main" id="{5ACD9D92-7D1E-4610-8DE3-F7243B5DB77D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0" name="AutoShape 1" descr="Vista previa de toda la pantalla">
          <a:extLst>
            <a:ext uri="{FF2B5EF4-FFF2-40B4-BE49-F238E27FC236}">
              <a16:creationId xmlns:a16="http://schemas.microsoft.com/office/drawing/2014/main" id="{C3B3A897-C690-40B9-B39B-7264BAB687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1" name="AutoShape 1" descr="Vista previa de toda la pantalla">
          <a:extLst>
            <a:ext uri="{FF2B5EF4-FFF2-40B4-BE49-F238E27FC236}">
              <a16:creationId xmlns:a16="http://schemas.microsoft.com/office/drawing/2014/main" id="{83DB78B6-2CB9-44B2-A341-1EA17AF4D0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2" name="AutoShape 1" descr="Vista previa de toda la pantalla">
          <a:extLst>
            <a:ext uri="{FF2B5EF4-FFF2-40B4-BE49-F238E27FC236}">
              <a16:creationId xmlns:a16="http://schemas.microsoft.com/office/drawing/2014/main" id="{D9BD04FB-9A84-4065-937F-99CB393DA3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3" name="AutoShape 1" descr="Vista previa de toda la pantalla">
          <a:extLst>
            <a:ext uri="{FF2B5EF4-FFF2-40B4-BE49-F238E27FC236}">
              <a16:creationId xmlns:a16="http://schemas.microsoft.com/office/drawing/2014/main" id="{B6597C0A-38E6-459F-B808-9CED2B65EE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4" name="AutoShape 1" descr="Vista previa de toda la pantalla">
          <a:extLst>
            <a:ext uri="{FF2B5EF4-FFF2-40B4-BE49-F238E27FC236}">
              <a16:creationId xmlns:a16="http://schemas.microsoft.com/office/drawing/2014/main" id="{047783AA-C729-42CB-942D-375F6AB31B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5" name="AutoShape 1" descr="Vista previa de toda la pantalla">
          <a:extLst>
            <a:ext uri="{FF2B5EF4-FFF2-40B4-BE49-F238E27FC236}">
              <a16:creationId xmlns:a16="http://schemas.microsoft.com/office/drawing/2014/main" id="{B2B3DF59-92A9-4925-8BE0-0360A4BB0F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6" name="AutoShape 1" descr="Vista previa de toda la pantalla">
          <a:extLst>
            <a:ext uri="{FF2B5EF4-FFF2-40B4-BE49-F238E27FC236}">
              <a16:creationId xmlns:a16="http://schemas.microsoft.com/office/drawing/2014/main" id="{1F8D148B-7594-4CB4-99BC-5C1FDEBF3A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7" name="AutoShape 1" descr="Vista previa de toda la pantalla">
          <a:extLst>
            <a:ext uri="{FF2B5EF4-FFF2-40B4-BE49-F238E27FC236}">
              <a16:creationId xmlns:a16="http://schemas.microsoft.com/office/drawing/2014/main" id="{34CB7E7D-88B0-4C6C-89D6-AD3F1EFC19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8" name="AutoShape 1" descr="Vista previa de toda la pantalla">
          <a:extLst>
            <a:ext uri="{FF2B5EF4-FFF2-40B4-BE49-F238E27FC236}">
              <a16:creationId xmlns:a16="http://schemas.microsoft.com/office/drawing/2014/main" id="{A8D29EF5-911F-4079-A7EE-1D0D0E8355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29" name="AutoShape 1" descr="Vista previa de toda la pantalla">
          <a:extLst>
            <a:ext uri="{FF2B5EF4-FFF2-40B4-BE49-F238E27FC236}">
              <a16:creationId xmlns:a16="http://schemas.microsoft.com/office/drawing/2014/main" id="{F020AC18-B194-4F91-B998-6867751C80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0" name="AutoShape 1" descr="Vista previa de toda la pantalla">
          <a:extLst>
            <a:ext uri="{FF2B5EF4-FFF2-40B4-BE49-F238E27FC236}">
              <a16:creationId xmlns:a16="http://schemas.microsoft.com/office/drawing/2014/main" id="{CFF37BD6-29F0-4D8D-BFC9-22590A6BA6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1" name="AutoShape 1" descr="Vista previa de toda la pantalla">
          <a:extLst>
            <a:ext uri="{FF2B5EF4-FFF2-40B4-BE49-F238E27FC236}">
              <a16:creationId xmlns:a16="http://schemas.microsoft.com/office/drawing/2014/main" id="{61CDC5D8-67C4-4DDB-9ABF-814ABF2B06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2" name="AutoShape 1" descr="Vista previa de toda la pantalla">
          <a:extLst>
            <a:ext uri="{FF2B5EF4-FFF2-40B4-BE49-F238E27FC236}">
              <a16:creationId xmlns:a16="http://schemas.microsoft.com/office/drawing/2014/main" id="{7A96B659-47DF-486B-9148-5294D73617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3" name="AutoShape 1" descr="Vista previa de toda la pantalla">
          <a:extLst>
            <a:ext uri="{FF2B5EF4-FFF2-40B4-BE49-F238E27FC236}">
              <a16:creationId xmlns:a16="http://schemas.microsoft.com/office/drawing/2014/main" id="{ECB36C5C-20B4-4BEE-828B-4B0F7837E9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4" name="AutoShape 1" descr="Vista previa de toda la pantalla">
          <a:extLst>
            <a:ext uri="{FF2B5EF4-FFF2-40B4-BE49-F238E27FC236}">
              <a16:creationId xmlns:a16="http://schemas.microsoft.com/office/drawing/2014/main" id="{3A79A051-26C1-4579-AAFA-CE0DA8C292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5" name="AutoShape 1" descr="Vista previa de toda la pantalla">
          <a:extLst>
            <a:ext uri="{FF2B5EF4-FFF2-40B4-BE49-F238E27FC236}">
              <a16:creationId xmlns:a16="http://schemas.microsoft.com/office/drawing/2014/main" id="{710C9FCE-8A5D-481F-9E4E-2385FEC961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6" name="AutoShape 1" descr="Vista previa de toda la pantalla">
          <a:extLst>
            <a:ext uri="{FF2B5EF4-FFF2-40B4-BE49-F238E27FC236}">
              <a16:creationId xmlns:a16="http://schemas.microsoft.com/office/drawing/2014/main" id="{F2A87D4D-6C1C-46A8-A02F-2F2196F722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7" name="AutoShape 1" descr="Vista previa de toda la pantalla">
          <a:extLst>
            <a:ext uri="{FF2B5EF4-FFF2-40B4-BE49-F238E27FC236}">
              <a16:creationId xmlns:a16="http://schemas.microsoft.com/office/drawing/2014/main" id="{DE1C0C07-7BEF-40FD-A01C-BAA2C7D50F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8" name="AutoShape 1" descr="Vista previa de toda la pantalla">
          <a:extLst>
            <a:ext uri="{FF2B5EF4-FFF2-40B4-BE49-F238E27FC236}">
              <a16:creationId xmlns:a16="http://schemas.microsoft.com/office/drawing/2014/main" id="{2DBFBB7B-F900-440C-9374-80B6149200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39" name="AutoShape 1" descr="Vista previa de toda la pantalla">
          <a:extLst>
            <a:ext uri="{FF2B5EF4-FFF2-40B4-BE49-F238E27FC236}">
              <a16:creationId xmlns:a16="http://schemas.microsoft.com/office/drawing/2014/main" id="{CD4A8CC5-15E5-42A8-9784-307D20A5AF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0" name="AutoShape 1" descr="Vista previa de toda la pantalla">
          <a:extLst>
            <a:ext uri="{FF2B5EF4-FFF2-40B4-BE49-F238E27FC236}">
              <a16:creationId xmlns:a16="http://schemas.microsoft.com/office/drawing/2014/main" id="{8064CE05-9C99-4A38-9681-BB2D2905E3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1" name="AutoShape 1" descr="Vista previa de toda la pantalla">
          <a:extLst>
            <a:ext uri="{FF2B5EF4-FFF2-40B4-BE49-F238E27FC236}">
              <a16:creationId xmlns:a16="http://schemas.microsoft.com/office/drawing/2014/main" id="{92E7AF99-6915-47C6-902A-1FDDB54837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2" name="AutoShape 1" descr="Vista previa de toda la pantalla">
          <a:extLst>
            <a:ext uri="{FF2B5EF4-FFF2-40B4-BE49-F238E27FC236}">
              <a16:creationId xmlns:a16="http://schemas.microsoft.com/office/drawing/2014/main" id="{81529D0C-25A0-414F-9C3F-EB86899856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3" name="AutoShape 1" descr="Vista previa de toda la pantalla">
          <a:extLst>
            <a:ext uri="{FF2B5EF4-FFF2-40B4-BE49-F238E27FC236}">
              <a16:creationId xmlns:a16="http://schemas.microsoft.com/office/drawing/2014/main" id="{EA13DD97-9FDB-4BA5-8EB3-4B2D255BE2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4" name="AutoShape 1" descr="Vista previa de toda la pantalla">
          <a:extLst>
            <a:ext uri="{FF2B5EF4-FFF2-40B4-BE49-F238E27FC236}">
              <a16:creationId xmlns:a16="http://schemas.microsoft.com/office/drawing/2014/main" id="{712E4ED5-62A5-48B9-A4FB-E2612F1D81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5" name="AutoShape 1" descr="Vista previa de toda la pantalla">
          <a:extLst>
            <a:ext uri="{FF2B5EF4-FFF2-40B4-BE49-F238E27FC236}">
              <a16:creationId xmlns:a16="http://schemas.microsoft.com/office/drawing/2014/main" id="{FEF40E9A-8D89-4A4C-871B-D7EC70AB77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6" name="AutoShape 1" descr="Vista previa de toda la pantalla">
          <a:extLst>
            <a:ext uri="{FF2B5EF4-FFF2-40B4-BE49-F238E27FC236}">
              <a16:creationId xmlns:a16="http://schemas.microsoft.com/office/drawing/2014/main" id="{8F6DC9CC-85E6-4ED9-95C3-3016627F96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7" name="AutoShape 1" descr="Vista previa de toda la pantalla">
          <a:extLst>
            <a:ext uri="{FF2B5EF4-FFF2-40B4-BE49-F238E27FC236}">
              <a16:creationId xmlns:a16="http://schemas.microsoft.com/office/drawing/2014/main" id="{C812E7FC-14A4-4E85-A59A-339855A655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8" name="AutoShape 1" descr="Vista previa de toda la pantalla">
          <a:extLst>
            <a:ext uri="{FF2B5EF4-FFF2-40B4-BE49-F238E27FC236}">
              <a16:creationId xmlns:a16="http://schemas.microsoft.com/office/drawing/2014/main" id="{74AEE8B7-F691-4271-8DDE-1554D6653F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49" name="AutoShape 1" descr="Vista previa de toda la pantalla">
          <a:extLst>
            <a:ext uri="{FF2B5EF4-FFF2-40B4-BE49-F238E27FC236}">
              <a16:creationId xmlns:a16="http://schemas.microsoft.com/office/drawing/2014/main" id="{DF065F22-C3CD-45A6-A20D-7DD10C7128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0" name="AutoShape 1" descr="Vista previa de toda la pantalla">
          <a:extLst>
            <a:ext uri="{FF2B5EF4-FFF2-40B4-BE49-F238E27FC236}">
              <a16:creationId xmlns:a16="http://schemas.microsoft.com/office/drawing/2014/main" id="{C212C825-1830-493D-B946-A4A9124BC9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1" name="AutoShape 1" descr="Vista previa de toda la pantalla">
          <a:extLst>
            <a:ext uri="{FF2B5EF4-FFF2-40B4-BE49-F238E27FC236}">
              <a16:creationId xmlns:a16="http://schemas.microsoft.com/office/drawing/2014/main" id="{F004C29F-09AF-4C84-A9AF-4B0DA908B4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2" name="AutoShape 1" descr="Vista previa de toda la pantalla">
          <a:extLst>
            <a:ext uri="{FF2B5EF4-FFF2-40B4-BE49-F238E27FC236}">
              <a16:creationId xmlns:a16="http://schemas.microsoft.com/office/drawing/2014/main" id="{32F1CC46-8ABA-45C5-9B11-8B70E25792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3" name="AutoShape 1" descr="Vista previa de toda la pantalla">
          <a:extLst>
            <a:ext uri="{FF2B5EF4-FFF2-40B4-BE49-F238E27FC236}">
              <a16:creationId xmlns:a16="http://schemas.microsoft.com/office/drawing/2014/main" id="{DB0B5F4A-F6E0-44A1-8487-CBC891CC2D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4" name="AutoShape 1" descr="Vista previa de toda la pantalla">
          <a:extLst>
            <a:ext uri="{FF2B5EF4-FFF2-40B4-BE49-F238E27FC236}">
              <a16:creationId xmlns:a16="http://schemas.microsoft.com/office/drawing/2014/main" id="{6792A69B-B9B8-40CE-9130-4D26D0DF66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5" name="AutoShape 1" descr="Vista previa de toda la pantalla">
          <a:extLst>
            <a:ext uri="{FF2B5EF4-FFF2-40B4-BE49-F238E27FC236}">
              <a16:creationId xmlns:a16="http://schemas.microsoft.com/office/drawing/2014/main" id="{08D113BA-010E-4D16-B222-1F4A77D57E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6" name="AutoShape 1" descr="Vista previa de toda la pantalla">
          <a:extLst>
            <a:ext uri="{FF2B5EF4-FFF2-40B4-BE49-F238E27FC236}">
              <a16:creationId xmlns:a16="http://schemas.microsoft.com/office/drawing/2014/main" id="{8894E5CD-47BB-485E-B737-AD8D7C2FFF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7" name="AutoShape 1" descr="Vista previa de toda la pantalla">
          <a:extLst>
            <a:ext uri="{FF2B5EF4-FFF2-40B4-BE49-F238E27FC236}">
              <a16:creationId xmlns:a16="http://schemas.microsoft.com/office/drawing/2014/main" id="{8B99D89C-9DCE-40BA-9535-866B6C87E4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8" name="AutoShape 1" descr="Vista previa de toda la pantalla">
          <a:extLst>
            <a:ext uri="{FF2B5EF4-FFF2-40B4-BE49-F238E27FC236}">
              <a16:creationId xmlns:a16="http://schemas.microsoft.com/office/drawing/2014/main" id="{5C9500FB-F3DF-49EB-8F6B-CC17734AEA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59" name="AutoShape 1" descr="Vista previa de toda la pantalla">
          <a:extLst>
            <a:ext uri="{FF2B5EF4-FFF2-40B4-BE49-F238E27FC236}">
              <a16:creationId xmlns:a16="http://schemas.microsoft.com/office/drawing/2014/main" id="{14639BB3-ECA1-4800-AFA5-4A77756A8D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0" name="AutoShape 1" descr="Vista previa de toda la pantalla">
          <a:extLst>
            <a:ext uri="{FF2B5EF4-FFF2-40B4-BE49-F238E27FC236}">
              <a16:creationId xmlns:a16="http://schemas.microsoft.com/office/drawing/2014/main" id="{58A3F6A2-E9C5-42BE-B0F7-99B05144EE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1" name="AutoShape 1" descr="Vista previa de toda la pantalla">
          <a:extLst>
            <a:ext uri="{FF2B5EF4-FFF2-40B4-BE49-F238E27FC236}">
              <a16:creationId xmlns:a16="http://schemas.microsoft.com/office/drawing/2014/main" id="{21A76C00-D828-484E-91C2-27296924DE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2" name="AutoShape 1" descr="Vista previa de toda la pantalla">
          <a:extLst>
            <a:ext uri="{FF2B5EF4-FFF2-40B4-BE49-F238E27FC236}">
              <a16:creationId xmlns:a16="http://schemas.microsoft.com/office/drawing/2014/main" id="{716F60DA-3DA9-4D10-AB93-E4DD7C4910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3" name="AutoShape 1" descr="Vista previa de toda la pantalla">
          <a:extLst>
            <a:ext uri="{FF2B5EF4-FFF2-40B4-BE49-F238E27FC236}">
              <a16:creationId xmlns:a16="http://schemas.microsoft.com/office/drawing/2014/main" id="{ECF0FECF-4A42-41F3-ADFF-61D3FF8082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4" name="AutoShape 1" descr="Vista previa de toda la pantalla">
          <a:extLst>
            <a:ext uri="{FF2B5EF4-FFF2-40B4-BE49-F238E27FC236}">
              <a16:creationId xmlns:a16="http://schemas.microsoft.com/office/drawing/2014/main" id="{EA52CDB9-5091-4F28-9E7C-56D74BC5E3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5" name="AutoShape 1" descr="Vista previa de toda la pantalla">
          <a:extLst>
            <a:ext uri="{FF2B5EF4-FFF2-40B4-BE49-F238E27FC236}">
              <a16:creationId xmlns:a16="http://schemas.microsoft.com/office/drawing/2014/main" id="{CF935E33-0E16-4234-9D3F-5E5BD36158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6" name="AutoShape 1" descr="Vista previa de toda la pantalla">
          <a:extLst>
            <a:ext uri="{FF2B5EF4-FFF2-40B4-BE49-F238E27FC236}">
              <a16:creationId xmlns:a16="http://schemas.microsoft.com/office/drawing/2014/main" id="{C47788B3-7B7E-45E6-B48F-B7C332535E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7" name="AutoShape 1" descr="Vista previa de toda la pantalla">
          <a:extLst>
            <a:ext uri="{FF2B5EF4-FFF2-40B4-BE49-F238E27FC236}">
              <a16:creationId xmlns:a16="http://schemas.microsoft.com/office/drawing/2014/main" id="{EAAE8A44-CE4A-4947-A8E3-77CEF49334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8" name="AutoShape 1" descr="Vista previa de toda la pantalla">
          <a:extLst>
            <a:ext uri="{FF2B5EF4-FFF2-40B4-BE49-F238E27FC236}">
              <a16:creationId xmlns:a16="http://schemas.microsoft.com/office/drawing/2014/main" id="{CB42EDEF-7774-4607-8B25-660A14A24C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69" name="AutoShape 1" descr="Vista previa de toda la pantalla">
          <a:extLst>
            <a:ext uri="{FF2B5EF4-FFF2-40B4-BE49-F238E27FC236}">
              <a16:creationId xmlns:a16="http://schemas.microsoft.com/office/drawing/2014/main" id="{2D89A765-A58B-4394-B88B-A846B35C8C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0" name="AutoShape 1" descr="Vista previa de toda la pantalla">
          <a:extLst>
            <a:ext uri="{FF2B5EF4-FFF2-40B4-BE49-F238E27FC236}">
              <a16:creationId xmlns:a16="http://schemas.microsoft.com/office/drawing/2014/main" id="{4A0DC382-32FC-4A35-B260-272BBDC503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1" name="AutoShape 1" descr="Vista previa de toda la pantalla">
          <a:extLst>
            <a:ext uri="{FF2B5EF4-FFF2-40B4-BE49-F238E27FC236}">
              <a16:creationId xmlns:a16="http://schemas.microsoft.com/office/drawing/2014/main" id="{9440BDDD-A189-47C2-88AA-3AE5E8DD95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2" name="AutoShape 1" descr="Vista previa de toda la pantalla">
          <a:extLst>
            <a:ext uri="{FF2B5EF4-FFF2-40B4-BE49-F238E27FC236}">
              <a16:creationId xmlns:a16="http://schemas.microsoft.com/office/drawing/2014/main" id="{BFC76927-8684-4063-98B0-82CE03FE1A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3" name="AutoShape 1" descr="Vista previa de toda la pantalla">
          <a:extLst>
            <a:ext uri="{FF2B5EF4-FFF2-40B4-BE49-F238E27FC236}">
              <a16:creationId xmlns:a16="http://schemas.microsoft.com/office/drawing/2014/main" id="{5EB8E504-590C-4496-8FBA-FAE6D08BF3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4" name="AutoShape 1" descr="Vista previa de toda la pantalla">
          <a:extLst>
            <a:ext uri="{FF2B5EF4-FFF2-40B4-BE49-F238E27FC236}">
              <a16:creationId xmlns:a16="http://schemas.microsoft.com/office/drawing/2014/main" id="{9045935D-DF45-4C76-8F72-51329F3BD7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5" name="AutoShape 1" descr="Vista previa de toda la pantalla">
          <a:extLst>
            <a:ext uri="{FF2B5EF4-FFF2-40B4-BE49-F238E27FC236}">
              <a16:creationId xmlns:a16="http://schemas.microsoft.com/office/drawing/2014/main" id="{FD774804-D223-483A-B28A-B6DBF3FCFF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6" name="AutoShape 1" descr="Vista previa de toda la pantalla">
          <a:extLst>
            <a:ext uri="{FF2B5EF4-FFF2-40B4-BE49-F238E27FC236}">
              <a16:creationId xmlns:a16="http://schemas.microsoft.com/office/drawing/2014/main" id="{0919C3C5-C462-41C4-8D6A-BCDF7F7150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7" name="AutoShape 1" descr="Vista previa de toda la pantalla">
          <a:extLst>
            <a:ext uri="{FF2B5EF4-FFF2-40B4-BE49-F238E27FC236}">
              <a16:creationId xmlns:a16="http://schemas.microsoft.com/office/drawing/2014/main" id="{5743D3E0-C2ED-4346-9C3F-5B61C4EA3B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8" name="AutoShape 1" descr="Vista previa de toda la pantalla">
          <a:extLst>
            <a:ext uri="{FF2B5EF4-FFF2-40B4-BE49-F238E27FC236}">
              <a16:creationId xmlns:a16="http://schemas.microsoft.com/office/drawing/2014/main" id="{B46D4EDB-5345-4BDE-9C99-80497042D1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79" name="AutoShape 1" descr="Vista previa de toda la pantalla">
          <a:extLst>
            <a:ext uri="{FF2B5EF4-FFF2-40B4-BE49-F238E27FC236}">
              <a16:creationId xmlns:a16="http://schemas.microsoft.com/office/drawing/2014/main" id="{503D0B45-FD0B-49EE-A02E-B414B7C661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0" name="AutoShape 1" descr="Vista previa de toda la pantalla">
          <a:extLst>
            <a:ext uri="{FF2B5EF4-FFF2-40B4-BE49-F238E27FC236}">
              <a16:creationId xmlns:a16="http://schemas.microsoft.com/office/drawing/2014/main" id="{7763D8AA-3B5F-4020-B3F5-69A7AF758B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1" name="AutoShape 1" descr="Vista previa de toda la pantalla">
          <a:extLst>
            <a:ext uri="{FF2B5EF4-FFF2-40B4-BE49-F238E27FC236}">
              <a16:creationId xmlns:a16="http://schemas.microsoft.com/office/drawing/2014/main" id="{E31080E7-FD15-48A9-90CF-C5E7A45A47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2" name="AutoShape 1" descr="Vista previa de toda la pantalla">
          <a:extLst>
            <a:ext uri="{FF2B5EF4-FFF2-40B4-BE49-F238E27FC236}">
              <a16:creationId xmlns:a16="http://schemas.microsoft.com/office/drawing/2014/main" id="{B18BC5AE-2BB0-4F50-A6DF-0ADD38173C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3" name="AutoShape 1" descr="Vista previa de toda la pantalla">
          <a:extLst>
            <a:ext uri="{FF2B5EF4-FFF2-40B4-BE49-F238E27FC236}">
              <a16:creationId xmlns:a16="http://schemas.microsoft.com/office/drawing/2014/main" id="{4EBFBBE2-ACD3-437F-A1C6-280241B859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4" name="AutoShape 1" descr="Vista previa de toda la pantalla">
          <a:extLst>
            <a:ext uri="{FF2B5EF4-FFF2-40B4-BE49-F238E27FC236}">
              <a16:creationId xmlns:a16="http://schemas.microsoft.com/office/drawing/2014/main" id="{4BDEDA2B-C377-4FBA-9907-9B47D2BF54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5" name="AutoShape 1" descr="Vista previa de toda la pantalla">
          <a:extLst>
            <a:ext uri="{FF2B5EF4-FFF2-40B4-BE49-F238E27FC236}">
              <a16:creationId xmlns:a16="http://schemas.microsoft.com/office/drawing/2014/main" id="{7E035CFA-CD34-4CCC-8458-A031B51EAE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6" name="AutoShape 1" descr="Vista previa de toda la pantalla">
          <a:extLst>
            <a:ext uri="{FF2B5EF4-FFF2-40B4-BE49-F238E27FC236}">
              <a16:creationId xmlns:a16="http://schemas.microsoft.com/office/drawing/2014/main" id="{AFF87652-BC14-40BB-872D-25FF37A4D4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7" name="AutoShape 1" descr="Vista previa de toda la pantalla">
          <a:extLst>
            <a:ext uri="{FF2B5EF4-FFF2-40B4-BE49-F238E27FC236}">
              <a16:creationId xmlns:a16="http://schemas.microsoft.com/office/drawing/2014/main" id="{28967DD5-BCD7-4200-9BEA-CFD0CA3403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8" name="AutoShape 1" descr="Vista previa de toda la pantalla">
          <a:extLst>
            <a:ext uri="{FF2B5EF4-FFF2-40B4-BE49-F238E27FC236}">
              <a16:creationId xmlns:a16="http://schemas.microsoft.com/office/drawing/2014/main" id="{83354E12-FFC4-4D01-A16F-7426787467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89" name="AutoShape 1" descr="Vista previa de toda la pantalla">
          <a:extLst>
            <a:ext uri="{FF2B5EF4-FFF2-40B4-BE49-F238E27FC236}">
              <a16:creationId xmlns:a16="http://schemas.microsoft.com/office/drawing/2014/main" id="{4F9D2532-F808-4277-BE47-EC255B211E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0" name="AutoShape 1" descr="Vista previa de toda la pantalla">
          <a:extLst>
            <a:ext uri="{FF2B5EF4-FFF2-40B4-BE49-F238E27FC236}">
              <a16:creationId xmlns:a16="http://schemas.microsoft.com/office/drawing/2014/main" id="{7B5FAC6B-544E-42B7-9475-E111ECD01F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1" name="AutoShape 1" descr="Vista previa de toda la pantalla">
          <a:extLst>
            <a:ext uri="{FF2B5EF4-FFF2-40B4-BE49-F238E27FC236}">
              <a16:creationId xmlns:a16="http://schemas.microsoft.com/office/drawing/2014/main" id="{69404530-EC0B-4828-BC73-5FAC256389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2" name="AutoShape 1" descr="Vista previa de toda la pantalla">
          <a:extLst>
            <a:ext uri="{FF2B5EF4-FFF2-40B4-BE49-F238E27FC236}">
              <a16:creationId xmlns:a16="http://schemas.microsoft.com/office/drawing/2014/main" id="{976EE3B3-26D7-4001-8322-4B54FE01C9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3" name="AutoShape 1" descr="Vista previa de toda la pantalla">
          <a:extLst>
            <a:ext uri="{FF2B5EF4-FFF2-40B4-BE49-F238E27FC236}">
              <a16:creationId xmlns:a16="http://schemas.microsoft.com/office/drawing/2014/main" id="{8F38981C-467E-4B54-AD68-FB299F1750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4" name="AutoShape 1" descr="Vista previa de toda la pantalla">
          <a:extLst>
            <a:ext uri="{FF2B5EF4-FFF2-40B4-BE49-F238E27FC236}">
              <a16:creationId xmlns:a16="http://schemas.microsoft.com/office/drawing/2014/main" id="{867C91D0-25C5-4017-9900-D25EE35A7B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5" name="AutoShape 1" descr="Vista previa de toda la pantalla">
          <a:extLst>
            <a:ext uri="{FF2B5EF4-FFF2-40B4-BE49-F238E27FC236}">
              <a16:creationId xmlns:a16="http://schemas.microsoft.com/office/drawing/2014/main" id="{0B98DAD9-5F63-4E46-8C4A-A767EFBDB7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6" name="AutoShape 1" descr="Vista previa de toda la pantalla">
          <a:extLst>
            <a:ext uri="{FF2B5EF4-FFF2-40B4-BE49-F238E27FC236}">
              <a16:creationId xmlns:a16="http://schemas.microsoft.com/office/drawing/2014/main" id="{EBD4E7BC-9717-4AC8-855A-EB2A9A1094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7" name="AutoShape 1" descr="Vista previa de toda la pantalla">
          <a:extLst>
            <a:ext uri="{FF2B5EF4-FFF2-40B4-BE49-F238E27FC236}">
              <a16:creationId xmlns:a16="http://schemas.microsoft.com/office/drawing/2014/main" id="{2222535B-C42E-44DE-BA33-CE30DFEE06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8" name="AutoShape 1" descr="Vista previa de toda la pantalla">
          <a:extLst>
            <a:ext uri="{FF2B5EF4-FFF2-40B4-BE49-F238E27FC236}">
              <a16:creationId xmlns:a16="http://schemas.microsoft.com/office/drawing/2014/main" id="{14B196C2-2708-4B04-87A1-BE9BBE8AA1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299" name="AutoShape 1" descr="Vista previa de toda la pantalla">
          <a:extLst>
            <a:ext uri="{FF2B5EF4-FFF2-40B4-BE49-F238E27FC236}">
              <a16:creationId xmlns:a16="http://schemas.microsoft.com/office/drawing/2014/main" id="{F261CC22-89A7-4FDA-9216-C22C50E349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0" name="AutoShape 1" descr="Vista previa de toda la pantalla">
          <a:extLst>
            <a:ext uri="{FF2B5EF4-FFF2-40B4-BE49-F238E27FC236}">
              <a16:creationId xmlns:a16="http://schemas.microsoft.com/office/drawing/2014/main" id="{46F1DD1A-9D22-49A8-81EA-80E7A4DE2B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1" name="AutoShape 1" descr="Vista previa de toda la pantalla">
          <a:extLst>
            <a:ext uri="{FF2B5EF4-FFF2-40B4-BE49-F238E27FC236}">
              <a16:creationId xmlns:a16="http://schemas.microsoft.com/office/drawing/2014/main" id="{D9E95A49-C862-463F-88FF-B423123128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2" name="AutoShape 1" descr="Vista previa de toda la pantalla">
          <a:extLst>
            <a:ext uri="{FF2B5EF4-FFF2-40B4-BE49-F238E27FC236}">
              <a16:creationId xmlns:a16="http://schemas.microsoft.com/office/drawing/2014/main" id="{80D7DFBB-2551-40AB-96E8-8B24342CD7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3" name="AutoShape 1" descr="Vista previa de toda la pantalla">
          <a:extLst>
            <a:ext uri="{FF2B5EF4-FFF2-40B4-BE49-F238E27FC236}">
              <a16:creationId xmlns:a16="http://schemas.microsoft.com/office/drawing/2014/main" id="{D917A32A-4BD4-4447-BEA7-9A0AC2EF3A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4" name="AutoShape 1" descr="Vista previa de toda la pantalla">
          <a:extLst>
            <a:ext uri="{FF2B5EF4-FFF2-40B4-BE49-F238E27FC236}">
              <a16:creationId xmlns:a16="http://schemas.microsoft.com/office/drawing/2014/main" id="{A79143E7-F2F8-4DAE-8264-F98A7F143F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5" name="AutoShape 1" descr="Vista previa de toda la pantalla">
          <a:extLst>
            <a:ext uri="{FF2B5EF4-FFF2-40B4-BE49-F238E27FC236}">
              <a16:creationId xmlns:a16="http://schemas.microsoft.com/office/drawing/2014/main" id="{1F382F56-7C5F-4E9B-A1EE-909682E725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6" name="AutoShape 1" descr="Vista previa de toda la pantalla">
          <a:extLst>
            <a:ext uri="{FF2B5EF4-FFF2-40B4-BE49-F238E27FC236}">
              <a16:creationId xmlns:a16="http://schemas.microsoft.com/office/drawing/2014/main" id="{50330AAD-38AB-473E-849B-23E5DF6F09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7" name="AutoShape 1" descr="Vista previa de toda la pantalla">
          <a:extLst>
            <a:ext uri="{FF2B5EF4-FFF2-40B4-BE49-F238E27FC236}">
              <a16:creationId xmlns:a16="http://schemas.microsoft.com/office/drawing/2014/main" id="{74500A20-A33A-4E1D-B196-377A55449A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8" name="AutoShape 1" descr="Vista previa de toda la pantalla">
          <a:extLst>
            <a:ext uri="{FF2B5EF4-FFF2-40B4-BE49-F238E27FC236}">
              <a16:creationId xmlns:a16="http://schemas.microsoft.com/office/drawing/2014/main" id="{26C196B2-218D-45FF-B08A-A90F238C09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09" name="AutoShape 1" descr="Vista previa de toda la pantalla">
          <a:extLst>
            <a:ext uri="{FF2B5EF4-FFF2-40B4-BE49-F238E27FC236}">
              <a16:creationId xmlns:a16="http://schemas.microsoft.com/office/drawing/2014/main" id="{8C296222-8B49-43A7-8323-8A702CC701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0" name="AutoShape 1" descr="Vista previa de toda la pantalla">
          <a:extLst>
            <a:ext uri="{FF2B5EF4-FFF2-40B4-BE49-F238E27FC236}">
              <a16:creationId xmlns:a16="http://schemas.microsoft.com/office/drawing/2014/main" id="{AC9404C6-EDBD-4E9A-AEFA-09FD7C67DE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1" name="AutoShape 1" descr="Vista previa de toda la pantalla">
          <a:extLst>
            <a:ext uri="{FF2B5EF4-FFF2-40B4-BE49-F238E27FC236}">
              <a16:creationId xmlns:a16="http://schemas.microsoft.com/office/drawing/2014/main" id="{BD8C56F6-5022-4543-BE53-F563393C75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2" name="AutoShape 1" descr="Vista previa de toda la pantalla">
          <a:extLst>
            <a:ext uri="{FF2B5EF4-FFF2-40B4-BE49-F238E27FC236}">
              <a16:creationId xmlns:a16="http://schemas.microsoft.com/office/drawing/2014/main" id="{A48324D0-A68C-46EB-B505-0001F9763B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3" name="AutoShape 1" descr="Vista previa de toda la pantalla">
          <a:extLst>
            <a:ext uri="{FF2B5EF4-FFF2-40B4-BE49-F238E27FC236}">
              <a16:creationId xmlns:a16="http://schemas.microsoft.com/office/drawing/2014/main" id="{EF026ED0-6199-489C-AF02-A5269B3C78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4" name="AutoShape 1" descr="Vista previa de toda la pantalla">
          <a:extLst>
            <a:ext uri="{FF2B5EF4-FFF2-40B4-BE49-F238E27FC236}">
              <a16:creationId xmlns:a16="http://schemas.microsoft.com/office/drawing/2014/main" id="{14F16236-4A82-4218-8D93-9AB5485E08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5" name="AutoShape 1" descr="Vista previa de toda la pantalla">
          <a:extLst>
            <a:ext uri="{FF2B5EF4-FFF2-40B4-BE49-F238E27FC236}">
              <a16:creationId xmlns:a16="http://schemas.microsoft.com/office/drawing/2014/main" id="{A3345755-BB88-4C81-8BD6-3FC454DFDF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6" name="AutoShape 1" descr="Vista previa de toda la pantalla">
          <a:extLst>
            <a:ext uri="{FF2B5EF4-FFF2-40B4-BE49-F238E27FC236}">
              <a16:creationId xmlns:a16="http://schemas.microsoft.com/office/drawing/2014/main" id="{AACA4E0E-EE19-4B10-A9E9-42373D713D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7" name="AutoShape 1" descr="Vista previa de toda la pantalla">
          <a:extLst>
            <a:ext uri="{FF2B5EF4-FFF2-40B4-BE49-F238E27FC236}">
              <a16:creationId xmlns:a16="http://schemas.microsoft.com/office/drawing/2014/main" id="{03CA4CAA-040C-4777-8874-33E495D4D7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8" name="AutoShape 1" descr="Vista previa de toda la pantalla">
          <a:extLst>
            <a:ext uri="{FF2B5EF4-FFF2-40B4-BE49-F238E27FC236}">
              <a16:creationId xmlns:a16="http://schemas.microsoft.com/office/drawing/2014/main" id="{737634F2-35C7-41B2-A7E8-DC85D0B43E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19" name="AutoShape 1" descr="Vista previa de toda la pantalla">
          <a:extLst>
            <a:ext uri="{FF2B5EF4-FFF2-40B4-BE49-F238E27FC236}">
              <a16:creationId xmlns:a16="http://schemas.microsoft.com/office/drawing/2014/main" id="{F5D500D8-BBB1-4B52-8980-41147A8C8B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0" name="AutoShape 1" descr="Vista previa de toda la pantalla">
          <a:extLst>
            <a:ext uri="{FF2B5EF4-FFF2-40B4-BE49-F238E27FC236}">
              <a16:creationId xmlns:a16="http://schemas.microsoft.com/office/drawing/2014/main" id="{4A56535F-160B-4751-A0D1-3D7A3E7625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1" name="AutoShape 1" descr="Vista previa de toda la pantalla">
          <a:extLst>
            <a:ext uri="{FF2B5EF4-FFF2-40B4-BE49-F238E27FC236}">
              <a16:creationId xmlns:a16="http://schemas.microsoft.com/office/drawing/2014/main" id="{22F13EDF-8774-45E3-924D-2A028A8D1E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2" name="AutoShape 1" descr="Vista previa de toda la pantalla">
          <a:extLst>
            <a:ext uri="{FF2B5EF4-FFF2-40B4-BE49-F238E27FC236}">
              <a16:creationId xmlns:a16="http://schemas.microsoft.com/office/drawing/2014/main" id="{C2D64888-3372-4684-9C8A-7D4B875C8A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3" name="AutoShape 1" descr="Vista previa de toda la pantalla">
          <a:extLst>
            <a:ext uri="{FF2B5EF4-FFF2-40B4-BE49-F238E27FC236}">
              <a16:creationId xmlns:a16="http://schemas.microsoft.com/office/drawing/2014/main" id="{BB6190FE-F14E-445D-9233-E57C70C6CC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4" name="AutoShape 1" descr="Vista previa de toda la pantalla">
          <a:extLst>
            <a:ext uri="{FF2B5EF4-FFF2-40B4-BE49-F238E27FC236}">
              <a16:creationId xmlns:a16="http://schemas.microsoft.com/office/drawing/2014/main" id="{D6EE1724-9914-43A6-B0B1-2DE1972CC3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5" name="AutoShape 1" descr="Vista previa de toda la pantalla">
          <a:extLst>
            <a:ext uri="{FF2B5EF4-FFF2-40B4-BE49-F238E27FC236}">
              <a16:creationId xmlns:a16="http://schemas.microsoft.com/office/drawing/2014/main" id="{9C1D7778-E47E-48DC-9C45-D81588C50F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6" name="AutoShape 1" descr="Vista previa de toda la pantalla">
          <a:extLst>
            <a:ext uri="{FF2B5EF4-FFF2-40B4-BE49-F238E27FC236}">
              <a16:creationId xmlns:a16="http://schemas.microsoft.com/office/drawing/2014/main" id="{AD115AB0-2EDF-42D0-8799-1FAEE51DA5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7" name="AutoShape 1" descr="Vista previa de toda la pantalla">
          <a:extLst>
            <a:ext uri="{FF2B5EF4-FFF2-40B4-BE49-F238E27FC236}">
              <a16:creationId xmlns:a16="http://schemas.microsoft.com/office/drawing/2014/main" id="{34F8848E-8EA2-4C59-8D87-1ADE5B0179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8" name="AutoShape 1" descr="Vista previa de toda la pantalla">
          <a:extLst>
            <a:ext uri="{FF2B5EF4-FFF2-40B4-BE49-F238E27FC236}">
              <a16:creationId xmlns:a16="http://schemas.microsoft.com/office/drawing/2014/main" id="{5FC3B686-0F6E-4269-A25A-B46CF3F1A2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29" name="AutoShape 1" descr="Vista previa de toda la pantalla">
          <a:extLst>
            <a:ext uri="{FF2B5EF4-FFF2-40B4-BE49-F238E27FC236}">
              <a16:creationId xmlns:a16="http://schemas.microsoft.com/office/drawing/2014/main" id="{0394D77E-2104-489D-9B20-5B59DE05E2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0" name="AutoShape 1" descr="Vista previa de toda la pantalla">
          <a:extLst>
            <a:ext uri="{FF2B5EF4-FFF2-40B4-BE49-F238E27FC236}">
              <a16:creationId xmlns:a16="http://schemas.microsoft.com/office/drawing/2014/main" id="{5E414218-EE1C-4D9B-91A3-30F0412FB9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1" name="AutoShape 1" descr="Vista previa de toda la pantalla">
          <a:extLst>
            <a:ext uri="{FF2B5EF4-FFF2-40B4-BE49-F238E27FC236}">
              <a16:creationId xmlns:a16="http://schemas.microsoft.com/office/drawing/2014/main" id="{530BEBCC-594E-469A-8207-04CB94313E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2" name="AutoShape 1" descr="Vista previa de toda la pantalla">
          <a:extLst>
            <a:ext uri="{FF2B5EF4-FFF2-40B4-BE49-F238E27FC236}">
              <a16:creationId xmlns:a16="http://schemas.microsoft.com/office/drawing/2014/main" id="{87B97EDB-D2DB-4DF7-95C7-F73ED53F6D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3" name="AutoShape 1" descr="Vista previa de toda la pantalla">
          <a:extLst>
            <a:ext uri="{FF2B5EF4-FFF2-40B4-BE49-F238E27FC236}">
              <a16:creationId xmlns:a16="http://schemas.microsoft.com/office/drawing/2014/main" id="{EFDBD379-6762-4F23-8A24-6A1F7DF151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4" name="AutoShape 1" descr="Vista previa de toda la pantalla">
          <a:extLst>
            <a:ext uri="{FF2B5EF4-FFF2-40B4-BE49-F238E27FC236}">
              <a16:creationId xmlns:a16="http://schemas.microsoft.com/office/drawing/2014/main" id="{15883355-C84A-4319-9CC2-2F43E62332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5" name="AutoShape 1" descr="Vista previa de toda la pantalla">
          <a:extLst>
            <a:ext uri="{FF2B5EF4-FFF2-40B4-BE49-F238E27FC236}">
              <a16:creationId xmlns:a16="http://schemas.microsoft.com/office/drawing/2014/main" id="{FD6CE1C6-7AC2-4DF6-BEBA-29B975EBBB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6" name="AutoShape 1" descr="Vista previa de toda la pantalla">
          <a:extLst>
            <a:ext uri="{FF2B5EF4-FFF2-40B4-BE49-F238E27FC236}">
              <a16:creationId xmlns:a16="http://schemas.microsoft.com/office/drawing/2014/main" id="{3D7902A4-B762-4CCB-AEF7-43121C343B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7" name="AutoShape 1" descr="Vista previa de toda la pantalla">
          <a:extLst>
            <a:ext uri="{FF2B5EF4-FFF2-40B4-BE49-F238E27FC236}">
              <a16:creationId xmlns:a16="http://schemas.microsoft.com/office/drawing/2014/main" id="{E715A130-FBC1-4C60-B74F-33DF0A4DD5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8" name="AutoShape 1" descr="Vista previa de toda la pantalla">
          <a:extLst>
            <a:ext uri="{FF2B5EF4-FFF2-40B4-BE49-F238E27FC236}">
              <a16:creationId xmlns:a16="http://schemas.microsoft.com/office/drawing/2014/main" id="{703A5235-6632-4E91-BB8B-C4FB0666DB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39" name="AutoShape 1" descr="Vista previa de toda la pantalla">
          <a:extLst>
            <a:ext uri="{FF2B5EF4-FFF2-40B4-BE49-F238E27FC236}">
              <a16:creationId xmlns:a16="http://schemas.microsoft.com/office/drawing/2014/main" id="{2B26F131-6918-4577-ACA6-70B7FABC26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0" name="AutoShape 1" descr="Vista previa de toda la pantalla">
          <a:extLst>
            <a:ext uri="{FF2B5EF4-FFF2-40B4-BE49-F238E27FC236}">
              <a16:creationId xmlns:a16="http://schemas.microsoft.com/office/drawing/2014/main" id="{C8F135A5-8E28-4264-88CB-1E77A9F83C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1" name="AutoShape 1" descr="Vista previa de toda la pantalla">
          <a:extLst>
            <a:ext uri="{FF2B5EF4-FFF2-40B4-BE49-F238E27FC236}">
              <a16:creationId xmlns:a16="http://schemas.microsoft.com/office/drawing/2014/main" id="{5B8B3F11-1CD4-4DBA-980E-0C00C09C83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2" name="AutoShape 1" descr="Vista previa de toda la pantalla">
          <a:extLst>
            <a:ext uri="{FF2B5EF4-FFF2-40B4-BE49-F238E27FC236}">
              <a16:creationId xmlns:a16="http://schemas.microsoft.com/office/drawing/2014/main" id="{2DB6FEA7-4438-4167-BBE6-C0F89D19E6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3" name="AutoShape 1" descr="Vista previa de toda la pantalla">
          <a:extLst>
            <a:ext uri="{FF2B5EF4-FFF2-40B4-BE49-F238E27FC236}">
              <a16:creationId xmlns:a16="http://schemas.microsoft.com/office/drawing/2014/main" id="{8BB5B423-D15D-4401-AB7B-EE69089EB7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4" name="AutoShape 1" descr="Vista previa de toda la pantalla">
          <a:extLst>
            <a:ext uri="{FF2B5EF4-FFF2-40B4-BE49-F238E27FC236}">
              <a16:creationId xmlns:a16="http://schemas.microsoft.com/office/drawing/2014/main" id="{AF8F1CFB-CAAC-4B10-9F3B-A2B2B2F3D9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5" name="AutoShape 1" descr="Vista previa de toda la pantalla">
          <a:extLst>
            <a:ext uri="{FF2B5EF4-FFF2-40B4-BE49-F238E27FC236}">
              <a16:creationId xmlns:a16="http://schemas.microsoft.com/office/drawing/2014/main" id="{9EFEE677-6517-4225-9AA3-A065807361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6" name="AutoShape 1" descr="Vista previa de toda la pantalla">
          <a:extLst>
            <a:ext uri="{FF2B5EF4-FFF2-40B4-BE49-F238E27FC236}">
              <a16:creationId xmlns:a16="http://schemas.microsoft.com/office/drawing/2014/main" id="{4E004B04-7FA8-4DC1-BC39-84DD5C8978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7" name="AutoShape 1" descr="Vista previa de toda la pantalla">
          <a:extLst>
            <a:ext uri="{FF2B5EF4-FFF2-40B4-BE49-F238E27FC236}">
              <a16:creationId xmlns:a16="http://schemas.microsoft.com/office/drawing/2014/main" id="{BAEA4C47-145C-44C2-A638-447CDC27DB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8" name="AutoShape 1" descr="Vista previa de toda la pantalla">
          <a:extLst>
            <a:ext uri="{FF2B5EF4-FFF2-40B4-BE49-F238E27FC236}">
              <a16:creationId xmlns:a16="http://schemas.microsoft.com/office/drawing/2014/main" id="{906C484A-224C-4681-A1E7-066A8788A9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49" name="AutoShape 1" descr="Vista previa de toda la pantalla">
          <a:extLst>
            <a:ext uri="{FF2B5EF4-FFF2-40B4-BE49-F238E27FC236}">
              <a16:creationId xmlns:a16="http://schemas.microsoft.com/office/drawing/2014/main" id="{CD5064D3-2035-4F58-93D1-A43C99D2AF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0" name="AutoShape 1" descr="Vista previa de toda la pantalla">
          <a:extLst>
            <a:ext uri="{FF2B5EF4-FFF2-40B4-BE49-F238E27FC236}">
              <a16:creationId xmlns:a16="http://schemas.microsoft.com/office/drawing/2014/main" id="{AFF4B31E-8B55-40D3-9A33-3B65ECEFDF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1" name="AutoShape 1" descr="Vista previa de toda la pantalla">
          <a:extLst>
            <a:ext uri="{FF2B5EF4-FFF2-40B4-BE49-F238E27FC236}">
              <a16:creationId xmlns:a16="http://schemas.microsoft.com/office/drawing/2014/main" id="{0C642E85-63C3-47E8-A6B7-BD10DC7B87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2" name="AutoShape 1" descr="Vista previa de toda la pantalla">
          <a:extLst>
            <a:ext uri="{FF2B5EF4-FFF2-40B4-BE49-F238E27FC236}">
              <a16:creationId xmlns:a16="http://schemas.microsoft.com/office/drawing/2014/main" id="{C6544924-1CAC-4D50-B1AD-7BF27CCCAE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3" name="AutoShape 1" descr="Vista previa de toda la pantalla">
          <a:extLst>
            <a:ext uri="{FF2B5EF4-FFF2-40B4-BE49-F238E27FC236}">
              <a16:creationId xmlns:a16="http://schemas.microsoft.com/office/drawing/2014/main" id="{92E6C3D6-217F-4D3C-91D0-6749DFC520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4" name="AutoShape 1" descr="Vista previa de toda la pantalla">
          <a:extLst>
            <a:ext uri="{FF2B5EF4-FFF2-40B4-BE49-F238E27FC236}">
              <a16:creationId xmlns:a16="http://schemas.microsoft.com/office/drawing/2014/main" id="{9CD81BCC-3818-44FA-95F6-E303D343DC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5" name="AutoShape 1" descr="Vista previa de toda la pantalla">
          <a:extLst>
            <a:ext uri="{FF2B5EF4-FFF2-40B4-BE49-F238E27FC236}">
              <a16:creationId xmlns:a16="http://schemas.microsoft.com/office/drawing/2014/main" id="{5681BE0E-67CE-4DF2-8090-A122AB4B2F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6" name="AutoShape 1" descr="Vista previa de toda la pantalla">
          <a:extLst>
            <a:ext uri="{FF2B5EF4-FFF2-40B4-BE49-F238E27FC236}">
              <a16:creationId xmlns:a16="http://schemas.microsoft.com/office/drawing/2014/main" id="{366F3EC2-BE58-4062-95C9-71ADE7E4B5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7" name="AutoShape 1" descr="Vista previa de toda la pantalla">
          <a:extLst>
            <a:ext uri="{FF2B5EF4-FFF2-40B4-BE49-F238E27FC236}">
              <a16:creationId xmlns:a16="http://schemas.microsoft.com/office/drawing/2014/main" id="{92080D99-F202-4213-8CEB-1289441B3E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8" name="AutoShape 1" descr="Vista previa de toda la pantalla">
          <a:extLst>
            <a:ext uri="{FF2B5EF4-FFF2-40B4-BE49-F238E27FC236}">
              <a16:creationId xmlns:a16="http://schemas.microsoft.com/office/drawing/2014/main" id="{A3ACA69B-DF74-4636-896A-C50269F9B7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59" name="AutoShape 1" descr="Vista previa de toda la pantalla">
          <a:extLst>
            <a:ext uri="{FF2B5EF4-FFF2-40B4-BE49-F238E27FC236}">
              <a16:creationId xmlns:a16="http://schemas.microsoft.com/office/drawing/2014/main" id="{0010827C-AAE7-4402-9592-E323AFCC03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0" name="AutoShape 1" descr="Vista previa de toda la pantalla">
          <a:extLst>
            <a:ext uri="{FF2B5EF4-FFF2-40B4-BE49-F238E27FC236}">
              <a16:creationId xmlns:a16="http://schemas.microsoft.com/office/drawing/2014/main" id="{CA4FBB75-B9EE-4639-8CB0-8C6014A983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1" name="AutoShape 1" descr="Vista previa de toda la pantalla">
          <a:extLst>
            <a:ext uri="{FF2B5EF4-FFF2-40B4-BE49-F238E27FC236}">
              <a16:creationId xmlns:a16="http://schemas.microsoft.com/office/drawing/2014/main" id="{65174785-9BC0-4BB9-967E-974FBC35D1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2" name="AutoShape 1" descr="Vista previa de toda la pantalla">
          <a:extLst>
            <a:ext uri="{FF2B5EF4-FFF2-40B4-BE49-F238E27FC236}">
              <a16:creationId xmlns:a16="http://schemas.microsoft.com/office/drawing/2014/main" id="{B4D0D4CF-1D96-46E6-8B46-6231E43C51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3" name="AutoShape 1" descr="Vista previa de toda la pantalla">
          <a:extLst>
            <a:ext uri="{FF2B5EF4-FFF2-40B4-BE49-F238E27FC236}">
              <a16:creationId xmlns:a16="http://schemas.microsoft.com/office/drawing/2014/main" id="{694119BF-E38D-4636-BF6D-02482D0F08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4" name="AutoShape 1" descr="Vista previa de toda la pantalla">
          <a:extLst>
            <a:ext uri="{FF2B5EF4-FFF2-40B4-BE49-F238E27FC236}">
              <a16:creationId xmlns:a16="http://schemas.microsoft.com/office/drawing/2014/main" id="{8F62BC19-CA8C-4740-A6B0-9CC5C2E350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5" name="AutoShape 1" descr="Vista previa de toda la pantalla">
          <a:extLst>
            <a:ext uri="{FF2B5EF4-FFF2-40B4-BE49-F238E27FC236}">
              <a16:creationId xmlns:a16="http://schemas.microsoft.com/office/drawing/2014/main" id="{9DE6B373-E95A-4677-B1C7-BFC0727776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6" name="AutoShape 1" descr="Vista previa de toda la pantalla">
          <a:extLst>
            <a:ext uri="{FF2B5EF4-FFF2-40B4-BE49-F238E27FC236}">
              <a16:creationId xmlns:a16="http://schemas.microsoft.com/office/drawing/2014/main" id="{8D19EF36-9ACC-4CA8-B542-BAECDF50CE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7" name="AutoShape 1" descr="Vista previa de toda la pantalla">
          <a:extLst>
            <a:ext uri="{FF2B5EF4-FFF2-40B4-BE49-F238E27FC236}">
              <a16:creationId xmlns:a16="http://schemas.microsoft.com/office/drawing/2014/main" id="{0F8B85C4-9C19-4DCF-BDDC-8D42B67B96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8" name="AutoShape 1" descr="Vista previa de toda la pantalla">
          <a:extLst>
            <a:ext uri="{FF2B5EF4-FFF2-40B4-BE49-F238E27FC236}">
              <a16:creationId xmlns:a16="http://schemas.microsoft.com/office/drawing/2014/main" id="{E2A0192E-1B05-4EC5-A267-5DE1F90B3D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69" name="AutoShape 1" descr="Vista previa de toda la pantalla">
          <a:extLst>
            <a:ext uri="{FF2B5EF4-FFF2-40B4-BE49-F238E27FC236}">
              <a16:creationId xmlns:a16="http://schemas.microsoft.com/office/drawing/2014/main" id="{D6856A83-FFB9-461D-9832-2C0CBACABA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0" name="AutoShape 1" descr="Vista previa de toda la pantalla">
          <a:extLst>
            <a:ext uri="{FF2B5EF4-FFF2-40B4-BE49-F238E27FC236}">
              <a16:creationId xmlns:a16="http://schemas.microsoft.com/office/drawing/2014/main" id="{F9461A54-8C2B-45F3-B380-71B6DFAEC9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1" name="AutoShape 1" descr="Vista previa de toda la pantalla">
          <a:extLst>
            <a:ext uri="{FF2B5EF4-FFF2-40B4-BE49-F238E27FC236}">
              <a16:creationId xmlns:a16="http://schemas.microsoft.com/office/drawing/2014/main" id="{68163FC9-DE9B-48A6-8E63-2520D83D3C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2" name="AutoShape 1" descr="Vista previa de toda la pantalla">
          <a:extLst>
            <a:ext uri="{FF2B5EF4-FFF2-40B4-BE49-F238E27FC236}">
              <a16:creationId xmlns:a16="http://schemas.microsoft.com/office/drawing/2014/main" id="{A79C514D-41B2-4CE9-B604-D1B13BA081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3" name="AutoShape 1" descr="Vista previa de toda la pantalla">
          <a:extLst>
            <a:ext uri="{FF2B5EF4-FFF2-40B4-BE49-F238E27FC236}">
              <a16:creationId xmlns:a16="http://schemas.microsoft.com/office/drawing/2014/main" id="{806A2C12-B336-446A-8DE2-304364641C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4" name="AutoShape 1" descr="Vista previa de toda la pantalla">
          <a:extLst>
            <a:ext uri="{FF2B5EF4-FFF2-40B4-BE49-F238E27FC236}">
              <a16:creationId xmlns:a16="http://schemas.microsoft.com/office/drawing/2014/main" id="{55560CB7-FFEC-46D5-9F71-CF9BB8E208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5" name="AutoShape 1" descr="Vista previa de toda la pantalla">
          <a:extLst>
            <a:ext uri="{FF2B5EF4-FFF2-40B4-BE49-F238E27FC236}">
              <a16:creationId xmlns:a16="http://schemas.microsoft.com/office/drawing/2014/main" id="{DC7153AA-A193-4E4F-8958-CC04C04BBD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6" name="AutoShape 1" descr="Vista previa de toda la pantalla">
          <a:extLst>
            <a:ext uri="{FF2B5EF4-FFF2-40B4-BE49-F238E27FC236}">
              <a16:creationId xmlns:a16="http://schemas.microsoft.com/office/drawing/2014/main" id="{E9170E1A-7B8A-4744-83D9-A6CE6701D2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7" name="AutoShape 1" descr="Vista previa de toda la pantalla">
          <a:extLst>
            <a:ext uri="{FF2B5EF4-FFF2-40B4-BE49-F238E27FC236}">
              <a16:creationId xmlns:a16="http://schemas.microsoft.com/office/drawing/2014/main" id="{06A3921D-8888-4226-AFC0-E6D0C54666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8" name="AutoShape 1" descr="Vista previa de toda la pantalla">
          <a:extLst>
            <a:ext uri="{FF2B5EF4-FFF2-40B4-BE49-F238E27FC236}">
              <a16:creationId xmlns:a16="http://schemas.microsoft.com/office/drawing/2014/main" id="{20885E23-1E57-4D05-B09A-2981B23814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79" name="AutoShape 1" descr="Vista previa de toda la pantalla">
          <a:extLst>
            <a:ext uri="{FF2B5EF4-FFF2-40B4-BE49-F238E27FC236}">
              <a16:creationId xmlns:a16="http://schemas.microsoft.com/office/drawing/2014/main" id="{3BD29CDF-3E0E-45D3-80B7-066737DEA8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80" name="AutoShape 1" descr="Vista previa de toda la pantalla">
          <a:extLst>
            <a:ext uri="{FF2B5EF4-FFF2-40B4-BE49-F238E27FC236}">
              <a16:creationId xmlns:a16="http://schemas.microsoft.com/office/drawing/2014/main" id="{27C168D2-0F39-4304-9BAF-CC406A42B4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81" name="AutoShape 1" descr="Vista previa de toda la pantalla">
          <a:extLst>
            <a:ext uri="{FF2B5EF4-FFF2-40B4-BE49-F238E27FC236}">
              <a16:creationId xmlns:a16="http://schemas.microsoft.com/office/drawing/2014/main" id="{67319275-28C1-4001-8E76-8D3B37A206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82" name="AutoShape 1" descr="Vista previa de toda la pantalla">
          <a:extLst>
            <a:ext uri="{FF2B5EF4-FFF2-40B4-BE49-F238E27FC236}">
              <a16:creationId xmlns:a16="http://schemas.microsoft.com/office/drawing/2014/main" id="{3B878844-7064-4336-BC7E-5C2BE0D203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83" name="AutoShape 1" descr="Vista previa de toda la pantalla">
          <a:extLst>
            <a:ext uri="{FF2B5EF4-FFF2-40B4-BE49-F238E27FC236}">
              <a16:creationId xmlns:a16="http://schemas.microsoft.com/office/drawing/2014/main" id="{9EF6420C-E220-449A-967B-FF4CD28BB2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84" name="AutoShape 1" descr="Vista previa de toda la pantalla">
          <a:extLst>
            <a:ext uri="{FF2B5EF4-FFF2-40B4-BE49-F238E27FC236}">
              <a16:creationId xmlns:a16="http://schemas.microsoft.com/office/drawing/2014/main" id="{54FE407F-5143-4827-BAF6-D7EE8F7344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85" name="AutoShape 1" descr="Vista previa de toda la pantalla">
          <a:extLst>
            <a:ext uri="{FF2B5EF4-FFF2-40B4-BE49-F238E27FC236}">
              <a16:creationId xmlns:a16="http://schemas.microsoft.com/office/drawing/2014/main" id="{FEA18778-DB21-452A-8CCE-64B5833F65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86" name="AutoShape 1" descr="Vista previa de toda la pantalla">
          <a:extLst>
            <a:ext uri="{FF2B5EF4-FFF2-40B4-BE49-F238E27FC236}">
              <a16:creationId xmlns:a16="http://schemas.microsoft.com/office/drawing/2014/main" id="{D4DECB3B-CC6E-469F-BC46-E71167FD43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87" name="AutoShape 1" descr="Vista previa de toda la pantalla">
          <a:extLst>
            <a:ext uri="{FF2B5EF4-FFF2-40B4-BE49-F238E27FC236}">
              <a16:creationId xmlns:a16="http://schemas.microsoft.com/office/drawing/2014/main" id="{A709059E-E1DA-4FAB-BBF4-5C44C1BC8C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2388" name="AutoShape 1" descr="Vista previa de toda la pantalla">
          <a:extLst>
            <a:ext uri="{FF2B5EF4-FFF2-40B4-BE49-F238E27FC236}">
              <a16:creationId xmlns:a16="http://schemas.microsoft.com/office/drawing/2014/main" id="{449FD9BC-119D-4BDD-85E9-1EDCEFED8C70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89" name="AutoShape 1" descr="Vista previa de toda la pantalla">
          <a:extLst>
            <a:ext uri="{FF2B5EF4-FFF2-40B4-BE49-F238E27FC236}">
              <a16:creationId xmlns:a16="http://schemas.microsoft.com/office/drawing/2014/main" id="{02BC7E32-E230-464A-B407-B1603C828D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0" name="AutoShape 1" descr="Vista previa de toda la pantalla">
          <a:extLst>
            <a:ext uri="{FF2B5EF4-FFF2-40B4-BE49-F238E27FC236}">
              <a16:creationId xmlns:a16="http://schemas.microsoft.com/office/drawing/2014/main" id="{AE8C2B09-8AF8-4632-AD0F-E9CF5F0C19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1" name="AutoShape 1" descr="Vista previa de toda la pantalla">
          <a:extLst>
            <a:ext uri="{FF2B5EF4-FFF2-40B4-BE49-F238E27FC236}">
              <a16:creationId xmlns:a16="http://schemas.microsoft.com/office/drawing/2014/main" id="{1141CCD6-F281-4D3A-AAA6-31723702EC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2" name="AutoShape 1" descr="Vista previa de toda la pantalla">
          <a:extLst>
            <a:ext uri="{FF2B5EF4-FFF2-40B4-BE49-F238E27FC236}">
              <a16:creationId xmlns:a16="http://schemas.microsoft.com/office/drawing/2014/main" id="{5F3AD520-E0D7-48D6-93FE-B91387CB6A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3" name="AutoShape 1" descr="Vista previa de toda la pantalla">
          <a:extLst>
            <a:ext uri="{FF2B5EF4-FFF2-40B4-BE49-F238E27FC236}">
              <a16:creationId xmlns:a16="http://schemas.microsoft.com/office/drawing/2014/main" id="{3CE21333-4445-42B1-9146-EFC06784F3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4" name="AutoShape 1" descr="Vista previa de toda la pantalla">
          <a:extLst>
            <a:ext uri="{FF2B5EF4-FFF2-40B4-BE49-F238E27FC236}">
              <a16:creationId xmlns:a16="http://schemas.microsoft.com/office/drawing/2014/main" id="{4B4E794F-ADFE-44C9-A222-1C0CE0F6C8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5" name="AutoShape 1" descr="Vista previa de toda la pantalla">
          <a:extLst>
            <a:ext uri="{FF2B5EF4-FFF2-40B4-BE49-F238E27FC236}">
              <a16:creationId xmlns:a16="http://schemas.microsoft.com/office/drawing/2014/main" id="{77768D4E-4A5A-424A-9EF9-8009B35F70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6" name="AutoShape 1" descr="Vista previa de toda la pantalla">
          <a:extLst>
            <a:ext uri="{FF2B5EF4-FFF2-40B4-BE49-F238E27FC236}">
              <a16:creationId xmlns:a16="http://schemas.microsoft.com/office/drawing/2014/main" id="{DF424CE4-7DFD-4110-813A-2733A1F5DD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7" name="AutoShape 1" descr="Vista previa de toda la pantalla">
          <a:extLst>
            <a:ext uri="{FF2B5EF4-FFF2-40B4-BE49-F238E27FC236}">
              <a16:creationId xmlns:a16="http://schemas.microsoft.com/office/drawing/2014/main" id="{180A0177-E685-49A8-A682-9F464A5349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8" name="AutoShape 1" descr="Vista previa de toda la pantalla">
          <a:extLst>
            <a:ext uri="{FF2B5EF4-FFF2-40B4-BE49-F238E27FC236}">
              <a16:creationId xmlns:a16="http://schemas.microsoft.com/office/drawing/2014/main" id="{04C55BA6-8E63-434A-94B1-6A132A675D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399" name="AutoShape 1" descr="Vista previa de toda la pantalla">
          <a:extLst>
            <a:ext uri="{FF2B5EF4-FFF2-40B4-BE49-F238E27FC236}">
              <a16:creationId xmlns:a16="http://schemas.microsoft.com/office/drawing/2014/main" id="{C70DD711-3ECF-4F98-B246-4EF575402D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0" name="AutoShape 1" descr="Vista previa de toda la pantalla">
          <a:extLst>
            <a:ext uri="{FF2B5EF4-FFF2-40B4-BE49-F238E27FC236}">
              <a16:creationId xmlns:a16="http://schemas.microsoft.com/office/drawing/2014/main" id="{02E60DAD-5153-43C3-B73A-2BE94BE831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1" name="AutoShape 1" descr="Vista previa de toda la pantalla">
          <a:extLst>
            <a:ext uri="{FF2B5EF4-FFF2-40B4-BE49-F238E27FC236}">
              <a16:creationId xmlns:a16="http://schemas.microsoft.com/office/drawing/2014/main" id="{8307B4B8-F18D-49F0-8162-A386697FB2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2" name="AutoShape 1" descr="Vista previa de toda la pantalla">
          <a:extLst>
            <a:ext uri="{FF2B5EF4-FFF2-40B4-BE49-F238E27FC236}">
              <a16:creationId xmlns:a16="http://schemas.microsoft.com/office/drawing/2014/main" id="{CBEE85BD-F9B0-4CB1-B02C-F7EEF43051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3" name="AutoShape 1" descr="Vista previa de toda la pantalla">
          <a:extLst>
            <a:ext uri="{FF2B5EF4-FFF2-40B4-BE49-F238E27FC236}">
              <a16:creationId xmlns:a16="http://schemas.microsoft.com/office/drawing/2014/main" id="{87AC530F-39F6-4BB2-9886-DCE432C0E7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4" name="AutoShape 1" descr="Vista previa de toda la pantalla">
          <a:extLst>
            <a:ext uri="{FF2B5EF4-FFF2-40B4-BE49-F238E27FC236}">
              <a16:creationId xmlns:a16="http://schemas.microsoft.com/office/drawing/2014/main" id="{33F67F83-75F7-438F-BEAF-FDE7D0882D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5" name="AutoShape 1" descr="Vista previa de toda la pantalla">
          <a:extLst>
            <a:ext uri="{FF2B5EF4-FFF2-40B4-BE49-F238E27FC236}">
              <a16:creationId xmlns:a16="http://schemas.microsoft.com/office/drawing/2014/main" id="{B0C9C507-1139-4CE3-AF13-CF6C144966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6" name="AutoShape 1" descr="Vista previa de toda la pantalla">
          <a:extLst>
            <a:ext uri="{FF2B5EF4-FFF2-40B4-BE49-F238E27FC236}">
              <a16:creationId xmlns:a16="http://schemas.microsoft.com/office/drawing/2014/main" id="{B612BC3C-5BE6-4B6C-9A4E-335F279B08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7" name="AutoShape 1" descr="Vista previa de toda la pantalla">
          <a:extLst>
            <a:ext uri="{FF2B5EF4-FFF2-40B4-BE49-F238E27FC236}">
              <a16:creationId xmlns:a16="http://schemas.microsoft.com/office/drawing/2014/main" id="{604A73A7-6B15-4293-9F9B-4752ED17A3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8" name="AutoShape 1" descr="Vista previa de toda la pantalla">
          <a:extLst>
            <a:ext uri="{FF2B5EF4-FFF2-40B4-BE49-F238E27FC236}">
              <a16:creationId xmlns:a16="http://schemas.microsoft.com/office/drawing/2014/main" id="{E58869C1-F519-4F8D-A0B7-F1B1BEF1E8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09" name="AutoShape 1" descr="Vista previa de toda la pantalla">
          <a:extLst>
            <a:ext uri="{FF2B5EF4-FFF2-40B4-BE49-F238E27FC236}">
              <a16:creationId xmlns:a16="http://schemas.microsoft.com/office/drawing/2014/main" id="{79CE7556-06C8-4F4F-B946-A846148924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0" name="AutoShape 1" descr="Vista previa de toda la pantalla">
          <a:extLst>
            <a:ext uri="{FF2B5EF4-FFF2-40B4-BE49-F238E27FC236}">
              <a16:creationId xmlns:a16="http://schemas.microsoft.com/office/drawing/2014/main" id="{4CB9755B-7630-4988-9B21-D2F719AAF0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1" name="AutoShape 1" descr="Vista previa de toda la pantalla">
          <a:extLst>
            <a:ext uri="{FF2B5EF4-FFF2-40B4-BE49-F238E27FC236}">
              <a16:creationId xmlns:a16="http://schemas.microsoft.com/office/drawing/2014/main" id="{82BE3F5C-94A0-4EF2-BF06-2F39EE16F2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2" name="AutoShape 1" descr="Vista previa de toda la pantalla">
          <a:extLst>
            <a:ext uri="{FF2B5EF4-FFF2-40B4-BE49-F238E27FC236}">
              <a16:creationId xmlns:a16="http://schemas.microsoft.com/office/drawing/2014/main" id="{3C00D79E-D2D5-4C6C-B69E-E8C0B4E995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3" name="AutoShape 1" descr="Vista previa de toda la pantalla">
          <a:extLst>
            <a:ext uri="{FF2B5EF4-FFF2-40B4-BE49-F238E27FC236}">
              <a16:creationId xmlns:a16="http://schemas.microsoft.com/office/drawing/2014/main" id="{398D519D-8A1F-47E1-A76E-95165EAA57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4" name="AutoShape 1" descr="Vista previa de toda la pantalla">
          <a:extLst>
            <a:ext uri="{FF2B5EF4-FFF2-40B4-BE49-F238E27FC236}">
              <a16:creationId xmlns:a16="http://schemas.microsoft.com/office/drawing/2014/main" id="{35D5837A-AFCB-4028-A9A2-7D0099BDE4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5" name="AutoShape 1" descr="Vista previa de toda la pantalla">
          <a:extLst>
            <a:ext uri="{FF2B5EF4-FFF2-40B4-BE49-F238E27FC236}">
              <a16:creationId xmlns:a16="http://schemas.microsoft.com/office/drawing/2014/main" id="{2F80A948-665E-49E6-B074-FB617AC3A7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6" name="AutoShape 1" descr="Vista previa de toda la pantalla">
          <a:extLst>
            <a:ext uri="{FF2B5EF4-FFF2-40B4-BE49-F238E27FC236}">
              <a16:creationId xmlns:a16="http://schemas.microsoft.com/office/drawing/2014/main" id="{D9875EEB-01C3-4D83-8969-E28F6CB527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7" name="AutoShape 1" descr="Vista previa de toda la pantalla">
          <a:extLst>
            <a:ext uri="{FF2B5EF4-FFF2-40B4-BE49-F238E27FC236}">
              <a16:creationId xmlns:a16="http://schemas.microsoft.com/office/drawing/2014/main" id="{2B580E7F-3528-4D8C-B639-E69B42B9E7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8" name="AutoShape 1" descr="Vista previa de toda la pantalla">
          <a:extLst>
            <a:ext uri="{FF2B5EF4-FFF2-40B4-BE49-F238E27FC236}">
              <a16:creationId xmlns:a16="http://schemas.microsoft.com/office/drawing/2014/main" id="{467122BB-CA0C-4FCC-B40B-5BA7DD482F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19" name="AutoShape 1" descr="Vista previa de toda la pantalla">
          <a:extLst>
            <a:ext uri="{FF2B5EF4-FFF2-40B4-BE49-F238E27FC236}">
              <a16:creationId xmlns:a16="http://schemas.microsoft.com/office/drawing/2014/main" id="{31BF02E6-6D6C-4956-88EA-0372BFFBFA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0" name="AutoShape 1" descr="Vista previa de toda la pantalla">
          <a:extLst>
            <a:ext uri="{FF2B5EF4-FFF2-40B4-BE49-F238E27FC236}">
              <a16:creationId xmlns:a16="http://schemas.microsoft.com/office/drawing/2014/main" id="{8C4F6333-7F6D-429D-B54D-7196C8089B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1" name="AutoShape 1" descr="Vista previa de toda la pantalla">
          <a:extLst>
            <a:ext uri="{FF2B5EF4-FFF2-40B4-BE49-F238E27FC236}">
              <a16:creationId xmlns:a16="http://schemas.microsoft.com/office/drawing/2014/main" id="{2BB85FC9-7CE4-44A8-A59D-AA1112F496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2" name="AutoShape 1" descr="Vista previa de toda la pantalla">
          <a:extLst>
            <a:ext uri="{FF2B5EF4-FFF2-40B4-BE49-F238E27FC236}">
              <a16:creationId xmlns:a16="http://schemas.microsoft.com/office/drawing/2014/main" id="{CED0808F-77E0-4C99-BC6B-8E4B17949C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3" name="AutoShape 1" descr="Vista previa de toda la pantalla">
          <a:extLst>
            <a:ext uri="{FF2B5EF4-FFF2-40B4-BE49-F238E27FC236}">
              <a16:creationId xmlns:a16="http://schemas.microsoft.com/office/drawing/2014/main" id="{27656E83-9A1D-4B5A-8826-5D874265BC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4" name="AutoShape 1" descr="Vista previa de toda la pantalla">
          <a:extLst>
            <a:ext uri="{FF2B5EF4-FFF2-40B4-BE49-F238E27FC236}">
              <a16:creationId xmlns:a16="http://schemas.microsoft.com/office/drawing/2014/main" id="{A59C58FB-16C4-4295-8FE3-0BF25A2F5D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5" name="AutoShape 1" descr="Vista previa de toda la pantalla">
          <a:extLst>
            <a:ext uri="{FF2B5EF4-FFF2-40B4-BE49-F238E27FC236}">
              <a16:creationId xmlns:a16="http://schemas.microsoft.com/office/drawing/2014/main" id="{B798800A-F350-4B0D-AE3B-867728409F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6" name="AutoShape 1" descr="Vista previa de toda la pantalla">
          <a:extLst>
            <a:ext uri="{FF2B5EF4-FFF2-40B4-BE49-F238E27FC236}">
              <a16:creationId xmlns:a16="http://schemas.microsoft.com/office/drawing/2014/main" id="{AED2A2DC-FC37-471E-840A-2EF5B4E7B4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7" name="AutoShape 1" descr="Vista previa de toda la pantalla">
          <a:extLst>
            <a:ext uri="{FF2B5EF4-FFF2-40B4-BE49-F238E27FC236}">
              <a16:creationId xmlns:a16="http://schemas.microsoft.com/office/drawing/2014/main" id="{BED5FE9D-4DD9-4E4D-A7B0-7843320E5A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8" name="AutoShape 1" descr="Vista previa de toda la pantalla">
          <a:extLst>
            <a:ext uri="{FF2B5EF4-FFF2-40B4-BE49-F238E27FC236}">
              <a16:creationId xmlns:a16="http://schemas.microsoft.com/office/drawing/2014/main" id="{104CB074-9CB7-436A-861D-53514E1D60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29" name="AutoShape 1" descr="Vista previa de toda la pantalla">
          <a:extLst>
            <a:ext uri="{FF2B5EF4-FFF2-40B4-BE49-F238E27FC236}">
              <a16:creationId xmlns:a16="http://schemas.microsoft.com/office/drawing/2014/main" id="{6EC4E2E0-E5D9-45FA-AB10-2A244E77E8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0" name="AutoShape 1" descr="Vista previa de toda la pantalla">
          <a:extLst>
            <a:ext uri="{FF2B5EF4-FFF2-40B4-BE49-F238E27FC236}">
              <a16:creationId xmlns:a16="http://schemas.microsoft.com/office/drawing/2014/main" id="{43C1ADBC-1D4D-4053-9DEC-4F33849842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1" name="AutoShape 1" descr="Vista previa de toda la pantalla">
          <a:extLst>
            <a:ext uri="{FF2B5EF4-FFF2-40B4-BE49-F238E27FC236}">
              <a16:creationId xmlns:a16="http://schemas.microsoft.com/office/drawing/2014/main" id="{AB3E07F9-8DC2-4ED2-B307-11FA49A636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2" name="AutoShape 1" descr="Vista previa de toda la pantalla">
          <a:extLst>
            <a:ext uri="{FF2B5EF4-FFF2-40B4-BE49-F238E27FC236}">
              <a16:creationId xmlns:a16="http://schemas.microsoft.com/office/drawing/2014/main" id="{20A2FE83-D7C3-4272-BFE1-68997108C5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3" name="AutoShape 1" descr="Vista previa de toda la pantalla">
          <a:extLst>
            <a:ext uri="{FF2B5EF4-FFF2-40B4-BE49-F238E27FC236}">
              <a16:creationId xmlns:a16="http://schemas.microsoft.com/office/drawing/2014/main" id="{CEBBE506-10C1-44E7-8F7B-C3310C1DC3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4" name="AutoShape 1" descr="Vista previa de toda la pantalla">
          <a:extLst>
            <a:ext uri="{FF2B5EF4-FFF2-40B4-BE49-F238E27FC236}">
              <a16:creationId xmlns:a16="http://schemas.microsoft.com/office/drawing/2014/main" id="{4FB62A47-DCAB-4861-9E47-C407B384F5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5" name="AutoShape 1" descr="Vista previa de toda la pantalla">
          <a:extLst>
            <a:ext uri="{FF2B5EF4-FFF2-40B4-BE49-F238E27FC236}">
              <a16:creationId xmlns:a16="http://schemas.microsoft.com/office/drawing/2014/main" id="{9FE70B52-2B8A-4B9B-AA9B-E3673420C8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6" name="AutoShape 1" descr="Vista previa de toda la pantalla">
          <a:extLst>
            <a:ext uri="{FF2B5EF4-FFF2-40B4-BE49-F238E27FC236}">
              <a16:creationId xmlns:a16="http://schemas.microsoft.com/office/drawing/2014/main" id="{6C107027-6B89-4F62-9D2D-C0B3514857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7" name="AutoShape 1" descr="Vista previa de toda la pantalla">
          <a:extLst>
            <a:ext uri="{FF2B5EF4-FFF2-40B4-BE49-F238E27FC236}">
              <a16:creationId xmlns:a16="http://schemas.microsoft.com/office/drawing/2014/main" id="{118C3738-8CA1-439F-888B-2883AD3323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8" name="AutoShape 1" descr="Vista previa de toda la pantalla">
          <a:extLst>
            <a:ext uri="{FF2B5EF4-FFF2-40B4-BE49-F238E27FC236}">
              <a16:creationId xmlns:a16="http://schemas.microsoft.com/office/drawing/2014/main" id="{477A65D4-44BB-42BC-8751-C02EAB6A4C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39" name="AutoShape 1" descr="Vista previa de toda la pantalla">
          <a:extLst>
            <a:ext uri="{FF2B5EF4-FFF2-40B4-BE49-F238E27FC236}">
              <a16:creationId xmlns:a16="http://schemas.microsoft.com/office/drawing/2014/main" id="{C458B1FD-0C41-4264-8A5C-A76C15069F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0" name="AutoShape 1" descr="Vista previa de toda la pantalla">
          <a:extLst>
            <a:ext uri="{FF2B5EF4-FFF2-40B4-BE49-F238E27FC236}">
              <a16:creationId xmlns:a16="http://schemas.microsoft.com/office/drawing/2014/main" id="{A5846CAC-499F-47E1-B33F-DCCBDC054A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1" name="AutoShape 1" descr="Vista previa de toda la pantalla">
          <a:extLst>
            <a:ext uri="{FF2B5EF4-FFF2-40B4-BE49-F238E27FC236}">
              <a16:creationId xmlns:a16="http://schemas.microsoft.com/office/drawing/2014/main" id="{537994D4-5DAF-4281-BF1A-EA9A56C958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2" name="AutoShape 1" descr="Vista previa de toda la pantalla">
          <a:extLst>
            <a:ext uri="{FF2B5EF4-FFF2-40B4-BE49-F238E27FC236}">
              <a16:creationId xmlns:a16="http://schemas.microsoft.com/office/drawing/2014/main" id="{74832CB2-9600-449B-9030-444146A5F0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3" name="AutoShape 1" descr="Vista previa de toda la pantalla">
          <a:extLst>
            <a:ext uri="{FF2B5EF4-FFF2-40B4-BE49-F238E27FC236}">
              <a16:creationId xmlns:a16="http://schemas.microsoft.com/office/drawing/2014/main" id="{E6549057-C580-4746-B0EC-F7EE532723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4" name="AutoShape 1" descr="Vista previa de toda la pantalla">
          <a:extLst>
            <a:ext uri="{FF2B5EF4-FFF2-40B4-BE49-F238E27FC236}">
              <a16:creationId xmlns:a16="http://schemas.microsoft.com/office/drawing/2014/main" id="{BF3AFF38-2D76-4D12-BFC2-80F3C25B0F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5" name="AutoShape 1" descr="Vista previa de toda la pantalla">
          <a:extLst>
            <a:ext uri="{FF2B5EF4-FFF2-40B4-BE49-F238E27FC236}">
              <a16:creationId xmlns:a16="http://schemas.microsoft.com/office/drawing/2014/main" id="{3FA69476-3115-4695-9694-103B1FF320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6" name="AutoShape 1" descr="Vista previa de toda la pantalla">
          <a:extLst>
            <a:ext uri="{FF2B5EF4-FFF2-40B4-BE49-F238E27FC236}">
              <a16:creationId xmlns:a16="http://schemas.microsoft.com/office/drawing/2014/main" id="{36E6756C-3951-4E9C-9BF5-046BA16426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7" name="AutoShape 1" descr="Vista previa de toda la pantalla">
          <a:extLst>
            <a:ext uri="{FF2B5EF4-FFF2-40B4-BE49-F238E27FC236}">
              <a16:creationId xmlns:a16="http://schemas.microsoft.com/office/drawing/2014/main" id="{44E62BC2-11D7-44A9-9E89-71C6D0F235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8" name="AutoShape 1" descr="Vista previa de toda la pantalla">
          <a:extLst>
            <a:ext uri="{FF2B5EF4-FFF2-40B4-BE49-F238E27FC236}">
              <a16:creationId xmlns:a16="http://schemas.microsoft.com/office/drawing/2014/main" id="{7CBC95E0-C6F2-4CBE-991B-112F5841D4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49" name="AutoShape 1" descr="Vista previa de toda la pantalla">
          <a:extLst>
            <a:ext uri="{FF2B5EF4-FFF2-40B4-BE49-F238E27FC236}">
              <a16:creationId xmlns:a16="http://schemas.microsoft.com/office/drawing/2014/main" id="{31319EBA-5FC1-49F7-BD55-0F4A27294D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0" name="AutoShape 1" descr="Vista previa de toda la pantalla">
          <a:extLst>
            <a:ext uri="{FF2B5EF4-FFF2-40B4-BE49-F238E27FC236}">
              <a16:creationId xmlns:a16="http://schemas.microsoft.com/office/drawing/2014/main" id="{A906DC8E-9510-4D26-80F7-DA8F05A605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1" name="AutoShape 1" descr="Vista previa de toda la pantalla">
          <a:extLst>
            <a:ext uri="{FF2B5EF4-FFF2-40B4-BE49-F238E27FC236}">
              <a16:creationId xmlns:a16="http://schemas.microsoft.com/office/drawing/2014/main" id="{389C5E55-28E7-40CE-9B3F-C7DF59F861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2" name="AutoShape 1" descr="Vista previa de toda la pantalla">
          <a:extLst>
            <a:ext uri="{FF2B5EF4-FFF2-40B4-BE49-F238E27FC236}">
              <a16:creationId xmlns:a16="http://schemas.microsoft.com/office/drawing/2014/main" id="{22A570A4-386A-43B0-994F-841BD66027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3" name="AutoShape 1" descr="Vista previa de toda la pantalla">
          <a:extLst>
            <a:ext uri="{FF2B5EF4-FFF2-40B4-BE49-F238E27FC236}">
              <a16:creationId xmlns:a16="http://schemas.microsoft.com/office/drawing/2014/main" id="{B1A3EC3B-25B6-40C0-B16E-6503C94258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4" name="AutoShape 1" descr="Vista previa de toda la pantalla">
          <a:extLst>
            <a:ext uri="{FF2B5EF4-FFF2-40B4-BE49-F238E27FC236}">
              <a16:creationId xmlns:a16="http://schemas.microsoft.com/office/drawing/2014/main" id="{0AF71A62-A562-4734-9BE7-9539F20302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5" name="AutoShape 1" descr="Vista previa de toda la pantalla">
          <a:extLst>
            <a:ext uri="{FF2B5EF4-FFF2-40B4-BE49-F238E27FC236}">
              <a16:creationId xmlns:a16="http://schemas.microsoft.com/office/drawing/2014/main" id="{FE25C94D-2660-4FB9-A8FC-CD7C859332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6" name="AutoShape 1" descr="Vista previa de toda la pantalla">
          <a:extLst>
            <a:ext uri="{FF2B5EF4-FFF2-40B4-BE49-F238E27FC236}">
              <a16:creationId xmlns:a16="http://schemas.microsoft.com/office/drawing/2014/main" id="{B4528FD0-DBF5-46DC-A38C-5DEE491D97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7" name="AutoShape 1" descr="Vista previa de toda la pantalla">
          <a:extLst>
            <a:ext uri="{FF2B5EF4-FFF2-40B4-BE49-F238E27FC236}">
              <a16:creationId xmlns:a16="http://schemas.microsoft.com/office/drawing/2014/main" id="{2723319B-60B3-4AD7-B09C-56C50B1D85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8" name="AutoShape 1" descr="Vista previa de toda la pantalla">
          <a:extLst>
            <a:ext uri="{FF2B5EF4-FFF2-40B4-BE49-F238E27FC236}">
              <a16:creationId xmlns:a16="http://schemas.microsoft.com/office/drawing/2014/main" id="{AAF37D47-E422-4CA3-BBDA-A4119FC157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59" name="AutoShape 1" descr="Vista previa de toda la pantalla">
          <a:extLst>
            <a:ext uri="{FF2B5EF4-FFF2-40B4-BE49-F238E27FC236}">
              <a16:creationId xmlns:a16="http://schemas.microsoft.com/office/drawing/2014/main" id="{468F7D5C-AFDE-4958-973D-F5309528E5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0" name="AutoShape 1" descr="Vista previa de toda la pantalla">
          <a:extLst>
            <a:ext uri="{FF2B5EF4-FFF2-40B4-BE49-F238E27FC236}">
              <a16:creationId xmlns:a16="http://schemas.microsoft.com/office/drawing/2014/main" id="{6A551393-CAE9-4957-864A-7C70F53A95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1" name="AutoShape 1" descr="Vista previa de toda la pantalla">
          <a:extLst>
            <a:ext uri="{FF2B5EF4-FFF2-40B4-BE49-F238E27FC236}">
              <a16:creationId xmlns:a16="http://schemas.microsoft.com/office/drawing/2014/main" id="{9C1DED35-4EE6-422E-9889-72EFA89FA8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2" name="AutoShape 1" descr="Vista previa de toda la pantalla">
          <a:extLst>
            <a:ext uri="{FF2B5EF4-FFF2-40B4-BE49-F238E27FC236}">
              <a16:creationId xmlns:a16="http://schemas.microsoft.com/office/drawing/2014/main" id="{4A26A34D-E27F-4C0C-83D6-0AA1E133FE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3" name="AutoShape 1" descr="Vista previa de toda la pantalla">
          <a:extLst>
            <a:ext uri="{FF2B5EF4-FFF2-40B4-BE49-F238E27FC236}">
              <a16:creationId xmlns:a16="http://schemas.microsoft.com/office/drawing/2014/main" id="{D6CDAFA3-90CD-47D8-88C9-EDC05076F1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4" name="AutoShape 1" descr="Vista previa de toda la pantalla">
          <a:extLst>
            <a:ext uri="{FF2B5EF4-FFF2-40B4-BE49-F238E27FC236}">
              <a16:creationId xmlns:a16="http://schemas.microsoft.com/office/drawing/2014/main" id="{BC4A8A6A-847B-4F75-A149-244C8F271B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5" name="AutoShape 1" descr="Vista previa de toda la pantalla">
          <a:extLst>
            <a:ext uri="{FF2B5EF4-FFF2-40B4-BE49-F238E27FC236}">
              <a16:creationId xmlns:a16="http://schemas.microsoft.com/office/drawing/2014/main" id="{57EE7FD3-0AC6-4635-ADB7-A9C68A1EA5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6" name="AutoShape 1" descr="Vista previa de toda la pantalla">
          <a:extLst>
            <a:ext uri="{FF2B5EF4-FFF2-40B4-BE49-F238E27FC236}">
              <a16:creationId xmlns:a16="http://schemas.microsoft.com/office/drawing/2014/main" id="{F3E3E7EC-9E47-4028-92E0-A2AF315A1E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7" name="AutoShape 1" descr="Vista previa de toda la pantalla">
          <a:extLst>
            <a:ext uri="{FF2B5EF4-FFF2-40B4-BE49-F238E27FC236}">
              <a16:creationId xmlns:a16="http://schemas.microsoft.com/office/drawing/2014/main" id="{A75A82B6-0B40-4B1E-8B2D-144228BC67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8" name="AutoShape 1" descr="Vista previa de toda la pantalla">
          <a:extLst>
            <a:ext uri="{FF2B5EF4-FFF2-40B4-BE49-F238E27FC236}">
              <a16:creationId xmlns:a16="http://schemas.microsoft.com/office/drawing/2014/main" id="{3F93DA2E-FB2A-4234-83F2-A44BC9727F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69" name="AutoShape 1" descr="Vista previa de toda la pantalla">
          <a:extLst>
            <a:ext uri="{FF2B5EF4-FFF2-40B4-BE49-F238E27FC236}">
              <a16:creationId xmlns:a16="http://schemas.microsoft.com/office/drawing/2014/main" id="{D12384ED-88F0-4CA8-BB50-F24FFAA0A4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0" name="AutoShape 1" descr="Vista previa de toda la pantalla">
          <a:extLst>
            <a:ext uri="{FF2B5EF4-FFF2-40B4-BE49-F238E27FC236}">
              <a16:creationId xmlns:a16="http://schemas.microsoft.com/office/drawing/2014/main" id="{417C22D4-0568-44DF-8E1E-1C641956A8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1" name="AutoShape 1" descr="Vista previa de toda la pantalla">
          <a:extLst>
            <a:ext uri="{FF2B5EF4-FFF2-40B4-BE49-F238E27FC236}">
              <a16:creationId xmlns:a16="http://schemas.microsoft.com/office/drawing/2014/main" id="{2A163EAB-EF93-40B8-A797-ECBECF7420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2" name="AutoShape 1" descr="Vista previa de toda la pantalla">
          <a:extLst>
            <a:ext uri="{FF2B5EF4-FFF2-40B4-BE49-F238E27FC236}">
              <a16:creationId xmlns:a16="http://schemas.microsoft.com/office/drawing/2014/main" id="{125EB2D3-1F37-4FF3-A3F3-828633A464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3" name="AutoShape 1" descr="Vista previa de toda la pantalla">
          <a:extLst>
            <a:ext uri="{FF2B5EF4-FFF2-40B4-BE49-F238E27FC236}">
              <a16:creationId xmlns:a16="http://schemas.microsoft.com/office/drawing/2014/main" id="{FBA10BC7-C18E-4A2A-9D34-ADB31353EC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4" name="AutoShape 1" descr="Vista previa de toda la pantalla">
          <a:extLst>
            <a:ext uri="{FF2B5EF4-FFF2-40B4-BE49-F238E27FC236}">
              <a16:creationId xmlns:a16="http://schemas.microsoft.com/office/drawing/2014/main" id="{21BEBF9A-DAD0-4874-A0C1-DA08BEA445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5" name="AutoShape 1" descr="Vista previa de toda la pantalla">
          <a:extLst>
            <a:ext uri="{FF2B5EF4-FFF2-40B4-BE49-F238E27FC236}">
              <a16:creationId xmlns:a16="http://schemas.microsoft.com/office/drawing/2014/main" id="{2D0BE788-2D0E-42CF-A849-72C8ADF284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6" name="AutoShape 1" descr="Vista previa de toda la pantalla">
          <a:extLst>
            <a:ext uri="{FF2B5EF4-FFF2-40B4-BE49-F238E27FC236}">
              <a16:creationId xmlns:a16="http://schemas.microsoft.com/office/drawing/2014/main" id="{CBD0F4CC-2428-4372-AC07-122A8B73F7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7" name="AutoShape 1" descr="Vista previa de toda la pantalla">
          <a:extLst>
            <a:ext uri="{FF2B5EF4-FFF2-40B4-BE49-F238E27FC236}">
              <a16:creationId xmlns:a16="http://schemas.microsoft.com/office/drawing/2014/main" id="{29DD4420-4ED6-4B8F-8753-78B09AA94E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8" name="AutoShape 1" descr="Vista previa de toda la pantalla">
          <a:extLst>
            <a:ext uri="{FF2B5EF4-FFF2-40B4-BE49-F238E27FC236}">
              <a16:creationId xmlns:a16="http://schemas.microsoft.com/office/drawing/2014/main" id="{6C34203E-9CFE-4C51-8812-10F1A0C90E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79" name="AutoShape 1" descr="Vista previa de toda la pantalla">
          <a:extLst>
            <a:ext uri="{FF2B5EF4-FFF2-40B4-BE49-F238E27FC236}">
              <a16:creationId xmlns:a16="http://schemas.microsoft.com/office/drawing/2014/main" id="{BF5A0B58-7279-4427-B928-F450972B75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0" name="AutoShape 1" descr="Vista previa de toda la pantalla">
          <a:extLst>
            <a:ext uri="{FF2B5EF4-FFF2-40B4-BE49-F238E27FC236}">
              <a16:creationId xmlns:a16="http://schemas.microsoft.com/office/drawing/2014/main" id="{EFE564CA-0F5C-4830-8C3A-CE7B458423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1" name="AutoShape 1" descr="Vista previa de toda la pantalla">
          <a:extLst>
            <a:ext uri="{FF2B5EF4-FFF2-40B4-BE49-F238E27FC236}">
              <a16:creationId xmlns:a16="http://schemas.microsoft.com/office/drawing/2014/main" id="{6FDB6119-148A-4712-B48E-884B85F44E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2" name="AutoShape 1" descr="Vista previa de toda la pantalla">
          <a:extLst>
            <a:ext uri="{FF2B5EF4-FFF2-40B4-BE49-F238E27FC236}">
              <a16:creationId xmlns:a16="http://schemas.microsoft.com/office/drawing/2014/main" id="{E9457829-219E-4D86-9558-B1716E0FE8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3" name="AutoShape 1" descr="Vista previa de toda la pantalla">
          <a:extLst>
            <a:ext uri="{FF2B5EF4-FFF2-40B4-BE49-F238E27FC236}">
              <a16:creationId xmlns:a16="http://schemas.microsoft.com/office/drawing/2014/main" id="{9CC2D60F-C52C-40CF-95CA-EABD6752C7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4" name="AutoShape 1" descr="Vista previa de toda la pantalla">
          <a:extLst>
            <a:ext uri="{FF2B5EF4-FFF2-40B4-BE49-F238E27FC236}">
              <a16:creationId xmlns:a16="http://schemas.microsoft.com/office/drawing/2014/main" id="{B722BC17-71A1-49A8-AC12-78616A6645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5" name="AutoShape 1" descr="Vista previa de toda la pantalla">
          <a:extLst>
            <a:ext uri="{FF2B5EF4-FFF2-40B4-BE49-F238E27FC236}">
              <a16:creationId xmlns:a16="http://schemas.microsoft.com/office/drawing/2014/main" id="{097E1F95-2FD9-4BE1-8028-E749227968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6" name="AutoShape 1" descr="Vista previa de toda la pantalla">
          <a:extLst>
            <a:ext uri="{FF2B5EF4-FFF2-40B4-BE49-F238E27FC236}">
              <a16:creationId xmlns:a16="http://schemas.microsoft.com/office/drawing/2014/main" id="{CF512025-38B6-4101-B8ED-E3CF5BBCB0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7" name="AutoShape 1" descr="Vista previa de toda la pantalla">
          <a:extLst>
            <a:ext uri="{FF2B5EF4-FFF2-40B4-BE49-F238E27FC236}">
              <a16:creationId xmlns:a16="http://schemas.microsoft.com/office/drawing/2014/main" id="{5472BB52-1ABA-4661-8CAC-5F77378E31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8" name="AutoShape 1" descr="Vista previa de toda la pantalla">
          <a:extLst>
            <a:ext uri="{FF2B5EF4-FFF2-40B4-BE49-F238E27FC236}">
              <a16:creationId xmlns:a16="http://schemas.microsoft.com/office/drawing/2014/main" id="{CE38B174-E230-44DA-AAD5-11CBBA6884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89" name="AutoShape 1" descr="Vista previa de toda la pantalla">
          <a:extLst>
            <a:ext uri="{FF2B5EF4-FFF2-40B4-BE49-F238E27FC236}">
              <a16:creationId xmlns:a16="http://schemas.microsoft.com/office/drawing/2014/main" id="{D7A6BBA9-6C06-4D70-8DAE-08AC0F7453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0" name="AutoShape 1" descr="Vista previa de toda la pantalla">
          <a:extLst>
            <a:ext uri="{FF2B5EF4-FFF2-40B4-BE49-F238E27FC236}">
              <a16:creationId xmlns:a16="http://schemas.microsoft.com/office/drawing/2014/main" id="{F51FE245-6A23-4D01-B637-5F7DEE6CC3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1" name="AutoShape 1" descr="Vista previa de toda la pantalla">
          <a:extLst>
            <a:ext uri="{FF2B5EF4-FFF2-40B4-BE49-F238E27FC236}">
              <a16:creationId xmlns:a16="http://schemas.microsoft.com/office/drawing/2014/main" id="{2AE411FD-E935-44A2-ACCA-CFDA06D0F8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2" name="AutoShape 1" descr="Vista previa de toda la pantalla">
          <a:extLst>
            <a:ext uri="{FF2B5EF4-FFF2-40B4-BE49-F238E27FC236}">
              <a16:creationId xmlns:a16="http://schemas.microsoft.com/office/drawing/2014/main" id="{9CD3FCA4-758D-4548-B8BE-98BA95F768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3" name="AutoShape 1" descr="Vista previa de toda la pantalla">
          <a:extLst>
            <a:ext uri="{FF2B5EF4-FFF2-40B4-BE49-F238E27FC236}">
              <a16:creationId xmlns:a16="http://schemas.microsoft.com/office/drawing/2014/main" id="{BB5286EB-E9FE-4B6D-A954-EA73DAC977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4" name="AutoShape 1" descr="Vista previa de toda la pantalla">
          <a:extLst>
            <a:ext uri="{FF2B5EF4-FFF2-40B4-BE49-F238E27FC236}">
              <a16:creationId xmlns:a16="http://schemas.microsoft.com/office/drawing/2014/main" id="{DF95224A-2546-4C2B-B763-645BC52D2A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5" name="AutoShape 1" descr="Vista previa de toda la pantalla">
          <a:extLst>
            <a:ext uri="{FF2B5EF4-FFF2-40B4-BE49-F238E27FC236}">
              <a16:creationId xmlns:a16="http://schemas.microsoft.com/office/drawing/2014/main" id="{2923B206-E075-47CB-9FCA-B4F21B3ADF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6" name="AutoShape 1" descr="Vista previa de toda la pantalla">
          <a:extLst>
            <a:ext uri="{FF2B5EF4-FFF2-40B4-BE49-F238E27FC236}">
              <a16:creationId xmlns:a16="http://schemas.microsoft.com/office/drawing/2014/main" id="{7BDCF32C-1DB6-489B-B737-8019199E2B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7" name="AutoShape 1" descr="Vista previa de toda la pantalla">
          <a:extLst>
            <a:ext uri="{FF2B5EF4-FFF2-40B4-BE49-F238E27FC236}">
              <a16:creationId xmlns:a16="http://schemas.microsoft.com/office/drawing/2014/main" id="{B7FF3CD6-AEC8-40B2-A34B-D1FB99EE16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8" name="AutoShape 1" descr="Vista previa de toda la pantalla">
          <a:extLst>
            <a:ext uri="{FF2B5EF4-FFF2-40B4-BE49-F238E27FC236}">
              <a16:creationId xmlns:a16="http://schemas.microsoft.com/office/drawing/2014/main" id="{DBF320FF-B81E-4EA5-9DD4-EC5C7C9EBE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499" name="AutoShape 1" descr="Vista previa de toda la pantalla">
          <a:extLst>
            <a:ext uri="{FF2B5EF4-FFF2-40B4-BE49-F238E27FC236}">
              <a16:creationId xmlns:a16="http://schemas.microsoft.com/office/drawing/2014/main" id="{13B0D64C-BEC4-4F5E-9C7A-B71AF3A484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0" name="AutoShape 1" descr="Vista previa de toda la pantalla">
          <a:extLst>
            <a:ext uri="{FF2B5EF4-FFF2-40B4-BE49-F238E27FC236}">
              <a16:creationId xmlns:a16="http://schemas.microsoft.com/office/drawing/2014/main" id="{AC11CCC4-B66B-4A4F-8564-CADDC02E38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1" name="AutoShape 1" descr="Vista previa de toda la pantalla">
          <a:extLst>
            <a:ext uri="{FF2B5EF4-FFF2-40B4-BE49-F238E27FC236}">
              <a16:creationId xmlns:a16="http://schemas.microsoft.com/office/drawing/2014/main" id="{D6D6E2D8-7D71-4F90-BFC4-172E2A8F4F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2" name="AutoShape 1" descr="Vista previa de toda la pantalla">
          <a:extLst>
            <a:ext uri="{FF2B5EF4-FFF2-40B4-BE49-F238E27FC236}">
              <a16:creationId xmlns:a16="http://schemas.microsoft.com/office/drawing/2014/main" id="{4A317F5A-6200-4E21-9118-C1924A87EB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3" name="AutoShape 1" descr="Vista previa de toda la pantalla">
          <a:extLst>
            <a:ext uri="{FF2B5EF4-FFF2-40B4-BE49-F238E27FC236}">
              <a16:creationId xmlns:a16="http://schemas.microsoft.com/office/drawing/2014/main" id="{95CDC666-C9A3-4F64-9FBB-822C3E4E6E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4" name="AutoShape 1" descr="Vista previa de toda la pantalla">
          <a:extLst>
            <a:ext uri="{FF2B5EF4-FFF2-40B4-BE49-F238E27FC236}">
              <a16:creationId xmlns:a16="http://schemas.microsoft.com/office/drawing/2014/main" id="{4AC8C0D5-EC2D-47B5-A84E-F409A1B4D0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5" name="AutoShape 1" descr="Vista previa de toda la pantalla">
          <a:extLst>
            <a:ext uri="{FF2B5EF4-FFF2-40B4-BE49-F238E27FC236}">
              <a16:creationId xmlns:a16="http://schemas.microsoft.com/office/drawing/2014/main" id="{276D09A0-F1DD-4B52-9399-7C22AFFC0A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6" name="AutoShape 1" descr="Vista previa de toda la pantalla">
          <a:extLst>
            <a:ext uri="{FF2B5EF4-FFF2-40B4-BE49-F238E27FC236}">
              <a16:creationId xmlns:a16="http://schemas.microsoft.com/office/drawing/2014/main" id="{D30634A3-E652-4A59-8B95-180A24E0AE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7" name="AutoShape 1" descr="Vista previa de toda la pantalla">
          <a:extLst>
            <a:ext uri="{FF2B5EF4-FFF2-40B4-BE49-F238E27FC236}">
              <a16:creationId xmlns:a16="http://schemas.microsoft.com/office/drawing/2014/main" id="{8C5488D6-94C3-4EA7-974D-0BA47F8E4F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8" name="AutoShape 1" descr="Vista previa de toda la pantalla">
          <a:extLst>
            <a:ext uri="{FF2B5EF4-FFF2-40B4-BE49-F238E27FC236}">
              <a16:creationId xmlns:a16="http://schemas.microsoft.com/office/drawing/2014/main" id="{61579C94-BF2E-4766-AF7C-0C644EFBD3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09" name="AutoShape 1" descr="Vista previa de toda la pantalla">
          <a:extLst>
            <a:ext uri="{FF2B5EF4-FFF2-40B4-BE49-F238E27FC236}">
              <a16:creationId xmlns:a16="http://schemas.microsoft.com/office/drawing/2014/main" id="{9F186F3D-5A7D-4ED9-BC0F-C6D6C3AD99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0" name="AutoShape 1" descr="Vista previa de toda la pantalla">
          <a:extLst>
            <a:ext uri="{FF2B5EF4-FFF2-40B4-BE49-F238E27FC236}">
              <a16:creationId xmlns:a16="http://schemas.microsoft.com/office/drawing/2014/main" id="{AF0A73FF-491C-40CF-A57B-8147467548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1" name="AutoShape 1" descr="Vista previa de toda la pantalla">
          <a:extLst>
            <a:ext uri="{FF2B5EF4-FFF2-40B4-BE49-F238E27FC236}">
              <a16:creationId xmlns:a16="http://schemas.microsoft.com/office/drawing/2014/main" id="{169ABF99-0F2F-48B4-87A5-686FE8468E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2" name="AutoShape 1" descr="Vista previa de toda la pantalla">
          <a:extLst>
            <a:ext uri="{FF2B5EF4-FFF2-40B4-BE49-F238E27FC236}">
              <a16:creationId xmlns:a16="http://schemas.microsoft.com/office/drawing/2014/main" id="{D65E9B52-E1E7-4F74-BC3D-B8AA848F5C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3" name="AutoShape 1" descr="Vista previa de toda la pantalla">
          <a:extLst>
            <a:ext uri="{FF2B5EF4-FFF2-40B4-BE49-F238E27FC236}">
              <a16:creationId xmlns:a16="http://schemas.microsoft.com/office/drawing/2014/main" id="{630C0C3A-BDBC-4F47-A3D6-67C04E854A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4" name="AutoShape 1" descr="Vista previa de toda la pantalla">
          <a:extLst>
            <a:ext uri="{FF2B5EF4-FFF2-40B4-BE49-F238E27FC236}">
              <a16:creationId xmlns:a16="http://schemas.microsoft.com/office/drawing/2014/main" id="{1A74CFB0-AE9B-4712-87C1-2D944A7B30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5" name="AutoShape 1" descr="Vista previa de toda la pantalla">
          <a:extLst>
            <a:ext uri="{FF2B5EF4-FFF2-40B4-BE49-F238E27FC236}">
              <a16:creationId xmlns:a16="http://schemas.microsoft.com/office/drawing/2014/main" id="{7D0E7BCA-C469-4E59-85FD-6F2A86353D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6" name="AutoShape 1" descr="Vista previa de toda la pantalla">
          <a:extLst>
            <a:ext uri="{FF2B5EF4-FFF2-40B4-BE49-F238E27FC236}">
              <a16:creationId xmlns:a16="http://schemas.microsoft.com/office/drawing/2014/main" id="{AD8B6EBE-22DA-4229-9B8B-A3B38CF9C7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7" name="AutoShape 1" descr="Vista previa de toda la pantalla">
          <a:extLst>
            <a:ext uri="{FF2B5EF4-FFF2-40B4-BE49-F238E27FC236}">
              <a16:creationId xmlns:a16="http://schemas.microsoft.com/office/drawing/2014/main" id="{18B80F60-5891-4A82-A436-1FA5534D19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8" name="AutoShape 1" descr="Vista previa de toda la pantalla">
          <a:extLst>
            <a:ext uri="{FF2B5EF4-FFF2-40B4-BE49-F238E27FC236}">
              <a16:creationId xmlns:a16="http://schemas.microsoft.com/office/drawing/2014/main" id="{7DF3DEC5-5FDA-4E56-9163-A678337658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19" name="AutoShape 1" descr="Vista previa de toda la pantalla">
          <a:extLst>
            <a:ext uri="{FF2B5EF4-FFF2-40B4-BE49-F238E27FC236}">
              <a16:creationId xmlns:a16="http://schemas.microsoft.com/office/drawing/2014/main" id="{69075A2E-40AD-4CBB-9598-CAA3FCC191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0" name="AutoShape 1" descr="Vista previa de toda la pantalla">
          <a:extLst>
            <a:ext uri="{FF2B5EF4-FFF2-40B4-BE49-F238E27FC236}">
              <a16:creationId xmlns:a16="http://schemas.microsoft.com/office/drawing/2014/main" id="{C7BA7EE5-DBA3-457A-B9ED-4AB82C1550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1" name="AutoShape 1" descr="Vista previa de toda la pantalla">
          <a:extLst>
            <a:ext uri="{FF2B5EF4-FFF2-40B4-BE49-F238E27FC236}">
              <a16:creationId xmlns:a16="http://schemas.microsoft.com/office/drawing/2014/main" id="{69723D39-337B-40F0-8E1C-FE5C1636DF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2" name="AutoShape 1" descr="Vista previa de toda la pantalla">
          <a:extLst>
            <a:ext uri="{FF2B5EF4-FFF2-40B4-BE49-F238E27FC236}">
              <a16:creationId xmlns:a16="http://schemas.microsoft.com/office/drawing/2014/main" id="{5A5353FD-BBC5-40AA-AE68-85E1AADD33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3" name="AutoShape 1" descr="Vista previa de toda la pantalla">
          <a:extLst>
            <a:ext uri="{FF2B5EF4-FFF2-40B4-BE49-F238E27FC236}">
              <a16:creationId xmlns:a16="http://schemas.microsoft.com/office/drawing/2014/main" id="{5A6C51E4-0170-48B7-9304-6620036657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4" name="AutoShape 1" descr="Vista previa de toda la pantalla">
          <a:extLst>
            <a:ext uri="{FF2B5EF4-FFF2-40B4-BE49-F238E27FC236}">
              <a16:creationId xmlns:a16="http://schemas.microsoft.com/office/drawing/2014/main" id="{4ABEDC1C-A1DD-45AA-A8E4-B32BA57574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5" name="AutoShape 1" descr="Vista previa de toda la pantalla">
          <a:extLst>
            <a:ext uri="{FF2B5EF4-FFF2-40B4-BE49-F238E27FC236}">
              <a16:creationId xmlns:a16="http://schemas.microsoft.com/office/drawing/2014/main" id="{5E39EBBB-0E2A-43DB-876B-920B7703FC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6" name="AutoShape 1" descr="Vista previa de toda la pantalla">
          <a:extLst>
            <a:ext uri="{FF2B5EF4-FFF2-40B4-BE49-F238E27FC236}">
              <a16:creationId xmlns:a16="http://schemas.microsoft.com/office/drawing/2014/main" id="{9B6680A2-C8E8-464C-A2F1-075830F6AB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7" name="AutoShape 1" descr="Vista previa de toda la pantalla">
          <a:extLst>
            <a:ext uri="{FF2B5EF4-FFF2-40B4-BE49-F238E27FC236}">
              <a16:creationId xmlns:a16="http://schemas.microsoft.com/office/drawing/2014/main" id="{F4E1FE2E-6A36-490A-A651-52FE6068AC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8" name="AutoShape 1" descr="Vista previa de toda la pantalla">
          <a:extLst>
            <a:ext uri="{FF2B5EF4-FFF2-40B4-BE49-F238E27FC236}">
              <a16:creationId xmlns:a16="http://schemas.microsoft.com/office/drawing/2014/main" id="{04F0297C-E4C8-4761-BDFA-0F3AD088DD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29" name="AutoShape 1" descr="Vista previa de toda la pantalla">
          <a:extLst>
            <a:ext uri="{FF2B5EF4-FFF2-40B4-BE49-F238E27FC236}">
              <a16:creationId xmlns:a16="http://schemas.microsoft.com/office/drawing/2014/main" id="{C1536D73-DDB8-422E-8130-62DB96EF8E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0" name="AutoShape 1" descr="Vista previa de toda la pantalla">
          <a:extLst>
            <a:ext uri="{FF2B5EF4-FFF2-40B4-BE49-F238E27FC236}">
              <a16:creationId xmlns:a16="http://schemas.microsoft.com/office/drawing/2014/main" id="{9A41142B-DB3E-49A3-A5E2-C0FFBBC636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1" name="AutoShape 1" descr="Vista previa de toda la pantalla">
          <a:extLst>
            <a:ext uri="{FF2B5EF4-FFF2-40B4-BE49-F238E27FC236}">
              <a16:creationId xmlns:a16="http://schemas.microsoft.com/office/drawing/2014/main" id="{AB18CB29-2216-47EB-9852-AD18435A6B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2" name="AutoShape 1" descr="Vista previa de toda la pantalla">
          <a:extLst>
            <a:ext uri="{FF2B5EF4-FFF2-40B4-BE49-F238E27FC236}">
              <a16:creationId xmlns:a16="http://schemas.microsoft.com/office/drawing/2014/main" id="{17EBB3E2-BFEB-4209-A517-25022E4B6A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3" name="AutoShape 1" descr="Vista previa de toda la pantalla">
          <a:extLst>
            <a:ext uri="{FF2B5EF4-FFF2-40B4-BE49-F238E27FC236}">
              <a16:creationId xmlns:a16="http://schemas.microsoft.com/office/drawing/2014/main" id="{186762EA-16DC-4EFA-A7E7-CA3006F82F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4" name="AutoShape 1" descr="Vista previa de toda la pantalla">
          <a:extLst>
            <a:ext uri="{FF2B5EF4-FFF2-40B4-BE49-F238E27FC236}">
              <a16:creationId xmlns:a16="http://schemas.microsoft.com/office/drawing/2014/main" id="{7EA56683-CC86-4E4F-91B3-FC90DAEF6A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5" name="AutoShape 1" descr="Vista previa de toda la pantalla">
          <a:extLst>
            <a:ext uri="{FF2B5EF4-FFF2-40B4-BE49-F238E27FC236}">
              <a16:creationId xmlns:a16="http://schemas.microsoft.com/office/drawing/2014/main" id="{4704700C-FDBA-4808-9109-62E74C4AB6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6" name="AutoShape 1" descr="Vista previa de toda la pantalla">
          <a:extLst>
            <a:ext uri="{FF2B5EF4-FFF2-40B4-BE49-F238E27FC236}">
              <a16:creationId xmlns:a16="http://schemas.microsoft.com/office/drawing/2014/main" id="{FFA8A294-0F38-472D-8F7F-735F8D1DF3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7" name="AutoShape 1" descr="Vista previa de toda la pantalla">
          <a:extLst>
            <a:ext uri="{FF2B5EF4-FFF2-40B4-BE49-F238E27FC236}">
              <a16:creationId xmlns:a16="http://schemas.microsoft.com/office/drawing/2014/main" id="{DFAB6864-DB9C-4865-88A4-673645BD0F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8" name="AutoShape 1" descr="Vista previa de toda la pantalla">
          <a:extLst>
            <a:ext uri="{FF2B5EF4-FFF2-40B4-BE49-F238E27FC236}">
              <a16:creationId xmlns:a16="http://schemas.microsoft.com/office/drawing/2014/main" id="{65A9B1D0-59FC-431E-BB0F-8354A87FAB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39" name="AutoShape 1" descr="Vista previa de toda la pantalla">
          <a:extLst>
            <a:ext uri="{FF2B5EF4-FFF2-40B4-BE49-F238E27FC236}">
              <a16:creationId xmlns:a16="http://schemas.microsoft.com/office/drawing/2014/main" id="{0743A029-429F-4959-AD38-1896B13061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0" name="AutoShape 1" descr="Vista previa de toda la pantalla">
          <a:extLst>
            <a:ext uri="{FF2B5EF4-FFF2-40B4-BE49-F238E27FC236}">
              <a16:creationId xmlns:a16="http://schemas.microsoft.com/office/drawing/2014/main" id="{C8B98FF8-8605-4C02-8300-9EC53E9043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1" name="AutoShape 1" descr="Vista previa de toda la pantalla">
          <a:extLst>
            <a:ext uri="{FF2B5EF4-FFF2-40B4-BE49-F238E27FC236}">
              <a16:creationId xmlns:a16="http://schemas.microsoft.com/office/drawing/2014/main" id="{FA4A6626-F405-4C55-B3C1-56D19E4F47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2" name="AutoShape 1" descr="Vista previa de toda la pantalla">
          <a:extLst>
            <a:ext uri="{FF2B5EF4-FFF2-40B4-BE49-F238E27FC236}">
              <a16:creationId xmlns:a16="http://schemas.microsoft.com/office/drawing/2014/main" id="{BE736C48-C557-47C2-AC77-3126F57180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3" name="AutoShape 1" descr="Vista previa de toda la pantalla">
          <a:extLst>
            <a:ext uri="{FF2B5EF4-FFF2-40B4-BE49-F238E27FC236}">
              <a16:creationId xmlns:a16="http://schemas.microsoft.com/office/drawing/2014/main" id="{DCE68A8C-F658-4E9D-9B38-95F9E99556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4" name="AutoShape 1" descr="Vista previa de toda la pantalla">
          <a:extLst>
            <a:ext uri="{FF2B5EF4-FFF2-40B4-BE49-F238E27FC236}">
              <a16:creationId xmlns:a16="http://schemas.microsoft.com/office/drawing/2014/main" id="{EC17A8FE-CC7E-462F-8694-2F50C9EC2E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5" name="AutoShape 1" descr="Vista previa de toda la pantalla">
          <a:extLst>
            <a:ext uri="{FF2B5EF4-FFF2-40B4-BE49-F238E27FC236}">
              <a16:creationId xmlns:a16="http://schemas.microsoft.com/office/drawing/2014/main" id="{AFD69067-3B1A-4FAC-B0F7-0EA1422BAD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6" name="AutoShape 1" descr="Vista previa de toda la pantalla">
          <a:extLst>
            <a:ext uri="{FF2B5EF4-FFF2-40B4-BE49-F238E27FC236}">
              <a16:creationId xmlns:a16="http://schemas.microsoft.com/office/drawing/2014/main" id="{21FA8514-646D-410E-9F25-A1E4042447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7" name="AutoShape 1" descr="Vista previa de toda la pantalla">
          <a:extLst>
            <a:ext uri="{FF2B5EF4-FFF2-40B4-BE49-F238E27FC236}">
              <a16:creationId xmlns:a16="http://schemas.microsoft.com/office/drawing/2014/main" id="{36DB89B8-A849-40F7-B805-F2AD4BF1FE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8" name="AutoShape 1" descr="Vista previa de toda la pantalla">
          <a:extLst>
            <a:ext uri="{FF2B5EF4-FFF2-40B4-BE49-F238E27FC236}">
              <a16:creationId xmlns:a16="http://schemas.microsoft.com/office/drawing/2014/main" id="{90819649-2FD4-47E9-8C63-19D17A1A47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49" name="AutoShape 1" descr="Vista previa de toda la pantalla">
          <a:extLst>
            <a:ext uri="{FF2B5EF4-FFF2-40B4-BE49-F238E27FC236}">
              <a16:creationId xmlns:a16="http://schemas.microsoft.com/office/drawing/2014/main" id="{1F2E7CA4-53F1-4A23-BEFE-2B656A3267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0" name="AutoShape 1" descr="Vista previa de toda la pantalla">
          <a:extLst>
            <a:ext uri="{FF2B5EF4-FFF2-40B4-BE49-F238E27FC236}">
              <a16:creationId xmlns:a16="http://schemas.microsoft.com/office/drawing/2014/main" id="{03F5D3A9-99F3-4D85-83A7-8E302FD180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1" name="AutoShape 1" descr="Vista previa de toda la pantalla">
          <a:extLst>
            <a:ext uri="{FF2B5EF4-FFF2-40B4-BE49-F238E27FC236}">
              <a16:creationId xmlns:a16="http://schemas.microsoft.com/office/drawing/2014/main" id="{A4E9BFBE-99F2-4671-B5A2-A07951B4F4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2" name="AutoShape 1" descr="Vista previa de toda la pantalla">
          <a:extLst>
            <a:ext uri="{FF2B5EF4-FFF2-40B4-BE49-F238E27FC236}">
              <a16:creationId xmlns:a16="http://schemas.microsoft.com/office/drawing/2014/main" id="{CACE59B7-614D-4829-B03C-A08ADB8D31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3" name="AutoShape 1" descr="Vista previa de toda la pantalla">
          <a:extLst>
            <a:ext uri="{FF2B5EF4-FFF2-40B4-BE49-F238E27FC236}">
              <a16:creationId xmlns:a16="http://schemas.microsoft.com/office/drawing/2014/main" id="{BDE564C8-70FB-49E2-AA0E-3AD82DADB0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4" name="AutoShape 1" descr="Vista previa de toda la pantalla">
          <a:extLst>
            <a:ext uri="{FF2B5EF4-FFF2-40B4-BE49-F238E27FC236}">
              <a16:creationId xmlns:a16="http://schemas.microsoft.com/office/drawing/2014/main" id="{0742D1F8-3BAE-469A-A33E-C52AB45117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5" name="AutoShape 1" descr="Vista previa de toda la pantalla">
          <a:extLst>
            <a:ext uri="{FF2B5EF4-FFF2-40B4-BE49-F238E27FC236}">
              <a16:creationId xmlns:a16="http://schemas.microsoft.com/office/drawing/2014/main" id="{F3AB7E49-9964-4571-8487-B837CA76B1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6" name="AutoShape 1" descr="Vista previa de toda la pantalla">
          <a:extLst>
            <a:ext uri="{FF2B5EF4-FFF2-40B4-BE49-F238E27FC236}">
              <a16:creationId xmlns:a16="http://schemas.microsoft.com/office/drawing/2014/main" id="{1B96F0DC-9E07-489B-926C-9D3A554F8C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7" name="AutoShape 1" descr="Vista previa de toda la pantalla">
          <a:extLst>
            <a:ext uri="{FF2B5EF4-FFF2-40B4-BE49-F238E27FC236}">
              <a16:creationId xmlns:a16="http://schemas.microsoft.com/office/drawing/2014/main" id="{946B707E-D01B-4834-9184-88917353F2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8" name="AutoShape 1" descr="Vista previa de toda la pantalla">
          <a:extLst>
            <a:ext uri="{FF2B5EF4-FFF2-40B4-BE49-F238E27FC236}">
              <a16:creationId xmlns:a16="http://schemas.microsoft.com/office/drawing/2014/main" id="{84A145D2-D00D-461E-BC13-672937B5F2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59" name="AutoShape 1" descr="Vista previa de toda la pantalla">
          <a:extLst>
            <a:ext uri="{FF2B5EF4-FFF2-40B4-BE49-F238E27FC236}">
              <a16:creationId xmlns:a16="http://schemas.microsoft.com/office/drawing/2014/main" id="{52FF22CF-7C38-4965-99A2-B63EACE0F2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60" name="AutoShape 1" descr="Vista previa de toda la pantalla">
          <a:extLst>
            <a:ext uri="{FF2B5EF4-FFF2-40B4-BE49-F238E27FC236}">
              <a16:creationId xmlns:a16="http://schemas.microsoft.com/office/drawing/2014/main" id="{2009D962-F527-4FD2-A50D-5A7E60213D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61" name="AutoShape 1" descr="Vista previa de toda la pantalla">
          <a:extLst>
            <a:ext uri="{FF2B5EF4-FFF2-40B4-BE49-F238E27FC236}">
              <a16:creationId xmlns:a16="http://schemas.microsoft.com/office/drawing/2014/main" id="{017A47A8-0244-4A1D-8FC6-0D2F1F3C79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62" name="AutoShape 1" descr="Vista previa de toda la pantalla">
          <a:extLst>
            <a:ext uri="{FF2B5EF4-FFF2-40B4-BE49-F238E27FC236}">
              <a16:creationId xmlns:a16="http://schemas.microsoft.com/office/drawing/2014/main" id="{2DBC9697-CE72-45E1-8C44-CBA71E0553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63" name="AutoShape 1" descr="Vista previa de toda la pantalla">
          <a:extLst>
            <a:ext uri="{FF2B5EF4-FFF2-40B4-BE49-F238E27FC236}">
              <a16:creationId xmlns:a16="http://schemas.microsoft.com/office/drawing/2014/main" id="{0DC2C680-3B93-4173-96BC-E55BE036CF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501854</xdr:colOff>
      <xdr:row>0</xdr:row>
      <xdr:rowOff>174114</xdr:rowOff>
    </xdr:from>
    <xdr:ext cx="304800" cy="302602"/>
    <xdr:sp macro="" textlink="">
      <xdr:nvSpPr>
        <xdr:cNvPr id="12564" name="AutoShape 1" descr="Vista previa de toda la pantalla">
          <a:extLst>
            <a:ext uri="{FF2B5EF4-FFF2-40B4-BE49-F238E27FC236}">
              <a16:creationId xmlns:a16="http://schemas.microsoft.com/office/drawing/2014/main" id="{AF17706D-2A49-49DD-BA8A-BDE7B8086659}"/>
            </a:ext>
          </a:extLst>
        </xdr:cNvPr>
        <xdr:cNvSpPr>
          <a:spLocks noChangeAspect="1" noChangeArrowheads="1"/>
        </xdr:cNvSpPr>
      </xdr:nvSpPr>
      <xdr:spPr bwMode="auto">
        <a:xfrm>
          <a:off x="5454854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65" name="AutoShape 1" descr="Vista previa de toda la pantalla">
          <a:extLst>
            <a:ext uri="{FF2B5EF4-FFF2-40B4-BE49-F238E27FC236}">
              <a16:creationId xmlns:a16="http://schemas.microsoft.com/office/drawing/2014/main" id="{A333A93A-3998-4FD0-971E-F350377A29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66" name="AutoShape 1" descr="Vista previa de toda la pantalla">
          <a:extLst>
            <a:ext uri="{FF2B5EF4-FFF2-40B4-BE49-F238E27FC236}">
              <a16:creationId xmlns:a16="http://schemas.microsoft.com/office/drawing/2014/main" id="{7E7CBDDA-877E-4AB9-BF13-B5C8BBC14A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67" name="AutoShape 1" descr="Vista previa de toda la pantalla">
          <a:extLst>
            <a:ext uri="{FF2B5EF4-FFF2-40B4-BE49-F238E27FC236}">
              <a16:creationId xmlns:a16="http://schemas.microsoft.com/office/drawing/2014/main" id="{B18507B1-80C0-4F89-A9D1-19CCCF2BDA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68" name="AutoShape 1" descr="Vista previa de toda la pantalla">
          <a:extLst>
            <a:ext uri="{FF2B5EF4-FFF2-40B4-BE49-F238E27FC236}">
              <a16:creationId xmlns:a16="http://schemas.microsoft.com/office/drawing/2014/main" id="{3801E580-66FF-49D1-BA06-9CBAC31813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69" name="AutoShape 1" descr="Vista previa de toda la pantalla">
          <a:extLst>
            <a:ext uri="{FF2B5EF4-FFF2-40B4-BE49-F238E27FC236}">
              <a16:creationId xmlns:a16="http://schemas.microsoft.com/office/drawing/2014/main" id="{09F7FE27-3E50-4555-937B-228E60473A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0" name="AutoShape 1" descr="Vista previa de toda la pantalla">
          <a:extLst>
            <a:ext uri="{FF2B5EF4-FFF2-40B4-BE49-F238E27FC236}">
              <a16:creationId xmlns:a16="http://schemas.microsoft.com/office/drawing/2014/main" id="{070A5929-D7E3-4ADD-A6B9-A00B853EB1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1" name="AutoShape 1" descr="Vista previa de toda la pantalla">
          <a:extLst>
            <a:ext uri="{FF2B5EF4-FFF2-40B4-BE49-F238E27FC236}">
              <a16:creationId xmlns:a16="http://schemas.microsoft.com/office/drawing/2014/main" id="{E7C178C3-3156-4BAF-9895-7B3FF23A6D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2" name="AutoShape 1" descr="Vista previa de toda la pantalla">
          <a:extLst>
            <a:ext uri="{FF2B5EF4-FFF2-40B4-BE49-F238E27FC236}">
              <a16:creationId xmlns:a16="http://schemas.microsoft.com/office/drawing/2014/main" id="{53ABD21E-4B95-4142-9D4C-A5F2C5B14A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3" name="AutoShape 1" descr="Vista previa de toda la pantalla">
          <a:extLst>
            <a:ext uri="{FF2B5EF4-FFF2-40B4-BE49-F238E27FC236}">
              <a16:creationId xmlns:a16="http://schemas.microsoft.com/office/drawing/2014/main" id="{6AFE2B44-C84C-476E-9BB1-3E92764CBD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4" name="AutoShape 1" descr="Vista previa de toda la pantalla">
          <a:extLst>
            <a:ext uri="{FF2B5EF4-FFF2-40B4-BE49-F238E27FC236}">
              <a16:creationId xmlns:a16="http://schemas.microsoft.com/office/drawing/2014/main" id="{8C5912D0-C5BA-4D7D-80C7-5A4256AF4F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5" name="AutoShape 1" descr="Vista previa de toda la pantalla">
          <a:extLst>
            <a:ext uri="{FF2B5EF4-FFF2-40B4-BE49-F238E27FC236}">
              <a16:creationId xmlns:a16="http://schemas.microsoft.com/office/drawing/2014/main" id="{F7B14022-C914-4340-9852-028874FB35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6" name="AutoShape 1" descr="Vista previa de toda la pantalla">
          <a:extLst>
            <a:ext uri="{FF2B5EF4-FFF2-40B4-BE49-F238E27FC236}">
              <a16:creationId xmlns:a16="http://schemas.microsoft.com/office/drawing/2014/main" id="{92475A2F-5680-4A07-9D17-DCD2668F77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7" name="AutoShape 1" descr="Vista previa de toda la pantalla">
          <a:extLst>
            <a:ext uri="{FF2B5EF4-FFF2-40B4-BE49-F238E27FC236}">
              <a16:creationId xmlns:a16="http://schemas.microsoft.com/office/drawing/2014/main" id="{E7BB8499-86C1-4DCE-9C8C-3E84FFEE4A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8" name="AutoShape 1" descr="Vista previa de toda la pantalla">
          <a:extLst>
            <a:ext uri="{FF2B5EF4-FFF2-40B4-BE49-F238E27FC236}">
              <a16:creationId xmlns:a16="http://schemas.microsoft.com/office/drawing/2014/main" id="{3DE86FF0-D83B-417B-96F2-01848C09A4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79" name="AutoShape 1" descr="Vista previa de toda la pantalla">
          <a:extLst>
            <a:ext uri="{FF2B5EF4-FFF2-40B4-BE49-F238E27FC236}">
              <a16:creationId xmlns:a16="http://schemas.microsoft.com/office/drawing/2014/main" id="{4D97B954-1D44-4A29-A1DA-791E81B340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80" name="AutoShape 1" descr="Vista previa de toda la pantalla">
          <a:extLst>
            <a:ext uri="{FF2B5EF4-FFF2-40B4-BE49-F238E27FC236}">
              <a16:creationId xmlns:a16="http://schemas.microsoft.com/office/drawing/2014/main" id="{03DBB925-9AAE-47FD-AE34-2ED2C32349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81" name="AutoShape 1" descr="Vista previa de toda la pantalla">
          <a:extLst>
            <a:ext uri="{FF2B5EF4-FFF2-40B4-BE49-F238E27FC236}">
              <a16:creationId xmlns:a16="http://schemas.microsoft.com/office/drawing/2014/main" id="{18F64C92-9BFD-464B-8E97-7DA001FC6A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82" name="AutoShape 1" descr="Vista previa de toda la pantalla">
          <a:extLst>
            <a:ext uri="{FF2B5EF4-FFF2-40B4-BE49-F238E27FC236}">
              <a16:creationId xmlns:a16="http://schemas.microsoft.com/office/drawing/2014/main" id="{42D0FC34-CE3E-45EB-B9EC-F83B8E08A8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83" name="AutoShape 1" descr="Vista previa de toda la pantalla">
          <a:extLst>
            <a:ext uri="{FF2B5EF4-FFF2-40B4-BE49-F238E27FC236}">
              <a16:creationId xmlns:a16="http://schemas.microsoft.com/office/drawing/2014/main" id="{BC741E31-9187-4DE8-9E7C-F128FCE4DD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84" name="AutoShape 1" descr="Vista previa de toda la pantalla">
          <a:extLst>
            <a:ext uri="{FF2B5EF4-FFF2-40B4-BE49-F238E27FC236}">
              <a16:creationId xmlns:a16="http://schemas.microsoft.com/office/drawing/2014/main" id="{56F4050E-46B3-460B-B759-1F1753F031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85" name="AutoShape 1" descr="Vista previa de toda la pantalla">
          <a:extLst>
            <a:ext uri="{FF2B5EF4-FFF2-40B4-BE49-F238E27FC236}">
              <a16:creationId xmlns:a16="http://schemas.microsoft.com/office/drawing/2014/main" id="{C7D08878-6A8B-4725-9061-8A458E3FE5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86" name="AutoShape 1" descr="Vista previa de toda la pantalla">
          <a:extLst>
            <a:ext uri="{FF2B5EF4-FFF2-40B4-BE49-F238E27FC236}">
              <a16:creationId xmlns:a16="http://schemas.microsoft.com/office/drawing/2014/main" id="{6F2D1F57-0F9D-4AF8-939D-13AA1C9C51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501854</xdr:colOff>
      <xdr:row>0</xdr:row>
      <xdr:rowOff>174114</xdr:rowOff>
    </xdr:from>
    <xdr:ext cx="304800" cy="302602"/>
    <xdr:sp macro="" textlink="">
      <xdr:nvSpPr>
        <xdr:cNvPr id="12587" name="AutoShape 1" descr="Vista previa de toda la pantalla">
          <a:extLst>
            <a:ext uri="{FF2B5EF4-FFF2-40B4-BE49-F238E27FC236}">
              <a16:creationId xmlns:a16="http://schemas.microsoft.com/office/drawing/2014/main" id="{0AE47FD5-8EEB-4392-ADF7-501F984539A0}"/>
            </a:ext>
          </a:extLst>
        </xdr:cNvPr>
        <xdr:cNvSpPr>
          <a:spLocks noChangeAspect="1" noChangeArrowheads="1"/>
        </xdr:cNvSpPr>
      </xdr:nvSpPr>
      <xdr:spPr bwMode="auto">
        <a:xfrm>
          <a:off x="5454854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9856" name="AutoShape 1" descr="Vista previa de toda la pantalla">
          <a:extLst>
            <a:ext uri="{FF2B5EF4-FFF2-40B4-BE49-F238E27FC236}">
              <a16:creationId xmlns:a16="http://schemas.microsoft.com/office/drawing/2014/main" id="{11160C03-EFA3-46D3-A8C1-A3EAB4FA5A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88" name="AutoShape 1" descr="Vista previa de toda la pantalla">
          <a:extLst>
            <a:ext uri="{FF2B5EF4-FFF2-40B4-BE49-F238E27FC236}">
              <a16:creationId xmlns:a16="http://schemas.microsoft.com/office/drawing/2014/main" id="{F22759FA-2CCC-49AF-8928-70FCACC3D9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89" name="AutoShape 1" descr="Vista previa de toda la pantalla">
          <a:extLst>
            <a:ext uri="{FF2B5EF4-FFF2-40B4-BE49-F238E27FC236}">
              <a16:creationId xmlns:a16="http://schemas.microsoft.com/office/drawing/2014/main" id="{CF812496-9882-4289-82AB-A3E8B41DDE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0" name="AutoShape 1" descr="Vista previa de toda la pantalla">
          <a:extLst>
            <a:ext uri="{FF2B5EF4-FFF2-40B4-BE49-F238E27FC236}">
              <a16:creationId xmlns:a16="http://schemas.microsoft.com/office/drawing/2014/main" id="{860A104F-4BB6-4C9B-B2F5-C082F07D69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1" name="AutoShape 1" descr="Vista previa de toda la pantalla">
          <a:extLst>
            <a:ext uri="{FF2B5EF4-FFF2-40B4-BE49-F238E27FC236}">
              <a16:creationId xmlns:a16="http://schemas.microsoft.com/office/drawing/2014/main" id="{F2E9A431-2748-40E8-BB05-B668D6943D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2" name="AutoShape 1" descr="Vista previa de toda la pantalla">
          <a:extLst>
            <a:ext uri="{FF2B5EF4-FFF2-40B4-BE49-F238E27FC236}">
              <a16:creationId xmlns:a16="http://schemas.microsoft.com/office/drawing/2014/main" id="{6B63E0ED-14B3-4C85-9E7A-CFAB6AD16A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3" name="AutoShape 1" descr="Vista previa de toda la pantalla">
          <a:extLst>
            <a:ext uri="{FF2B5EF4-FFF2-40B4-BE49-F238E27FC236}">
              <a16:creationId xmlns:a16="http://schemas.microsoft.com/office/drawing/2014/main" id="{D96691D8-31B4-4B83-AA9B-45A23E6ADB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4" name="AutoShape 1" descr="Vista previa de toda la pantalla">
          <a:extLst>
            <a:ext uri="{FF2B5EF4-FFF2-40B4-BE49-F238E27FC236}">
              <a16:creationId xmlns:a16="http://schemas.microsoft.com/office/drawing/2014/main" id="{A77989B1-BCA1-4485-9D0C-EBDA9B8F17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5" name="AutoShape 1" descr="Vista previa de toda la pantalla">
          <a:extLst>
            <a:ext uri="{FF2B5EF4-FFF2-40B4-BE49-F238E27FC236}">
              <a16:creationId xmlns:a16="http://schemas.microsoft.com/office/drawing/2014/main" id="{4ABF2364-DC86-4F9B-BA15-D7B45E4EAB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6" name="AutoShape 1" descr="Vista previa de toda la pantalla">
          <a:extLst>
            <a:ext uri="{FF2B5EF4-FFF2-40B4-BE49-F238E27FC236}">
              <a16:creationId xmlns:a16="http://schemas.microsoft.com/office/drawing/2014/main" id="{E4167DFF-4FBE-45B2-A77C-16FBA3F772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7" name="AutoShape 1" descr="Vista previa de toda la pantalla">
          <a:extLst>
            <a:ext uri="{FF2B5EF4-FFF2-40B4-BE49-F238E27FC236}">
              <a16:creationId xmlns:a16="http://schemas.microsoft.com/office/drawing/2014/main" id="{8269817C-C3A6-4D47-850C-76F7F2B01E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8" name="AutoShape 1" descr="Vista previa de toda la pantalla">
          <a:extLst>
            <a:ext uri="{FF2B5EF4-FFF2-40B4-BE49-F238E27FC236}">
              <a16:creationId xmlns:a16="http://schemas.microsoft.com/office/drawing/2014/main" id="{A7E7393F-3FD9-4EBB-9001-9EB13423A4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599" name="AutoShape 1" descr="Vista previa de toda la pantalla">
          <a:extLst>
            <a:ext uri="{FF2B5EF4-FFF2-40B4-BE49-F238E27FC236}">
              <a16:creationId xmlns:a16="http://schemas.microsoft.com/office/drawing/2014/main" id="{7F4B8AEB-169D-4CD9-A97D-DF91419A3D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0" name="AutoShape 1" descr="Vista previa de toda la pantalla">
          <a:extLst>
            <a:ext uri="{FF2B5EF4-FFF2-40B4-BE49-F238E27FC236}">
              <a16:creationId xmlns:a16="http://schemas.microsoft.com/office/drawing/2014/main" id="{1FF84F66-EC06-4A3E-AC6C-694CB5A50F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1" name="AutoShape 1" descr="Vista previa de toda la pantalla">
          <a:extLst>
            <a:ext uri="{FF2B5EF4-FFF2-40B4-BE49-F238E27FC236}">
              <a16:creationId xmlns:a16="http://schemas.microsoft.com/office/drawing/2014/main" id="{AB313CD7-0490-4D95-8B42-CDCEA25ABC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2" name="AutoShape 1" descr="Vista previa de toda la pantalla">
          <a:extLst>
            <a:ext uri="{FF2B5EF4-FFF2-40B4-BE49-F238E27FC236}">
              <a16:creationId xmlns:a16="http://schemas.microsoft.com/office/drawing/2014/main" id="{6B2345BE-0C91-406F-9402-B1857FE230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3" name="AutoShape 1" descr="Vista previa de toda la pantalla">
          <a:extLst>
            <a:ext uri="{FF2B5EF4-FFF2-40B4-BE49-F238E27FC236}">
              <a16:creationId xmlns:a16="http://schemas.microsoft.com/office/drawing/2014/main" id="{FE8087CC-DC07-4034-BBFF-922DB87683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4" name="AutoShape 1" descr="Vista previa de toda la pantalla">
          <a:extLst>
            <a:ext uri="{FF2B5EF4-FFF2-40B4-BE49-F238E27FC236}">
              <a16:creationId xmlns:a16="http://schemas.microsoft.com/office/drawing/2014/main" id="{6EBCD671-EFB3-4E55-97B7-B6F6C8A008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5" name="AutoShape 1" descr="Vista previa de toda la pantalla">
          <a:extLst>
            <a:ext uri="{FF2B5EF4-FFF2-40B4-BE49-F238E27FC236}">
              <a16:creationId xmlns:a16="http://schemas.microsoft.com/office/drawing/2014/main" id="{21444624-CB10-4311-8E28-2C6458342A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6" name="AutoShape 1" descr="Vista previa de toda la pantalla">
          <a:extLst>
            <a:ext uri="{FF2B5EF4-FFF2-40B4-BE49-F238E27FC236}">
              <a16:creationId xmlns:a16="http://schemas.microsoft.com/office/drawing/2014/main" id="{AAD3F780-2DEF-4EFC-90C1-63B5F3A0C6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7" name="AutoShape 1" descr="Vista previa de toda la pantalla">
          <a:extLst>
            <a:ext uri="{FF2B5EF4-FFF2-40B4-BE49-F238E27FC236}">
              <a16:creationId xmlns:a16="http://schemas.microsoft.com/office/drawing/2014/main" id="{F967E728-E0EA-4AB2-BAAC-828C20B434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26" name="AutoShape 1" descr="Vista previa de toda la pantalla">
          <a:extLst>
            <a:ext uri="{FF2B5EF4-FFF2-40B4-BE49-F238E27FC236}">
              <a16:creationId xmlns:a16="http://schemas.microsoft.com/office/drawing/2014/main" id="{960F3164-73F0-44F8-8FAE-308E9D3A7B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27" name="AutoShape 1" descr="Vista previa de toda la pantalla">
          <a:extLst>
            <a:ext uri="{FF2B5EF4-FFF2-40B4-BE49-F238E27FC236}">
              <a16:creationId xmlns:a16="http://schemas.microsoft.com/office/drawing/2014/main" id="{D1BEF2C3-FB02-4C7D-86BA-BF1E17718D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28" name="AutoShape 1" descr="Vista previa de toda la pantalla">
          <a:extLst>
            <a:ext uri="{FF2B5EF4-FFF2-40B4-BE49-F238E27FC236}">
              <a16:creationId xmlns:a16="http://schemas.microsoft.com/office/drawing/2014/main" id="{4E5BAE64-5B3F-45A9-B7E0-EFE09E152E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29" name="AutoShape 1" descr="Vista previa de toda la pantalla">
          <a:extLst>
            <a:ext uri="{FF2B5EF4-FFF2-40B4-BE49-F238E27FC236}">
              <a16:creationId xmlns:a16="http://schemas.microsoft.com/office/drawing/2014/main" id="{26888A41-B8CD-490D-9A3D-6BD6D0A8B1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0" name="AutoShape 1" descr="Vista previa de toda la pantalla">
          <a:extLst>
            <a:ext uri="{FF2B5EF4-FFF2-40B4-BE49-F238E27FC236}">
              <a16:creationId xmlns:a16="http://schemas.microsoft.com/office/drawing/2014/main" id="{AA3470C0-0A05-4BA2-BA99-4D28DDF7D2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1" name="AutoShape 1" descr="Vista previa de toda la pantalla">
          <a:extLst>
            <a:ext uri="{FF2B5EF4-FFF2-40B4-BE49-F238E27FC236}">
              <a16:creationId xmlns:a16="http://schemas.microsoft.com/office/drawing/2014/main" id="{CC30B7AE-B767-4893-A24F-C71144B7D2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2" name="AutoShape 1" descr="Vista previa de toda la pantalla">
          <a:extLst>
            <a:ext uri="{FF2B5EF4-FFF2-40B4-BE49-F238E27FC236}">
              <a16:creationId xmlns:a16="http://schemas.microsoft.com/office/drawing/2014/main" id="{FDE6C5A7-AF05-4366-9AB2-7F21FFB783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3" name="AutoShape 1" descr="Vista previa de toda la pantalla">
          <a:extLst>
            <a:ext uri="{FF2B5EF4-FFF2-40B4-BE49-F238E27FC236}">
              <a16:creationId xmlns:a16="http://schemas.microsoft.com/office/drawing/2014/main" id="{91FC9C9A-407E-491A-B3DD-C1C2AC26B8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4" name="AutoShape 1" descr="Vista previa de toda la pantalla">
          <a:extLst>
            <a:ext uri="{FF2B5EF4-FFF2-40B4-BE49-F238E27FC236}">
              <a16:creationId xmlns:a16="http://schemas.microsoft.com/office/drawing/2014/main" id="{E97E9B8B-A70D-499E-8C27-EFC5023D55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5" name="AutoShape 1" descr="Vista previa de toda la pantalla">
          <a:extLst>
            <a:ext uri="{FF2B5EF4-FFF2-40B4-BE49-F238E27FC236}">
              <a16:creationId xmlns:a16="http://schemas.microsoft.com/office/drawing/2014/main" id="{BEC5599E-C162-4AF8-AFEB-F17F28A3B1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6" name="AutoShape 1" descr="Vista previa de toda la pantalla">
          <a:extLst>
            <a:ext uri="{FF2B5EF4-FFF2-40B4-BE49-F238E27FC236}">
              <a16:creationId xmlns:a16="http://schemas.microsoft.com/office/drawing/2014/main" id="{3CBBC108-F1C1-4A2A-A3C3-88B2349A9A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7" name="AutoShape 1" descr="Vista previa de toda la pantalla">
          <a:extLst>
            <a:ext uri="{FF2B5EF4-FFF2-40B4-BE49-F238E27FC236}">
              <a16:creationId xmlns:a16="http://schemas.microsoft.com/office/drawing/2014/main" id="{8F5D8164-B501-4DBF-BE5E-589B946896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8" name="AutoShape 1" descr="Vista previa de toda la pantalla">
          <a:extLst>
            <a:ext uri="{FF2B5EF4-FFF2-40B4-BE49-F238E27FC236}">
              <a16:creationId xmlns:a16="http://schemas.microsoft.com/office/drawing/2014/main" id="{F77319F2-3E4F-44D1-A292-FB722B4559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39" name="AutoShape 1" descr="Vista previa de toda la pantalla">
          <a:extLst>
            <a:ext uri="{FF2B5EF4-FFF2-40B4-BE49-F238E27FC236}">
              <a16:creationId xmlns:a16="http://schemas.microsoft.com/office/drawing/2014/main" id="{C5ECDFF4-6527-474D-BAF3-A5821C1E5B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0" name="AutoShape 1" descr="Vista previa de toda la pantalla">
          <a:extLst>
            <a:ext uri="{FF2B5EF4-FFF2-40B4-BE49-F238E27FC236}">
              <a16:creationId xmlns:a16="http://schemas.microsoft.com/office/drawing/2014/main" id="{6EED28C1-99F3-41D8-9EA4-AFAE8DED50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1" name="AutoShape 1" descr="Vista previa de toda la pantalla">
          <a:extLst>
            <a:ext uri="{FF2B5EF4-FFF2-40B4-BE49-F238E27FC236}">
              <a16:creationId xmlns:a16="http://schemas.microsoft.com/office/drawing/2014/main" id="{EAC3DCD4-9921-4B50-84B2-248BFA4F66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2" name="AutoShape 1" descr="Vista previa de toda la pantalla">
          <a:extLst>
            <a:ext uri="{FF2B5EF4-FFF2-40B4-BE49-F238E27FC236}">
              <a16:creationId xmlns:a16="http://schemas.microsoft.com/office/drawing/2014/main" id="{0B5BAD3E-8F0A-4CA9-B97F-5F0073A230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3" name="AutoShape 1" descr="Vista previa de toda la pantalla">
          <a:extLst>
            <a:ext uri="{FF2B5EF4-FFF2-40B4-BE49-F238E27FC236}">
              <a16:creationId xmlns:a16="http://schemas.microsoft.com/office/drawing/2014/main" id="{02BF223A-224C-48B5-AAE6-F700A7E7A4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4" name="AutoShape 1" descr="Vista previa de toda la pantalla">
          <a:extLst>
            <a:ext uri="{FF2B5EF4-FFF2-40B4-BE49-F238E27FC236}">
              <a16:creationId xmlns:a16="http://schemas.microsoft.com/office/drawing/2014/main" id="{3B947D41-A890-456B-86E2-7029605B1D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5" name="AutoShape 1" descr="Vista previa de toda la pantalla">
          <a:extLst>
            <a:ext uri="{FF2B5EF4-FFF2-40B4-BE49-F238E27FC236}">
              <a16:creationId xmlns:a16="http://schemas.microsoft.com/office/drawing/2014/main" id="{7CE2AD47-3FB8-49DB-AECE-786C11F704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6" name="AutoShape 1" descr="Vista previa de toda la pantalla">
          <a:extLst>
            <a:ext uri="{FF2B5EF4-FFF2-40B4-BE49-F238E27FC236}">
              <a16:creationId xmlns:a16="http://schemas.microsoft.com/office/drawing/2014/main" id="{63E0CCD6-B25B-4252-94BC-0697BA247D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7" name="AutoShape 1" descr="Vista previa de toda la pantalla">
          <a:extLst>
            <a:ext uri="{FF2B5EF4-FFF2-40B4-BE49-F238E27FC236}">
              <a16:creationId xmlns:a16="http://schemas.microsoft.com/office/drawing/2014/main" id="{22D5FB17-F63C-4D45-8EF8-23BF76FEF8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8" name="AutoShape 1" descr="Vista previa de toda la pantalla">
          <a:extLst>
            <a:ext uri="{FF2B5EF4-FFF2-40B4-BE49-F238E27FC236}">
              <a16:creationId xmlns:a16="http://schemas.microsoft.com/office/drawing/2014/main" id="{A6A71443-6607-45CA-A9B8-69E72B2B70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49" name="AutoShape 1" descr="Vista previa de toda la pantalla">
          <a:extLst>
            <a:ext uri="{FF2B5EF4-FFF2-40B4-BE49-F238E27FC236}">
              <a16:creationId xmlns:a16="http://schemas.microsoft.com/office/drawing/2014/main" id="{6BCA3BA8-1875-4770-8A80-99E92B6D6E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0" name="AutoShape 1" descr="Vista previa de toda la pantalla">
          <a:extLst>
            <a:ext uri="{FF2B5EF4-FFF2-40B4-BE49-F238E27FC236}">
              <a16:creationId xmlns:a16="http://schemas.microsoft.com/office/drawing/2014/main" id="{DAE1F8C9-8E22-4ADC-A3B5-3CB3A19ACB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1" name="AutoShape 1" descr="Vista previa de toda la pantalla">
          <a:extLst>
            <a:ext uri="{FF2B5EF4-FFF2-40B4-BE49-F238E27FC236}">
              <a16:creationId xmlns:a16="http://schemas.microsoft.com/office/drawing/2014/main" id="{A2D49E89-6D11-4A75-B730-F629BD5106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2" name="AutoShape 1" descr="Vista previa de toda la pantalla">
          <a:extLst>
            <a:ext uri="{FF2B5EF4-FFF2-40B4-BE49-F238E27FC236}">
              <a16:creationId xmlns:a16="http://schemas.microsoft.com/office/drawing/2014/main" id="{65FD427C-703C-4CB4-B42B-A7B0B01827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3" name="AutoShape 1" descr="Vista previa de toda la pantalla">
          <a:extLst>
            <a:ext uri="{FF2B5EF4-FFF2-40B4-BE49-F238E27FC236}">
              <a16:creationId xmlns:a16="http://schemas.microsoft.com/office/drawing/2014/main" id="{2E41EA53-2469-4A98-AB28-194A24742D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4" name="AutoShape 1" descr="Vista previa de toda la pantalla">
          <a:extLst>
            <a:ext uri="{FF2B5EF4-FFF2-40B4-BE49-F238E27FC236}">
              <a16:creationId xmlns:a16="http://schemas.microsoft.com/office/drawing/2014/main" id="{7D5C55AE-E61C-450A-9621-6B12C8EBDC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5" name="AutoShape 1" descr="Vista previa de toda la pantalla">
          <a:extLst>
            <a:ext uri="{FF2B5EF4-FFF2-40B4-BE49-F238E27FC236}">
              <a16:creationId xmlns:a16="http://schemas.microsoft.com/office/drawing/2014/main" id="{E78E365D-945E-478C-8409-71ABC5DBCC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6" name="AutoShape 1" descr="Vista previa de toda la pantalla">
          <a:extLst>
            <a:ext uri="{FF2B5EF4-FFF2-40B4-BE49-F238E27FC236}">
              <a16:creationId xmlns:a16="http://schemas.microsoft.com/office/drawing/2014/main" id="{4A788492-17CB-42C8-A251-AD0FEC1D4E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7" name="AutoShape 1" descr="Vista previa de toda la pantalla">
          <a:extLst>
            <a:ext uri="{FF2B5EF4-FFF2-40B4-BE49-F238E27FC236}">
              <a16:creationId xmlns:a16="http://schemas.microsoft.com/office/drawing/2014/main" id="{44C61CCD-DDFB-476C-A0A1-AF53338A42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8" name="AutoShape 1" descr="Vista previa de toda la pantalla">
          <a:extLst>
            <a:ext uri="{FF2B5EF4-FFF2-40B4-BE49-F238E27FC236}">
              <a16:creationId xmlns:a16="http://schemas.microsoft.com/office/drawing/2014/main" id="{BA21BA58-2A98-4299-A7CE-DD76D0BB8D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59" name="AutoShape 1" descr="Vista previa de toda la pantalla">
          <a:extLst>
            <a:ext uri="{FF2B5EF4-FFF2-40B4-BE49-F238E27FC236}">
              <a16:creationId xmlns:a16="http://schemas.microsoft.com/office/drawing/2014/main" id="{41F67497-D4BB-4A22-B314-470B929522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60" name="AutoShape 1" descr="Vista previa de toda la pantalla">
          <a:extLst>
            <a:ext uri="{FF2B5EF4-FFF2-40B4-BE49-F238E27FC236}">
              <a16:creationId xmlns:a16="http://schemas.microsoft.com/office/drawing/2014/main" id="{BDC63BDB-2673-456E-B840-77B0F217BD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61" name="AutoShape 1" descr="Vista previa de toda la pantalla">
          <a:extLst>
            <a:ext uri="{FF2B5EF4-FFF2-40B4-BE49-F238E27FC236}">
              <a16:creationId xmlns:a16="http://schemas.microsoft.com/office/drawing/2014/main" id="{6C9E3D95-3D19-427C-87CA-2203A7D765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62" name="AutoShape 1" descr="Vista previa de toda la pantalla">
          <a:extLst>
            <a:ext uri="{FF2B5EF4-FFF2-40B4-BE49-F238E27FC236}">
              <a16:creationId xmlns:a16="http://schemas.microsoft.com/office/drawing/2014/main" id="{C52F0E76-0C20-4953-A50F-95296F8802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63" name="AutoShape 1" descr="Vista previa de toda la pantalla">
          <a:extLst>
            <a:ext uri="{FF2B5EF4-FFF2-40B4-BE49-F238E27FC236}">
              <a16:creationId xmlns:a16="http://schemas.microsoft.com/office/drawing/2014/main" id="{DF22452F-77B2-43C1-9234-67B484510F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64" name="AutoShape 1" descr="Vista previa de toda la pantalla">
          <a:extLst>
            <a:ext uri="{FF2B5EF4-FFF2-40B4-BE49-F238E27FC236}">
              <a16:creationId xmlns:a16="http://schemas.microsoft.com/office/drawing/2014/main" id="{188ED557-ED70-47F5-8DD2-3E0CF97443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65" name="AutoShape 1" descr="Vista previa de toda la pantalla">
          <a:extLst>
            <a:ext uri="{FF2B5EF4-FFF2-40B4-BE49-F238E27FC236}">
              <a16:creationId xmlns:a16="http://schemas.microsoft.com/office/drawing/2014/main" id="{7CE2E632-825E-4497-8F9A-FB1559D5FC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66" name="AutoShape 1" descr="Vista previa de toda la pantalla">
          <a:extLst>
            <a:ext uri="{FF2B5EF4-FFF2-40B4-BE49-F238E27FC236}">
              <a16:creationId xmlns:a16="http://schemas.microsoft.com/office/drawing/2014/main" id="{C8D005B6-5A42-4564-BE7A-06D343D6C2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7167" name="AutoShape 1" descr="Vista previa de toda la pantalla">
          <a:extLst>
            <a:ext uri="{FF2B5EF4-FFF2-40B4-BE49-F238E27FC236}">
              <a16:creationId xmlns:a16="http://schemas.microsoft.com/office/drawing/2014/main" id="{32C5BA0A-459F-4EB8-89DE-89F14140A5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8" name="AutoShape 1" descr="Vista previa de toda la pantalla">
          <a:extLst>
            <a:ext uri="{FF2B5EF4-FFF2-40B4-BE49-F238E27FC236}">
              <a16:creationId xmlns:a16="http://schemas.microsoft.com/office/drawing/2014/main" id="{615C7307-C0E5-482D-B026-CCBDE35DF0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09" name="AutoShape 1" descr="Vista previa de toda la pantalla">
          <a:extLst>
            <a:ext uri="{FF2B5EF4-FFF2-40B4-BE49-F238E27FC236}">
              <a16:creationId xmlns:a16="http://schemas.microsoft.com/office/drawing/2014/main" id="{5FC003D6-DA83-4099-B91C-E276D7D5D2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0" name="AutoShape 1" descr="Vista previa de toda la pantalla">
          <a:extLst>
            <a:ext uri="{FF2B5EF4-FFF2-40B4-BE49-F238E27FC236}">
              <a16:creationId xmlns:a16="http://schemas.microsoft.com/office/drawing/2014/main" id="{D5A5BBA6-EBB5-4080-8E6C-66DD0B95D0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1" name="AutoShape 1" descr="Vista previa de toda la pantalla">
          <a:extLst>
            <a:ext uri="{FF2B5EF4-FFF2-40B4-BE49-F238E27FC236}">
              <a16:creationId xmlns:a16="http://schemas.microsoft.com/office/drawing/2014/main" id="{824F28F1-BA1B-4578-93D6-7B019A16AE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2" name="AutoShape 1" descr="Vista previa de toda la pantalla">
          <a:extLst>
            <a:ext uri="{FF2B5EF4-FFF2-40B4-BE49-F238E27FC236}">
              <a16:creationId xmlns:a16="http://schemas.microsoft.com/office/drawing/2014/main" id="{2D5AA6AC-31FF-4B64-AE21-98B6D8A9A9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3" name="AutoShape 1" descr="Vista previa de toda la pantalla">
          <a:extLst>
            <a:ext uri="{FF2B5EF4-FFF2-40B4-BE49-F238E27FC236}">
              <a16:creationId xmlns:a16="http://schemas.microsoft.com/office/drawing/2014/main" id="{0F31529B-121D-4AC6-823D-BD5BFD3DD4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4" name="AutoShape 1" descr="Vista previa de toda la pantalla">
          <a:extLst>
            <a:ext uri="{FF2B5EF4-FFF2-40B4-BE49-F238E27FC236}">
              <a16:creationId xmlns:a16="http://schemas.microsoft.com/office/drawing/2014/main" id="{FEEBC7F6-0944-40F5-8717-2DB409A892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5" name="AutoShape 1" descr="Vista previa de toda la pantalla">
          <a:extLst>
            <a:ext uri="{FF2B5EF4-FFF2-40B4-BE49-F238E27FC236}">
              <a16:creationId xmlns:a16="http://schemas.microsoft.com/office/drawing/2014/main" id="{6E365D43-E577-4F43-BC29-F24F66CDCC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6" name="AutoShape 1" descr="Vista previa de toda la pantalla">
          <a:extLst>
            <a:ext uri="{FF2B5EF4-FFF2-40B4-BE49-F238E27FC236}">
              <a16:creationId xmlns:a16="http://schemas.microsoft.com/office/drawing/2014/main" id="{D57C924C-78EF-4603-BE24-E57892D5FC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7" name="AutoShape 1" descr="Vista previa de toda la pantalla">
          <a:extLst>
            <a:ext uri="{FF2B5EF4-FFF2-40B4-BE49-F238E27FC236}">
              <a16:creationId xmlns:a16="http://schemas.microsoft.com/office/drawing/2014/main" id="{E6AA184D-06B9-4F6B-8D49-BF0843B374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8" name="AutoShape 1" descr="Vista previa de toda la pantalla">
          <a:extLst>
            <a:ext uri="{FF2B5EF4-FFF2-40B4-BE49-F238E27FC236}">
              <a16:creationId xmlns:a16="http://schemas.microsoft.com/office/drawing/2014/main" id="{20CE7CDF-DC35-4044-A06E-E305874910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19" name="AutoShape 1" descr="Vista previa de toda la pantalla">
          <a:extLst>
            <a:ext uri="{FF2B5EF4-FFF2-40B4-BE49-F238E27FC236}">
              <a16:creationId xmlns:a16="http://schemas.microsoft.com/office/drawing/2014/main" id="{3AD5CE11-32AC-4B6B-ADCC-A5FF1D599E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0" name="AutoShape 1" descr="Vista previa de toda la pantalla">
          <a:extLst>
            <a:ext uri="{FF2B5EF4-FFF2-40B4-BE49-F238E27FC236}">
              <a16:creationId xmlns:a16="http://schemas.microsoft.com/office/drawing/2014/main" id="{55B39912-4FBC-4C87-BDC7-1318838E41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1" name="AutoShape 1" descr="Vista previa de toda la pantalla">
          <a:extLst>
            <a:ext uri="{FF2B5EF4-FFF2-40B4-BE49-F238E27FC236}">
              <a16:creationId xmlns:a16="http://schemas.microsoft.com/office/drawing/2014/main" id="{E753A677-918E-40B8-9CA5-F47B7B26E4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2" name="AutoShape 1" descr="Vista previa de toda la pantalla">
          <a:extLst>
            <a:ext uri="{FF2B5EF4-FFF2-40B4-BE49-F238E27FC236}">
              <a16:creationId xmlns:a16="http://schemas.microsoft.com/office/drawing/2014/main" id="{56BF0B7C-35D5-4B2E-BC3C-9F06263E3E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3" name="AutoShape 1" descr="Vista previa de toda la pantalla">
          <a:extLst>
            <a:ext uri="{FF2B5EF4-FFF2-40B4-BE49-F238E27FC236}">
              <a16:creationId xmlns:a16="http://schemas.microsoft.com/office/drawing/2014/main" id="{EB541F1A-F24B-491D-AF94-CD3FFFC968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4" name="AutoShape 1" descr="Vista previa de toda la pantalla">
          <a:extLst>
            <a:ext uri="{FF2B5EF4-FFF2-40B4-BE49-F238E27FC236}">
              <a16:creationId xmlns:a16="http://schemas.microsoft.com/office/drawing/2014/main" id="{4737B329-DB20-4E97-B91F-E45CB65B24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5" name="AutoShape 1" descr="Vista previa de toda la pantalla">
          <a:extLst>
            <a:ext uri="{FF2B5EF4-FFF2-40B4-BE49-F238E27FC236}">
              <a16:creationId xmlns:a16="http://schemas.microsoft.com/office/drawing/2014/main" id="{8F22AA61-4DE3-44DC-A8C9-E4221FBC02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6" name="AutoShape 1" descr="Vista previa de toda la pantalla">
          <a:extLst>
            <a:ext uri="{FF2B5EF4-FFF2-40B4-BE49-F238E27FC236}">
              <a16:creationId xmlns:a16="http://schemas.microsoft.com/office/drawing/2014/main" id="{1A2AFB04-E123-491B-A3CF-CF754215CD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7" name="AutoShape 1" descr="Vista previa de toda la pantalla">
          <a:extLst>
            <a:ext uri="{FF2B5EF4-FFF2-40B4-BE49-F238E27FC236}">
              <a16:creationId xmlns:a16="http://schemas.microsoft.com/office/drawing/2014/main" id="{BDB1B0B9-BE27-40D2-9044-7E60BDC4D9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8" name="AutoShape 1" descr="Vista previa de toda la pantalla">
          <a:extLst>
            <a:ext uri="{FF2B5EF4-FFF2-40B4-BE49-F238E27FC236}">
              <a16:creationId xmlns:a16="http://schemas.microsoft.com/office/drawing/2014/main" id="{5F2EF95E-2F61-4AC4-A4FE-670A44E7F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29" name="AutoShape 1" descr="Vista previa de toda la pantalla">
          <a:extLst>
            <a:ext uri="{FF2B5EF4-FFF2-40B4-BE49-F238E27FC236}">
              <a16:creationId xmlns:a16="http://schemas.microsoft.com/office/drawing/2014/main" id="{BEA4BD30-3E8C-4E73-8390-31C5C9F89B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0" name="AutoShape 1" descr="Vista previa de toda la pantalla">
          <a:extLst>
            <a:ext uri="{FF2B5EF4-FFF2-40B4-BE49-F238E27FC236}">
              <a16:creationId xmlns:a16="http://schemas.microsoft.com/office/drawing/2014/main" id="{D625971D-429B-4301-9D59-92DA2D9454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1" name="AutoShape 1" descr="Vista previa de toda la pantalla">
          <a:extLst>
            <a:ext uri="{FF2B5EF4-FFF2-40B4-BE49-F238E27FC236}">
              <a16:creationId xmlns:a16="http://schemas.microsoft.com/office/drawing/2014/main" id="{BE1397C0-29A3-483B-A01C-C34236134F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2" name="AutoShape 1" descr="Vista previa de toda la pantalla">
          <a:extLst>
            <a:ext uri="{FF2B5EF4-FFF2-40B4-BE49-F238E27FC236}">
              <a16:creationId xmlns:a16="http://schemas.microsoft.com/office/drawing/2014/main" id="{03054B6A-3BFB-4116-AE69-48077A9702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3" name="AutoShape 1" descr="Vista previa de toda la pantalla">
          <a:extLst>
            <a:ext uri="{FF2B5EF4-FFF2-40B4-BE49-F238E27FC236}">
              <a16:creationId xmlns:a16="http://schemas.microsoft.com/office/drawing/2014/main" id="{CE86EAE9-26C4-4DB9-AAE3-6127728099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4" name="AutoShape 1" descr="Vista previa de toda la pantalla">
          <a:extLst>
            <a:ext uri="{FF2B5EF4-FFF2-40B4-BE49-F238E27FC236}">
              <a16:creationId xmlns:a16="http://schemas.microsoft.com/office/drawing/2014/main" id="{2D15A60E-3E60-46A8-860D-92A4812B14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5" name="AutoShape 1" descr="Vista previa de toda la pantalla">
          <a:extLst>
            <a:ext uri="{FF2B5EF4-FFF2-40B4-BE49-F238E27FC236}">
              <a16:creationId xmlns:a16="http://schemas.microsoft.com/office/drawing/2014/main" id="{05940306-528C-45B0-AB15-027D26DA69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6" name="AutoShape 1" descr="Vista previa de toda la pantalla">
          <a:extLst>
            <a:ext uri="{FF2B5EF4-FFF2-40B4-BE49-F238E27FC236}">
              <a16:creationId xmlns:a16="http://schemas.microsoft.com/office/drawing/2014/main" id="{054C6E0D-4808-433A-AAE6-0CFAA90EAF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7" name="AutoShape 1" descr="Vista previa de toda la pantalla">
          <a:extLst>
            <a:ext uri="{FF2B5EF4-FFF2-40B4-BE49-F238E27FC236}">
              <a16:creationId xmlns:a16="http://schemas.microsoft.com/office/drawing/2014/main" id="{C8CB5C2F-D6FA-4541-A075-39ABD12725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8" name="AutoShape 1" descr="Vista previa de toda la pantalla">
          <a:extLst>
            <a:ext uri="{FF2B5EF4-FFF2-40B4-BE49-F238E27FC236}">
              <a16:creationId xmlns:a16="http://schemas.microsoft.com/office/drawing/2014/main" id="{4A8FD370-19EB-4DC1-B630-09DCD9466D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39" name="AutoShape 1" descr="Vista previa de toda la pantalla">
          <a:extLst>
            <a:ext uri="{FF2B5EF4-FFF2-40B4-BE49-F238E27FC236}">
              <a16:creationId xmlns:a16="http://schemas.microsoft.com/office/drawing/2014/main" id="{22198C60-3869-4338-B3E7-61F324AC9D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0" name="AutoShape 1" descr="Vista previa de toda la pantalla">
          <a:extLst>
            <a:ext uri="{FF2B5EF4-FFF2-40B4-BE49-F238E27FC236}">
              <a16:creationId xmlns:a16="http://schemas.microsoft.com/office/drawing/2014/main" id="{0BE37D6A-1675-4D83-9A99-A850D6DA23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1" name="AutoShape 1" descr="Vista previa de toda la pantalla">
          <a:extLst>
            <a:ext uri="{FF2B5EF4-FFF2-40B4-BE49-F238E27FC236}">
              <a16:creationId xmlns:a16="http://schemas.microsoft.com/office/drawing/2014/main" id="{62E145C2-DB53-4EC3-A4E3-99F35DD5D0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2" name="AutoShape 1" descr="Vista previa de toda la pantalla">
          <a:extLst>
            <a:ext uri="{FF2B5EF4-FFF2-40B4-BE49-F238E27FC236}">
              <a16:creationId xmlns:a16="http://schemas.microsoft.com/office/drawing/2014/main" id="{94E0EA2A-0B18-4A38-85E6-8729C9ACA0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3" name="AutoShape 1" descr="Vista previa de toda la pantalla">
          <a:extLst>
            <a:ext uri="{FF2B5EF4-FFF2-40B4-BE49-F238E27FC236}">
              <a16:creationId xmlns:a16="http://schemas.microsoft.com/office/drawing/2014/main" id="{FC055CC4-55C7-46D9-AA69-7899D8CD8C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4" name="AutoShape 1" descr="Vista previa de toda la pantalla">
          <a:extLst>
            <a:ext uri="{FF2B5EF4-FFF2-40B4-BE49-F238E27FC236}">
              <a16:creationId xmlns:a16="http://schemas.microsoft.com/office/drawing/2014/main" id="{1FB97B3B-0350-4403-A885-8F44E5DDB9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5" name="AutoShape 1" descr="Vista previa de toda la pantalla">
          <a:extLst>
            <a:ext uri="{FF2B5EF4-FFF2-40B4-BE49-F238E27FC236}">
              <a16:creationId xmlns:a16="http://schemas.microsoft.com/office/drawing/2014/main" id="{EC130A3A-B4B5-4F67-9F09-D88A17046A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6" name="AutoShape 1" descr="Vista previa de toda la pantalla">
          <a:extLst>
            <a:ext uri="{FF2B5EF4-FFF2-40B4-BE49-F238E27FC236}">
              <a16:creationId xmlns:a16="http://schemas.microsoft.com/office/drawing/2014/main" id="{212207E1-7C43-41A6-BE8A-A35B4CBC4D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7" name="AutoShape 1" descr="Vista previa de toda la pantalla">
          <a:extLst>
            <a:ext uri="{FF2B5EF4-FFF2-40B4-BE49-F238E27FC236}">
              <a16:creationId xmlns:a16="http://schemas.microsoft.com/office/drawing/2014/main" id="{0120ED5F-56FF-496A-9FF3-A9C85F9CA8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8" name="AutoShape 1" descr="Vista previa de toda la pantalla">
          <a:extLst>
            <a:ext uri="{FF2B5EF4-FFF2-40B4-BE49-F238E27FC236}">
              <a16:creationId xmlns:a16="http://schemas.microsoft.com/office/drawing/2014/main" id="{6EBEAA49-AA63-455C-95B3-DB6166442F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49" name="AutoShape 1" descr="Vista previa de toda la pantalla">
          <a:extLst>
            <a:ext uri="{FF2B5EF4-FFF2-40B4-BE49-F238E27FC236}">
              <a16:creationId xmlns:a16="http://schemas.microsoft.com/office/drawing/2014/main" id="{8B02EE65-9335-4ACF-A902-FAE127683B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0" name="AutoShape 1" descr="Vista previa de toda la pantalla">
          <a:extLst>
            <a:ext uri="{FF2B5EF4-FFF2-40B4-BE49-F238E27FC236}">
              <a16:creationId xmlns:a16="http://schemas.microsoft.com/office/drawing/2014/main" id="{311B099A-CD4F-4A12-ACDA-701B9D6DA3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1" name="AutoShape 1" descr="Vista previa de toda la pantalla">
          <a:extLst>
            <a:ext uri="{FF2B5EF4-FFF2-40B4-BE49-F238E27FC236}">
              <a16:creationId xmlns:a16="http://schemas.microsoft.com/office/drawing/2014/main" id="{ADE4F1B1-7F88-4CBD-814F-B88D9928F4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2" name="AutoShape 1" descr="Vista previa de toda la pantalla">
          <a:extLst>
            <a:ext uri="{FF2B5EF4-FFF2-40B4-BE49-F238E27FC236}">
              <a16:creationId xmlns:a16="http://schemas.microsoft.com/office/drawing/2014/main" id="{CC7B5786-D73D-49D6-911F-41A59FFF32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3" name="AutoShape 1" descr="Vista previa de toda la pantalla">
          <a:extLst>
            <a:ext uri="{FF2B5EF4-FFF2-40B4-BE49-F238E27FC236}">
              <a16:creationId xmlns:a16="http://schemas.microsoft.com/office/drawing/2014/main" id="{85BE4C77-B8CB-4CE1-8892-2F0323FED9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4" name="AutoShape 1" descr="Vista previa de toda la pantalla">
          <a:extLst>
            <a:ext uri="{FF2B5EF4-FFF2-40B4-BE49-F238E27FC236}">
              <a16:creationId xmlns:a16="http://schemas.microsoft.com/office/drawing/2014/main" id="{72B377AA-3387-465E-B902-13110F45C3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5" name="AutoShape 1" descr="Vista previa de toda la pantalla">
          <a:extLst>
            <a:ext uri="{FF2B5EF4-FFF2-40B4-BE49-F238E27FC236}">
              <a16:creationId xmlns:a16="http://schemas.microsoft.com/office/drawing/2014/main" id="{1B92D1BA-B736-4D2D-8F48-7B548EA88F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6" name="AutoShape 1" descr="Vista previa de toda la pantalla">
          <a:extLst>
            <a:ext uri="{FF2B5EF4-FFF2-40B4-BE49-F238E27FC236}">
              <a16:creationId xmlns:a16="http://schemas.microsoft.com/office/drawing/2014/main" id="{67308E64-2A86-4CE3-A9CD-F50C7F63B5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7" name="AutoShape 1" descr="Vista previa de toda la pantalla">
          <a:extLst>
            <a:ext uri="{FF2B5EF4-FFF2-40B4-BE49-F238E27FC236}">
              <a16:creationId xmlns:a16="http://schemas.microsoft.com/office/drawing/2014/main" id="{E51E4077-4F26-4DCA-ACC2-FD2DD10B0F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8" name="AutoShape 1" descr="Vista previa de toda la pantalla">
          <a:extLst>
            <a:ext uri="{FF2B5EF4-FFF2-40B4-BE49-F238E27FC236}">
              <a16:creationId xmlns:a16="http://schemas.microsoft.com/office/drawing/2014/main" id="{4ABC85CB-B9C3-4DDD-BE92-3D3FDA44A6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59" name="AutoShape 1" descr="Vista previa de toda la pantalla">
          <a:extLst>
            <a:ext uri="{FF2B5EF4-FFF2-40B4-BE49-F238E27FC236}">
              <a16:creationId xmlns:a16="http://schemas.microsoft.com/office/drawing/2014/main" id="{2CD2BA88-182A-4707-AEF8-1F71B52FBD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0" name="AutoShape 1" descr="Vista previa de toda la pantalla">
          <a:extLst>
            <a:ext uri="{FF2B5EF4-FFF2-40B4-BE49-F238E27FC236}">
              <a16:creationId xmlns:a16="http://schemas.microsoft.com/office/drawing/2014/main" id="{5971B771-0522-4672-A3ED-FEE2AAA3C6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1" name="AutoShape 1" descr="Vista previa de toda la pantalla">
          <a:extLst>
            <a:ext uri="{FF2B5EF4-FFF2-40B4-BE49-F238E27FC236}">
              <a16:creationId xmlns:a16="http://schemas.microsoft.com/office/drawing/2014/main" id="{BCBE4FCA-3B3B-4156-A4BC-3ADA88E915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2" name="AutoShape 1" descr="Vista previa de toda la pantalla">
          <a:extLst>
            <a:ext uri="{FF2B5EF4-FFF2-40B4-BE49-F238E27FC236}">
              <a16:creationId xmlns:a16="http://schemas.microsoft.com/office/drawing/2014/main" id="{AF52BC1F-D878-4780-B073-2782CC3196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3" name="AutoShape 1" descr="Vista previa de toda la pantalla">
          <a:extLst>
            <a:ext uri="{FF2B5EF4-FFF2-40B4-BE49-F238E27FC236}">
              <a16:creationId xmlns:a16="http://schemas.microsoft.com/office/drawing/2014/main" id="{85F71121-135D-4525-9C57-E4597E8E29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4" name="AutoShape 1" descr="Vista previa de toda la pantalla">
          <a:extLst>
            <a:ext uri="{FF2B5EF4-FFF2-40B4-BE49-F238E27FC236}">
              <a16:creationId xmlns:a16="http://schemas.microsoft.com/office/drawing/2014/main" id="{E5D79F92-562F-47DC-A9A4-9FA7371604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5" name="AutoShape 1" descr="Vista previa de toda la pantalla">
          <a:extLst>
            <a:ext uri="{FF2B5EF4-FFF2-40B4-BE49-F238E27FC236}">
              <a16:creationId xmlns:a16="http://schemas.microsoft.com/office/drawing/2014/main" id="{DA06A772-245F-4D89-A0D0-20DB69EFA7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6" name="AutoShape 1" descr="Vista previa de toda la pantalla">
          <a:extLst>
            <a:ext uri="{FF2B5EF4-FFF2-40B4-BE49-F238E27FC236}">
              <a16:creationId xmlns:a16="http://schemas.microsoft.com/office/drawing/2014/main" id="{4A578496-20D9-4BD2-B0EB-8951F24081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7" name="AutoShape 1" descr="Vista previa de toda la pantalla">
          <a:extLst>
            <a:ext uri="{FF2B5EF4-FFF2-40B4-BE49-F238E27FC236}">
              <a16:creationId xmlns:a16="http://schemas.microsoft.com/office/drawing/2014/main" id="{A9D3C23B-FD6E-4E1A-A824-790EB5709C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8" name="AutoShape 1" descr="Vista previa de toda la pantalla">
          <a:extLst>
            <a:ext uri="{FF2B5EF4-FFF2-40B4-BE49-F238E27FC236}">
              <a16:creationId xmlns:a16="http://schemas.microsoft.com/office/drawing/2014/main" id="{091309AA-BD75-456C-88AE-83C7B7B827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69" name="AutoShape 1" descr="Vista previa de toda la pantalla">
          <a:extLst>
            <a:ext uri="{FF2B5EF4-FFF2-40B4-BE49-F238E27FC236}">
              <a16:creationId xmlns:a16="http://schemas.microsoft.com/office/drawing/2014/main" id="{1C720B2D-3A2A-4E46-BBB9-0D79B592AB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0" name="AutoShape 1" descr="Vista previa de toda la pantalla">
          <a:extLst>
            <a:ext uri="{FF2B5EF4-FFF2-40B4-BE49-F238E27FC236}">
              <a16:creationId xmlns:a16="http://schemas.microsoft.com/office/drawing/2014/main" id="{3E3DBE6C-B901-4571-AD0D-CF02ACE1CD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1" name="AutoShape 1" descr="Vista previa de toda la pantalla">
          <a:extLst>
            <a:ext uri="{FF2B5EF4-FFF2-40B4-BE49-F238E27FC236}">
              <a16:creationId xmlns:a16="http://schemas.microsoft.com/office/drawing/2014/main" id="{1BD4CC81-CAE6-45D3-9C74-BCC1D25FB8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2" name="AutoShape 1" descr="Vista previa de toda la pantalla">
          <a:extLst>
            <a:ext uri="{FF2B5EF4-FFF2-40B4-BE49-F238E27FC236}">
              <a16:creationId xmlns:a16="http://schemas.microsoft.com/office/drawing/2014/main" id="{8F2C5DD6-B33B-40B8-AC57-F510045DF5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3" name="AutoShape 1" descr="Vista previa de toda la pantalla">
          <a:extLst>
            <a:ext uri="{FF2B5EF4-FFF2-40B4-BE49-F238E27FC236}">
              <a16:creationId xmlns:a16="http://schemas.microsoft.com/office/drawing/2014/main" id="{8542FA4E-8D05-456B-8CA5-D2D2443834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4" name="AutoShape 1" descr="Vista previa de toda la pantalla">
          <a:extLst>
            <a:ext uri="{FF2B5EF4-FFF2-40B4-BE49-F238E27FC236}">
              <a16:creationId xmlns:a16="http://schemas.microsoft.com/office/drawing/2014/main" id="{E76239B0-2DAE-49DA-9139-7C9021DE64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5" name="AutoShape 1" descr="Vista previa de toda la pantalla">
          <a:extLst>
            <a:ext uri="{FF2B5EF4-FFF2-40B4-BE49-F238E27FC236}">
              <a16:creationId xmlns:a16="http://schemas.microsoft.com/office/drawing/2014/main" id="{77616179-BCCF-4222-9247-80A5CA2D85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6" name="AutoShape 1" descr="Vista previa de toda la pantalla">
          <a:extLst>
            <a:ext uri="{FF2B5EF4-FFF2-40B4-BE49-F238E27FC236}">
              <a16:creationId xmlns:a16="http://schemas.microsoft.com/office/drawing/2014/main" id="{936CAC06-50E9-4620-893A-A093D23BBC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7" name="AutoShape 1" descr="Vista previa de toda la pantalla">
          <a:extLst>
            <a:ext uri="{FF2B5EF4-FFF2-40B4-BE49-F238E27FC236}">
              <a16:creationId xmlns:a16="http://schemas.microsoft.com/office/drawing/2014/main" id="{3839D42E-E707-442E-BB2B-EF3478A04D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8" name="AutoShape 1" descr="Vista previa de toda la pantalla">
          <a:extLst>
            <a:ext uri="{FF2B5EF4-FFF2-40B4-BE49-F238E27FC236}">
              <a16:creationId xmlns:a16="http://schemas.microsoft.com/office/drawing/2014/main" id="{FE434F0C-C7A6-4DD6-A763-42472B315D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79" name="AutoShape 1" descr="Vista previa de toda la pantalla">
          <a:extLst>
            <a:ext uri="{FF2B5EF4-FFF2-40B4-BE49-F238E27FC236}">
              <a16:creationId xmlns:a16="http://schemas.microsoft.com/office/drawing/2014/main" id="{AB5499EA-78AF-4211-A1F3-15BD7AFD18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0" name="AutoShape 1" descr="Vista previa de toda la pantalla">
          <a:extLst>
            <a:ext uri="{FF2B5EF4-FFF2-40B4-BE49-F238E27FC236}">
              <a16:creationId xmlns:a16="http://schemas.microsoft.com/office/drawing/2014/main" id="{FF27C874-58F5-4460-AEBD-BE55ECC76D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1" name="AutoShape 1" descr="Vista previa de toda la pantalla">
          <a:extLst>
            <a:ext uri="{FF2B5EF4-FFF2-40B4-BE49-F238E27FC236}">
              <a16:creationId xmlns:a16="http://schemas.microsoft.com/office/drawing/2014/main" id="{3CC2FA46-25CC-401C-A663-4775C70098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2" name="AutoShape 1" descr="Vista previa de toda la pantalla">
          <a:extLst>
            <a:ext uri="{FF2B5EF4-FFF2-40B4-BE49-F238E27FC236}">
              <a16:creationId xmlns:a16="http://schemas.microsoft.com/office/drawing/2014/main" id="{9D9C0A9C-2FF9-4E44-8F38-F14618BDB5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3" name="AutoShape 1" descr="Vista previa de toda la pantalla">
          <a:extLst>
            <a:ext uri="{FF2B5EF4-FFF2-40B4-BE49-F238E27FC236}">
              <a16:creationId xmlns:a16="http://schemas.microsoft.com/office/drawing/2014/main" id="{2DDB1900-FAF1-4055-B59E-376EE873F2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4" name="AutoShape 1" descr="Vista previa de toda la pantalla">
          <a:extLst>
            <a:ext uri="{FF2B5EF4-FFF2-40B4-BE49-F238E27FC236}">
              <a16:creationId xmlns:a16="http://schemas.microsoft.com/office/drawing/2014/main" id="{6C9FE798-5BD1-41EB-903B-14084FBC97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5" name="AutoShape 1" descr="Vista previa de toda la pantalla">
          <a:extLst>
            <a:ext uri="{FF2B5EF4-FFF2-40B4-BE49-F238E27FC236}">
              <a16:creationId xmlns:a16="http://schemas.microsoft.com/office/drawing/2014/main" id="{26B5363D-9AF7-4EF2-961D-17DABDE914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6" name="AutoShape 1" descr="Vista previa de toda la pantalla">
          <a:extLst>
            <a:ext uri="{FF2B5EF4-FFF2-40B4-BE49-F238E27FC236}">
              <a16:creationId xmlns:a16="http://schemas.microsoft.com/office/drawing/2014/main" id="{41392CC3-E8EE-4FED-B63F-2D3BC92F0F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7" name="AutoShape 1" descr="Vista previa de toda la pantalla">
          <a:extLst>
            <a:ext uri="{FF2B5EF4-FFF2-40B4-BE49-F238E27FC236}">
              <a16:creationId xmlns:a16="http://schemas.microsoft.com/office/drawing/2014/main" id="{AE1C77E0-9E06-4D80-A93D-946A78C2C1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8" name="AutoShape 1" descr="Vista previa de toda la pantalla">
          <a:extLst>
            <a:ext uri="{FF2B5EF4-FFF2-40B4-BE49-F238E27FC236}">
              <a16:creationId xmlns:a16="http://schemas.microsoft.com/office/drawing/2014/main" id="{97063B91-43F7-4EC5-B9F0-42B3120557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89" name="AutoShape 1" descr="Vista previa de toda la pantalla">
          <a:extLst>
            <a:ext uri="{FF2B5EF4-FFF2-40B4-BE49-F238E27FC236}">
              <a16:creationId xmlns:a16="http://schemas.microsoft.com/office/drawing/2014/main" id="{15199F4E-2FB1-45BA-AAE1-A99023BA9C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0" name="AutoShape 1" descr="Vista previa de toda la pantalla">
          <a:extLst>
            <a:ext uri="{FF2B5EF4-FFF2-40B4-BE49-F238E27FC236}">
              <a16:creationId xmlns:a16="http://schemas.microsoft.com/office/drawing/2014/main" id="{9BB320DE-847B-446A-AC2E-F2E863EB38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1" name="AutoShape 1" descr="Vista previa de toda la pantalla">
          <a:extLst>
            <a:ext uri="{FF2B5EF4-FFF2-40B4-BE49-F238E27FC236}">
              <a16:creationId xmlns:a16="http://schemas.microsoft.com/office/drawing/2014/main" id="{9865A16A-B9C2-4F8B-9733-0E7C8888D7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2" name="AutoShape 1" descr="Vista previa de toda la pantalla">
          <a:extLst>
            <a:ext uri="{FF2B5EF4-FFF2-40B4-BE49-F238E27FC236}">
              <a16:creationId xmlns:a16="http://schemas.microsoft.com/office/drawing/2014/main" id="{D05A06A4-8BC5-4B18-B369-630F46DBEB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3" name="AutoShape 1" descr="Vista previa de toda la pantalla">
          <a:extLst>
            <a:ext uri="{FF2B5EF4-FFF2-40B4-BE49-F238E27FC236}">
              <a16:creationId xmlns:a16="http://schemas.microsoft.com/office/drawing/2014/main" id="{BBF148AC-3D54-4C02-AE8F-B37E05DB59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4" name="AutoShape 1" descr="Vista previa de toda la pantalla">
          <a:extLst>
            <a:ext uri="{FF2B5EF4-FFF2-40B4-BE49-F238E27FC236}">
              <a16:creationId xmlns:a16="http://schemas.microsoft.com/office/drawing/2014/main" id="{0025A1BC-B319-4542-8064-3CB0B32704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5" name="AutoShape 1" descr="Vista previa de toda la pantalla">
          <a:extLst>
            <a:ext uri="{FF2B5EF4-FFF2-40B4-BE49-F238E27FC236}">
              <a16:creationId xmlns:a16="http://schemas.microsoft.com/office/drawing/2014/main" id="{628151F5-DDA4-4430-8D37-1237F60995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6" name="AutoShape 1" descr="Vista previa de toda la pantalla">
          <a:extLst>
            <a:ext uri="{FF2B5EF4-FFF2-40B4-BE49-F238E27FC236}">
              <a16:creationId xmlns:a16="http://schemas.microsoft.com/office/drawing/2014/main" id="{7FEFB95A-14A0-4E5D-9AD7-4278AF8020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7" name="AutoShape 1" descr="Vista previa de toda la pantalla">
          <a:extLst>
            <a:ext uri="{FF2B5EF4-FFF2-40B4-BE49-F238E27FC236}">
              <a16:creationId xmlns:a16="http://schemas.microsoft.com/office/drawing/2014/main" id="{A000618D-CB8D-445C-A2E7-522708EE75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8" name="AutoShape 1" descr="Vista previa de toda la pantalla">
          <a:extLst>
            <a:ext uri="{FF2B5EF4-FFF2-40B4-BE49-F238E27FC236}">
              <a16:creationId xmlns:a16="http://schemas.microsoft.com/office/drawing/2014/main" id="{CC673081-DAFC-4931-AC36-3985EE074A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699" name="AutoShape 1" descr="Vista previa de toda la pantalla">
          <a:extLst>
            <a:ext uri="{FF2B5EF4-FFF2-40B4-BE49-F238E27FC236}">
              <a16:creationId xmlns:a16="http://schemas.microsoft.com/office/drawing/2014/main" id="{DAA80013-F5BD-4AD3-A367-6ED8D76737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0" name="AutoShape 1" descr="Vista previa de toda la pantalla">
          <a:extLst>
            <a:ext uri="{FF2B5EF4-FFF2-40B4-BE49-F238E27FC236}">
              <a16:creationId xmlns:a16="http://schemas.microsoft.com/office/drawing/2014/main" id="{EA300236-900E-46A7-AE6E-48D55C5561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1" name="AutoShape 1" descr="Vista previa de toda la pantalla">
          <a:extLst>
            <a:ext uri="{FF2B5EF4-FFF2-40B4-BE49-F238E27FC236}">
              <a16:creationId xmlns:a16="http://schemas.microsoft.com/office/drawing/2014/main" id="{8713AC91-53F0-48D1-BEB3-F64AB5AD4E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2" name="AutoShape 1" descr="Vista previa de toda la pantalla">
          <a:extLst>
            <a:ext uri="{FF2B5EF4-FFF2-40B4-BE49-F238E27FC236}">
              <a16:creationId xmlns:a16="http://schemas.microsoft.com/office/drawing/2014/main" id="{1EB2A1C2-CC57-458D-9BE4-C3CC6E47D9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3" name="AutoShape 1" descr="Vista previa de toda la pantalla">
          <a:extLst>
            <a:ext uri="{FF2B5EF4-FFF2-40B4-BE49-F238E27FC236}">
              <a16:creationId xmlns:a16="http://schemas.microsoft.com/office/drawing/2014/main" id="{AB4EBCFD-CA0D-4037-ABBC-657B473527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4" name="AutoShape 1" descr="Vista previa de toda la pantalla">
          <a:extLst>
            <a:ext uri="{FF2B5EF4-FFF2-40B4-BE49-F238E27FC236}">
              <a16:creationId xmlns:a16="http://schemas.microsoft.com/office/drawing/2014/main" id="{BDFDC83E-C00D-48BA-9A08-144DEADE9D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5" name="AutoShape 1" descr="Vista previa de toda la pantalla">
          <a:extLst>
            <a:ext uri="{FF2B5EF4-FFF2-40B4-BE49-F238E27FC236}">
              <a16:creationId xmlns:a16="http://schemas.microsoft.com/office/drawing/2014/main" id="{7F7BDC67-CBA0-485D-B6AC-9A3F8EDDFC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6" name="AutoShape 1" descr="Vista previa de toda la pantalla">
          <a:extLst>
            <a:ext uri="{FF2B5EF4-FFF2-40B4-BE49-F238E27FC236}">
              <a16:creationId xmlns:a16="http://schemas.microsoft.com/office/drawing/2014/main" id="{536C2C0D-D927-45CD-B07E-C9DA59B9DB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7" name="AutoShape 1" descr="Vista previa de toda la pantalla">
          <a:extLst>
            <a:ext uri="{FF2B5EF4-FFF2-40B4-BE49-F238E27FC236}">
              <a16:creationId xmlns:a16="http://schemas.microsoft.com/office/drawing/2014/main" id="{9CA70EA4-CB30-4E1E-AF97-F38FFF7DEA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8" name="AutoShape 1" descr="Vista previa de toda la pantalla">
          <a:extLst>
            <a:ext uri="{FF2B5EF4-FFF2-40B4-BE49-F238E27FC236}">
              <a16:creationId xmlns:a16="http://schemas.microsoft.com/office/drawing/2014/main" id="{5801D14B-8D1F-4145-B4E1-524DDDC1A8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09" name="AutoShape 1" descr="Vista previa de toda la pantalla">
          <a:extLst>
            <a:ext uri="{FF2B5EF4-FFF2-40B4-BE49-F238E27FC236}">
              <a16:creationId xmlns:a16="http://schemas.microsoft.com/office/drawing/2014/main" id="{31E1ACEB-7098-4384-BFB3-85A3696806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10" name="AutoShape 1" descr="Vista previa de toda la pantalla">
          <a:extLst>
            <a:ext uri="{FF2B5EF4-FFF2-40B4-BE49-F238E27FC236}">
              <a16:creationId xmlns:a16="http://schemas.microsoft.com/office/drawing/2014/main" id="{4F9C1273-2B0C-4867-A9D1-8C5C7C6C59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11" name="AutoShape 1" descr="Vista previa de toda la pantalla">
          <a:extLst>
            <a:ext uri="{FF2B5EF4-FFF2-40B4-BE49-F238E27FC236}">
              <a16:creationId xmlns:a16="http://schemas.microsoft.com/office/drawing/2014/main" id="{EFC93782-FEB4-452D-9EAF-35860BD52A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12" name="AutoShape 1" descr="Vista previa de toda la pantalla">
          <a:extLst>
            <a:ext uri="{FF2B5EF4-FFF2-40B4-BE49-F238E27FC236}">
              <a16:creationId xmlns:a16="http://schemas.microsoft.com/office/drawing/2014/main" id="{35638F10-1DE0-4D5D-9587-A58D51C41F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2713" name="AutoShape 1" descr="Vista previa de toda la pantalla">
          <a:extLst>
            <a:ext uri="{FF2B5EF4-FFF2-40B4-BE49-F238E27FC236}">
              <a16:creationId xmlns:a16="http://schemas.microsoft.com/office/drawing/2014/main" id="{43AC8090-A94F-45DA-AAF3-C668C5ECA4F9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14" name="AutoShape 1" descr="Vista previa de toda la pantalla">
          <a:extLst>
            <a:ext uri="{FF2B5EF4-FFF2-40B4-BE49-F238E27FC236}">
              <a16:creationId xmlns:a16="http://schemas.microsoft.com/office/drawing/2014/main" id="{E2BA114F-16DF-4D83-B2C4-C8886742F6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15" name="AutoShape 1" descr="Vista previa de toda la pantalla">
          <a:extLst>
            <a:ext uri="{FF2B5EF4-FFF2-40B4-BE49-F238E27FC236}">
              <a16:creationId xmlns:a16="http://schemas.microsoft.com/office/drawing/2014/main" id="{76827B45-B739-412B-8184-37D2EB3375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16" name="AutoShape 1" descr="Vista previa de toda la pantalla">
          <a:extLst>
            <a:ext uri="{FF2B5EF4-FFF2-40B4-BE49-F238E27FC236}">
              <a16:creationId xmlns:a16="http://schemas.microsoft.com/office/drawing/2014/main" id="{0D989280-281D-41D2-91AB-403BF604DC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17" name="AutoShape 1" descr="Vista previa de toda la pantalla">
          <a:extLst>
            <a:ext uri="{FF2B5EF4-FFF2-40B4-BE49-F238E27FC236}">
              <a16:creationId xmlns:a16="http://schemas.microsoft.com/office/drawing/2014/main" id="{C5374B65-245E-4D72-95B7-55F9FE8CDF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18" name="AutoShape 1" descr="Vista previa de toda la pantalla">
          <a:extLst>
            <a:ext uri="{FF2B5EF4-FFF2-40B4-BE49-F238E27FC236}">
              <a16:creationId xmlns:a16="http://schemas.microsoft.com/office/drawing/2014/main" id="{9873BB1A-5688-45BA-9BBD-30F208533B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19" name="AutoShape 1" descr="Vista previa de toda la pantalla">
          <a:extLst>
            <a:ext uri="{FF2B5EF4-FFF2-40B4-BE49-F238E27FC236}">
              <a16:creationId xmlns:a16="http://schemas.microsoft.com/office/drawing/2014/main" id="{D43FA95B-9411-4A07-A0C5-5C4FACB6DF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0" name="AutoShape 1" descr="Vista previa de toda la pantalla">
          <a:extLst>
            <a:ext uri="{FF2B5EF4-FFF2-40B4-BE49-F238E27FC236}">
              <a16:creationId xmlns:a16="http://schemas.microsoft.com/office/drawing/2014/main" id="{46EB924A-8102-47A2-A89F-74B2835E82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1" name="AutoShape 1" descr="Vista previa de toda la pantalla">
          <a:extLst>
            <a:ext uri="{FF2B5EF4-FFF2-40B4-BE49-F238E27FC236}">
              <a16:creationId xmlns:a16="http://schemas.microsoft.com/office/drawing/2014/main" id="{FC65109E-71F8-4B63-B7C8-DDEB99A18C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2" name="AutoShape 1" descr="Vista previa de toda la pantalla">
          <a:extLst>
            <a:ext uri="{FF2B5EF4-FFF2-40B4-BE49-F238E27FC236}">
              <a16:creationId xmlns:a16="http://schemas.microsoft.com/office/drawing/2014/main" id="{79363D5A-43DA-4974-B629-A5E188B67D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3" name="AutoShape 1" descr="Vista previa de toda la pantalla">
          <a:extLst>
            <a:ext uri="{FF2B5EF4-FFF2-40B4-BE49-F238E27FC236}">
              <a16:creationId xmlns:a16="http://schemas.microsoft.com/office/drawing/2014/main" id="{0149A1CA-F2EF-4FE0-BBCA-F2BAB4A287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4" name="AutoShape 1" descr="Vista previa de toda la pantalla">
          <a:extLst>
            <a:ext uri="{FF2B5EF4-FFF2-40B4-BE49-F238E27FC236}">
              <a16:creationId xmlns:a16="http://schemas.microsoft.com/office/drawing/2014/main" id="{4CEDF198-BF73-4474-96B2-9A1D5728E3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5" name="AutoShape 1" descr="Vista previa de toda la pantalla">
          <a:extLst>
            <a:ext uri="{FF2B5EF4-FFF2-40B4-BE49-F238E27FC236}">
              <a16:creationId xmlns:a16="http://schemas.microsoft.com/office/drawing/2014/main" id="{0EB105CA-B0C0-4561-9406-0962BA8CBE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6" name="AutoShape 1" descr="Vista previa de toda la pantalla">
          <a:extLst>
            <a:ext uri="{FF2B5EF4-FFF2-40B4-BE49-F238E27FC236}">
              <a16:creationId xmlns:a16="http://schemas.microsoft.com/office/drawing/2014/main" id="{4B3A5B98-FF93-4F88-96C8-3D17AE75BE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7" name="AutoShape 1" descr="Vista previa de toda la pantalla">
          <a:extLst>
            <a:ext uri="{FF2B5EF4-FFF2-40B4-BE49-F238E27FC236}">
              <a16:creationId xmlns:a16="http://schemas.microsoft.com/office/drawing/2014/main" id="{39712882-38DF-4A40-BAFA-E6A4D5C05D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8" name="AutoShape 1" descr="Vista previa de toda la pantalla">
          <a:extLst>
            <a:ext uri="{FF2B5EF4-FFF2-40B4-BE49-F238E27FC236}">
              <a16:creationId xmlns:a16="http://schemas.microsoft.com/office/drawing/2014/main" id="{A3AFD165-63C4-4D01-AC28-AF2F1D31A4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29" name="AutoShape 1" descr="Vista previa de toda la pantalla">
          <a:extLst>
            <a:ext uri="{FF2B5EF4-FFF2-40B4-BE49-F238E27FC236}">
              <a16:creationId xmlns:a16="http://schemas.microsoft.com/office/drawing/2014/main" id="{18FF2393-1059-4FC4-8237-DAEEA4A62B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0" name="AutoShape 1" descr="Vista previa de toda la pantalla">
          <a:extLst>
            <a:ext uri="{FF2B5EF4-FFF2-40B4-BE49-F238E27FC236}">
              <a16:creationId xmlns:a16="http://schemas.microsoft.com/office/drawing/2014/main" id="{C29C2EC2-DCB9-4DD3-A332-30F3177536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1" name="AutoShape 1" descr="Vista previa de toda la pantalla">
          <a:extLst>
            <a:ext uri="{FF2B5EF4-FFF2-40B4-BE49-F238E27FC236}">
              <a16:creationId xmlns:a16="http://schemas.microsoft.com/office/drawing/2014/main" id="{92859408-5012-4961-8827-A48BE003D6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2" name="AutoShape 1" descr="Vista previa de toda la pantalla">
          <a:extLst>
            <a:ext uri="{FF2B5EF4-FFF2-40B4-BE49-F238E27FC236}">
              <a16:creationId xmlns:a16="http://schemas.microsoft.com/office/drawing/2014/main" id="{FB456332-911C-423F-9E44-E759CCD888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3" name="AutoShape 1" descr="Vista previa de toda la pantalla">
          <a:extLst>
            <a:ext uri="{FF2B5EF4-FFF2-40B4-BE49-F238E27FC236}">
              <a16:creationId xmlns:a16="http://schemas.microsoft.com/office/drawing/2014/main" id="{CBC70E60-01A7-4FC9-A8B4-F6CB694678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4" name="AutoShape 1" descr="Vista previa de toda la pantalla">
          <a:extLst>
            <a:ext uri="{FF2B5EF4-FFF2-40B4-BE49-F238E27FC236}">
              <a16:creationId xmlns:a16="http://schemas.microsoft.com/office/drawing/2014/main" id="{9EF58C81-C40D-403F-AF42-518C2C75B5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5" name="AutoShape 1" descr="Vista previa de toda la pantalla">
          <a:extLst>
            <a:ext uri="{FF2B5EF4-FFF2-40B4-BE49-F238E27FC236}">
              <a16:creationId xmlns:a16="http://schemas.microsoft.com/office/drawing/2014/main" id="{1E84774B-61CD-49CD-871B-49B8BD2B0D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6" name="AutoShape 1" descr="Vista previa de toda la pantalla">
          <a:extLst>
            <a:ext uri="{FF2B5EF4-FFF2-40B4-BE49-F238E27FC236}">
              <a16:creationId xmlns:a16="http://schemas.microsoft.com/office/drawing/2014/main" id="{1B77D940-D486-45A4-BCAA-A8E487656F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7" name="AutoShape 1" descr="Vista previa de toda la pantalla">
          <a:extLst>
            <a:ext uri="{FF2B5EF4-FFF2-40B4-BE49-F238E27FC236}">
              <a16:creationId xmlns:a16="http://schemas.microsoft.com/office/drawing/2014/main" id="{FD1A9C8E-7449-4EB5-996C-7B80CC9D07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8" name="AutoShape 1" descr="Vista previa de toda la pantalla">
          <a:extLst>
            <a:ext uri="{FF2B5EF4-FFF2-40B4-BE49-F238E27FC236}">
              <a16:creationId xmlns:a16="http://schemas.microsoft.com/office/drawing/2014/main" id="{69E46A38-FB98-4EB6-BD58-74B81730AF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39" name="AutoShape 1" descr="Vista previa de toda la pantalla">
          <a:extLst>
            <a:ext uri="{FF2B5EF4-FFF2-40B4-BE49-F238E27FC236}">
              <a16:creationId xmlns:a16="http://schemas.microsoft.com/office/drawing/2014/main" id="{994F13D1-6802-43A4-AB79-D0A34D4DE5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0" name="AutoShape 1" descr="Vista previa de toda la pantalla">
          <a:extLst>
            <a:ext uri="{FF2B5EF4-FFF2-40B4-BE49-F238E27FC236}">
              <a16:creationId xmlns:a16="http://schemas.microsoft.com/office/drawing/2014/main" id="{9D60FA34-B45D-4319-BBEF-35B1F13D0C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1" name="AutoShape 1" descr="Vista previa de toda la pantalla">
          <a:extLst>
            <a:ext uri="{FF2B5EF4-FFF2-40B4-BE49-F238E27FC236}">
              <a16:creationId xmlns:a16="http://schemas.microsoft.com/office/drawing/2014/main" id="{F2015C59-D8F0-4052-9F2C-483AFC958F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2" name="AutoShape 1" descr="Vista previa de toda la pantalla">
          <a:extLst>
            <a:ext uri="{FF2B5EF4-FFF2-40B4-BE49-F238E27FC236}">
              <a16:creationId xmlns:a16="http://schemas.microsoft.com/office/drawing/2014/main" id="{9E0A8216-FD03-495A-97D1-59FC01783E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3" name="AutoShape 1" descr="Vista previa de toda la pantalla">
          <a:extLst>
            <a:ext uri="{FF2B5EF4-FFF2-40B4-BE49-F238E27FC236}">
              <a16:creationId xmlns:a16="http://schemas.microsoft.com/office/drawing/2014/main" id="{E8A89BAD-D66C-4CFF-BD11-1180F13F4C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4" name="AutoShape 1" descr="Vista previa de toda la pantalla">
          <a:extLst>
            <a:ext uri="{FF2B5EF4-FFF2-40B4-BE49-F238E27FC236}">
              <a16:creationId xmlns:a16="http://schemas.microsoft.com/office/drawing/2014/main" id="{AF869FB6-CF21-4491-A5B9-4474C84E42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5" name="AutoShape 1" descr="Vista previa de toda la pantalla">
          <a:extLst>
            <a:ext uri="{FF2B5EF4-FFF2-40B4-BE49-F238E27FC236}">
              <a16:creationId xmlns:a16="http://schemas.microsoft.com/office/drawing/2014/main" id="{EA7BD20E-39C5-4BE7-B3CA-56713EA629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6" name="AutoShape 1" descr="Vista previa de toda la pantalla">
          <a:extLst>
            <a:ext uri="{FF2B5EF4-FFF2-40B4-BE49-F238E27FC236}">
              <a16:creationId xmlns:a16="http://schemas.microsoft.com/office/drawing/2014/main" id="{57D9FBDE-6959-4022-A786-C0148A72DB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7" name="AutoShape 1" descr="Vista previa de toda la pantalla">
          <a:extLst>
            <a:ext uri="{FF2B5EF4-FFF2-40B4-BE49-F238E27FC236}">
              <a16:creationId xmlns:a16="http://schemas.microsoft.com/office/drawing/2014/main" id="{BF5E0BD6-6101-469B-8394-98C781819C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8" name="AutoShape 1" descr="Vista previa de toda la pantalla">
          <a:extLst>
            <a:ext uri="{FF2B5EF4-FFF2-40B4-BE49-F238E27FC236}">
              <a16:creationId xmlns:a16="http://schemas.microsoft.com/office/drawing/2014/main" id="{B8765B72-2908-403C-9DEB-13E3A09AE8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49" name="AutoShape 1" descr="Vista previa de toda la pantalla">
          <a:extLst>
            <a:ext uri="{FF2B5EF4-FFF2-40B4-BE49-F238E27FC236}">
              <a16:creationId xmlns:a16="http://schemas.microsoft.com/office/drawing/2014/main" id="{AF25AC9C-8B87-4878-9A48-EA8A958747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0" name="AutoShape 1" descr="Vista previa de toda la pantalla">
          <a:extLst>
            <a:ext uri="{FF2B5EF4-FFF2-40B4-BE49-F238E27FC236}">
              <a16:creationId xmlns:a16="http://schemas.microsoft.com/office/drawing/2014/main" id="{55D096EB-5F9C-4F2C-B870-CB135B7656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1" name="AutoShape 1" descr="Vista previa de toda la pantalla">
          <a:extLst>
            <a:ext uri="{FF2B5EF4-FFF2-40B4-BE49-F238E27FC236}">
              <a16:creationId xmlns:a16="http://schemas.microsoft.com/office/drawing/2014/main" id="{240DEF08-1ABA-4851-8B3A-0D32A120CA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2" name="AutoShape 1" descr="Vista previa de toda la pantalla">
          <a:extLst>
            <a:ext uri="{FF2B5EF4-FFF2-40B4-BE49-F238E27FC236}">
              <a16:creationId xmlns:a16="http://schemas.microsoft.com/office/drawing/2014/main" id="{0D511FA7-813E-4BC2-AA25-910E7D43CE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3" name="AutoShape 1" descr="Vista previa de toda la pantalla">
          <a:extLst>
            <a:ext uri="{FF2B5EF4-FFF2-40B4-BE49-F238E27FC236}">
              <a16:creationId xmlns:a16="http://schemas.microsoft.com/office/drawing/2014/main" id="{89D541D0-9A96-4429-8D4F-00BEE7EC31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4" name="AutoShape 1" descr="Vista previa de toda la pantalla">
          <a:extLst>
            <a:ext uri="{FF2B5EF4-FFF2-40B4-BE49-F238E27FC236}">
              <a16:creationId xmlns:a16="http://schemas.microsoft.com/office/drawing/2014/main" id="{B7208A9D-54C0-47CF-995B-9537034EC5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5" name="AutoShape 1" descr="Vista previa de toda la pantalla">
          <a:extLst>
            <a:ext uri="{FF2B5EF4-FFF2-40B4-BE49-F238E27FC236}">
              <a16:creationId xmlns:a16="http://schemas.microsoft.com/office/drawing/2014/main" id="{648A36B8-A8BB-41EE-BB97-95E3F05898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6" name="AutoShape 1" descr="Vista previa de toda la pantalla">
          <a:extLst>
            <a:ext uri="{FF2B5EF4-FFF2-40B4-BE49-F238E27FC236}">
              <a16:creationId xmlns:a16="http://schemas.microsoft.com/office/drawing/2014/main" id="{725FDF85-DCF1-4E54-BD35-87C2BA4817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7" name="AutoShape 1" descr="Vista previa de toda la pantalla">
          <a:extLst>
            <a:ext uri="{FF2B5EF4-FFF2-40B4-BE49-F238E27FC236}">
              <a16:creationId xmlns:a16="http://schemas.microsoft.com/office/drawing/2014/main" id="{5B7A6CF3-F146-4C41-9275-C88DBA745B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8" name="AutoShape 1" descr="Vista previa de toda la pantalla">
          <a:extLst>
            <a:ext uri="{FF2B5EF4-FFF2-40B4-BE49-F238E27FC236}">
              <a16:creationId xmlns:a16="http://schemas.microsoft.com/office/drawing/2014/main" id="{83EFC989-C3C1-4BC6-9BC0-C046A50396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59" name="AutoShape 1" descr="Vista previa de toda la pantalla">
          <a:extLst>
            <a:ext uri="{FF2B5EF4-FFF2-40B4-BE49-F238E27FC236}">
              <a16:creationId xmlns:a16="http://schemas.microsoft.com/office/drawing/2014/main" id="{EC7F448F-AC2C-4460-B6BD-6F9F043BD0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0" name="AutoShape 1" descr="Vista previa de toda la pantalla">
          <a:extLst>
            <a:ext uri="{FF2B5EF4-FFF2-40B4-BE49-F238E27FC236}">
              <a16:creationId xmlns:a16="http://schemas.microsoft.com/office/drawing/2014/main" id="{0F7DFD9C-4ED6-41BC-96C9-AD18B77C01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1" name="AutoShape 1" descr="Vista previa de toda la pantalla">
          <a:extLst>
            <a:ext uri="{FF2B5EF4-FFF2-40B4-BE49-F238E27FC236}">
              <a16:creationId xmlns:a16="http://schemas.microsoft.com/office/drawing/2014/main" id="{0E164BDD-AE71-41B7-B3D3-640EF7AECC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2" name="AutoShape 1" descr="Vista previa de toda la pantalla">
          <a:extLst>
            <a:ext uri="{FF2B5EF4-FFF2-40B4-BE49-F238E27FC236}">
              <a16:creationId xmlns:a16="http://schemas.microsoft.com/office/drawing/2014/main" id="{8872323D-5F59-4C2B-89FC-5A619B0AB4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3" name="AutoShape 1" descr="Vista previa de toda la pantalla">
          <a:extLst>
            <a:ext uri="{FF2B5EF4-FFF2-40B4-BE49-F238E27FC236}">
              <a16:creationId xmlns:a16="http://schemas.microsoft.com/office/drawing/2014/main" id="{891C4F22-7B97-47E5-B5E8-F88F8C9E97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4" name="AutoShape 1" descr="Vista previa de toda la pantalla">
          <a:extLst>
            <a:ext uri="{FF2B5EF4-FFF2-40B4-BE49-F238E27FC236}">
              <a16:creationId xmlns:a16="http://schemas.microsoft.com/office/drawing/2014/main" id="{0A581DD8-9D5F-4E64-905E-09E216C8D7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5" name="AutoShape 1" descr="Vista previa de toda la pantalla">
          <a:extLst>
            <a:ext uri="{FF2B5EF4-FFF2-40B4-BE49-F238E27FC236}">
              <a16:creationId xmlns:a16="http://schemas.microsoft.com/office/drawing/2014/main" id="{7599163D-5EEC-4F28-A15E-662B342D4B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6" name="AutoShape 1" descr="Vista previa de toda la pantalla">
          <a:extLst>
            <a:ext uri="{FF2B5EF4-FFF2-40B4-BE49-F238E27FC236}">
              <a16:creationId xmlns:a16="http://schemas.microsoft.com/office/drawing/2014/main" id="{235C3D57-6AB9-497D-9658-8F376DFC2E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7" name="AutoShape 1" descr="Vista previa de toda la pantalla">
          <a:extLst>
            <a:ext uri="{FF2B5EF4-FFF2-40B4-BE49-F238E27FC236}">
              <a16:creationId xmlns:a16="http://schemas.microsoft.com/office/drawing/2014/main" id="{C2A06198-B11C-474F-B17B-4566A9EE0E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8" name="AutoShape 1" descr="Vista previa de toda la pantalla">
          <a:extLst>
            <a:ext uri="{FF2B5EF4-FFF2-40B4-BE49-F238E27FC236}">
              <a16:creationId xmlns:a16="http://schemas.microsoft.com/office/drawing/2014/main" id="{5D9A0C52-D8B2-4DD8-866C-C11F7F1D12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69" name="AutoShape 1" descr="Vista previa de toda la pantalla">
          <a:extLst>
            <a:ext uri="{FF2B5EF4-FFF2-40B4-BE49-F238E27FC236}">
              <a16:creationId xmlns:a16="http://schemas.microsoft.com/office/drawing/2014/main" id="{6DEF9DEC-0AA3-4864-A480-A40CF95937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0" name="AutoShape 1" descr="Vista previa de toda la pantalla">
          <a:extLst>
            <a:ext uri="{FF2B5EF4-FFF2-40B4-BE49-F238E27FC236}">
              <a16:creationId xmlns:a16="http://schemas.microsoft.com/office/drawing/2014/main" id="{65C6EFE9-5DCB-4F3B-8828-CF87ED7BCC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1" name="AutoShape 1" descr="Vista previa de toda la pantalla">
          <a:extLst>
            <a:ext uri="{FF2B5EF4-FFF2-40B4-BE49-F238E27FC236}">
              <a16:creationId xmlns:a16="http://schemas.microsoft.com/office/drawing/2014/main" id="{427760ED-3901-492B-A58F-C03A7A4A2C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2" name="AutoShape 1" descr="Vista previa de toda la pantalla">
          <a:extLst>
            <a:ext uri="{FF2B5EF4-FFF2-40B4-BE49-F238E27FC236}">
              <a16:creationId xmlns:a16="http://schemas.microsoft.com/office/drawing/2014/main" id="{D0A44507-AE09-4820-A8BF-9C80A2D53F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3" name="AutoShape 1" descr="Vista previa de toda la pantalla">
          <a:extLst>
            <a:ext uri="{FF2B5EF4-FFF2-40B4-BE49-F238E27FC236}">
              <a16:creationId xmlns:a16="http://schemas.microsoft.com/office/drawing/2014/main" id="{79DE512A-7250-43D5-A67D-2EBFC89C83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4" name="AutoShape 1" descr="Vista previa de toda la pantalla">
          <a:extLst>
            <a:ext uri="{FF2B5EF4-FFF2-40B4-BE49-F238E27FC236}">
              <a16:creationId xmlns:a16="http://schemas.microsoft.com/office/drawing/2014/main" id="{CAB4FBCA-F052-4D56-B93C-AAC4C1CE00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5" name="AutoShape 1" descr="Vista previa de toda la pantalla">
          <a:extLst>
            <a:ext uri="{FF2B5EF4-FFF2-40B4-BE49-F238E27FC236}">
              <a16:creationId xmlns:a16="http://schemas.microsoft.com/office/drawing/2014/main" id="{129AE512-030B-4774-B363-79FF65DC42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6" name="AutoShape 1" descr="Vista previa de toda la pantalla">
          <a:extLst>
            <a:ext uri="{FF2B5EF4-FFF2-40B4-BE49-F238E27FC236}">
              <a16:creationId xmlns:a16="http://schemas.microsoft.com/office/drawing/2014/main" id="{3B9F6363-B9EB-4B55-BBE9-80F39A5B38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7" name="AutoShape 1" descr="Vista previa de toda la pantalla">
          <a:extLst>
            <a:ext uri="{FF2B5EF4-FFF2-40B4-BE49-F238E27FC236}">
              <a16:creationId xmlns:a16="http://schemas.microsoft.com/office/drawing/2014/main" id="{8D913AE1-CEF4-4F48-8388-6B6F1057FF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8" name="AutoShape 1" descr="Vista previa de toda la pantalla">
          <a:extLst>
            <a:ext uri="{FF2B5EF4-FFF2-40B4-BE49-F238E27FC236}">
              <a16:creationId xmlns:a16="http://schemas.microsoft.com/office/drawing/2014/main" id="{A6482E0B-950F-4430-B207-B35F37792C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79" name="AutoShape 1" descr="Vista previa de toda la pantalla">
          <a:extLst>
            <a:ext uri="{FF2B5EF4-FFF2-40B4-BE49-F238E27FC236}">
              <a16:creationId xmlns:a16="http://schemas.microsoft.com/office/drawing/2014/main" id="{6A276148-A95F-4EC3-BF84-793857B86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0" name="AutoShape 1" descr="Vista previa de toda la pantalla">
          <a:extLst>
            <a:ext uri="{FF2B5EF4-FFF2-40B4-BE49-F238E27FC236}">
              <a16:creationId xmlns:a16="http://schemas.microsoft.com/office/drawing/2014/main" id="{5097C066-487F-4D7A-9254-977C00531F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1" name="AutoShape 1" descr="Vista previa de toda la pantalla">
          <a:extLst>
            <a:ext uri="{FF2B5EF4-FFF2-40B4-BE49-F238E27FC236}">
              <a16:creationId xmlns:a16="http://schemas.microsoft.com/office/drawing/2014/main" id="{F077C64C-6834-417C-B2D7-F043BB2873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2" name="AutoShape 1" descr="Vista previa de toda la pantalla">
          <a:extLst>
            <a:ext uri="{FF2B5EF4-FFF2-40B4-BE49-F238E27FC236}">
              <a16:creationId xmlns:a16="http://schemas.microsoft.com/office/drawing/2014/main" id="{29F671E0-3905-4FBC-AD72-8CFA4AF2BF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3" name="AutoShape 1" descr="Vista previa de toda la pantalla">
          <a:extLst>
            <a:ext uri="{FF2B5EF4-FFF2-40B4-BE49-F238E27FC236}">
              <a16:creationId xmlns:a16="http://schemas.microsoft.com/office/drawing/2014/main" id="{7AE138A4-5268-4C18-95A6-83EE6E2F2D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4" name="AutoShape 1" descr="Vista previa de toda la pantalla">
          <a:extLst>
            <a:ext uri="{FF2B5EF4-FFF2-40B4-BE49-F238E27FC236}">
              <a16:creationId xmlns:a16="http://schemas.microsoft.com/office/drawing/2014/main" id="{71013060-A789-4368-A491-AE19D67ECB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5" name="AutoShape 1" descr="Vista previa de toda la pantalla">
          <a:extLst>
            <a:ext uri="{FF2B5EF4-FFF2-40B4-BE49-F238E27FC236}">
              <a16:creationId xmlns:a16="http://schemas.microsoft.com/office/drawing/2014/main" id="{385F9F32-1876-4288-9366-698E54F377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6" name="AutoShape 1" descr="Vista previa de toda la pantalla">
          <a:extLst>
            <a:ext uri="{FF2B5EF4-FFF2-40B4-BE49-F238E27FC236}">
              <a16:creationId xmlns:a16="http://schemas.microsoft.com/office/drawing/2014/main" id="{AFB8B45D-70D7-4D58-BB39-3EE2C9BB38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7" name="AutoShape 1" descr="Vista previa de toda la pantalla">
          <a:extLst>
            <a:ext uri="{FF2B5EF4-FFF2-40B4-BE49-F238E27FC236}">
              <a16:creationId xmlns:a16="http://schemas.microsoft.com/office/drawing/2014/main" id="{9627E736-9406-46C6-B40D-A08E522297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8" name="AutoShape 1" descr="Vista previa de toda la pantalla">
          <a:extLst>
            <a:ext uri="{FF2B5EF4-FFF2-40B4-BE49-F238E27FC236}">
              <a16:creationId xmlns:a16="http://schemas.microsoft.com/office/drawing/2014/main" id="{489F32AC-663A-4367-9C3A-3E7203E265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89" name="AutoShape 1" descr="Vista previa de toda la pantalla">
          <a:extLst>
            <a:ext uri="{FF2B5EF4-FFF2-40B4-BE49-F238E27FC236}">
              <a16:creationId xmlns:a16="http://schemas.microsoft.com/office/drawing/2014/main" id="{425F3D59-C084-41AF-9166-C0CF11E65E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0" name="AutoShape 1" descr="Vista previa de toda la pantalla">
          <a:extLst>
            <a:ext uri="{FF2B5EF4-FFF2-40B4-BE49-F238E27FC236}">
              <a16:creationId xmlns:a16="http://schemas.microsoft.com/office/drawing/2014/main" id="{6834067E-BB62-4456-BC13-6922C732CA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1" name="AutoShape 1" descr="Vista previa de toda la pantalla">
          <a:extLst>
            <a:ext uri="{FF2B5EF4-FFF2-40B4-BE49-F238E27FC236}">
              <a16:creationId xmlns:a16="http://schemas.microsoft.com/office/drawing/2014/main" id="{05D56AE6-B2E1-4536-9E31-587FE0C7A0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2" name="AutoShape 1" descr="Vista previa de toda la pantalla">
          <a:extLst>
            <a:ext uri="{FF2B5EF4-FFF2-40B4-BE49-F238E27FC236}">
              <a16:creationId xmlns:a16="http://schemas.microsoft.com/office/drawing/2014/main" id="{26D2E593-981B-4132-ACA0-1E57CFA508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3" name="AutoShape 1" descr="Vista previa de toda la pantalla">
          <a:extLst>
            <a:ext uri="{FF2B5EF4-FFF2-40B4-BE49-F238E27FC236}">
              <a16:creationId xmlns:a16="http://schemas.microsoft.com/office/drawing/2014/main" id="{BAEF460A-B2B4-4424-AF55-D22CF6ADAF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4" name="AutoShape 1" descr="Vista previa de toda la pantalla">
          <a:extLst>
            <a:ext uri="{FF2B5EF4-FFF2-40B4-BE49-F238E27FC236}">
              <a16:creationId xmlns:a16="http://schemas.microsoft.com/office/drawing/2014/main" id="{843DB78F-97CD-4FCE-B956-AF246684BE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5" name="AutoShape 1" descr="Vista previa de toda la pantalla">
          <a:extLst>
            <a:ext uri="{FF2B5EF4-FFF2-40B4-BE49-F238E27FC236}">
              <a16:creationId xmlns:a16="http://schemas.microsoft.com/office/drawing/2014/main" id="{5BC0BE99-85E0-4721-9630-DA6C96C124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6" name="AutoShape 1" descr="Vista previa de toda la pantalla">
          <a:extLst>
            <a:ext uri="{FF2B5EF4-FFF2-40B4-BE49-F238E27FC236}">
              <a16:creationId xmlns:a16="http://schemas.microsoft.com/office/drawing/2014/main" id="{E0952C1D-1737-4829-B814-81E3CDDC0B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7" name="AutoShape 1" descr="Vista previa de toda la pantalla">
          <a:extLst>
            <a:ext uri="{FF2B5EF4-FFF2-40B4-BE49-F238E27FC236}">
              <a16:creationId xmlns:a16="http://schemas.microsoft.com/office/drawing/2014/main" id="{60F93DA4-C303-4AE3-A125-5FD88EFB2B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8" name="AutoShape 1" descr="Vista previa de toda la pantalla">
          <a:extLst>
            <a:ext uri="{FF2B5EF4-FFF2-40B4-BE49-F238E27FC236}">
              <a16:creationId xmlns:a16="http://schemas.microsoft.com/office/drawing/2014/main" id="{9E5470E3-57F5-4C67-BF7B-EE3D94F521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799" name="AutoShape 1" descr="Vista previa de toda la pantalla">
          <a:extLst>
            <a:ext uri="{FF2B5EF4-FFF2-40B4-BE49-F238E27FC236}">
              <a16:creationId xmlns:a16="http://schemas.microsoft.com/office/drawing/2014/main" id="{283F7AF1-497A-4F9C-A8DA-7F4F5F1DA7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0" name="AutoShape 1" descr="Vista previa de toda la pantalla">
          <a:extLst>
            <a:ext uri="{FF2B5EF4-FFF2-40B4-BE49-F238E27FC236}">
              <a16:creationId xmlns:a16="http://schemas.microsoft.com/office/drawing/2014/main" id="{6B657536-9921-47B9-992D-4CD75469EC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1" name="AutoShape 1" descr="Vista previa de toda la pantalla">
          <a:extLst>
            <a:ext uri="{FF2B5EF4-FFF2-40B4-BE49-F238E27FC236}">
              <a16:creationId xmlns:a16="http://schemas.microsoft.com/office/drawing/2014/main" id="{C733721A-E404-4E71-ADCD-EF21C98BBD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2" name="AutoShape 1" descr="Vista previa de toda la pantalla">
          <a:extLst>
            <a:ext uri="{FF2B5EF4-FFF2-40B4-BE49-F238E27FC236}">
              <a16:creationId xmlns:a16="http://schemas.microsoft.com/office/drawing/2014/main" id="{F41999A3-8E94-45C7-951D-3436455C9F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3" name="AutoShape 1" descr="Vista previa de toda la pantalla">
          <a:extLst>
            <a:ext uri="{FF2B5EF4-FFF2-40B4-BE49-F238E27FC236}">
              <a16:creationId xmlns:a16="http://schemas.microsoft.com/office/drawing/2014/main" id="{EACCAE1D-20D8-4E51-819E-19B4756951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4" name="AutoShape 1" descr="Vista previa de toda la pantalla">
          <a:extLst>
            <a:ext uri="{FF2B5EF4-FFF2-40B4-BE49-F238E27FC236}">
              <a16:creationId xmlns:a16="http://schemas.microsoft.com/office/drawing/2014/main" id="{2F1E2B07-6E7B-45CE-B7A0-9A0F6F484F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5" name="AutoShape 1" descr="Vista previa de toda la pantalla">
          <a:extLst>
            <a:ext uri="{FF2B5EF4-FFF2-40B4-BE49-F238E27FC236}">
              <a16:creationId xmlns:a16="http://schemas.microsoft.com/office/drawing/2014/main" id="{FC465B27-2477-497D-9C6E-602672EB8F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6" name="AutoShape 1" descr="Vista previa de toda la pantalla">
          <a:extLst>
            <a:ext uri="{FF2B5EF4-FFF2-40B4-BE49-F238E27FC236}">
              <a16:creationId xmlns:a16="http://schemas.microsoft.com/office/drawing/2014/main" id="{F6C9F313-CE82-4BAE-99E8-A401A366A8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7" name="AutoShape 1" descr="Vista previa de toda la pantalla">
          <a:extLst>
            <a:ext uri="{FF2B5EF4-FFF2-40B4-BE49-F238E27FC236}">
              <a16:creationId xmlns:a16="http://schemas.microsoft.com/office/drawing/2014/main" id="{F97D69CA-02A5-4276-BAC0-BD0E99F3DA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8" name="AutoShape 1" descr="Vista previa de toda la pantalla">
          <a:extLst>
            <a:ext uri="{FF2B5EF4-FFF2-40B4-BE49-F238E27FC236}">
              <a16:creationId xmlns:a16="http://schemas.microsoft.com/office/drawing/2014/main" id="{B39BB25E-7A7C-4DF2-B4F4-8A1FECB890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09" name="AutoShape 1" descr="Vista previa de toda la pantalla">
          <a:extLst>
            <a:ext uri="{FF2B5EF4-FFF2-40B4-BE49-F238E27FC236}">
              <a16:creationId xmlns:a16="http://schemas.microsoft.com/office/drawing/2014/main" id="{4A080E66-DD40-4831-8D94-C0AAD62B7C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0" name="AutoShape 1" descr="Vista previa de toda la pantalla">
          <a:extLst>
            <a:ext uri="{FF2B5EF4-FFF2-40B4-BE49-F238E27FC236}">
              <a16:creationId xmlns:a16="http://schemas.microsoft.com/office/drawing/2014/main" id="{E34ACD32-7D02-476E-BA85-9E6000D8FE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1" name="AutoShape 1" descr="Vista previa de toda la pantalla">
          <a:extLst>
            <a:ext uri="{FF2B5EF4-FFF2-40B4-BE49-F238E27FC236}">
              <a16:creationId xmlns:a16="http://schemas.microsoft.com/office/drawing/2014/main" id="{0A75D980-8E30-483E-A3B3-D5088D408D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2" name="AutoShape 1" descr="Vista previa de toda la pantalla">
          <a:extLst>
            <a:ext uri="{FF2B5EF4-FFF2-40B4-BE49-F238E27FC236}">
              <a16:creationId xmlns:a16="http://schemas.microsoft.com/office/drawing/2014/main" id="{27B53127-7485-4DB6-8510-FD6ED08521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3" name="AutoShape 1" descr="Vista previa de toda la pantalla">
          <a:extLst>
            <a:ext uri="{FF2B5EF4-FFF2-40B4-BE49-F238E27FC236}">
              <a16:creationId xmlns:a16="http://schemas.microsoft.com/office/drawing/2014/main" id="{8732F249-ABE1-42CF-B4AB-5861292755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4" name="AutoShape 1" descr="Vista previa de toda la pantalla">
          <a:extLst>
            <a:ext uri="{FF2B5EF4-FFF2-40B4-BE49-F238E27FC236}">
              <a16:creationId xmlns:a16="http://schemas.microsoft.com/office/drawing/2014/main" id="{47D1970A-663C-49EB-A35A-AA39431265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5" name="AutoShape 1" descr="Vista previa de toda la pantalla">
          <a:extLst>
            <a:ext uri="{FF2B5EF4-FFF2-40B4-BE49-F238E27FC236}">
              <a16:creationId xmlns:a16="http://schemas.microsoft.com/office/drawing/2014/main" id="{E3BA81EA-A4DD-4712-A711-4A9FEC747E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6" name="AutoShape 1" descr="Vista previa de toda la pantalla">
          <a:extLst>
            <a:ext uri="{FF2B5EF4-FFF2-40B4-BE49-F238E27FC236}">
              <a16:creationId xmlns:a16="http://schemas.microsoft.com/office/drawing/2014/main" id="{65A8EC78-6333-4362-91FB-76F23E6D3A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7" name="AutoShape 1" descr="Vista previa de toda la pantalla">
          <a:extLst>
            <a:ext uri="{FF2B5EF4-FFF2-40B4-BE49-F238E27FC236}">
              <a16:creationId xmlns:a16="http://schemas.microsoft.com/office/drawing/2014/main" id="{3882B877-380F-4131-A02D-772DA450D8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8" name="AutoShape 1" descr="Vista previa de toda la pantalla">
          <a:extLst>
            <a:ext uri="{FF2B5EF4-FFF2-40B4-BE49-F238E27FC236}">
              <a16:creationId xmlns:a16="http://schemas.microsoft.com/office/drawing/2014/main" id="{3E7E03CD-05FF-4E0C-A475-5431F1798D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19" name="AutoShape 1" descr="Vista previa de toda la pantalla">
          <a:extLst>
            <a:ext uri="{FF2B5EF4-FFF2-40B4-BE49-F238E27FC236}">
              <a16:creationId xmlns:a16="http://schemas.microsoft.com/office/drawing/2014/main" id="{F7C254A9-B25B-4D8B-80B0-0A9E633B04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0" name="AutoShape 1" descr="Vista previa de toda la pantalla">
          <a:extLst>
            <a:ext uri="{FF2B5EF4-FFF2-40B4-BE49-F238E27FC236}">
              <a16:creationId xmlns:a16="http://schemas.microsoft.com/office/drawing/2014/main" id="{C7F575EC-A63C-4BFB-BDDA-558E0A3622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1" name="AutoShape 1" descr="Vista previa de toda la pantalla">
          <a:extLst>
            <a:ext uri="{FF2B5EF4-FFF2-40B4-BE49-F238E27FC236}">
              <a16:creationId xmlns:a16="http://schemas.microsoft.com/office/drawing/2014/main" id="{72B5489C-7A9F-4C2C-9747-49388F8DE3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2" name="AutoShape 1" descr="Vista previa de toda la pantalla">
          <a:extLst>
            <a:ext uri="{FF2B5EF4-FFF2-40B4-BE49-F238E27FC236}">
              <a16:creationId xmlns:a16="http://schemas.microsoft.com/office/drawing/2014/main" id="{C0AC53DF-2FC1-4D8B-B1D5-7BE7F3E480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3" name="AutoShape 1" descr="Vista previa de toda la pantalla">
          <a:extLst>
            <a:ext uri="{FF2B5EF4-FFF2-40B4-BE49-F238E27FC236}">
              <a16:creationId xmlns:a16="http://schemas.microsoft.com/office/drawing/2014/main" id="{FE6BE78C-3147-4F5C-B1E2-C46323E4F3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4" name="AutoShape 1" descr="Vista previa de toda la pantalla">
          <a:extLst>
            <a:ext uri="{FF2B5EF4-FFF2-40B4-BE49-F238E27FC236}">
              <a16:creationId xmlns:a16="http://schemas.microsoft.com/office/drawing/2014/main" id="{6F629F5E-2D3E-4603-AD78-63885CE0D3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5" name="AutoShape 1" descr="Vista previa de toda la pantalla">
          <a:extLst>
            <a:ext uri="{FF2B5EF4-FFF2-40B4-BE49-F238E27FC236}">
              <a16:creationId xmlns:a16="http://schemas.microsoft.com/office/drawing/2014/main" id="{1E5584C5-9361-4383-8ED5-48138FDC62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6" name="AutoShape 1" descr="Vista previa de toda la pantalla">
          <a:extLst>
            <a:ext uri="{FF2B5EF4-FFF2-40B4-BE49-F238E27FC236}">
              <a16:creationId xmlns:a16="http://schemas.microsoft.com/office/drawing/2014/main" id="{E3425348-B4DA-4EBE-9751-C3917A5001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7" name="AutoShape 1" descr="Vista previa de toda la pantalla">
          <a:extLst>
            <a:ext uri="{FF2B5EF4-FFF2-40B4-BE49-F238E27FC236}">
              <a16:creationId xmlns:a16="http://schemas.microsoft.com/office/drawing/2014/main" id="{573E7EC2-75D3-4D13-8BCE-8458EF15E1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8" name="AutoShape 1" descr="Vista previa de toda la pantalla">
          <a:extLst>
            <a:ext uri="{FF2B5EF4-FFF2-40B4-BE49-F238E27FC236}">
              <a16:creationId xmlns:a16="http://schemas.microsoft.com/office/drawing/2014/main" id="{2EFA58EB-073F-43D6-BD0D-5CB6D4579A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29" name="AutoShape 1" descr="Vista previa de toda la pantalla">
          <a:extLst>
            <a:ext uri="{FF2B5EF4-FFF2-40B4-BE49-F238E27FC236}">
              <a16:creationId xmlns:a16="http://schemas.microsoft.com/office/drawing/2014/main" id="{2A9081D0-9A33-41CF-B835-14F2141228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0" name="AutoShape 1" descr="Vista previa de toda la pantalla">
          <a:extLst>
            <a:ext uri="{FF2B5EF4-FFF2-40B4-BE49-F238E27FC236}">
              <a16:creationId xmlns:a16="http://schemas.microsoft.com/office/drawing/2014/main" id="{AD60BC6D-D7B5-4C43-BAC5-27C2E0DAB6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1" name="AutoShape 1" descr="Vista previa de toda la pantalla">
          <a:extLst>
            <a:ext uri="{FF2B5EF4-FFF2-40B4-BE49-F238E27FC236}">
              <a16:creationId xmlns:a16="http://schemas.microsoft.com/office/drawing/2014/main" id="{2A6D507A-1DF3-4A60-9945-7B869AA0FE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2" name="AutoShape 1" descr="Vista previa de toda la pantalla">
          <a:extLst>
            <a:ext uri="{FF2B5EF4-FFF2-40B4-BE49-F238E27FC236}">
              <a16:creationId xmlns:a16="http://schemas.microsoft.com/office/drawing/2014/main" id="{AAD0C25D-CAB3-4FAC-AD4F-277E24FE6F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3" name="AutoShape 1" descr="Vista previa de toda la pantalla">
          <a:extLst>
            <a:ext uri="{FF2B5EF4-FFF2-40B4-BE49-F238E27FC236}">
              <a16:creationId xmlns:a16="http://schemas.microsoft.com/office/drawing/2014/main" id="{60A9D620-2F48-4832-B49B-DBB1480401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4" name="AutoShape 1" descr="Vista previa de toda la pantalla">
          <a:extLst>
            <a:ext uri="{FF2B5EF4-FFF2-40B4-BE49-F238E27FC236}">
              <a16:creationId xmlns:a16="http://schemas.microsoft.com/office/drawing/2014/main" id="{0F1AF5BF-CE9B-47F7-8DD0-DF9DECE032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5" name="AutoShape 1" descr="Vista previa de toda la pantalla">
          <a:extLst>
            <a:ext uri="{FF2B5EF4-FFF2-40B4-BE49-F238E27FC236}">
              <a16:creationId xmlns:a16="http://schemas.microsoft.com/office/drawing/2014/main" id="{8A51D048-3254-4C11-B610-FB5D40938E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6" name="AutoShape 1" descr="Vista previa de toda la pantalla">
          <a:extLst>
            <a:ext uri="{FF2B5EF4-FFF2-40B4-BE49-F238E27FC236}">
              <a16:creationId xmlns:a16="http://schemas.microsoft.com/office/drawing/2014/main" id="{A269B496-B32D-4481-A641-FA2F9D9FC8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7" name="AutoShape 1" descr="Vista previa de toda la pantalla">
          <a:extLst>
            <a:ext uri="{FF2B5EF4-FFF2-40B4-BE49-F238E27FC236}">
              <a16:creationId xmlns:a16="http://schemas.microsoft.com/office/drawing/2014/main" id="{1C66C0D6-6F49-4070-B332-A1DE4ADB52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8" name="AutoShape 1" descr="Vista previa de toda la pantalla">
          <a:extLst>
            <a:ext uri="{FF2B5EF4-FFF2-40B4-BE49-F238E27FC236}">
              <a16:creationId xmlns:a16="http://schemas.microsoft.com/office/drawing/2014/main" id="{133E75B9-835B-418D-917A-AA0BD5E90D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39" name="AutoShape 1" descr="Vista previa de toda la pantalla">
          <a:extLst>
            <a:ext uri="{FF2B5EF4-FFF2-40B4-BE49-F238E27FC236}">
              <a16:creationId xmlns:a16="http://schemas.microsoft.com/office/drawing/2014/main" id="{B4418915-3330-4EBF-8281-2EAC0A16F3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0" name="AutoShape 1" descr="Vista previa de toda la pantalla">
          <a:extLst>
            <a:ext uri="{FF2B5EF4-FFF2-40B4-BE49-F238E27FC236}">
              <a16:creationId xmlns:a16="http://schemas.microsoft.com/office/drawing/2014/main" id="{795AFD0C-AE77-4E18-80F0-72360ED4BA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1" name="AutoShape 1" descr="Vista previa de toda la pantalla">
          <a:extLst>
            <a:ext uri="{FF2B5EF4-FFF2-40B4-BE49-F238E27FC236}">
              <a16:creationId xmlns:a16="http://schemas.microsoft.com/office/drawing/2014/main" id="{8981E925-8F88-404C-BE3E-D445B45B4E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2" name="AutoShape 1" descr="Vista previa de toda la pantalla">
          <a:extLst>
            <a:ext uri="{FF2B5EF4-FFF2-40B4-BE49-F238E27FC236}">
              <a16:creationId xmlns:a16="http://schemas.microsoft.com/office/drawing/2014/main" id="{53BD45D5-81DB-4359-91FC-2CFDEB17F7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3" name="AutoShape 1" descr="Vista previa de toda la pantalla">
          <a:extLst>
            <a:ext uri="{FF2B5EF4-FFF2-40B4-BE49-F238E27FC236}">
              <a16:creationId xmlns:a16="http://schemas.microsoft.com/office/drawing/2014/main" id="{FCB9A6CC-629A-4649-BF13-C3B514086B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4" name="AutoShape 1" descr="Vista previa de toda la pantalla">
          <a:extLst>
            <a:ext uri="{FF2B5EF4-FFF2-40B4-BE49-F238E27FC236}">
              <a16:creationId xmlns:a16="http://schemas.microsoft.com/office/drawing/2014/main" id="{8D7CB1BD-6462-420E-B088-5DF57F2BAB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5" name="AutoShape 1" descr="Vista previa de toda la pantalla">
          <a:extLst>
            <a:ext uri="{FF2B5EF4-FFF2-40B4-BE49-F238E27FC236}">
              <a16:creationId xmlns:a16="http://schemas.microsoft.com/office/drawing/2014/main" id="{1B49D9EA-43D1-4CA4-87ED-47F3BE465F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6" name="AutoShape 1" descr="Vista previa de toda la pantalla">
          <a:extLst>
            <a:ext uri="{FF2B5EF4-FFF2-40B4-BE49-F238E27FC236}">
              <a16:creationId xmlns:a16="http://schemas.microsoft.com/office/drawing/2014/main" id="{FFEBB654-4A26-480C-90EF-979E3AEEBC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7" name="AutoShape 1" descr="Vista previa de toda la pantalla">
          <a:extLst>
            <a:ext uri="{FF2B5EF4-FFF2-40B4-BE49-F238E27FC236}">
              <a16:creationId xmlns:a16="http://schemas.microsoft.com/office/drawing/2014/main" id="{7BA25712-AD83-481E-B1BC-4D3329A4B1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8" name="AutoShape 1" descr="Vista previa de toda la pantalla">
          <a:extLst>
            <a:ext uri="{FF2B5EF4-FFF2-40B4-BE49-F238E27FC236}">
              <a16:creationId xmlns:a16="http://schemas.microsoft.com/office/drawing/2014/main" id="{C4CC2D18-2C30-4DC4-951D-1DA12A735F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49" name="AutoShape 1" descr="Vista previa de toda la pantalla">
          <a:extLst>
            <a:ext uri="{FF2B5EF4-FFF2-40B4-BE49-F238E27FC236}">
              <a16:creationId xmlns:a16="http://schemas.microsoft.com/office/drawing/2014/main" id="{65C97E65-CCBB-435A-9690-FA27D52D49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0" name="AutoShape 1" descr="Vista previa de toda la pantalla">
          <a:extLst>
            <a:ext uri="{FF2B5EF4-FFF2-40B4-BE49-F238E27FC236}">
              <a16:creationId xmlns:a16="http://schemas.microsoft.com/office/drawing/2014/main" id="{E2B11292-EF77-44DA-92C4-CA9120D3A7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1" name="AutoShape 1" descr="Vista previa de toda la pantalla">
          <a:extLst>
            <a:ext uri="{FF2B5EF4-FFF2-40B4-BE49-F238E27FC236}">
              <a16:creationId xmlns:a16="http://schemas.microsoft.com/office/drawing/2014/main" id="{386F6867-8E7A-4391-8FAB-7A51742610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2" name="AutoShape 1" descr="Vista previa de toda la pantalla">
          <a:extLst>
            <a:ext uri="{FF2B5EF4-FFF2-40B4-BE49-F238E27FC236}">
              <a16:creationId xmlns:a16="http://schemas.microsoft.com/office/drawing/2014/main" id="{11CDCAF9-4A21-410A-BB9C-443A4989B6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3" name="AutoShape 1" descr="Vista previa de toda la pantalla">
          <a:extLst>
            <a:ext uri="{FF2B5EF4-FFF2-40B4-BE49-F238E27FC236}">
              <a16:creationId xmlns:a16="http://schemas.microsoft.com/office/drawing/2014/main" id="{F5C14401-C289-4DBE-8E48-0F6393C020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4" name="AutoShape 1" descr="Vista previa de toda la pantalla">
          <a:extLst>
            <a:ext uri="{FF2B5EF4-FFF2-40B4-BE49-F238E27FC236}">
              <a16:creationId xmlns:a16="http://schemas.microsoft.com/office/drawing/2014/main" id="{EF40F8B8-224F-4C5A-BB3C-75B13C7678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5" name="AutoShape 1" descr="Vista previa de toda la pantalla">
          <a:extLst>
            <a:ext uri="{FF2B5EF4-FFF2-40B4-BE49-F238E27FC236}">
              <a16:creationId xmlns:a16="http://schemas.microsoft.com/office/drawing/2014/main" id="{C0599A15-183D-48E9-BF9B-799B351295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6" name="AutoShape 1" descr="Vista previa de toda la pantalla">
          <a:extLst>
            <a:ext uri="{FF2B5EF4-FFF2-40B4-BE49-F238E27FC236}">
              <a16:creationId xmlns:a16="http://schemas.microsoft.com/office/drawing/2014/main" id="{1FFB2F35-CF4C-4440-B200-14C9C9BC47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7" name="AutoShape 1" descr="Vista previa de toda la pantalla">
          <a:extLst>
            <a:ext uri="{FF2B5EF4-FFF2-40B4-BE49-F238E27FC236}">
              <a16:creationId xmlns:a16="http://schemas.microsoft.com/office/drawing/2014/main" id="{1D43FEC7-E3BB-45AD-8C87-69B6FD8898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8" name="AutoShape 1" descr="Vista previa de toda la pantalla">
          <a:extLst>
            <a:ext uri="{FF2B5EF4-FFF2-40B4-BE49-F238E27FC236}">
              <a16:creationId xmlns:a16="http://schemas.microsoft.com/office/drawing/2014/main" id="{A2A3CC15-DEAF-4FA9-8823-B09786F1D3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59" name="AutoShape 1" descr="Vista previa de toda la pantalla">
          <a:extLst>
            <a:ext uri="{FF2B5EF4-FFF2-40B4-BE49-F238E27FC236}">
              <a16:creationId xmlns:a16="http://schemas.microsoft.com/office/drawing/2014/main" id="{6267E4F4-C16B-4A12-9735-15102EB164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0" name="AutoShape 1" descr="Vista previa de toda la pantalla">
          <a:extLst>
            <a:ext uri="{FF2B5EF4-FFF2-40B4-BE49-F238E27FC236}">
              <a16:creationId xmlns:a16="http://schemas.microsoft.com/office/drawing/2014/main" id="{71572617-BF5D-403B-9C9B-015932BEBF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1" name="AutoShape 1" descr="Vista previa de toda la pantalla">
          <a:extLst>
            <a:ext uri="{FF2B5EF4-FFF2-40B4-BE49-F238E27FC236}">
              <a16:creationId xmlns:a16="http://schemas.microsoft.com/office/drawing/2014/main" id="{480093EA-7EBA-4592-BAE3-B407B70724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2" name="AutoShape 1" descr="Vista previa de toda la pantalla">
          <a:extLst>
            <a:ext uri="{FF2B5EF4-FFF2-40B4-BE49-F238E27FC236}">
              <a16:creationId xmlns:a16="http://schemas.microsoft.com/office/drawing/2014/main" id="{08BD8493-3924-4CFF-9D21-ED6F002B07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3" name="AutoShape 1" descr="Vista previa de toda la pantalla">
          <a:extLst>
            <a:ext uri="{FF2B5EF4-FFF2-40B4-BE49-F238E27FC236}">
              <a16:creationId xmlns:a16="http://schemas.microsoft.com/office/drawing/2014/main" id="{3B001BBA-853B-4D32-BB5D-0B2E21562C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4" name="AutoShape 1" descr="Vista previa de toda la pantalla">
          <a:extLst>
            <a:ext uri="{FF2B5EF4-FFF2-40B4-BE49-F238E27FC236}">
              <a16:creationId xmlns:a16="http://schemas.microsoft.com/office/drawing/2014/main" id="{C45A8616-118F-4D9A-9180-E6F91C3380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5" name="AutoShape 1" descr="Vista previa de toda la pantalla">
          <a:extLst>
            <a:ext uri="{FF2B5EF4-FFF2-40B4-BE49-F238E27FC236}">
              <a16:creationId xmlns:a16="http://schemas.microsoft.com/office/drawing/2014/main" id="{7E51ED51-6C84-412C-A772-98E61353C3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6" name="AutoShape 1" descr="Vista previa de toda la pantalla">
          <a:extLst>
            <a:ext uri="{FF2B5EF4-FFF2-40B4-BE49-F238E27FC236}">
              <a16:creationId xmlns:a16="http://schemas.microsoft.com/office/drawing/2014/main" id="{D875BB02-FC88-45B3-9165-023304E50A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7" name="AutoShape 1" descr="Vista previa de toda la pantalla">
          <a:extLst>
            <a:ext uri="{FF2B5EF4-FFF2-40B4-BE49-F238E27FC236}">
              <a16:creationId xmlns:a16="http://schemas.microsoft.com/office/drawing/2014/main" id="{B30DEC14-555F-4A4E-847B-EED87AD888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8" name="AutoShape 1" descr="Vista previa de toda la pantalla">
          <a:extLst>
            <a:ext uri="{FF2B5EF4-FFF2-40B4-BE49-F238E27FC236}">
              <a16:creationId xmlns:a16="http://schemas.microsoft.com/office/drawing/2014/main" id="{34B3EADC-3B90-47C5-9F57-646D70F3CF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69" name="AutoShape 1" descr="Vista previa de toda la pantalla">
          <a:extLst>
            <a:ext uri="{FF2B5EF4-FFF2-40B4-BE49-F238E27FC236}">
              <a16:creationId xmlns:a16="http://schemas.microsoft.com/office/drawing/2014/main" id="{63FA498B-8981-4ADD-ADD7-AECDDD778D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0" name="AutoShape 1" descr="Vista previa de toda la pantalla">
          <a:extLst>
            <a:ext uri="{FF2B5EF4-FFF2-40B4-BE49-F238E27FC236}">
              <a16:creationId xmlns:a16="http://schemas.microsoft.com/office/drawing/2014/main" id="{769F382A-06DB-4AB2-9143-CEA4B7A239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1" name="AutoShape 1" descr="Vista previa de toda la pantalla">
          <a:extLst>
            <a:ext uri="{FF2B5EF4-FFF2-40B4-BE49-F238E27FC236}">
              <a16:creationId xmlns:a16="http://schemas.microsoft.com/office/drawing/2014/main" id="{20DE2950-7957-4F60-B71A-C4F5AA8B27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2" name="AutoShape 1" descr="Vista previa de toda la pantalla">
          <a:extLst>
            <a:ext uri="{FF2B5EF4-FFF2-40B4-BE49-F238E27FC236}">
              <a16:creationId xmlns:a16="http://schemas.microsoft.com/office/drawing/2014/main" id="{0AB5D9A2-620E-4C44-93B4-51FB5C6289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3" name="AutoShape 1" descr="Vista previa de toda la pantalla">
          <a:extLst>
            <a:ext uri="{FF2B5EF4-FFF2-40B4-BE49-F238E27FC236}">
              <a16:creationId xmlns:a16="http://schemas.microsoft.com/office/drawing/2014/main" id="{8A29D739-07E4-410B-973F-B9E0B63EAD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4" name="AutoShape 1" descr="Vista previa de toda la pantalla">
          <a:extLst>
            <a:ext uri="{FF2B5EF4-FFF2-40B4-BE49-F238E27FC236}">
              <a16:creationId xmlns:a16="http://schemas.microsoft.com/office/drawing/2014/main" id="{DDE8F976-BCA6-4F95-905E-C63837FFEE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5" name="AutoShape 1" descr="Vista previa de toda la pantalla">
          <a:extLst>
            <a:ext uri="{FF2B5EF4-FFF2-40B4-BE49-F238E27FC236}">
              <a16:creationId xmlns:a16="http://schemas.microsoft.com/office/drawing/2014/main" id="{164B2F95-B68E-41A6-8187-F4C4AF8A64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6" name="AutoShape 1" descr="Vista previa de toda la pantalla">
          <a:extLst>
            <a:ext uri="{FF2B5EF4-FFF2-40B4-BE49-F238E27FC236}">
              <a16:creationId xmlns:a16="http://schemas.microsoft.com/office/drawing/2014/main" id="{E1510F54-2747-46D3-8B56-571A0801F8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7" name="AutoShape 1" descr="Vista previa de toda la pantalla">
          <a:extLst>
            <a:ext uri="{FF2B5EF4-FFF2-40B4-BE49-F238E27FC236}">
              <a16:creationId xmlns:a16="http://schemas.microsoft.com/office/drawing/2014/main" id="{8EDA8DFA-35AB-46ED-B9FA-F716AB55D4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8" name="AutoShape 1" descr="Vista previa de toda la pantalla">
          <a:extLst>
            <a:ext uri="{FF2B5EF4-FFF2-40B4-BE49-F238E27FC236}">
              <a16:creationId xmlns:a16="http://schemas.microsoft.com/office/drawing/2014/main" id="{339FE720-CEC7-42A5-8E86-EBD379D72D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79" name="AutoShape 1" descr="Vista previa de toda la pantalla">
          <a:extLst>
            <a:ext uri="{FF2B5EF4-FFF2-40B4-BE49-F238E27FC236}">
              <a16:creationId xmlns:a16="http://schemas.microsoft.com/office/drawing/2014/main" id="{C9FC7B4C-D1D3-4925-B51A-F7CC4B3EBC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80" name="AutoShape 1" descr="Vista previa de toda la pantalla">
          <a:extLst>
            <a:ext uri="{FF2B5EF4-FFF2-40B4-BE49-F238E27FC236}">
              <a16:creationId xmlns:a16="http://schemas.microsoft.com/office/drawing/2014/main" id="{266693C3-006B-4E3F-B2F7-A5E7E4737C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81" name="AutoShape 1" descr="Vista previa de toda la pantalla">
          <a:extLst>
            <a:ext uri="{FF2B5EF4-FFF2-40B4-BE49-F238E27FC236}">
              <a16:creationId xmlns:a16="http://schemas.microsoft.com/office/drawing/2014/main" id="{3E81964D-8B5D-4AAC-9AB9-985FE7DA11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2882" name="AutoShape 1" descr="Vista previa de toda la pantalla">
          <a:extLst>
            <a:ext uri="{FF2B5EF4-FFF2-40B4-BE49-F238E27FC236}">
              <a16:creationId xmlns:a16="http://schemas.microsoft.com/office/drawing/2014/main" id="{20B5B7D8-ED44-4318-91EF-8A6A6DAB79EB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83" name="AutoShape 1" descr="Vista previa de toda la pantalla">
          <a:extLst>
            <a:ext uri="{FF2B5EF4-FFF2-40B4-BE49-F238E27FC236}">
              <a16:creationId xmlns:a16="http://schemas.microsoft.com/office/drawing/2014/main" id="{C79B9886-0199-4896-9568-B7163254F6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84" name="AutoShape 1" descr="Vista previa de toda la pantalla">
          <a:extLst>
            <a:ext uri="{FF2B5EF4-FFF2-40B4-BE49-F238E27FC236}">
              <a16:creationId xmlns:a16="http://schemas.microsoft.com/office/drawing/2014/main" id="{091D1525-CD22-4DEC-A9F3-8ED8257A03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85" name="AutoShape 1" descr="Vista previa de toda la pantalla">
          <a:extLst>
            <a:ext uri="{FF2B5EF4-FFF2-40B4-BE49-F238E27FC236}">
              <a16:creationId xmlns:a16="http://schemas.microsoft.com/office/drawing/2014/main" id="{560AC2AC-2C22-4E38-9372-58DB7E5285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86" name="AutoShape 1" descr="Vista previa de toda la pantalla">
          <a:extLst>
            <a:ext uri="{FF2B5EF4-FFF2-40B4-BE49-F238E27FC236}">
              <a16:creationId xmlns:a16="http://schemas.microsoft.com/office/drawing/2014/main" id="{DAA94215-78C9-4AFE-9251-F69C9E6E27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87" name="AutoShape 1" descr="Vista previa de toda la pantalla">
          <a:extLst>
            <a:ext uri="{FF2B5EF4-FFF2-40B4-BE49-F238E27FC236}">
              <a16:creationId xmlns:a16="http://schemas.microsoft.com/office/drawing/2014/main" id="{A64DA9D2-2910-48B8-BFF1-71121409A6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88" name="AutoShape 1" descr="Vista previa de toda la pantalla">
          <a:extLst>
            <a:ext uri="{FF2B5EF4-FFF2-40B4-BE49-F238E27FC236}">
              <a16:creationId xmlns:a16="http://schemas.microsoft.com/office/drawing/2014/main" id="{0CBB1664-5992-441A-BAC4-E8BC569F8C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89" name="AutoShape 1" descr="Vista previa de toda la pantalla">
          <a:extLst>
            <a:ext uri="{FF2B5EF4-FFF2-40B4-BE49-F238E27FC236}">
              <a16:creationId xmlns:a16="http://schemas.microsoft.com/office/drawing/2014/main" id="{22E353BF-E767-49A0-AA65-E63B7674E4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0" name="AutoShape 1" descr="Vista previa de toda la pantalla">
          <a:extLst>
            <a:ext uri="{FF2B5EF4-FFF2-40B4-BE49-F238E27FC236}">
              <a16:creationId xmlns:a16="http://schemas.microsoft.com/office/drawing/2014/main" id="{9B590A39-E4FA-46DB-A921-F57C5DC323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1" name="AutoShape 1" descr="Vista previa de toda la pantalla">
          <a:extLst>
            <a:ext uri="{FF2B5EF4-FFF2-40B4-BE49-F238E27FC236}">
              <a16:creationId xmlns:a16="http://schemas.microsoft.com/office/drawing/2014/main" id="{A68BE992-6CD0-41DE-8DAE-C7F519CF3E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2" name="AutoShape 1" descr="Vista previa de toda la pantalla">
          <a:extLst>
            <a:ext uri="{FF2B5EF4-FFF2-40B4-BE49-F238E27FC236}">
              <a16:creationId xmlns:a16="http://schemas.microsoft.com/office/drawing/2014/main" id="{8CF44295-C555-49C4-8315-3C059924AC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3" name="AutoShape 1" descr="Vista previa de toda la pantalla">
          <a:extLst>
            <a:ext uri="{FF2B5EF4-FFF2-40B4-BE49-F238E27FC236}">
              <a16:creationId xmlns:a16="http://schemas.microsoft.com/office/drawing/2014/main" id="{44209914-109C-450D-AF05-2290092FCA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4" name="AutoShape 1" descr="Vista previa de toda la pantalla">
          <a:extLst>
            <a:ext uri="{FF2B5EF4-FFF2-40B4-BE49-F238E27FC236}">
              <a16:creationId xmlns:a16="http://schemas.microsoft.com/office/drawing/2014/main" id="{AEEA1956-C49F-4919-97EE-5D15B4457F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5" name="AutoShape 1" descr="Vista previa de toda la pantalla">
          <a:extLst>
            <a:ext uri="{FF2B5EF4-FFF2-40B4-BE49-F238E27FC236}">
              <a16:creationId xmlns:a16="http://schemas.microsoft.com/office/drawing/2014/main" id="{97D5520D-3C3C-49B6-AF83-E9D036664B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6" name="AutoShape 1" descr="Vista previa de toda la pantalla">
          <a:extLst>
            <a:ext uri="{FF2B5EF4-FFF2-40B4-BE49-F238E27FC236}">
              <a16:creationId xmlns:a16="http://schemas.microsoft.com/office/drawing/2014/main" id="{4807ABFF-E2E7-42C8-AB6D-FB60E64FA1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7" name="AutoShape 1" descr="Vista previa de toda la pantalla">
          <a:extLst>
            <a:ext uri="{FF2B5EF4-FFF2-40B4-BE49-F238E27FC236}">
              <a16:creationId xmlns:a16="http://schemas.microsoft.com/office/drawing/2014/main" id="{D139A08C-865D-48D1-9715-643A690D91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8" name="AutoShape 1" descr="Vista previa de toda la pantalla">
          <a:extLst>
            <a:ext uri="{FF2B5EF4-FFF2-40B4-BE49-F238E27FC236}">
              <a16:creationId xmlns:a16="http://schemas.microsoft.com/office/drawing/2014/main" id="{B6DA059E-3603-4163-ACC5-7C66AA42B9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899" name="AutoShape 1" descr="Vista previa de toda la pantalla">
          <a:extLst>
            <a:ext uri="{FF2B5EF4-FFF2-40B4-BE49-F238E27FC236}">
              <a16:creationId xmlns:a16="http://schemas.microsoft.com/office/drawing/2014/main" id="{7E1FA4B4-1F4D-493D-9E6E-D979B7E452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0" name="AutoShape 1" descr="Vista previa de toda la pantalla">
          <a:extLst>
            <a:ext uri="{FF2B5EF4-FFF2-40B4-BE49-F238E27FC236}">
              <a16:creationId xmlns:a16="http://schemas.microsoft.com/office/drawing/2014/main" id="{624966D1-5110-4271-B5D1-BF94023433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1" name="AutoShape 1" descr="Vista previa de toda la pantalla">
          <a:extLst>
            <a:ext uri="{FF2B5EF4-FFF2-40B4-BE49-F238E27FC236}">
              <a16:creationId xmlns:a16="http://schemas.microsoft.com/office/drawing/2014/main" id="{CF16F0C8-F937-4260-A674-E0B2E23102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2" name="AutoShape 1" descr="Vista previa de toda la pantalla">
          <a:extLst>
            <a:ext uri="{FF2B5EF4-FFF2-40B4-BE49-F238E27FC236}">
              <a16:creationId xmlns:a16="http://schemas.microsoft.com/office/drawing/2014/main" id="{C5AA9EB8-3C0A-4B73-B15D-3A387B767A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3" name="AutoShape 1" descr="Vista previa de toda la pantalla">
          <a:extLst>
            <a:ext uri="{FF2B5EF4-FFF2-40B4-BE49-F238E27FC236}">
              <a16:creationId xmlns:a16="http://schemas.microsoft.com/office/drawing/2014/main" id="{5FC31AD8-8E91-4754-8FDF-5C4A937C0E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4" name="AutoShape 1" descr="Vista previa de toda la pantalla">
          <a:extLst>
            <a:ext uri="{FF2B5EF4-FFF2-40B4-BE49-F238E27FC236}">
              <a16:creationId xmlns:a16="http://schemas.microsoft.com/office/drawing/2014/main" id="{659FFCE2-E36B-44B1-A477-3457399D12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5" name="AutoShape 1" descr="Vista previa de toda la pantalla">
          <a:extLst>
            <a:ext uri="{FF2B5EF4-FFF2-40B4-BE49-F238E27FC236}">
              <a16:creationId xmlns:a16="http://schemas.microsoft.com/office/drawing/2014/main" id="{53EE149D-F884-4CD9-8F0C-EDD1640460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6" name="AutoShape 1" descr="Vista previa de toda la pantalla">
          <a:extLst>
            <a:ext uri="{FF2B5EF4-FFF2-40B4-BE49-F238E27FC236}">
              <a16:creationId xmlns:a16="http://schemas.microsoft.com/office/drawing/2014/main" id="{6DF2FF60-4980-49D8-879B-799528F800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7" name="AutoShape 1" descr="Vista previa de toda la pantalla">
          <a:extLst>
            <a:ext uri="{FF2B5EF4-FFF2-40B4-BE49-F238E27FC236}">
              <a16:creationId xmlns:a16="http://schemas.microsoft.com/office/drawing/2014/main" id="{F5860B43-EDA6-4749-9921-AD6A477658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8" name="AutoShape 1" descr="Vista previa de toda la pantalla">
          <a:extLst>
            <a:ext uri="{FF2B5EF4-FFF2-40B4-BE49-F238E27FC236}">
              <a16:creationId xmlns:a16="http://schemas.microsoft.com/office/drawing/2014/main" id="{28A03743-6DA2-4662-9DAE-E26CD388B9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09" name="AutoShape 1" descr="Vista previa de toda la pantalla">
          <a:extLst>
            <a:ext uri="{FF2B5EF4-FFF2-40B4-BE49-F238E27FC236}">
              <a16:creationId xmlns:a16="http://schemas.microsoft.com/office/drawing/2014/main" id="{C32E38E9-FE5D-4941-9139-1E4BA70899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0" name="AutoShape 1" descr="Vista previa de toda la pantalla">
          <a:extLst>
            <a:ext uri="{FF2B5EF4-FFF2-40B4-BE49-F238E27FC236}">
              <a16:creationId xmlns:a16="http://schemas.microsoft.com/office/drawing/2014/main" id="{F1321F38-5508-44E2-8B87-3EC9670852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1" name="AutoShape 1" descr="Vista previa de toda la pantalla">
          <a:extLst>
            <a:ext uri="{FF2B5EF4-FFF2-40B4-BE49-F238E27FC236}">
              <a16:creationId xmlns:a16="http://schemas.microsoft.com/office/drawing/2014/main" id="{88F52780-2B67-4FEC-BECA-33D9554511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2" name="AutoShape 1" descr="Vista previa de toda la pantalla">
          <a:extLst>
            <a:ext uri="{FF2B5EF4-FFF2-40B4-BE49-F238E27FC236}">
              <a16:creationId xmlns:a16="http://schemas.microsoft.com/office/drawing/2014/main" id="{8DFEFE3D-AF1E-40BA-9C08-B3C164EFB4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3" name="AutoShape 1" descr="Vista previa de toda la pantalla">
          <a:extLst>
            <a:ext uri="{FF2B5EF4-FFF2-40B4-BE49-F238E27FC236}">
              <a16:creationId xmlns:a16="http://schemas.microsoft.com/office/drawing/2014/main" id="{C953ED25-17B1-429D-881E-C1D10B2909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4" name="AutoShape 1" descr="Vista previa de toda la pantalla">
          <a:extLst>
            <a:ext uri="{FF2B5EF4-FFF2-40B4-BE49-F238E27FC236}">
              <a16:creationId xmlns:a16="http://schemas.microsoft.com/office/drawing/2014/main" id="{F32C60DD-3952-4AB4-AC70-267A45E92C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5" name="AutoShape 1" descr="Vista previa de toda la pantalla">
          <a:extLst>
            <a:ext uri="{FF2B5EF4-FFF2-40B4-BE49-F238E27FC236}">
              <a16:creationId xmlns:a16="http://schemas.microsoft.com/office/drawing/2014/main" id="{78D89DCC-2B91-4230-B576-E3C5F9CEAE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6" name="AutoShape 1" descr="Vista previa de toda la pantalla">
          <a:extLst>
            <a:ext uri="{FF2B5EF4-FFF2-40B4-BE49-F238E27FC236}">
              <a16:creationId xmlns:a16="http://schemas.microsoft.com/office/drawing/2014/main" id="{D56888D2-8ACD-45DC-B4D8-B9723FE9DB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7" name="AutoShape 1" descr="Vista previa de toda la pantalla">
          <a:extLst>
            <a:ext uri="{FF2B5EF4-FFF2-40B4-BE49-F238E27FC236}">
              <a16:creationId xmlns:a16="http://schemas.microsoft.com/office/drawing/2014/main" id="{91B3B5E3-609A-4667-B6B5-6D97B7810A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8" name="AutoShape 1" descr="Vista previa de toda la pantalla">
          <a:extLst>
            <a:ext uri="{FF2B5EF4-FFF2-40B4-BE49-F238E27FC236}">
              <a16:creationId xmlns:a16="http://schemas.microsoft.com/office/drawing/2014/main" id="{B40B7D71-0387-4B5B-8EB1-3FB4504F70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19" name="AutoShape 1" descr="Vista previa de toda la pantalla">
          <a:extLst>
            <a:ext uri="{FF2B5EF4-FFF2-40B4-BE49-F238E27FC236}">
              <a16:creationId xmlns:a16="http://schemas.microsoft.com/office/drawing/2014/main" id="{2346C37A-FD3B-453A-B7CB-3F025C6FF2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0" name="AutoShape 1" descr="Vista previa de toda la pantalla">
          <a:extLst>
            <a:ext uri="{FF2B5EF4-FFF2-40B4-BE49-F238E27FC236}">
              <a16:creationId xmlns:a16="http://schemas.microsoft.com/office/drawing/2014/main" id="{1F4EA5E9-0709-4573-913E-60241C3CA4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1" name="AutoShape 1" descr="Vista previa de toda la pantalla">
          <a:extLst>
            <a:ext uri="{FF2B5EF4-FFF2-40B4-BE49-F238E27FC236}">
              <a16:creationId xmlns:a16="http://schemas.microsoft.com/office/drawing/2014/main" id="{956FFC53-A611-4F00-9DA5-85BD84FA73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2" name="AutoShape 1" descr="Vista previa de toda la pantalla">
          <a:extLst>
            <a:ext uri="{FF2B5EF4-FFF2-40B4-BE49-F238E27FC236}">
              <a16:creationId xmlns:a16="http://schemas.microsoft.com/office/drawing/2014/main" id="{18B7EDBC-1BCC-454B-8B03-79836C30DF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3" name="AutoShape 1" descr="Vista previa de toda la pantalla">
          <a:extLst>
            <a:ext uri="{FF2B5EF4-FFF2-40B4-BE49-F238E27FC236}">
              <a16:creationId xmlns:a16="http://schemas.microsoft.com/office/drawing/2014/main" id="{BCC48051-CA07-4F23-807E-09684791B7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4" name="AutoShape 1" descr="Vista previa de toda la pantalla">
          <a:extLst>
            <a:ext uri="{FF2B5EF4-FFF2-40B4-BE49-F238E27FC236}">
              <a16:creationId xmlns:a16="http://schemas.microsoft.com/office/drawing/2014/main" id="{407C4E71-222E-4303-BFFA-C940F223E6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5" name="AutoShape 1" descr="Vista previa de toda la pantalla">
          <a:extLst>
            <a:ext uri="{FF2B5EF4-FFF2-40B4-BE49-F238E27FC236}">
              <a16:creationId xmlns:a16="http://schemas.microsoft.com/office/drawing/2014/main" id="{7B55601F-0B3A-458E-B366-E414A165EB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6" name="AutoShape 1" descr="Vista previa de toda la pantalla">
          <a:extLst>
            <a:ext uri="{FF2B5EF4-FFF2-40B4-BE49-F238E27FC236}">
              <a16:creationId xmlns:a16="http://schemas.microsoft.com/office/drawing/2014/main" id="{14236F16-AAEA-4E82-ACAA-7B44C9DE17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7" name="AutoShape 1" descr="Vista previa de toda la pantalla">
          <a:extLst>
            <a:ext uri="{FF2B5EF4-FFF2-40B4-BE49-F238E27FC236}">
              <a16:creationId xmlns:a16="http://schemas.microsoft.com/office/drawing/2014/main" id="{26F9A61D-9CF9-4413-9D0B-4055520EE2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8" name="AutoShape 1" descr="Vista previa de toda la pantalla">
          <a:extLst>
            <a:ext uri="{FF2B5EF4-FFF2-40B4-BE49-F238E27FC236}">
              <a16:creationId xmlns:a16="http://schemas.microsoft.com/office/drawing/2014/main" id="{D3DD02DF-9646-4AED-8171-ED6114E19B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29" name="AutoShape 1" descr="Vista previa de toda la pantalla">
          <a:extLst>
            <a:ext uri="{FF2B5EF4-FFF2-40B4-BE49-F238E27FC236}">
              <a16:creationId xmlns:a16="http://schemas.microsoft.com/office/drawing/2014/main" id="{7474118D-B8AC-4503-BE2C-D18799EF47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0" name="AutoShape 1" descr="Vista previa de toda la pantalla">
          <a:extLst>
            <a:ext uri="{FF2B5EF4-FFF2-40B4-BE49-F238E27FC236}">
              <a16:creationId xmlns:a16="http://schemas.microsoft.com/office/drawing/2014/main" id="{5B6CCB70-C874-446A-92F3-5682F2C7C7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1" name="AutoShape 1" descr="Vista previa de toda la pantalla">
          <a:extLst>
            <a:ext uri="{FF2B5EF4-FFF2-40B4-BE49-F238E27FC236}">
              <a16:creationId xmlns:a16="http://schemas.microsoft.com/office/drawing/2014/main" id="{6633FAC5-FFE7-437F-9178-F5ABC4A1AC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2" name="AutoShape 1" descr="Vista previa de toda la pantalla">
          <a:extLst>
            <a:ext uri="{FF2B5EF4-FFF2-40B4-BE49-F238E27FC236}">
              <a16:creationId xmlns:a16="http://schemas.microsoft.com/office/drawing/2014/main" id="{5853D04B-A7BE-45D9-A62C-A6A3DB2D1A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3" name="AutoShape 1" descr="Vista previa de toda la pantalla">
          <a:extLst>
            <a:ext uri="{FF2B5EF4-FFF2-40B4-BE49-F238E27FC236}">
              <a16:creationId xmlns:a16="http://schemas.microsoft.com/office/drawing/2014/main" id="{A544246A-E200-421A-9BFD-11143A064A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4" name="AutoShape 1" descr="Vista previa de toda la pantalla">
          <a:extLst>
            <a:ext uri="{FF2B5EF4-FFF2-40B4-BE49-F238E27FC236}">
              <a16:creationId xmlns:a16="http://schemas.microsoft.com/office/drawing/2014/main" id="{483503C6-4689-4E93-B1D6-13B0CA4B68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5" name="AutoShape 1" descr="Vista previa de toda la pantalla">
          <a:extLst>
            <a:ext uri="{FF2B5EF4-FFF2-40B4-BE49-F238E27FC236}">
              <a16:creationId xmlns:a16="http://schemas.microsoft.com/office/drawing/2014/main" id="{6A8535E6-C986-4307-80D6-BE253FEA5D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6" name="AutoShape 1" descr="Vista previa de toda la pantalla">
          <a:extLst>
            <a:ext uri="{FF2B5EF4-FFF2-40B4-BE49-F238E27FC236}">
              <a16:creationId xmlns:a16="http://schemas.microsoft.com/office/drawing/2014/main" id="{11A5E6ED-29A6-4227-8667-8BDC4EC966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7" name="AutoShape 1" descr="Vista previa de toda la pantalla">
          <a:extLst>
            <a:ext uri="{FF2B5EF4-FFF2-40B4-BE49-F238E27FC236}">
              <a16:creationId xmlns:a16="http://schemas.microsoft.com/office/drawing/2014/main" id="{65561355-0375-4034-8D5A-1BEA57C0D2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8" name="AutoShape 1" descr="Vista previa de toda la pantalla">
          <a:extLst>
            <a:ext uri="{FF2B5EF4-FFF2-40B4-BE49-F238E27FC236}">
              <a16:creationId xmlns:a16="http://schemas.microsoft.com/office/drawing/2014/main" id="{D45234A0-3031-4577-82FE-39DFB5D91C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39" name="AutoShape 1" descr="Vista previa de toda la pantalla">
          <a:extLst>
            <a:ext uri="{FF2B5EF4-FFF2-40B4-BE49-F238E27FC236}">
              <a16:creationId xmlns:a16="http://schemas.microsoft.com/office/drawing/2014/main" id="{3313506E-6D27-4400-80B4-907921E561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0" name="AutoShape 1" descr="Vista previa de toda la pantalla">
          <a:extLst>
            <a:ext uri="{FF2B5EF4-FFF2-40B4-BE49-F238E27FC236}">
              <a16:creationId xmlns:a16="http://schemas.microsoft.com/office/drawing/2014/main" id="{7F6A1D53-0DED-474F-84F8-3DC526FFD0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1" name="AutoShape 1" descr="Vista previa de toda la pantalla">
          <a:extLst>
            <a:ext uri="{FF2B5EF4-FFF2-40B4-BE49-F238E27FC236}">
              <a16:creationId xmlns:a16="http://schemas.microsoft.com/office/drawing/2014/main" id="{215E7881-E30C-4538-947C-FCAE71EE2D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2" name="AutoShape 1" descr="Vista previa de toda la pantalla">
          <a:extLst>
            <a:ext uri="{FF2B5EF4-FFF2-40B4-BE49-F238E27FC236}">
              <a16:creationId xmlns:a16="http://schemas.microsoft.com/office/drawing/2014/main" id="{AD1CE672-6518-4D6F-89DA-A58F5E40AB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3" name="AutoShape 1" descr="Vista previa de toda la pantalla">
          <a:extLst>
            <a:ext uri="{FF2B5EF4-FFF2-40B4-BE49-F238E27FC236}">
              <a16:creationId xmlns:a16="http://schemas.microsoft.com/office/drawing/2014/main" id="{6D2B3FF7-BA3C-4074-8203-EEDAF95737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4" name="AutoShape 1" descr="Vista previa de toda la pantalla">
          <a:extLst>
            <a:ext uri="{FF2B5EF4-FFF2-40B4-BE49-F238E27FC236}">
              <a16:creationId xmlns:a16="http://schemas.microsoft.com/office/drawing/2014/main" id="{E1B3F6F3-72BF-4EB8-858E-2F58A072B9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5" name="AutoShape 1" descr="Vista previa de toda la pantalla">
          <a:extLst>
            <a:ext uri="{FF2B5EF4-FFF2-40B4-BE49-F238E27FC236}">
              <a16:creationId xmlns:a16="http://schemas.microsoft.com/office/drawing/2014/main" id="{497C4FAE-5A70-4ED9-A545-40B399CE28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6" name="AutoShape 1" descr="Vista previa de toda la pantalla">
          <a:extLst>
            <a:ext uri="{FF2B5EF4-FFF2-40B4-BE49-F238E27FC236}">
              <a16:creationId xmlns:a16="http://schemas.microsoft.com/office/drawing/2014/main" id="{F8FEAA42-A479-452F-8464-3B17F9ED46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7" name="AutoShape 1" descr="Vista previa de toda la pantalla">
          <a:extLst>
            <a:ext uri="{FF2B5EF4-FFF2-40B4-BE49-F238E27FC236}">
              <a16:creationId xmlns:a16="http://schemas.microsoft.com/office/drawing/2014/main" id="{774E9511-7C7B-4308-88D8-D7AA147C07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8" name="AutoShape 1" descr="Vista previa de toda la pantalla">
          <a:extLst>
            <a:ext uri="{FF2B5EF4-FFF2-40B4-BE49-F238E27FC236}">
              <a16:creationId xmlns:a16="http://schemas.microsoft.com/office/drawing/2014/main" id="{F16AF429-E14B-4E0C-AC3D-671909D363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49" name="AutoShape 1" descr="Vista previa de toda la pantalla">
          <a:extLst>
            <a:ext uri="{FF2B5EF4-FFF2-40B4-BE49-F238E27FC236}">
              <a16:creationId xmlns:a16="http://schemas.microsoft.com/office/drawing/2014/main" id="{044A4136-2810-458D-B918-0BB93F4C52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0" name="AutoShape 1" descr="Vista previa de toda la pantalla">
          <a:extLst>
            <a:ext uri="{FF2B5EF4-FFF2-40B4-BE49-F238E27FC236}">
              <a16:creationId xmlns:a16="http://schemas.microsoft.com/office/drawing/2014/main" id="{63282206-5F4F-413C-92B0-01AD68EA37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1" name="AutoShape 1" descr="Vista previa de toda la pantalla">
          <a:extLst>
            <a:ext uri="{FF2B5EF4-FFF2-40B4-BE49-F238E27FC236}">
              <a16:creationId xmlns:a16="http://schemas.microsoft.com/office/drawing/2014/main" id="{2A54FC14-AC8D-4DEC-990B-F425E8860A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2" name="AutoShape 1" descr="Vista previa de toda la pantalla">
          <a:extLst>
            <a:ext uri="{FF2B5EF4-FFF2-40B4-BE49-F238E27FC236}">
              <a16:creationId xmlns:a16="http://schemas.microsoft.com/office/drawing/2014/main" id="{59403E8F-EFCF-4E96-8BFF-749FC128D6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3" name="AutoShape 1" descr="Vista previa de toda la pantalla">
          <a:extLst>
            <a:ext uri="{FF2B5EF4-FFF2-40B4-BE49-F238E27FC236}">
              <a16:creationId xmlns:a16="http://schemas.microsoft.com/office/drawing/2014/main" id="{C3CEBC4C-0CAD-4D85-8EFD-A383EC377B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4" name="AutoShape 1" descr="Vista previa de toda la pantalla">
          <a:extLst>
            <a:ext uri="{FF2B5EF4-FFF2-40B4-BE49-F238E27FC236}">
              <a16:creationId xmlns:a16="http://schemas.microsoft.com/office/drawing/2014/main" id="{6ED02B38-2CE7-42DE-8298-581DD3B81A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5" name="AutoShape 1" descr="Vista previa de toda la pantalla">
          <a:extLst>
            <a:ext uri="{FF2B5EF4-FFF2-40B4-BE49-F238E27FC236}">
              <a16:creationId xmlns:a16="http://schemas.microsoft.com/office/drawing/2014/main" id="{66D0C58A-6CDD-4F52-944A-A9B8014636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6" name="AutoShape 1" descr="Vista previa de toda la pantalla">
          <a:extLst>
            <a:ext uri="{FF2B5EF4-FFF2-40B4-BE49-F238E27FC236}">
              <a16:creationId xmlns:a16="http://schemas.microsoft.com/office/drawing/2014/main" id="{E92A9D14-5344-4BB9-930F-9E6147ED03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7" name="AutoShape 1" descr="Vista previa de toda la pantalla">
          <a:extLst>
            <a:ext uri="{FF2B5EF4-FFF2-40B4-BE49-F238E27FC236}">
              <a16:creationId xmlns:a16="http://schemas.microsoft.com/office/drawing/2014/main" id="{8213CBDC-BCF7-4F94-8D9D-3D48E87EE8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8" name="AutoShape 1" descr="Vista previa de toda la pantalla">
          <a:extLst>
            <a:ext uri="{FF2B5EF4-FFF2-40B4-BE49-F238E27FC236}">
              <a16:creationId xmlns:a16="http://schemas.microsoft.com/office/drawing/2014/main" id="{B7127E27-A64C-4E68-8C64-C41EF38E83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59" name="AutoShape 1" descr="Vista previa de toda la pantalla">
          <a:extLst>
            <a:ext uri="{FF2B5EF4-FFF2-40B4-BE49-F238E27FC236}">
              <a16:creationId xmlns:a16="http://schemas.microsoft.com/office/drawing/2014/main" id="{01407958-13BC-4460-A4E6-515AFBEDFC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0" name="AutoShape 1" descr="Vista previa de toda la pantalla">
          <a:extLst>
            <a:ext uri="{FF2B5EF4-FFF2-40B4-BE49-F238E27FC236}">
              <a16:creationId xmlns:a16="http://schemas.microsoft.com/office/drawing/2014/main" id="{F4AD5642-18E6-4055-AB77-63E7DE2AAD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1" name="AutoShape 1" descr="Vista previa de toda la pantalla">
          <a:extLst>
            <a:ext uri="{FF2B5EF4-FFF2-40B4-BE49-F238E27FC236}">
              <a16:creationId xmlns:a16="http://schemas.microsoft.com/office/drawing/2014/main" id="{562D2EB3-205D-49FC-8BFD-F48E15F86E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2" name="AutoShape 1" descr="Vista previa de toda la pantalla">
          <a:extLst>
            <a:ext uri="{FF2B5EF4-FFF2-40B4-BE49-F238E27FC236}">
              <a16:creationId xmlns:a16="http://schemas.microsoft.com/office/drawing/2014/main" id="{31C7FA19-22DE-4612-88E4-A2450AB712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3" name="AutoShape 1" descr="Vista previa de toda la pantalla">
          <a:extLst>
            <a:ext uri="{FF2B5EF4-FFF2-40B4-BE49-F238E27FC236}">
              <a16:creationId xmlns:a16="http://schemas.microsoft.com/office/drawing/2014/main" id="{FF6658DF-614C-46FF-A183-1CB46CFBA4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4" name="AutoShape 1" descr="Vista previa de toda la pantalla">
          <a:extLst>
            <a:ext uri="{FF2B5EF4-FFF2-40B4-BE49-F238E27FC236}">
              <a16:creationId xmlns:a16="http://schemas.microsoft.com/office/drawing/2014/main" id="{6B29DD15-5920-4A6E-956D-EB682B6144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5" name="AutoShape 1" descr="Vista previa de toda la pantalla">
          <a:extLst>
            <a:ext uri="{FF2B5EF4-FFF2-40B4-BE49-F238E27FC236}">
              <a16:creationId xmlns:a16="http://schemas.microsoft.com/office/drawing/2014/main" id="{6DD904BE-CD62-4F8B-9D48-61830215DE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6" name="AutoShape 1" descr="Vista previa de toda la pantalla">
          <a:extLst>
            <a:ext uri="{FF2B5EF4-FFF2-40B4-BE49-F238E27FC236}">
              <a16:creationId xmlns:a16="http://schemas.microsoft.com/office/drawing/2014/main" id="{B6DBC17B-8EBB-41C3-B60C-E367F046EA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7" name="AutoShape 1" descr="Vista previa de toda la pantalla">
          <a:extLst>
            <a:ext uri="{FF2B5EF4-FFF2-40B4-BE49-F238E27FC236}">
              <a16:creationId xmlns:a16="http://schemas.microsoft.com/office/drawing/2014/main" id="{3430B269-6007-49AF-A936-F40FF6729A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8" name="AutoShape 1" descr="Vista previa de toda la pantalla">
          <a:extLst>
            <a:ext uri="{FF2B5EF4-FFF2-40B4-BE49-F238E27FC236}">
              <a16:creationId xmlns:a16="http://schemas.microsoft.com/office/drawing/2014/main" id="{31DBBB0E-79A0-4381-BC60-49317BB521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69" name="AutoShape 1" descr="Vista previa de toda la pantalla">
          <a:extLst>
            <a:ext uri="{FF2B5EF4-FFF2-40B4-BE49-F238E27FC236}">
              <a16:creationId xmlns:a16="http://schemas.microsoft.com/office/drawing/2014/main" id="{1EB26072-6A5B-4F3B-8A95-EC4466DDE8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0" name="AutoShape 1" descr="Vista previa de toda la pantalla">
          <a:extLst>
            <a:ext uri="{FF2B5EF4-FFF2-40B4-BE49-F238E27FC236}">
              <a16:creationId xmlns:a16="http://schemas.microsoft.com/office/drawing/2014/main" id="{18267EA1-1590-462D-A4DC-1623FF3FA1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1" name="AutoShape 1" descr="Vista previa de toda la pantalla">
          <a:extLst>
            <a:ext uri="{FF2B5EF4-FFF2-40B4-BE49-F238E27FC236}">
              <a16:creationId xmlns:a16="http://schemas.microsoft.com/office/drawing/2014/main" id="{88ED8E44-ECDE-4495-B6B7-C4E99D9E9A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2" name="AutoShape 1" descr="Vista previa de toda la pantalla">
          <a:extLst>
            <a:ext uri="{FF2B5EF4-FFF2-40B4-BE49-F238E27FC236}">
              <a16:creationId xmlns:a16="http://schemas.microsoft.com/office/drawing/2014/main" id="{A117CFDE-B392-468D-A5A9-AF81686C00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3" name="AutoShape 1" descr="Vista previa de toda la pantalla">
          <a:extLst>
            <a:ext uri="{FF2B5EF4-FFF2-40B4-BE49-F238E27FC236}">
              <a16:creationId xmlns:a16="http://schemas.microsoft.com/office/drawing/2014/main" id="{41DBDE63-06E1-4E4E-8948-BE727A3DC0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4" name="AutoShape 1" descr="Vista previa de toda la pantalla">
          <a:extLst>
            <a:ext uri="{FF2B5EF4-FFF2-40B4-BE49-F238E27FC236}">
              <a16:creationId xmlns:a16="http://schemas.microsoft.com/office/drawing/2014/main" id="{4E6423DE-861B-401B-8AF7-4B01CB3B51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5" name="AutoShape 1" descr="Vista previa de toda la pantalla">
          <a:extLst>
            <a:ext uri="{FF2B5EF4-FFF2-40B4-BE49-F238E27FC236}">
              <a16:creationId xmlns:a16="http://schemas.microsoft.com/office/drawing/2014/main" id="{5BF996EE-63DE-47D2-A2D8-2755F06FA4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6" name="AutoShape 1" descr="Vista previa de toda la pantalla">
          <a:extLst>
            <a:ext uri="{FF2B5EF4-FFF2-40B4-BE49-F238E27FC236}">
              <a16:creationId xmlns:a16="http://schemas.microsoft.com/office/drawing/2014/main" id="{3D58FA52-552E-41C4-9589-E4743C6166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7" name="AutoShape 1" descr="Vista previa de toda la pantalla">
          <a:extLst>
            <a:ext uri="{FF2B5EF4-FFF2-40B4-BE49-F238E27FC236}">
              <a16:creationId xmlns:a16="http://schemas.microsoft.com/office/drawing/2014/main" id="{D3939C5A-46C2-4B77-8B16-9742F4ED1E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8" name="AutoShape 1" descr="Vista previa de toda la pantalla">
          <a:extLst>
            <a:ext uri="{FF2B5EF4-FFF2-40B4-BE49-F238E27FC236}">
              <a16:creationId xmlns:a16="http://schemas.microsoft.com/office/drawing/2014/main" id="{76943529-6762-42E7-912A-2C255F4630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79" name="AutoShape 1" descr="Vista previa de toda la pantalla">
          <a:extLst>
            <a:ext uri="{FF2B5EF4-FFF2-40B4-BE49-F238E27FC236}">
              <a16:creationId xmlns:a16="http://schemas.microsoft.com/office/drawing/2014/main" id="{ABC29000-2ED8-4D5E-A3B3-DB4FF7EA61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0" name="AutoShape 1" descr="Vista previa de toda la pantalla">
          <a:extLst>
            <a:ext uri="{FF2B5EF4-FFF2-40B4-BE49-F238E27FC236}">
              <a16:creationId xmlns:a16="http://schemas.microsoft.com/office/drawing/2014/main" id="{83DA78C9-E15F-4A4A-B7C6-4F138F9820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1" name="AutoShape 1" descr="Vista previa de toda la pantalla">
          <a:extLst>
            <a:ext uri="{FF2B5EF4-FFF2-40B4-BE49-F238E27FC236}">
              <a16:creationId xmlns:a16="http://schemas.microsoft.com/office/drawing/2014/main" id="{3B7DB85E-B736-4AFE-BAF7-6ABB908C6B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2" name="AutoShape 1" descr="Vista previa de toda la pantalla">
          <a:extLst>
            <a:ext uri="{FF2B5EF4-FFF2-40B4-BE49-F238E27FC236}">
              <a16:creationId xmlns:a16="http://schemas.microsoft.com/office/drawing/2014/main" id="{7ABBF752-521B-4B39-A388-A4EC557640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3" name="AutoShape 1" descr="Vista previa de toda la pantalla">
          <a:extLst>
            <a:ext uri="{FF2B5EF4-FFF2-40B4-BE49-F238E27FC236}">
              <a16:creationId xmlns:a16="http://schemas.microsoft.com/office/drawing/2014/main" id="{338A7680-683E-4AD4-B9FC-40B6AB5260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4" name="AutoShape 1" descr="Vista previa de toda la pantalla">
          <a:extLst>
            <a:ext uri="{FF2B5EF4-FFF2-40B4-BE49-F238E27FC236}">
              <a16:creationId xmlns:a16="http://schemas.microsoft.com/office/drawing/2014/main" id="{928D2BBA-EDE9-4D4B-8A04-8B613AAE95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5" name="AutoShape 1" descr="Vista previa de toda la pantalla">
          <a:extLst>
            <a:ext uri="{FF2B5EF4-FFF2-40B4-BE49-F238E27FC236}">
              <a16:creationId xmlns:a16="http://schemas.microsoft.com/office/drawing/2014/main" id="{68F9F170-5C02-48DB-8134-821A4380E7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6" name="AutoShape 1" descr="Vista previa de toda la pantalla">
          <a:extLst>
            <a:ext uri="{FF2B5EF4-FFF2-40B4-BE49-F238E27FC236}">
              <a16:creationId xmlns:a16="http://schemas.microsoft.com/office/drawing/2014/main" id="{DE01550D-13CE-48E6-9843-9AA6C9D370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7" name="AutoShape 1" descr="Vista previa de toda la pantalla">
          <a:extLst>
            <a:ext uri="{FF2B5EF4-FFF2-40B4-BE49-F238E27FC236}">
              <a16:creationId xmlns:a16="http://schemas.microsoft.com/office/drawing/2014/main" id="{EA076880-D5F1-46EE-9884-8C39BDBE46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8" name="AutoShape 1" descr="Vista previa de toda la pantalla">
          <a:extLst>
            <a:ext uri="{FF2B5EF4-FFF2-40B4-BE49-F238E27FC236}">
              <a16:creationId xmlns:a16="http://schemas.microsoft.com/office/drawing/2014/main" id="{53FE3E96-88A3-4F15-9F1E-524AE0DF4C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89" name="AutoShape 1" descr="Vista previa de toda la pantalla">
          <a:extLst>
            <a:ext uri="{FF2B5EF4-FFF2-40B4-BE49-F238E27FC236}">
              <a16:creationId xmlns:a16="http://schemas.microsoft.com/office/drawing/2014/main" id="{5890CD60-8BFA-47E2-8CEA-C5E0D16CCE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0" name="AutoShape 1" descr="Vista previa de toda la pantalla">
          <a:extLst>
            <a:ext uri="{FF2B5EF4-FFF2-40B4-BE49-F238E27FC236}">
              <a16:creationId xmlns:a16="http://schemas.microsoft.com/office/drawing/2014/main" id="{2165421A-D5B5-4A97-B529-27CAC92EB2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1" name="AutoShape 1" descr="Vista previa de toda la pantalla">
          <a:extLst>
            <a:ext uri="{FF2B5EF4-FFF2-40B4-BE49-F238E27FC236}">
              <a16:creationId xmlns:a16="http://schemas.microsoft.com/office/drawing/2014/main" id="{BA189196-BFF3-4EF6-9F5E-E6EE0BE1AB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2" name="AutoShape 1" descr="Vista previa de toda la pantalla">
          <a:extLst>
            <a:ext uri="{FF2B5EF4-FFF2-40B4-BE49-F238E27FC236}">
              <a16:creationId xmlns:a16="http://schemas.microsoft.com/office/drawing/2014/main" id="{815D3F51-B546-4D26-B221-61CC202CFB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3" name="AutoShape 1" descr="Vista previa de toda la pantalla">
          <a:extLst>
            <a:ext uri="{FF2B5EF4-FFF2-40B4-BE49-F238E27FC236}">
              <a16:creationId xmlns:a16="http://schemas.microsoft.com/office/drawing/2014/main" id="{C62B198A-E5A6-43D2-89A6-35493FFE3E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4" name="AutoShape 1" descr="Vista previa de toda la pantalla">
          <a:extLst>
            <a:ext uri="{FF2B5EF4-FFF2-40B4-BE49-F238E27FC236}">
              <a16:creationId xmlns:a16="http://schemas.microsoft.com/office/drawing/2014/main" id="{D9164F78-DBD8-4937-B40D-2288D54343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5" name="AutoShape 1" descr="Vista previa de toda la pantalla">
          <a:extLst>
            <a:ext uri="{FF2B5EF4-FFF2-40B4-BE49-F238E27FC236}">
              <a16:creationId xmlns:a16="http://schemas.microsoft.com/office/drawing/2014/main" id="{B8134339-BFD0-4DC0-B749-14765E8412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6" name="AutoShape 1" descr="Vista previa de toda la pantalla">
          <a:extLst>
            <a:ext uri="{FF2B5EF4-FFF2-40B4-BE49-F238E27FC236}">
              <a16:creationId xmlns:a16="http://schemas.microsoft.com/office/drawing/2014/main" id="{203EAA28-3970-4B81-B613-A5F1510E76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7" name="AutoShape 1" descr="Vista previa de toda la pantalla">
          <a:extLst>
            <a:ext uri="{FF2B5EF4-FFF2-40B4-BE49-F238E27FC236}">
              <a16:creationId xmlns:a16="http://schemas.microsoft.com/office/drawing/2014/main" id="{777AFD06-1BDD-411F-8EBB-266B33560A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8" name="AutoShape 1" descr="Vista previa de toda la pantalla">
          <a:extLst>
            <a:ext uri="{FF2B5EF4-FFF2-40B4-BE49-F238E27FC236}">
              <a16:creationId xmlns:a16="http://schemas.microsoft.com/office/drawing/2014/main" id="{77FF8314-C784-4D27-90EF-CE557BD531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2999" name="AutoShape 1" descr="Vista previa de toda la pantalla">
          <a:extLst>
            <a:ext uri="{FF2B5EF4-FFF2-40B4-BE49-F238E27FC236}">
              <a16:creationId xmlns:a16="http://schemas.microsoft.com/office/drawing/2014/main" id="{E62E977A-7A42-477E-9D92-D3F7726763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0" name="AutoShape 1" descr="Vista previa de toda la pantalla">
          <a:extLst>
            <a:ext uri="{FF2B5EF4-FFF2-40B4-BE49-F238E27FC236}">
              <a16:creationId xmlns:a16="http://schemas.microsoft.com/office/drawing/2014/main" id="{B1D6E810-DDAE-43CC-8DD0-AD9576EB6F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1" name="AutoShape 1" descr="Vista previa de toda la pantalla">
          <a:extLst>
            <a:ext uri="{FF2B5EF4-FFF2-40B4-BE49-F238E27FC236}">
              <a16:creationId xmlns:a16="http://schemas.microsoft.com/office/drawing/2014/main" id="{44A5E369-8073-49D1-927D-D0BF7DF1BB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2" name="AutoShape 1" descr="Vista previa de toda la pantalla">
          <a:extLst>
            <a:ext uri="{FF2B5EF4-FFF2-40B4-BE49-F238E27FC236}">
              <a16:creationId xmlns:a16="http://schemas.microsoft.com/office/drawing/2014/main" id="{1317C745-67FF-4193-9836-601C2BB76F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3" name="AutoShape 1" descr="Vista previa de toda la pantalla">
          <a:extLst>
            <a:ext uri="{FF2B5EF4-FFF2-40B4-BE49-F238E27FC236}">
              <a16:creationId xmlns:a16="http://schemas.microsoft.com/office/drawing/2014/main" id="{D3D1BA8E-53A3-44EC-8797-944DED958D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4" name="AutoShape 1" descr="Vista previa de toda la pantalla">
          <a:extLst>
            <a:ext uri="{FF2B5EF4-FFF2-40B4-BE49-F238E27FC236}">
              <a16:creationId xmlns:a16="http://schemas.microsoft.com/office/drawing/2014/main" id="{17E8E53A-B43F-422E-BC47-81FABCCE7A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5" name="AutoShape 1" descr="Vista previa de toda la pantalla">
          <a:extLst>
            <a:ext uri="{FF2B5EF4-FFF2-40B4-BE49-F238E27FC236}">
              <a16:creationId xmlns:a16="http://schemas.microsoft.com/office/drawing/2014/main" id="{13E7D6B0-5FFA-4969-8CA8-F3721E8210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6" name="AutoShape 1" descr="Vista previa de toda la pantalla">
          <a:extLst>
            <a:ext uri="{FF2B5EF4-FFF2-40B4-BE49-F238E27FC236}">
              <a16:creationId xmlns:a16="http://schemas.microsoft.com/office/drawing/2014/main" id="{76E88355-F806-42E7-A011-B02257F433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7" name="AutoShape 1" descr="Vista previa de toda la pantalla">
          <a:extLst>
            <a:ext uri="{FF2B5EF4-FFF2-40B4-BE49-F238E27FC236}">
              <a16:creationId xmlns:a16="http://schemas.microsoft.com/office/drawing/2014/main" id="{E8AB332C-328E-4F27-8A51-0E1F679B82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8" name="AutoShape 1" descr="Vista previa de toda la pantalla">
          <a:extLst>
            <a:ext uri="{FF2B5EF4-FFF2-40B4-BE49-F238E27FC236}">
              <a16:creationId xmlns:a16="http://schemas.microsoft.com/office/drawing/2014/main" id="{DF5C5041-FC10-4450-A098-6811D67559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09" name="AutoShape 1" descr="Vista previa de toda la pantalla">
          <a:extLst>
            <a:ext uri="{FF2B5EF4-FFF2-40B4-BE49-F238E27FC236}">
              <a16:creationId xmlns:a16="http://schemas.microsoft.com/office/drawing/2014/main" id="{AE1D3613-1118-48D9-AA2A-C565AB43F2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0" name="AutoShape 1" descr="Vista previa de toda la pantalla">
          <a:extLst>
            <a:ext uri="{FF2B5EF4-FFF2-40B4-BE49-F238E27FC236}">
              <a16:creationId xmlns:a16="http://schemas.microsoft.com/office/drawing/2014/main" id="{A5AEF1F1-9F6C-4F3A-955A-EB7A269A1D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1" name="AutoShape 1" descr="Vista previa de toda la pantalla">
          <a:extLst>
            <a:ext uri="{FF2B5EF4-FFF2-40B4-BE49-F238E27FC236}">
              <a16:creationId xmlns:a16="http://schemas.microsoft.com/office/drawing/2014/main" id="{D0EB092F-E49F-4711-A7F8-3FCE03F119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2" name="AutoShape 1" descr="Vista previa de toda la pantalla">
          <a:extLst>
            <a:ext uri="{FF2B5EF4-FFF2-40B4-BE49-F238E27FC236}">
              <a16:creationId xmlns:a16="http://schemas.microsoft.com/office/drawing/2014/main" id="{5A67CC1A-F041-4A10-801D-0EBCD9A439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3" name="AutoShape 1" descr="Vista previa de toda la pantalla">
          <a:extLst>
            <a:ext uri="{FF2B5EF4-FFF2-40B4-BE49-F238E27FC236}">
              <a16:creationId xmlns:a16="http://schemas.microsoft.com/office/drawing/2014/main" id="{B5E3CF01-446F-4D4A-AB04-435DB5DC94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4" name="AutoShape 1" descr="Vista previa de toda la pantalla">
          <a:extLst>
            <a:ext uri="{FF2B5EF4-FFF2-40B4-BE49-F238E27FC236}">
              <a16:creationId xmlns:a16="http://schemas.microsoft.com/office/drawing/2014/main" id="{AECC912A-BB4C-4F0D-AE0D-EB573826B4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5" name="AutoShape 1" descr="Vista previa de toda la pantalla">
          <a:extLst>
            <a:ext uri="{FF2B5EF4-FFF2-40B4-BE49-F238E27FC236}">
              <a16:creationId xmlns:a16="http://schemas.microsoft.com/office/drawing/2014/main" id="{F390F4B0-FB66-421E-8786-73774AAEE3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6" name="AutoShape 1" descr="Vista previa de toda la pantalla">
          <a:extLst>
            <a:ext uri="{FF2B5EF4-FFF2-40B4-BE49-F238E27FC236}">
              <a16:creationId xmlns:a16="http://schemas.microsoft.com/office/drawing/2014/main" id="{F764AAE3-6AB1-48CC-9515-200580BB25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7" name="AutoShape 1" descr="Vista previa de toda la pantalla">
          <a:extLst>
            <a:ext uri="{FF2B5EF4-FFF2-40B4-BE49-F238E27FC236}">
              <a16:creationId xmlns:a16="http://schemas.microsoft.com/office/drawing/2014/main" id="{096C89A0-1A3F-4104-868B-982C982FFC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8" name="AutoShape 1" descr="Vista previa de toda la pantalla">
          <a:extLst>
            <a:ext uri="{FF2B5EF4-FFF2-40B4-BE49-F238E27FC236}">
              <a16:creationId xmlns:a16="http://schemas.microsoft.com/office/drawing/2014/main" id="{38014EAF-501A-4499-9F92-B38DA33C59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19" name="AutoShape 1" descr="Vista previa de toda la pantalla">
          <a:extLst>
            <a:ext uri="{FF2B5EF4-FFF2-40B4-BE49-F238E27FC236}">
              <a16:creationId xmlns:a16="http://schemas.microsoft.com/office/drawing/2014/main" id="{70E8C128-310E-484A-99FF-9B8B6BDB4E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0" name="AutoShape 1" descr="Vista previa de toda la pantalla">
          <a:extLst>
            <a:ext uri="{FF2B5EF4-FFF2-40B4-BE49-F238E27FC236}">
              <a16:creationId xmlns:a16="http://schemas.microsoft.com/office/drawing/2014/main" id="{434519F3-1A9B-41E6-9FA7-B03B025603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1" name="AutoShape 1" descr="Vista previa de toda la pantalla">
          <a:extLst>
            <a:ext uri="{FF2B5EF4-FFF2-40B4-BE49-F238E27FC236}">
              <a16:creationId xmlns:a16="http://schemas.microsoft.com/office/drawing/2014/main" id="{9E61D5B8-0CFB-43DB-A5D9-2A97116029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2" name="AutoShape 1" descr="Vista previa de toda la pantalla">
          <a:extLst>
            <a:ext uri="{FF2B5EF4-FFF2-40B4-BE49-F238E27FC236}">
              <a16:creationId xmlns:a16="http://schemas.microsoft.com/office/drawing/2014/main" id="{4B63054E-3A03-4D2A-9AFA-D8B86D6BD8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3" name="AutoShape 1" descr="Vista previa de toda la pantalla">
          <a:extLst>
            <a:ext uri="{FF2B5EF4-FFF2-40B4-BE49-F238E27FC236}">
              <a16:creationId xmlns:a16="http://schemas.microsoft.com/office/drawing/2014/main" id="{626CFB33-55B2-4E10-8EF1-9082D9BBEA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4" name="AutoShape 1" descr="Vista previa de toda la pantalla">
          <a:extLst>
            <a:ext uri="{FF2B5EF4-FFF2-40B4-BE49-F238E27FC236}">
              <a16:creationId xmlns:a16="http://schemas.microsoft.com/office/drawing/2014/main" id="{FCBD3E01-4AFC-4524-BBDE-F35CBC7800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5" name="AutoShape 1" descr="Vista previa de toda la pantalla">
          <a:extLst>
            <a:ext uri="{FF2B5EF4-FFF2-40B4-BE49-F238E27FC236}">
              <a16:creationId xmlns:a16="http://schemas.microsoft.com/office/drawing/2014/main" id="{358721F2-0E34-467D-85C3-BD9F72EEBE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6" name="AutoShape 1" descr="Vista previa de toda la pantalla">
          <a:extLst>
            <a:ext uri="{FF2B5EF4-FFF2-40B4-BE49-F238E27FC236}">
              <a16:creationId xmlns:a16="http://schemas.microsoft.com/office/drawing/2014/main" id="{D458F3DE-56BB-4181-8745-72151A0490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7" name="AutoShape 1" descr="Vista previa de toda la pantalla">
          <a:extLst>
            <a:ext uri="{FF2B5EF4-FFF2-40B4-BE49-F238E27FC236}">
              <a16:creationId xmlns:a16="http://schemas.microsoft.com/office/drawing/2014/main" id="{E33ABC2C-9220-4976-8595-BDE3B60458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8" name="AutoShape 1" descr="Vista previa de toda la pantalla">
          <a:extLst>
            <a:ext uri="{FF2B5EF4-FFF2-40B4-BE49-F238E27FC236}">
              <a16:creationId xmlns:a16="http://schemas.microsoft.com/office/drawing/2014/main" id="{A68969AD-5AAD-41F0-AC8C-CDDB6CFFED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29" name="AutoShape 1" descr="Vista previa de toda la pantalla">
          <a:extLst>
            <a:ext uri="{FF2B5EF4-FFF2-40B4-BE49-F238E27FC236}">
              <a16:creationId xmlns:a16="http://schemas.microsoft.com/office/drawing/2014/main" id="{0774128A-FFA9-4DB2-A094-8EF31EFD02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0" name="AutoShape 1" descr="Vista previa de toda la pantalla">
          <a:extLst>
            <a:ext uri="{FF2B5EF4-FFF2-40B4-BE49-F238E27FC236}">
              <a16:creationId xmlns:a16="http://schemas.microsoft.com/office/drawing/2014/main" id="{ED6AA7CA-9F78-4576-9192-A1C6B9EFFF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1" name="AutoShape 1" descr="Vista previa de toda la pantalla">
          <a:extLst>
            <a:ext uri="{FF2B5EF4-FFF2-40B4-BE49-F238E27FC236}">
              <a16:creationId xmlns:a16="http://schemas.microsoft.com/office/drawing/2014/main" id="{4434808F-2C48-494C-8293-8B0D0D503A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2" name="AutoShape 1" descr="Vista previa de toda la pantalla">
          <a:extLst>
            <a:ext uri="{FF2B5EF4-FFF2-40B4-BE49-F238E27FC236}">
              <a16:creationId xmlns:a16="http://schemas.microsoft.com/office/drawing/2014/main" id="{F7B8F847-C12A-49B4-90B0-5A2C890FE8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3" name="AutoShape 1" descr="Vista previa de toda la pantalla">
          <a:extLst>
            <a:ext uri="{FF2B5EF4-FFF2-40B4-BE49-F238E27FC236}">
              <a16:creationId xmlns:a16="http://schemas.microsoft.com/office/drawing/2014/main" id="{BE9462E6-7B4B-46DA-9648-B21A81C6C7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4" name="AutoShape 1" descr="Vista previa de toda la pantalla">
          <a:extLst>
            <a:ext uri="{FF2B5EF4-FFF2-40B4-BE49-F238E27FC236}">
              <a16:creationId xmlns:a16="http://schemas.microsoft.com/office/drawing/2014/main" id="{622F2558-AFA6-485D-BE7B-4F75489CAA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5" name="AutoShape 1" descr="Vista previa de toda la pantalla">
          <a:extLst>
            <a:ext uri="{FF2B5EF4-FFF2-40B4-BE49-F238E27FC236}">
              <a16:creationId xmlns:a16="http://schemas.microsoft.com/office/drawing/2014/main" id="{0F401573-00A4-46BE-AF81-25BB6DE859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6" name="AutoShape 1" descr="Vista previa de toda la pantalla">
          <a:extLst>
            <a:ext uri="{FF2B5EF4-FFF2-40B4-BE49-F238E27FC236}">
              <a16:creationId xmlns:a16="http://schemas.microsoft.com/office/drawing/2014/main" id="{F115E53B-7798-489B-AE89-42664BEB65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7" name="AutoShape 1" descr="Vista previa de toda la pantalla">
          <a:extLst>
            <a:ext uri="{FF2B5EF4-FFF2-40B4-BE49-F238E27FC236}">
              <a16:creationId xmlns:a16="http://schemas.microsoft.com/office/drawing/2014/main" id="{8669F93C-7987-43FC-9F20-080F47A8DE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8" name="AutoShape 1" descr="Vista previa de toda la pantalla">
          <a:extLst>
            <a:ext uri="{FF2B5EF4-FFF2-40B4-BE49-F238E27FC236}">
              <a16:creationId xmlns:a16="http://schemas.microsoft.com/office/drawing/2014/main" id="{D6F4742D-5846-446B-B25E-2244D9CFB5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39" name="AutoShape 1" descr="Vista previa de toda la pantalla">
          <a:extLst>
            <a:ext uri="{FF2B5EF4-FFF2-40B4-BE49-F238E27FC236}">
              <a16:creationId xmlns:a16="http://schemas.microsoft.com/office/drawing/2014/main" id="{0AC90143-E33E-4E55-88F3-CF7F78A1EA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0" name="AutoShape 1" descr="Vista previa de toda la pantalla">
          <a:extLst>
            <a:ext uri="{FF2B5EF4-FFF2-40B4-BE49-F238E27FC236}">
              <a16:creationId xmlns:a16="http://schemas.microsoft.com/office/drawing/2014/main" id="{F2AEB830-C549-4113-9973-35DFEA2E88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1" name="AutoShape 1" descr="Vista previa de toda la pantalla">
          <a:extLst>
            <a:ext uri="{FF2B5EF4-FFF2-40B4-BE49-F238E27FC236}">
              <a16:creationId xmlns:a16="http://schemas.microsoft.com/office/drawing/2014/main" id="{2F74EADE-C2E6-4784-BABC-DA6347B530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2" name="AutoShape 1" descr="Vista previa de toda la pantalla">
          <a:extLst>
            <a:ext uri="{FF2B5EF4-FFF2-40B4-BE49-F238E27FC236}">
              <a16:creationId xmlns:a16="http://schemas.microsoft.com/office/drawing/2014/main" id="{34203D19-C636-49F8-9302-6F1F58570E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3" name="AutoShape 1" descr="Vista previa de toda la pantalla">
          <a:extLst>
            <a:ext uri="{FF2B5EF4-FFF2-40B4-BE49-F238E27FC236}">
              <a16:creationId xmlns:a16="http://schemas.microsoft.com/office/drawing/2014/main" id="{964CBA48-E475-42A0-BF1E-509B0D97C4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4" name="AutoShape 1" descr="Vista previa de toda la pantalla">
          <a:extLst>
            <a:ext uri="{FF2B5EF4-FFF2-40B4-BE49-F238E27FC236}">
              <a16:creationId xmlns:a16="http://schemas.microsoft.com/office/drawing/2014/main" id="{2347F40A-1F9C-4ED6-8792-4CE68BACEB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5" name="AutoShape 1" descr="Vista previa de toda la pantalla">
          <a:extLst>
            <a:ext uri="{FF2B5EF4-FFF2-40B4-BE49-F238E27FC236}">
              <a16:creationId xmlns:a16="http://schemas.microsoft.com/office/drawing/2014/main" id="{CA3EC857-222E-4294-9BB6-4DD5F7FEEA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6" name="AutoShape 1" descr="Vista previa de toda la pantalla">
          <a:extLst>
            <a:ext uri="{FF2B5EF4-FFF2-40B4-BE49-F238E27FC236}">
              <a16:creationId xmlns:a16="http://schemas.microsoft.com/office/drawing/2014/main" id="{545DDA31-5B55-4631-AA1E-DF8FD28701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7" name="AutoShape 1" descr="Vista previa de toda la pantalla">
          <a:extLst>
            <a:ext uri="{FF2B5EF4-FFF2-40B4-BE49-F238E27FC236}">
              <a16:creationId xmlns:a16="http://schemas.microsoft.com/office/drawing/2014/main" id="{0387A993-88D9-4ED0-AA0A-038C358F83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8" name="AutoShape 1" descr="Vista previa de toda la pantalla">
          <a:extLst>
            <a:ext uri="{FF2B5EF4-FFF2-40B4-BE49-F238E27FC236}">
              <a16:creationId xmlns:a16="http://schemas.microsoft.com/office/drawing/2014/main" id="{7B0B7570-55EB-4851-90A3-9E84C1257A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49" name="AutoShape 1" descr="Vista previa de toda la pantalla">
          <a:extLst>
            <a:ext uri="{FF2B5EF4-FFF2-40B4-BE49-F238E27FC236}">
              <a16:creationId xmlns:a16="http://schemas.microsoft.com/office/drawing/2014/main" id="{0FE927F5-88B1-4E1D-8828-8EACFA23DE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50" name="AutoShape 1" descr="Vista previa de toda la pantalla">
          <a:extLst>
            <a:ext uri="{FF2B5EF4-FFF2-40B4-BE49-F238E27FC236}">
              <a16:creationId xmlns:a16="http://schemas.microsoft.com/office/drawing/2014/main" id="{2C9E180E-72CB-41A0-97F5-6A94298BE3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3051" name="AutoShape 1" descr="Vista previa de toda la pantalla">
          <a:extLst>
            <a:ext uri="{FF2B5EF4-FFF2-40B4-BE49-F238E27FC236}">
              <a16:creationId xmlns:a16="http://schemas.microsoft.com/office/drawing/2014/main" id="{F51780E1-A47C-4832-A573-F7ABB21D2637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52" name="AutoShape 1" descr="Vista previa de toda la pantalla">
          <a:extLst>
            <a:ext uri="{FF2B5EF4-FFF2-40B4-BE49-F238E27FC236}">
              <a16:creationId xmlns:a16="http://schemas.microsoft.com/office/drawing/2014/main" id="{F996642C-BB65-4B93-9F83-BA842C4772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53" name="AutoShape 1" descr="Vista previa de toda la pantalla">
          <a:extLst>
            <a:ext uri="{FF2B5EF4-FFF2-40B4-BE49-F238E27FC236}">
              <a16:creationId xmlns:a16="http://schemas.microsoft.com/office/drawing/2014/main" id="{A06B767B-E200-4F45-8AF3-EA9A0F5167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54" name="AutoShape 1" descr="Vista previa de toda la pantalla">
          <a:extLst>
            <a:ext uri="{FF2B5EF4-FFF2-40B4-BE49-F238E27FC236}">
              <a16:creationId xmlns:a16="http://schemas.microsoft.com/office/drawing/2014/main" id="{568CAFA5-F031-454E-AFA6-870429433C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55" name="AutoShape 1" descr="Vista previa de toda la pantalla">
          <a:extLst>
            <a:ext uri="{FF2B5EF4-FFF2-40B4-BE49-F238E27FC236}">
              <a16:creationId xmlns:a16="http://schemas.microsoft.com/office/drawing/2014/main" id="{9BEF6079-B826-4BAD-BA85-C82C64B6C6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56" name="AutoShape 1" descr="Vista previa de toda la pantalla">
          <a:extLst>
            <a:ext uri="{FF2B5EF4-FFF2-40B4-BE49-F238E27FC236}">
              <a16:creationId xmlns:a16="http://schemas.microsoft.com/office/drawing/2014/main" id="{A6BD2DF3-FF4E-4CD4-A525-B3B72B3F87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57" name="AutoShape 1" descr="Vista previa de toda la pantalla">
          <a:extLst>
            <a:ext uri="{FF2B5EF4-FFF2-40B4-BE49-F238E27FC236}">
              <a16:creationId xmlns:a16="http://schemas.microsoft.com/office/drawing/2014/main" id="{09DD8F3A-30A6-4B0A-BF1B-5D5841CB8B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58" name="AutoShape 1" descr="Vista previa de toda la pantalla">
          <a:extLst>
            <a:ext uri="{FF2B5EF4-FFF2-40B4-BE49-F238E27FC236}">
              <a16:creationId xmlns:a16="http://schemas.microsoft.com/office/drawing/2014/main" id="{22A29354-D8C6-45FF-B64B-3E087EB322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59" name="AutoShape 1" descr="Vista previa de toda la pantalla">
          <a:extLst>
            <a:ext uri="{FF2B5EF4-FFF2-40B4-BE49-F238E27FC236}">
              <a16:creationId xmlns:a16="http://schemas.microsoft.com/office/drawing/2014/main" id="{28FB1D0F-9DCE-4378-B042-4CC15E9CF4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0" name="AutoShape 1" descr="Vista previa de toda la pantalla">
          <a:extLst>
            <a:ext uri="{FF2B5EF4-FFF2-40B4-BE49-F238E27FC236}">
              <a16:creationId xmlns:a16="http://schemas.microsoft.com/office/drawing/2014/main" id="{E836C267-973C-436B-8F62-900AE1A38C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1" name="AutoShape 1" descr="Vista previa de toda la pantalla">
          <a:extLst>
            <a:ext uri="{FF2B5EF4-FFF2-40B4-BE49-F238E27FC236}">
              <a16:creationId xmlns:a16="http://schemas.microsoft.com/office/drawing/2014/main" id="{6CE8D467-F9C8-4A56-8AFC-D139885089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2" name="AutoShape 1" descr="Vista previa de toda la pantalla">
          <a:extLst>
            <a:ext uri="{FF2B5EF4-FFF2-40B4-BE49-F238E27FC236}">
              <a16:creationId xmlns:a16="http://schemas.microsoft.com/office/drawing/2014/main" id="{0D582817-B15D-4D19-BD2B-2D38D30317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3" name="AutoShape 1" descr="Vista previa de toda la pantalla">
          <a:extLst>
            <a:ext uri="{FF2B5EF4-FFF2-40B4-BE49-F238E27FC236}">
              <a16:creationId xmlns:a16="http://schemas.microsoft.com/office/drawing/2014/main" id="{0E086A6B-0F55-4C84-8FF6-6583984260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4" name="AutoShape 1" descr="Vista previa de toda la pantalla">
          <a:extLst>
            <a:ext uri="{FF2B5EF4-FFF2-40B4-BE49-F238E27FC236}">
              <a16:creationId xmlns:a16="http://schemas.microsoft.com/office/drawing/2014/main" id="{4DC30944-80C7-467F-B6E0-ECE480F3CF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5" name="AutoShape 1" descr="Vista previa de toda la pantalla">
          <a:extLst>
            <a:ext uri="{FF2B5EF4-FFF2-40B4-BE49-F238E27FC236}">
              <a16:creationId xmlns:a16="http://schemas.microsoft.com/office/drawing/2014/main" id="{5262A657-F3C0-4DBA-A14F-9B025A5ABE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6" name="AutoShape 1" descr="Vista previa de toda la pantalla">
          <a:extLst>
            <a:ext uri="{FF2B5EF4-FFF2-40B4-BE49-F238E27FC236}">
              <a16:creationId xmlns:a16="http://schemas.microsoft.com/office/drawing/2014/main" id="{FF18EE59-71E6-40DF-B100-2310825C04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7" name="AutoShape 1" descr="Vista previa de toda la pantalla">
          <a:extLst>
            <a:ext uri="{FF2B5EF4-FFF2-40B4-BE49-F238E27FC236}">
              <a16:creationId xmlns:a16="http://schemas.microsoft.com/office/drawing/2014/main" id="{F589A176-3F0D-4617-B0D3-7F3988002F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8" name="AutoShape 1" descr="Vista previa de toda la pantalla">
          <a:extLst>
            <a:ext uri="{FF2B5EF4-FFF2-40B4-BE49-F238E27FC236}">
              <a16:creationId xmlns:a16="http://schemas.microsoft.com/office/drawing/2014/main" id="{D21FE592-7550-438E-833B-BA0676DDA7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69" name="AutoShape 1" descr="Vista previa de toda la pantalla">
          <a:extLst>
            <a:ext uri="{FF2B5EF4-FFF2-40B4-BE49-F238E27FC236}">
              <a16:creationId xmlns:a16="http://schemas.microsoft.com/office/drawing/2014/main" id="{F40A100A-35D0-4C2B-AFFA-228F5C1E97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0" name="AutoShape 1" descr="Vista previa de toda la pantalla">
          <a:extLst>
            <a:ext uri="{FF2B5EF4-FFF2-40B4-BE49-F238E27FC236}">
              <a16:creationId xmlns:a16="http://schemas.microsoft.com/office/drawing/2014/main" id="{5A02107D-9241-4F4F-B259-797560344D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1" name="AutoShape 1" descr="Vista previa de toda la pantalla">
          <a:extLst>
            <a:ext uri="{FF2B5EF4-FFF2-40B4-BE49-F238E27FC236}">
              <a16:creationId xmlns:a16="http://schemas.microsoft.com/office/drawing/2014/main" id="{D232F2E5-144E-49A6-AE18-AE36F50CC0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2" name="AutoShape 1" descr="Vista previa de toda la pantalla">
          <a:extLst>
            <a:ext uri="{FF2B5EF4-FFF2-40B4-BE49-F238E27FC236}">
              <a16:creationId xmlns:a16="http://schemas.microsoft.com/office/drawing/2014/main" id="{D156E1B1-7B05-4326-AA79-62C53866AA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3" name="AutoShape 1" descr="Vista previa de toda la pantalla">
          <a:extLst>
            <a:ext uri="{FF2B5EF4-FFF2-40B4-BE49-F238E27FC236}">
              <a16:creationId xmlns:a16="http://schemas.microsoft.com/office/drawing/2014/main" id="{0E90C48A-07A2-42F8-AAE0-E8A8335D43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4" name="AutoShape 1" descr="Vista previa de toda la pantalla">
          <a:extLst>
            <a:ext uri="{FF2B5EF4-FFF2-40B4-BE49-F238E27FC236}">
              <a16:creationId xmlns:a16="http://schemas.microsoft.com/office/drawing/2014/main" id="{4953EBD6-CC77-4BA8-8E19-8480CC35EB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5" name="AutoShape 1" descr="Vista previa de toda la pantalla">
          <a:extLst>
            <a:ext uri="{FF2B5EF4-FFF2-40B4-BE49-F238E27FC236}">
              <a16:creationId xmlns:a16="http://schemas.microsoft.com/office/drawing/2014/main" id="{43140E30-FBE5-4CB5-83FC-E0C4F63FF2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6" name="AutoShape 1" descr="Vista previa de toda la pantalla">
          <a:extLst>
            <a:ext uri="{FF2B5EF4-FFF2-40B4-BE49-F238E27FC236}">
              <a16:creationId xmlns:a16="http://schemas.microsoft.com/office/drawing/2014/main" id="{18185B31-62B8-4532-9AB9-0EC4A66BC1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7" name="AutoShape 1" descr="Vista previa de toda la pantalla">
          <a:extLst>
            <a:ext uri="{FF2B5EF4-FFF2-40B4-BE49-F238E27FC236}">
              <a16:creationId xmlns:a16="http://schemas.microsoft.com/office/drawing/2014/main" id="{C13B569D-14D0-4C46-A29F-6FEF5D3D96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8" name="AutoShape 1" descr="Vista previa de toda la pantalla">
          <a:extLst>
            <a:ext uri="{FF2B5EF4-FFF2-40B4-BE49-F238E27FC236}">
              <a16:creationId xmlns:a16="http://schemas.microsoft.com/office/drawing/2014/main" id="{EC3A9CDC-8244-4846-8A43-8CE71F790F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79" name="AutoShape 1" descr="Vista previa de toda la pantalla">
          <a:extLst>
            <a:ext uri="{FF2B5EF4-FFF2-40B4-BE49-F238E27FC236}">
              <a16:creationId xmlns:a16="http://schemas.microsoft.com/office/drawing/2014/main" id="{39162435-CE6F-44B2-8829-8019CCA089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0" name="AutoShape 1" descr="Vista previa de toda la pantalla">
          <a:extLst>
            <a:ext uri="{FF2B5EF4-FFF2-40B4-BE49-F238E27FC236}">
              <a16:creationId xmlns:a16="http://schemas.microsoft.com/office/drawing/2014/main" id="{134F308D-EA61-4C2E-ABBE-D96D019F9F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1" name="AutoShape 1" descr="Vista previa de toda la pantalla">
          <a:extLst>
            <a:ext uri="{FF2B5EF4-FFF2-40B4-BE49-F238E27FC236}">
              <a16:creationId xmlns:a16="http://schemas.microsoft.com/office/drawing/2014/main" id="{B7BD6C81-9104-4BAC-8F75-779664CB7C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2" name="AutoShape 1" descr="Vista previa de toda la pantalla">
          <a:extLst>
            <a:ext uri="{FF2B5EF4-FFF2-40B4-BE49-F238E27FC236}">
              <a16:creationId xmlns:a16="http://schemas.microsoft.com/office/drawing/2014/main" id="{08939842-0F79-49AA-BD45-AB7059511A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3" name="AutoShape 1" descr="Vista previa de toda la pantalla">
          <a:extLst>
            <a:ext uri="{FF2B5EF4-FFF2-40B4-BE49-F238E27FC236}">
              <a16:creationId xmlns:a16="http://schemas.microsoft.com/office/drawing/2014/main" id="{5B95A988-8468-4783-B43B-CAEC1B99BC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4" name="AutoShape 1" descr="Vista previa de toda la pantalla">
          <a:extLst>
            <a:ext uri="{FF2B5EF4-FFF2-40B4-BE49-F238E27FC236}">
              <a16:creationId xmlns:a16="http://schemas.microsoft.com/office/drawing/2014/main" id="{55BD8129-D2C0-4E86-BCA0-07D92175AB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5" name="AutoShape 1" descr="Vista previa de toda la pantalla">
          <a:extLst>
            <a:ext uri="{FF2B5EF4-FFF2-40B4-BE49-F238E27FC236}">
              <a16:creationId xmlns:a16="http://schemas.microsoft.com/office/drawing/2014/main" id="{CBE27F5B-506E-4D9A-9800-5F2FB057F0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6" name="AutoShape 1" descr="Vista previa de toda la pantalla">
          <a:extLst>
            <a:ext uri="{FF2B5EF4-FFF2-40B4-BE49-F238E27FC236}">
              <a16:creationId xmlns:a16="http://schemas.microsoft.com/office/drawing/2014/main" id="{A2DF8639-204A-4ABA-81C5-146D3B3F6F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7" name="AutoShape 1" descr="Vista previa de toda la pantalla">
          <a:extLst>
            <a:ext uri="{FF2B5EF4-FFF2-40B4-BE49-F238E27FC236}">
              <a16:creationId xmlns:a16="http://schemas.microsoft.com/office/drawing/2014/main" id="{034CC4BD-52A0-4D56-B604-7B9ED1D3DA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8" name="AutoShape 1" descr="Vista previa de toda la pantalla">
          <a:extLst>
            <a:ext uri="{FF2B5EF4-FFF2-40B4-BE49-F238E27FC236}">
              <a16:creationId xmlns:a16="http://schemas.microsoft.com/office/drawing/2014/main" id="{1C2515DF-ADFB-4F1B-A1B4-58419197BE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89" name="AutoShape 1" descr="Vista previa de toda la pantalla">
          <a:extLst>
            <a:ext uri="{FF2B5EF4-FFF2-40B4-BE49-F238E27FC236}">
              <a16:creationId xmlns:a16="http://schemas.microsoft.com/office/drawing/2014/main" id="{53DBC6D1-060C-422C-B0EC-3B1ADEE2AC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0" name="AutoShape 1" descr="Vista previa de toda la pantalla">
          <a:extLst>
            <a:ext uri="{FF2B5EF4-FFF2-40B4-BE49-F238E27FC236}">
              <a16:creationId xmlns:a16="http://schemas.microsoft.com/office/drawing/2014/main" id="{65B3EB78-0EF9-4BD1-9E28-D29FF2B5DC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1" name="AutoShape 1" descr="Vista previa de toda la pantalla">
          <a:extLst>
            <a:ext uri="{FF2B5EF4-FFF2-40B4-BE49-F238E27FC236}">
              <a16:creationId xmlns:a16="http://schemas.microsoft.com/office/drawing/2014/main" id="{544AB147-0CC6-4177-B44D-8E75B06B19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2" name="AutoShape 1" descr="Vista previa de toda la pantalla">
          <a:extLst>
            <a:ext uri="{FF2B5EF4-FFF2-40B4-BE49-F238E27FC236}">
              <a16:creationId xmlns:a16="http://schemas.microsoft.com/office/drawing/2014/main" id="{4227E78E-0FD7-4234-8E94-DBB7374C32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3" name="AutoShape 1" descr="Vista previa de toda la pantalla">
          <a:extLst>
            <a:ext uri="{FF2B5EF4-FFF2-40B4-BE49-F238E27FC236}">
              <a16:creationId xmlns:a16="http://schemas.microsoft.com/office/drawing/2014/main" id="{68147A3D-C616-43FA-87DB-49BBA0EFA7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4" name="AutoShape 1" descr="Vista previa de toda la pantalla">
          <a:extLst>
            <a:ext uri="{FF2B5EF4-FFF2-40B4-BE49-F238E27FC236}">
              <a16:creationId xmlns:a16="http://schemas.microsoft.com/office/drawing/2014/main" id="{09441E2A-990C-4D22-9858-6CD13FAD05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5" name="AutoShape 1" descr="Vista previa de toda la pantalla">
          <a:extLst>
            <a:ext uri="{FF2B5EF4-FFF2-40B4-BE49-F238E27FC236}">
              <a16:creationId xmlns:a16="http://schemas.microsoft.com/office/drawing/2014/main" id="{46DBDC12-EA54-4AD5-8116-F5C1EE056C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6" name="AutoShape 1" descr="Vista previa de toda la pantalla">
          <a:extLst>
            <a:ext uri="{FF2B5EF4-FFF2-40B4-BE49-F238E27FC236}">
              <a16:creationId xmlns:a16="http://schemas.microsoft.com/office/drawing/2014/main" id="{F53D1393-D25E-47BD-B516-2D26EDE3C5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7" name="AutoShape 1" descr="Vista previa de toda la pantalla">
          <a:extLst>
            <a:ext uri="{FF2B5EF4-FFF2-40B4-BE49-F238E27FC236}">
              <a16:creationId xmlns:a16="http://schemas.microsoft.com/office/drawing/2014/main" id="{A6620C42-0AB5-4360-801A-E5C13DDF9C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8" name="AutoShape 1" descr="Vista previa de toda la pantalla">
          <a:extLst>
            <a:ext uri="{FF2B5EF4-FFF2-40B4-BE49-F238E27FC236}">
              <a16:creationId xmlns:a16="http://schemas.microsoft.com/office/drawing/2014/main" id="{0F0558B7-FC65-4E4F-A1D4-37B1321552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099" name="AutoShape 1" descr="Vista previa de toda la pantalla">
          <a:extLst>
            <a:ext uri="{FF2B5EF4-FFF2-40B4-BE49-F238E27FC236}">
              <a16:creationId xmlns:a16="http://schemas.microsoft.com/office/drawing/2014/main" id="{F211CE88-4F59-4043-9075-DB5625EE7A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0" name="AutoShape 1" descr="Vista previa de toda la pantalla">
          <a:extLst>
            <a:ext uri="{FF2B5EF4-FFF2-40B4-BE49-F238E27FC236}">
              <a16:creationId xmlns:a16="http://schemas.microsoft.com/office/drawing/2014/main" id="{CBC957AC-E1C5-42F7-8DDE-E8BB879E5B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1" name="AutoShape 1" descr="Vista previa de toda la pantalla">
          <a:extLst>
            <a:ext uri="{FF2B5EF4-FFF2-40B4-BE49-F238E27FC236}">
              <a16:creationId xmlns:a16="http://schemas.microsoft.com/office/drawing/2014/main" id="{D3FB3755-4A6B-4B76-A458-8C59B6865D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2" name="AutoShape 1" descr="Vista previa de toda la pantalla">
          <a:extLst>
            <a:ext uri="{FF2B5EF4-FFF2-40B4-BE49-F238E27FC236}">
              <a16:creationId xmlns:a16="http://schemas.microsoft.com/office/drawing/2014/main" id="{1D2DA827-7444-4CF8-8CFC-50C34306E3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3" name="AutoShape 1" descr="Vista previa de toda la pantalla">
          <a:extLst>
            <a:ext uri="{FF2B5EF4-FFF2-40B4-BE49-F238E27FC236}">
              <a16:creationId xmlns:a16="http://schemas.microsoft.com/office/drawing/2014/main" id="{74B14657-E5F9-4D71-A068-0AB2B35CB3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4" name="AutoShape 1" descr="Vista previa de toda la pantalla">
          <a:extLst>
            <a:ext uri="{FF2B5EF4-FFF2-40B4-BE49-F238E27FC236}">
              <a16:creationId xmlns:a16="http://schemas.microsoft.com/office/drawing/2014/main" id="{79115834-3C3F-4D27-9736-8395137FCD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5" name="AutoShape 1" descr="Vista previa de toda la pantalla">
          <a:extLst>
            <a:ext uri="{FF2B5EF4-FFF2-40B4-BE49-F238E27FC236}">
              <a16:creationId xmlns:a16="http://schemas.microsoft.com/office/drawing/2014/main" id="{22CB0D39-FC91-4938-B7C5-9CCA6D327F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6" name="AutoShape 1" descr="Vista previa de toda la pantalla">
          <a:extLst>
            <a:ext uri="{FF2B5EF4-FFF2-40B4-BE49-F238E27FC236}">
              <a16:creationId xmlns:a16="http://schemas.microsoft.com/office/drawing/2014/main" id="{ABD1DA64-9B14-4A47-B5AB-5450EBAC66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7" name="AutoShape 1" descr="Vista previa de toda la pantalla">
          <a:extLst>
            <a:ext uri="{FF2B5EF4-FFF2-40B4-BE49-F238E27FC236}">
              <a16:creationId xmlns:a16="http://schemas.microsoft.com/office/drawing/2014/main" id="{A9A76CA2-4662-4808-BC23-4D0EC6C276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8" name="AutoShape 1" descr="Vista previa de toda la pantalla">
          <a:extLst>
            <a:ext uri="{FF2B5EF4-FFF2-40B4-BE49-F238E27FC236}">
              <a16:creationId xmlns:a16="http://schemas.microsoft.com/office/drawing/2014/main" id="{5DB5F9D2-7EE0-420E-9851-22567E49D3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09" name="AutoShape 1" descr="Vista previa de toda la pantalla">
          <a:extLst>
            <a:ext uri="{FF2B5EF4-FFF2-40B4-BE49-F238E27FC236}">
              <a16:creationId xmlns:a16="http://schemas.microsoft.com/office/drawing/2014/main" id="{A3A6C361-5FDF-4417-8027-CAA60A6796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0" name="AutoShape 1" descr="Vista previa de toda la pantalla">
          <a:extLst>
            <a:ext uri="{FF2B5EF4-FFF2-40B4-BE49-F238E27FC236}">
              <a16:creationId xmlns:a16="http://schemas.microsoft.com/office/drawing/2014/main" id="{F81486AA-949D-49A0-81E1-CAC519B822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1" name="AutoShape 1" descr="Vista previa de toda la pantalla">
          <a:extLst>
            <a:ext uri="{FF2B5EF4-FFF2-40B4-BE49-F238E27FC236}">
              <a16:creationId xmlns:a16="http://schemas.microsoft.com/office/drawing/2014/main" id="{08227789-818E-4081-BF26-4C42184391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2" name="AutoShape 1" descr="Vista previa de toda la pantalla">
          <a:extLst>
            <a:ext uri="{FF2B5EF4-FFF2-40B4-BE49-F238E27FC236}">
              <a16:creationId xmlns:a16="http://schemas.microsoft.com/office/drawing/2014/main" id="{E8473E51-0144-438B-B276-354964242F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3" name="AutoShape 1" descr="Vista previa de toda la pantalla">
          <a:extLst>
            <a:ext uri="{FF2B5EF4-FFF2-40B4-BE49-F238E27FC236}">
              <a16:creationId xmlns:a16="http://schemas.microsoft.com/office/drawing/2014/main" id="{E6980C3A-6C2A-48F3-A704-A43C4F4759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4" name="AutoShape 1" descr="Vista previa de toda la pantalla">
          <a:extLst>
            <a:ext uri="{FF2B5EF4-FFF2-40B4-BE49-F238E27FC236}">
              <a16:creationId xmlns:a16="http://schemas.microsoft.com/office/drawing/2014/main" id="{6BCD211F-884F-4659-A767-4B07B53CD3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5" name="AutoShape 1" descr="Vista previa de toda la pantalla">
          <a:extLst>
            <a:ext uri="{FF2B5EF4-FFF2-40B4-BE49-F238E27FC236}">
              <a16:creationId xmlns:a16="http://schemas.microsoft.com/office/drawing/2014/main" id="{163ED943-2BC2-4F25-B99C-1812940066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6" name="AutoShape 1" descr="Vista previa de toda la pantalla">
          <a:extLst>
            <a:ext uri="{FF2B5EF4-FFF2-40B4-BE49-F238E27FC236}">
              <a16:creationId xmlns:a16="http://schemas.microsoft.com/office/drawing/2014/main" id="{5BBD5DBC-C176-4362-93C0-78AD29C819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7" name="AutoShape 1" descr="Vista previa de toda la pantalla">
          <a:extLst>
            <a:ext uri="{FF2B5EF4-FFF2-40B4-BE49-F238E27FC236}">
              <a16:creationId xmlns:a16="http://schemas.microsoft.com/office/drawing/2014/main" id="{DAFCF7A0-B4C6-48AB-8BD4-44B46195EF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8" name="AutoShape 1" descr="Vista previa de toda la pantalla">
          <a:extLst>
            <a:ext uri="{FF2B5EF4-FFF2-40B4-BE49-F238E27FC236}">
              <a16:creationId xmlns:a16="http://schemas.microsoft.com/office/drawing/2014/main" id="{CEE0014B-93A3-4D19-9724-1E1BF3ACDC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19" name="AutoShape 1" descr="Vista previa de toda la pantalla">
          <a:extLst>
            <a:ext uri="{FF2B5EF4-FFF2-40B4-BE49-F238E27FC236}">
              <a16:creationId xmlns:a16="http://schemas.microsoft.com/office/drawing/2014/main" id="{EE45B64E-FC36-416B-8FAD-8FDE5110B9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0" name="AutoShape 1" descr="Vista previa de toda la pantalla">
          <a:extLst>
            <a:ext uri="{FF2B5EF4-FFF2-40B4-BE49-F238E27FC236}">
              <a16:creationId xmlns:a16="http://schemas.microsoft.com/office/drawing/2014/main" id="{AAB54F6C-F0CF-45C4-9804-82E1AE6D35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1" name="AutoShape 1" descr="Vista previa de toda la pantalla">
          <a:extLst>
            <a:ext uri="{FF2B5EF4-FFF2-40B4-BE49-F238E27FC236}">
              <a16:creationId xmlns:a16="http://schemas.microsoft.com/office/drawing/2014/main" id="{DF28EDEE-41C2-499A-AA15-3B0EECC225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2" name="AutoShape 1" descr="Vista previa de toda la pantalla">
          <a:extLst>
            <a:ext uri="{FF2B5EF4-FFF2-40B4-BE49-F238E27FC236}">
              <a16:creationId xmlns:a16="http://schemas.microsoft.com/office/drawing/2014/main" id="{C59CF670-62E7-4454-B048-FE081D755A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3" name="AutoShape 1" descr="Vista previa de toda la pantalla">
          <a:extLst>
            <a:ext uri="{FF2B5EF4-FFF2-40B4-BE49-F238E27FC236}">
              <a16:creationId xmlns:a16="http://schemas.microsoft.com/office/drawing/2014/main" id="{8A095020-BA41-4E95-8BC8-B382BB237D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4" name="AutoShape 1" descr="Vista previa de toda la pantalla">
          <a:extLst>
            <a:ext uri="{FF2B5EF4-FFF2-40B4-BE49-F238E27FC236}">
              <a16:creationId xmlns:a16="http://schemas.microsoft.com/office/drawing/2014/main" id="{9B3EEBE7-3761-453B-9E79-D7D0DCF27A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5" name="AutoShape 1" descr="Vista previa de toda la pantalla">
          <a:extLst>
            <a:ext uri="{FF2B5EF4-FFF2-40B4-BE49-F238E27FC236}">
              <a16:creationId xmlns:a16="http://schemas.microsoft.com/office/drawing/2014/main" id="{53FF2784-7AD6-4D11-82B3-2DC6225930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6" name="AutoShape 1" descr="Vista previa de toda la pantalla">
          <a:extLst>
            <a:ext uri="{FF2B5EF4-FFF2-40B4-BE49-F238E27FC236}">
              <a16:creationId xmlns:a16="http://schemas.microsoft.com/office/drawing/2014/main" id="{55897D56-70A4-4405-B0E8-10631EF13E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7" name="AutoShape 1" descr="Vista previa de toda la pantalla">
          <a:extLst>
            <a:ext uri="{FF2B5EF4-FFF2-40B4-BE49-F238E27FC236}">
              <a16:creationId xmlns:a16="http://schemas.microsoft.com/office/drawing/2014/main" id="{61FC6C4A-B561-4F27-B8FA-751E32FD27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8" name="AutoShape 1" descr="Vista previa de toda la pantalla">
          <a:extLst>
            <a:ext uri="{FF2B5EF4-FFF2-40B4-BE49-F238E27FC236}">
              <a16:creationId xmlns:a16="http://schemas.microsoft.com/office/drawing/2014/main" id="{8A28FAD7-BC00-407E-B198-DDADDC2209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29" name="AutoShape 1" descr="Vista previa de toda la pantalla">
          <a:extLst>
            <a:ext uri="{FF2B5EF4-FFF2-40B4-BE49-F238E27FC236}">
              <a16:creationId xmlns:a16="http://schemas.microsoft.com/office/drawing/2014/main" id="{BCB97E48-06D5-4962-A0DD-1B03F59B3D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30" name="AutoShape 1" descr="Vista previa de toda la pantalla">
          <a:extLst>
            <a:ext uri="{FF2B5EF4-FFF2-40B4-BE49-F238E27FC236}">
              <a16:creationId xmlns:a16="http://schemas.microsoft.com/office/drawing/2014/main" id="{30160F36-809F-48A1-AA34-DBF69F8B49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31" name="AutoShape 1" descr="Vista previa de toda la pantalla">
          <a:extLst>
            <a:ext uri="{FF2B5EF4-FFF2-40B4-BE49-F238E27FC236}">
              <a16:creationId xmlns:a16="http://schemas.microsoft.com/office/drawing/2014/main" id="{95196346-EE23-44A9-B7D2-CFC2D7A402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32" name="AutoShape 1" descr="Vista previa de toda la pantalla">
          <a:extLst>
            <a:ext uri="{FF2B5EF4-FFF2-40B4-BE49-F238E27FC236}">
              <a16:creationId xmlns:a16="http://schemas.microsoft.com/office/drawing/2014/main" id="{5C3C9443-B428-4159-9DD3-C092E41A92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33" name="AutoShape 1" descr="Vista previa de toda la pantalla">
          <a:extLst>
            <a:ext uri="{FF2B5EF4-FFF2-40B4-BE49-F238E27FC236}">
              <a16:creationId xmlns:a16="http://schemas.microsoft.com/office/drawing/2014/main" id="{3DE744B3-6FD8-4125-BD67-F785779A13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34" name="AutoShape 1" descr="Vista previa de toda la pantalla">
          <a:extLst>
            <a:ext uri="{FF2B5EF4-FFF2-40B4-BE49-F238E27FC236}">
              <a16:creationId xmlns:a16="http://schemas.microsoft.com/office/drawing/2014/main" id="{71D96248-B076-4901-810D-8192E556FC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35" name="AutoShape 1" descr="Vista previa de toda la pantalla">
          <a:extLst>
            <a:ext uri="{FF2B5EF4-FFF2-40B4-BE49-F238E27FC236}">
              <a16:creationId xmlns:a16="http://schemas.microsoft.com/office/drawing/2014/main" id="{DB0CC4B8-53F0-43ED-8E03-047C4A7A26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36" name="AutoShape 1" descr="Vista previa de toda la pantalla">
          <a:extLst>
            <a:ext uri="{FF2B5EF4-FFF2-40B4-BE49-F238E27FC236}">
              <a16:creationId xmlns:a16="http://schemas.microsoft.com/office/drawing/2014/main" id="{45E3F85D-18C3-479D-928A-FCFCAC2122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37" name="AutoShape 1" descr="Vista previa de toda la pantalla">
          <a:extLst>
            <a:ext uri="{FF2B5EF4-FFF2-40B4-BE49-F238E27FC236}">
              <a16:creationId xmlns:a16="http://schemas.microsoft.com/office/drawing/2014/main" id="{E420DD48-026F-42DC-9449-018E62B8C4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38" name="AutoShape 1" descr="Vista previa de toda la pantalla">
          <a:extLst>
            <a:ext uri="{FF2B5EF4-FFF2-40B4-BE49-F238E27FC236}">
              <a16:creationId xmlns:a16="http://schemas.microsoft.com/office/drawing/2014/main" id="{23038E00-33CD-4F9B-B847-BB30AB8B47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39" name="AutoShape 1" descr="Vista previa de toda la pantalla">
          <a:extLst>
            <a:ext uri="{FF2B5EF4-FFF2-40B4-BE49-F238E27FC236}">
              <a16:creationId xmlns:a16="http://schemas.microsoft.com/office/drawing/2014/main" id="{F0E3C35A-98B6-466D-BA06-363B72C589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40" name="AutoShape 1" descr="Vista previa de toda la pantalla">
          <a:extLst>
            <a:ext uri="{FF2B5EF4-FFF2-40B4-BE49-F238E27FC236}">
              <a16:creationId xmlns:a16="http://schemas.microsoft.com/office/drawing/2014/main" id="{7B998542-4B1B-4DF3-BEA3-CB6EDFBB8D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41" name="AutoShape 1" descr="Vista previa de toda la pantalla">
          <a:extLst>
            <a:ext uri="{FF2B5EF4-FFF2-40B4-BE49-F238E27FC236}">
              <a16:creationId xmlns:a16="http://schemas.microsoft.com/office/drawing/2014/main" id="{02B1F829-72BA-42DF-B482-650BF85C47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42" name="AutoShape 1" descr="Vista previa de toda la pantalla">
          <a:extLst>
            <a:ext uri="{FF2B5EF4-FFF2-40B4-BE49-F238E27FC236}">
              <a16:creationId xmlns:a16="http://schemas.microsoft.com/office/drawing/2014/main" id="{8BDE3A33-0755-44D4-BE49-16C49FD145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43" name="AutoShape 1" descr="Vista previa de toda la pantalla">
          <a:extLst>
            <a:ext uri="{FF2B5EF4-FFF2-40B4-BE49-F238E27FC236}">
              <a16:creationId xmlns:a16="http://schemas.microsoft.com/office/drawing/2014/main" id="{33D78385-2438-455C-B560-315DB19F06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44" name="AutoShape 1" descr="Vista previa de toda la pantalla">
          <a:extLst>
            <a:ext uri="{FF2B5EF4-FFF2-40B4-BE49-F238E27FC236}">
              <a16:creationId xmlns:a16="http://schemas.microsoft.com/office/drawing/2014/main" id="{72AA4E81-1593-4119-A8E4-A16A669D65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45" name="AutoShape 1" descr="Vista previa de toda la pantalla">
          <a:extLst>
            <a:ext uri="{FF2B5EF4-FFF2-40B4-BE49-F238E27FC236}">
              <a16:creationId xmlns:a16="http://schemas.microsoft.com/office/drawing/2014/main" id="{C0897EC9-9470-4FAE-B145-00ACA8085E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46" name="AutoShape 1" descr="Vista previa de toda la pantalla">
          <a:extLst>
            <a:ext uri="{FF2B5EF4-FFF2-40B4-BE49-F238E27FC236}">
              <a16:creationId xmlns:a16="http://schemas.microsoft.com/office/drawing/2014/main" id="{D70B1EB2-5B59-47D0-BE42-1D356E8D20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47" name="AutoShape 1" descr="Vista previa de toda la pantalla">
          <a:extLst>
            <a:ext uri="{FF2B5EF4-FFF2-40B4-BE49-F238E27FC236}">
              <a16:creationId xmlns:a16="http://schemas.microsoft.com/office/drawing/2014/main" id="{DF38288A-DCA8-420C-8535-004205CAEF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48" name="AutoShape 1" descr="Vista previa de toda la pantalla">
          <a:extLst>
            <a:ext uri="{FF2B5EF4-FFF2-40B4-BE49-F238E27FC236}">
              <a16:creationId xmlns:a16="http://schemas.microsoft.com/office/drawing/2014/main" id="{0D456288-D056-4646-BA6E-7A84FF92D1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49" name="AutoShape 1" descr="Vista previa de toda la pantalla">
          <a:extLst>
            <a:ext uri="{FF2B5EF4-FFF2-40B4-BE49-F238E27FC236}">
              <a16:creationId xmlns:a16="http://schemas.microsoft.com/office/drawing/2014/main" id="{5593F53E-ADF0-40C2-91BB-4D59BCB84D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50" name="AutoShape 1" descr="Vista previa de toda la pantalla">
          <a:extLst>
            <a:ext uri="{FF2B5EF4-FFF2-40B4-BE49-F238E27FC236}">
              <a16:creationId xmlns:a16="http://schemas.microsoft.com/office/drawing/2014/main" id="{5F799A3F-A575-4A60-8B91-5BFD174D3B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51" name="AutoShape 1" descr="Vista previa de toda la pantalla">
          <a:extLst>
            <a:ext uri="{FF2B5EF4-FFF2-40B4-BE49-F238E27FC236}">
              <a16:creationId xmlns:a16="http://schemas.microsoft.com/office/drawing/2014/main" id="{CB4D900A-D255-468B-B4A5-1C292DEBD7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52" name="AutoShape 1" descr="Vista previa de toda la pantalla">
          <a:extLst>
            <a:ext uri="{FF2B5EF4-FFF2-40B4-BE49-F238E27FC236}">
              <a16:creationId xmlns:a16="http://schemas.microsoft.com/office/drawing/2014/main" id="{12E7F2F1-5CFC-4FB8-8797-C361CAF028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53" name="AutoShape 1" descr="Vista previa de toda la pantalla">
          <a:extLst>
            <a:ext uri="{FF2B5EF4-FFF2-40B4-BE49-F238E27FC236}">
              <a16:creationId xmlns:a16="http://schemas.microsoft.com/office/drawing/2014/main" id="{405E9856-BDBA-4412-B225-F65DE9367E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54" name="AutoShape 1" descr="Vista previa de toda la pantalla">
          <a:extLst>
            <a:ext uri="{FF2B5EF4-FFF2-40B4-BE49-F238E27FC236}">
              <a16:creationId xmlns:a16="http://schemas.microsoft.com/office/drawing/2014/main" id="{F8BF4704-A3BD-41F7-864B-E3ABDA39C4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55" name="AutoShape 1" descr="Vista previa de toda la pantalla">
          <a:extLst>
            <a:ext uri="{FF2B5EF4-FFF2-40B4-BE49-F238E27FC236}">
              <a16:creationId xmlns:a16="http://schemas.microsoft.com/office/drawing/2014/main" id="{2CBECE12-8B3A-40BD-8AA6-E3FD032317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56" name="AutoShape 1" descr="Vista previa de toda la pantalla">
          <a:extLst>
            <a:ext uri="{FF2B5EF4-FFF2-40B4-BE49-F238E27FC236}">
              <a16:creationId xmlns:a16="http://schemas.microsoft.com/office/drawing/2014/main" id="{1CF656AB-7BA3-4A0F-A676-5C13EE5704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57" name="AutoShape 1" descr="Vista previa de toda la pantalla">
          <a:extLst>
            <a:ext uri="{FF2B5EF4-FFF2-40B4-BE49-F238E27FC236}">
              <a16:creationId xmlns:a16="http://schemas.microsoft.com/office/drawing/2014/main" id="{CFB91019-2F8D-4803-BBEA-7873F3D161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58" name="AutoShape 1" descr="Vista previa de toda la pantalla">
          <a:extLst>
            <a:ext uri="{FF2B5EF4-FFF2-40B4-BE49-F238E27FC236}">
              <a16:creationId xmlns:a16="http://schemas.microsoft.com/office/drawing/2014/main" id="{D9464F42-3921-4A41-8332-226BBCC949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59" name="AutoShape 1" descr="Vista previa de toda la pantalla">
          <a:extLst>
            <a:ext uri="{FF2B5EF4-FFF2-40B4-BE49-F238E27FC236}">
              <a16:creationId xmlns:a16="http://schemas.microsoft.com/office/drawing/2014/main" id="{CB11B6D5-3159-4592-8A12-ECDBCC779C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60" name="AutoShape 1" descr="Vista previa de toda la pantalla">
          <a:extLst>
            <a:ext uri="{FF2B5EF4-FFF2-40B4-BE49-F238E27FC236}">
              <a16:creationId xmlns:a16="http://schemas.microsoft.com/office/drawing/2014/main" id="{11B7CD12-74AD-4D5C-9FA7-E49EF071CC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61" name="AutoShape 1" descr="Vista previa de toda la pantalla">
          <a:extLst>
            <a:ext uri="{FF2B5EF4-FFF2-40B4-BE49-F238E27FC236}">
              <a16:creationId xmlns:a16="http://schemas.microsoft.com/office/drawing/2014/main" id="{FD0BB75C-739B-4BD3-81B1-F6C8805EFC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62" name="AutoShape 1" descr="Vista previa de toda la pantalla">
          <a:extLst>
            <a:ext uri="{FF2B5EF4-FFF2-40B4-BE49-F238E27FC236}">
              <a16:creationId xmlns:a16="http://schemas.microsoft.com/office/drawing/2014/main" id="{DA32D9EC-4BD1-4865-B0B3-CEF31860A3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63" name="AutoShape 1" descr="Vista previa de toda la pantalla">
          <a:extLst>
            <a:ext uri="{FF2B5EF4-FFF2-40B4-BE49-F238E27FC236}">
              <a16:creationId xmlns:a16="http://schemas.microsoft.com/office/drawing/2014/main" id="{23D0BAF5-FD17-49A0-B1DC-F9ACF51DC6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64" name="AutoShape 1" descr="Vista previa de toda la pantalla">
          <a:extLst>
            <a:ext uri="{FF2B5EF4-FFF2-40B4-BE49-F238E27FC236}">
              <a16:creationId xmlns:a16="http://schemas.microsoft.com/office/drawing/2014/main" id="{31084629-4D7C-4528-99B2-A4C76E8673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65" name="AutoShape 1" descr="Vista previa de toda la pantalla">
          <a:extLst>
            <a:ext uri="{FF2B5EF4-FFF2-40B4-BE49-F238E27FC236}">
              <a16:creationId xmlns:a16="http://schemas.microsoft.com/office/drawing/2014/main" id="{184BE321-29B0-40E2-8FBC-E9ACC35E32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66" name="AutoShape 1" descr="Vista previa de toda la pantalla">
          <a:extLst>
            <a:ext uri="{FF2B5EF4-FFF2-40B4-BE49-F238E27FC236}">
              <a16:creationId xmlns:a16="http://schemas.microsoft.com/office/drawing/2014/main" id="{8A9B104C-1CEF-4027-9106-43B0AFC85A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67" name="AutoShape 1" descr="Vista previa de toda la pantalla">
          <a:extLst>
            <a:ext uri="{FF2B5EF4-FFF2-40B4-BE49-F238E27FC236}">
              <a16:creationId xmlns:a16="http://schemas.microsoft.com/office/drawing/2014/main" id="{F1FC61A3-0439-4E39-87A1-DC3560775B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68" name="AutoShape 1" descr="Vista previa de toda la pantalla">
          <a:extLst>
            <a:ext uri="{FF2B5EF4-FFF2-40B4-BE49-F238E27FC236}">
              <a16:creationId xmlns:a16="http://schemas.microsoft.com/office/drawing/2014/main" id="{BDD70F01-FF4D-4A90-AFEB-DCBB50F59C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69" name="AutoShape 1" descr="Vista previa de toda la pantalla">
          <a:extLst>
            <a:ext uri="{FF2B5EF4-FFF2-40B4-BE49-F238E27FC236}">
              <a16:creationId xmlns:a16="http://schemas.microsoft.com/office/drawing/2014/main" id="{C3BFDEC2-32E2-4881-9692-73817C3B23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70" name="AutoShape 1" descr="Vista previa de toda la pantalla">
          <a:extLst>
            <a:ext uri="{FF2B5EF4-FFF2-40B4-BE49-F238E27FC236}">
              <a16:creationId xmlns:a16="http://schemas.microsoft.com/office/drawing/2014/main" id="{E7A7DE97-00FD-4010-B246-BB309F3360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71" name="AutoShape 1" descr="Vista previa de toda la pantalla">
          <a:extLst>
            <a:ext uri="{FF2B5EF4-FFF2-40B4-BE49-F238E27FC236}">
              <a16:creationId xmlns:a16="http://schemas.microsoft.com/office/drawing/2014/main" id="{5EE1B286-7302-4E6F-A3AD-E26DCA91A4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72" name="AutoShape 1" descr="Vista previa de toda la pantalla">
          <a:extLst>
            <a:ext uri="{FF2B5EF4-FFF2-40B4-BE49-F238E27FC236}">
              <a16:creationId xmlns:a16="http://schemas.microsoft.com/office/drawing/2014/main" id="{C718E00C-D1C4-4573-99B9-61D54E3D80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73" name="AutoShape 1" descr="Vista previa de toda la pantalla">
          <a:extLst>
            <a:ext uri="{FF2B5EF4-FFF2-40B4-BE49-F238E27FC236}">
              <a16:creationId xmlns:a16="http://schemas.microsoft.com/office/drawing/2014/main" id="{9A85A91A-4BE0-4F97-83DB-1DB2F5F433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74" name="AutoShape 1" descr="Vista previa de toda la pantalla">
          <a:extLst>
            <a:ext uri="{FF2B5EF4-FFF2-40B4-BE49-F238E27FC236}">
              <a16:creationId xmlns:a16="http://schemas.microsoft.com/office/drawing/2014/main" id="{BB869DA4-C03D-4ABC-AB3F-5A791C698D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75" name="AutoShape 1" descr="Vista previa de toda la pantalla">
          <a:extLst>
            <a:ext uri="{FF2B5EF4-FFF2-40B4-BE49-F238E27FC236}">
              <a16:creationId xmlns:a16="http://schemas.microsoft.com/office/drawing/2014/main" id="{480AF245-7F31-4C2B-BE5F-426464D4D2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76" name="AutoShape 1" descr="Vista previa de toda la pantalla">
          <a:extLst>
            <a:ext uri="{FF2B5EF4-FFF2-40B4-BE49-F238E27FC236}">
              <a16:creationId xmlns:a16="http://schemas.microsoft.com/office/drawing/2014/main" id="{39446F92-C730-4D62-8D70-F745843768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77" name="AutoShape 1" descr="Vista previa de toda la pantalla">
          <a:extLst>
            <a:ext uri="{FF2B5EF4-FFF2-40B4-BE49-F238E27FC236}">
              <a16:creationId xmlns:a16="http://schemas.microsoft.com/office/drawing/2014/main" id="{F946FA6A-F885-44F2-BF61-A693119033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78" name="AutoShape 1" descr="Vista previa de toda la pantalla">
          <a:extLst>
            <a:ext uri="{FF2B5EF4-FFF2-40B4-BE49-F238E27FC236}">
              <a16:creationId xmlns:a16="http://schemas.microsoft.com/office/drawing/2014/main" id="{4C9CBC13-4950-4905-B6D4-5E58BCB0B5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79" name="AutoShape 1" descr="Vista previa de toda la pantalla">
          <a:extLst>
            <a:ext uri="{FF2B5EF4-FFF2-40B4-BE49-F238E27FC236}">
              <a16:creationId xmlns:a16="http://schemas.microsoft.com/office/drawing/2014/main" id="{3496E393-ED74-452A-AA5C-ECC4C29F6F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80" name="AutoShape 1" descr="Vista previa de toda la pantalla">
          <a:extLst>
            <a:ext uri="{FF2B5EF4-FFF2-40B4-BE49-F238E27FC236}">
              <a16:creationId xmlns:a16="http://schemas.microsoft.com/office/drawing/2014/main" id="{1412C51B-451E-4243-B094-CF04898634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81" name="AutoShape 1" descr="Vista previa de toda la pantalla">
          <a:extLst>
            <a:ext uri="{FF2B5EF4-FFF2-40B4-BE49-F238E27FC236}">
              <a16:creationId xmlns:a16="http://schemas.microsoft.com/office/drawing/2014/main" id="{8D29F89F-5D73-4660-B0AC-8C6E5FF68D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82" name="AutoShape 1" descr="Vista previa de toda la pantalla">
          <a:extLst>
            <a:ext uri="{FF2B5EF4-FFF2-40B4-BE49-F238E27FC236}">
              <a16:creationId xmlns:a16="http://schemas.microsoft.com/office/drawing/2014/main" id="{A2AE7E9C-9067-479D-9185-9A0EA3FFEA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83" name="AutoShape 1" descr="Vista previa de toda la pantalla">
          <a:extLst>
            <a:ext uri="{FF2B5EF4-FFF2-40B4-BE49-F238E27FC236}">
              <a16:creationId xmlns:a16="http://schemas.microsoft.com/office/drawing/2014/main" id="{08243A32-D1B9-4187-9E49-5D333B5EC3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84" name="AutoShape 1" descr="Vista previa de toda la pantalla">
          <a:extLst>
            <a:ext uri="{FF2B5EF4-FFF2-40B4-BE49-F238E27FC236}">
              <a16:creationId xmlns:a16="http://schemas.microsoft.com/office/drawing/2014/main" id="{0BE287D5-43ED-4D2E-BAD4-8D08B2F909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85" name="AutoShape 1" descr="Vista previa de toda la pantalla">
          <a:extLst>
            <a:ext uri="{FF2B5EF4-FFF2-40B4-BE49-F238E27FC236}">
              <a16:creationId xmlns:a16="http://schemas.microsoft.com/office/drawing/2014/main" id="{4E306BAF-46C7-4E14-9148-F980C4D7D9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86" name="AutoShape 1" descr="Vista previa de toda la pantalla">
          <a:extLst>
            <a:ext uri="{FF2B5EF4-FFF2-40B4-BE49-F238E27FC236}">
              <a16:creationId xmlns:a16="http://schemas.microsoft.com/office/drawing/2014/main" id="{6EB0FD37-31A8-46D5-B568-15136965A3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87" name="AutoShape 1" descr="Vista previa de toda la pantalla">
          <a:extLst>
            <a:ext uri="{FF2B5EF4-FFF2-40B4-BE49-F238E27FC236}">
              <a16:creationId xmlns:a16="http://schemas.microsoft.com/office/drawing/2014/main" id="{925535A1-A50B-47CD-A930-205EACC241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88" name="AutoShape 1" descr="Vista previa de toda la pantalla">
          <a:extLst>
            <a:ext uri="{FF2B5EF4-FFF2-40B4-BE49-F238E27FC236}">
              <a16:creationId xmlns:a16="http://schemas.microsoft.com/office/drawing/2014/main" id="{B28C1270-B58C-4C6B-9DE2-EE0A40C8D4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89" name="AutoShape 1" descr="Vista previa de toda la pantalla">
          <a:extLst>
            <a:ext uri="{FF2B5EF4-FFF2-40B4-BE49-F238E27FC236}">
              <a16:creationId xmlns:a16="http://schemas.microsoft.com/office/drawing/2014/main" id="{87DCBD91-F092-42E0-8E28-EC4FC4498E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90" name="AutoShape 1" descr="Vista previa de toda la pantalla">
          <a:extLst>
            <a:ext uri="{FF2B5EF4-FFF2-40B4-BE49-F238E27FC236}">
              <a16:creationId xmlns:a16="http://schemas.microsoft.com/office/drawing/2014/main" id="{1C7D26E9-DF9C-4F84-8BF4-D7177D8E3E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91" name="AutoShape 1" descr="Vista previa de toda la pantalla">
          <a:extLst>
            <a:ext uri="{FF2B5EF4-FFF2-40B4-BE49-F238E27FC236}">
              <a16:creationId xmlns:a16="http://schemas.microsoft.com/office/drawing/2014/main" id="{B838486B-73D6-4CEA-A05F-0F53502B5F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92" name="AutoShape 1" descr="Vista previa de toda la pantalla">
          <a:extLst>
            <a:ext uri="{FF2B5EF4-FFF2-40B4-BE49-F238E27FC236}">
              <a16:creationId xmlns:a16="http://schemas.microsoft.com/office/drawing/2014/main" id="{D6B4338B-06D6-4B23-8773-D043B9AC3A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93" name="AutoShape 1" descr="Vista previa de toda la pantalla">
          <a:extLst>
            <a:ext uri="{FF2B5EF4-FFF2-40B4-BE49-F238E27FC236}">
              <a16:creationId xmlns:a16="http://schemas.microsoft.com/office/drawing/2014/main" id="{C0E1583B-ED47-4C88-B6BE-5A3B7EED7C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94" name="AutoShape 1" descr="Vista previa de toda la pantalla">
          <a:extLst>
            <a:ext uri="{FF2B5EF4-FFF2-40B4-BE49-F238E27FC236}">
              <a16:creationId xmlns:a16="http://schemas.microsoft.com/office/drawing/2014/main" id="{53C52A8B-B854-4D31-AE82-BED4F8DB7F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95" name="AutoShape 1" descr="Vista previa de toda la pantalla">
          <a:extLst>
            <a:ext uri="{FF2B5EF4-FFF2-40B4-BE49-F238E27FC236}">
              <a16:creationId xmlns:a16="http://schemas.microsoft.com/office/drawing/2014/main" id="{726898A5-261C-4509-B029-2332853169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96" name="AutoShape 1" descr="Vista previa de toda la pantalla">
          <a:extLst>
            <a:ext uri="{FF2B5EF4-FFF2-40B4-BE49-F238E27FC236}">
              <a16:creationId xmlns:a16="http://schemas.microsoft.com/office/drawing/2014/main" id="{2AC071B1-3AA5-4FA9-9DA2-0F78272923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97" name="AutoShape 1" descr="Vista previa de toda la pantalla">
          <a:extLst>
            <a:ext uri="{FF2B5EF4-FFF2-40B4-BE49-F238E27FC236}">
              <a16:creationId xmlns:a16="http://schemas.microsoft.com/office/drawing/2014/main" id="{817B9E26-5D87-43FB-9C4A-13D815DCEE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98" name="AutoShape 1" descr="Vista previa de toda la pantalla">
          <a:extLst>
            <a:ext uri="{FF2B5EF4-FFF2-40B4-BE49-F238E27FC236}">
              <a16:creationId xmlns:a16="http://schemas.microsoft.com/office/drawing/2014/main" id="{0FD41460-FA75-4C7D-9BFC-44C123B303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199" name="AutoShape 1" descr="Vista previa de toda la pantalla">
          <a:extLst>
            <a:ext uri="{FF2B5EF4-FFF2-40B4-BE49-F238E27FC236}">
              <a16:creationId xmlns:a16="http://schemas.microsoft.com/office/drawing/2014/main" id="{5392F7B2-EC6A-498A-B606-1D49700E4F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00" name="AutoShape 1" descr="Vista previa de toda la pantalla">
          <a:extLst>
            <a:ext uri="{FF2B5EF4-FFF2-40B4-BE49-F238E27FC236}">
              <a16:creationId xmlns:a16="http://schemas.microsoft.com/office/drawing/2014/main" id="{C4448E68-4F90-4E1C-BB01-FB8C1AFF34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01" name="AutoShape 1" descr="Vista previa de toda la pantalla">
          <a:extLst>
            <a:ext uri="{FF2B5EF4-FFF2-40B4-BE49-F238E27FC236}">
              <a16:creationId xmlns:a16="http://schemas.microsoft.com/office/drawing/2014/main" id="{D90BC8B5-10A4-46EE-9910-6C30D5A4F8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02" name="AutoShape 1" descr="Vista previa de toda la pantalla">
          <a:extLst>
            <a:ext uri="{FF2B5EF4-FFF2-40B4-BE49-F238E27FC236}">
              <a16:creationId xmlns:a16="http://schemas.microsoft.com/office/drawing/2014/main" id="{415775EE-DE89-4C46-ACE5-79FF5B3CB0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03" name="AutoShape 1" descr="Vista previa de toda la pantalla">
          <a:extLst>
            <a:ext uri="{FF2B5EF4-FFF2-40B4-BE49-F238E27FC236}">
              <a16:creationId xmlns:a16="http://schemas.microsoft.com/office/drawing/2014/main" id="{42734572-688A-4D63-9FC1-76F1D07637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04" name="AutoShape 1" descr="Vista previa de toda la pantalla">
          <a:extLst>
            <a:ext uri="{FF2B5EF4-FFF2-40B4-BE49-F238E27FC236}">
              <a16:creationId xmlns:a16="http://schemas.microsoft.com/office/drawing/2014/main" id="{C6783DB9-969C-4379-9508-66C99285A5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05" name="AutoShape 1" descr="Vista previa de toda la pantalla">
          <a:extLst>
            <a:ext uri="{FF2B5EF4-FFF2-40B4-BE49-F238E27FC236}">
              <a16:creationId xmlns:a16="http://schemas.microsoft.com/office/drawing/2014/main" id="{3D01728F-5A14-4652-BD7D-D2044E7422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06" name="AutoShape 1" descr="Vista previa de toda la pantalla">
          <a:extLst>
            <a:ext uri="{FF2B5EF4-FFF2-40B4-BE49-F238E27FC236}">
              <a16:creationId xmlns:a16="http://schemas.microsoft.com/office/drawing/2014/main" id="{DA50CB1F-FF46-4405-AB9A-A5B2C26283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07" name="AutoShape 1" descr="Vista previa de toda la pantalla">
          <a:extLst>
            <a:ext uri="{FF2B5EF4-FFF2-40B4-BE49-F238E27FC236}">
              <a16:creationId xmlns:a16="http://schemas.microsoft.com/office/drawing/2014/main" id="{5CE9C4EE-CF43-4798-8FDE-E9FD98F5B8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08" name="AutoShape 1" descr="Vista previa de toda la pantalla">
          <a:extLst>
            <a:ext uri="{FF2B5EF4-FFF2-40B4-BE49-F238E27FC236}">
              <a16:creationId xmlns:a16="http://schemas.microsoft.com/office/drawing/2014/main" id="{116F9295-2C1F-427D-A8F8-EDFA9E381E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09" name="AutoShape 1" descr="Vista previa de toda la pantalla">
          <a:extLst>
            <a:ext uri="{FF2B5EF4-FFF2-40B4-BE49-F238E27FC236}">
              <a16:creationId xmlns:a16="http://schemas.microsoft.com/office/drawing/2014/main" id="{78748991-BD59-4726-AB49-F535D44690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10" name="AutoShape 1" descr="Vista previa de toda la pantalla">
          <a:extLst>
            <a:ext uri="{FF2B5EF4-FFF2-40B4-BE49-F238E27FC236}">
              <a16:creationId xmlns:a16="http://schemas.microsoft.com/office/drawing/2014/main" id="{D37420F2-E89C-4046-9C94-D95AC1956E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11" name="AutoShape 1" descr="Vista previa de toda la pantalla">
          <a:extLst>
            <a:ext uri="{FF2B5EF4-FFF2-40B4-BE49-F238E27FC236}">
              <a16:creationId xmlns:a16="http://schemas.microsoft.com/office/drawing/2014/main" id="{D9F7275D-72FD-4AF5-BC97-48FB888B91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12" name="AutoShape 1" descr="Vista previa de toda la pantalla">
          <a:extLst>
            <a:ext uri="{FF2B5EF4-FFF2-40B4-BE49-F238E27FC236}">
              <a16:creationId xmlns:a16="http://schemas.microsoft.com/office/drawing/2014/main" id="{4EBC8E6B-D7BD-44A5-BEB8-158710AC1B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13" name="AutoShape 1" descr="Vista previa de toda la pantalla">
          <a:extLst>
            <a:ext uri="{FF2B5EF4-FFF2-40B4-BE49-F238E27FC236}">
              <a16:creationId xmlns:a16="http://schemas.microsoft.com/office/drawing/2014/main" id="{8DA6A9E8-C306-4048-8DC6-5F751277FD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14" name="AutoShape 1" descr="Vista previa de toda la pantalla">
          <a:extLst>
            <a:ext uri="{FF2B5EF4-FFF2-40B4-BE49-F238E27FC236}">
              <a16:creationId xmlns:a16="http://schemas.microsoft.com/office/drawing/2014/main" id="{48603291-A6E7-4085-9888-2EC90DF9D7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15" name="AutoShape 1" descr="Vista previa de toda la pantalla">
          <a:extLst>
            <a:ext uri="{FF2B5EF4-FFF2-40B4-BE49-F238E27FC236}">
              <a16:creationId xmlns:a16="http://schemas.microsoft.com/office/drawing/2014/main" id="{C72EBF5B-B4FF-4D43-B490-9CE8039E20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16" name="AutoShape 1" descr="Vista previa de toda la pantalla">
          <a:extLst>
            <a:ext uri="{FF2B5EF4-FFF2-40B4-BE49-F238E27FC236}">
              <a16:creationId xmlns:a16="http://schemas.microsoft.com/office/drawing/2014/main" id="{7C9F5425-1636-4262-9396-67F01DE795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17" name="AutoShape 1" descr="Vista previa de toda la pantalla">
          <a:extLst>
            <a:ext uri="{FF2B5EF4-FFF2-40B4-BE49-F238E27FC236}">
              <a16:creationId xmlns:a16="http://schemas.microsoft.com/office/drawing/2014/main" id="{3CAC462A-04FD-4409-8F5F-D434466E9F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18" name="AutoShape 1" descr="Vista previa de toda la pantalla">
          <a:extLst>
            <a:ext uri="{FF2B5EF4-FFF2-40B4-BE49-F238E27FC236}">
              <a16:creationId xmlns:a16="http://schemas.microsoft.com/office/drawing/2014/main" id="{A0C75CA4-E868-417C-A285-05AED86892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19" name="AutoShape 1" descr="Vista previa de toda la pantalla">
          <a:extLst>
            <a:ext uri="{FF2B5EF4-FFF2-40B4-BE49-F238E27FC236}">
              <a16:creationId xmlns:a16="http://schemas.microsoft.com/office/drawing/2014/main" id="{CE9F935E-D6EF-4446-BC24-623BF79C04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20" name="AutoShape 1" descr="Vista previa de toda la pantalla">
          <a:extLst>
            <a:ext uri="{FF2B5EF4-FFF2-40B4-BE49-F238E27FC236}">
              <a16:creationId xmlns:a16="http://schemas.microsoft.com/office/drawing/2014/main" id="{788B07CB-59F2-4B46-89D1-3C56EB4E1B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21" name="AutoShape 1" descr="Vista previa de toda la pantalla">
          <a:extLst>
            <a:ext uri="{FF2B5EF4-FFF2-40B4-BE49-F238E27FC236}">
              <a16:creationId xmlns:a16="http://schemas.microsoft.com/office/drawing/2014/main" id="{70CCBFE1-8989-4B81-A5B5-0DD20905E0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22" name="AutoShape 1" descr="Vista previa de toda la pantalla">
          <a:extLst>
            <a:ext uri="{FF2B5EF4-FFF2-40B4-BE49-F238E27FC236}">
              <a16:creationId xmlns:a16="http://schemas.microsoft.com/office/drawing/2014/main" id="{AE5AB048-B02E-4C09-8A10-0171E3152D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23" name="AutoShape 1" descr="Vista previa de toda la pantalla">
          <a:extLst>
            <a:ext uri="{FF2B5EF4-FFF2-40B4-BE49-F238E27FC236}">
              <a16:creationId xmlns:a16="http://schemas.microsoft.com/office/drawing/2014/main" id="{F005A771-A413-4DA5-93E3-4A0ADACA75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24" name="AutoShape 1" descr="Vista previa de toda la pantalla">
          <a:extLst>
            <a:ext uri="{FF2B5EF4-FFF2-40B4-BE49-F238E27FC236}">
              <a16:creationId xmlns:a16="http://schemas.microsoft.com/office/drawing/2014/main" id="{12C3F1E7-BFCF-4109-87AD-7AD746B084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25" name="AutoShape 1" descr="Vista previa de toda la pantalla">
          <a:extLst>
            <a:ext uri="{FF2B5EF4-FFF2-40B4-BE49-F238E27FC236}">
              <a16:creationId xmlns:a16="http://schemas.microsoft.com/office/drawing/2014/main" id="{F7B69514-2EA2-47D2-A43F-F672572EF0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26" name="AutoShape 1" descr="Vista previa de toda la pantalla">
          <a:extLst>
            <a:ext uri="{FF2B5EF4-FFF2-40B4-BE49-F238E27FC236}">
              <a16:creationId xmlns:a16="http://schemas.microsoft.com/office/drawing/2014/main" id="{8917C6B6-2290-44F0-A073-1A49294E72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27" name="AutoShape 1" descr="Vista previa de toda la pantalla">
          <a:extLst>
            <a:ext uri="{FF2B5EF4-FFF2-40B4-BE49-F238E27FC236}">
              <a16:creationId xmlns:a16="http://schemas.microsoft.com/office/drawing/2014/main" id="{0EAF4BE1-2DE6-4EA4-94F9-4E14E71779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28" name="AutoShape 1" descr="Vista previa de toda la pantalla">
          <a:extLst>
            <a:ext uri="{FF2B5EF4-FFF2-40B4-BE49-F238E27FC236}">
              <a16:creationId xmlns:a16="http://schemas.microsoft.com/office/drawing/2014/main" id="{EE467909-54BD-4C32-BA92-E3B89FE746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29" name="AutoShape 1" descr="Vista previa de toda la pantalla">
          <a:extLst>
            <a:ext uri="{FF2B5EF4-FFF2-40B4-BE49-F238E27FC236}">
              <a16:creationId xmlns:a16="http://schemas.microsoft.com/office/drawing/2014/main" id="{3B777C1F-8DF8-4785-A770-A1E7FEB141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30" name="AutoShape 1" descr="Vista previa de toda la pantalla">
          <a:extLst>
            <a:ext uri="{FF2B5EF4-FFF2-40B4-BE49-F238E27FC236}">
              <a16:creationId xmlns:a16="http://schemas.microsoft.com/office/drawing/2014/main" id="{2117C8F9-F82D-4817-A4F6-D7FEE9F7DD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31" name="AutoShape 1" descr="Vista previa de toda la pantalla">
          <a:extLst>
            <a:ext uri="{FF2B5EF4-FFF2-40B4-BE49-F238E27FC236}">
              <a16:creationId xmlns:a16="http://schemas.microsoft.com/office/drawing/2014/main" id="{B356B749-75E3-4C9F-9ABC-4B940B4A04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32" name="AutoShape 1" descr="Vista previa de toda la pantalla">
          <a:extLst>
            <a:ext uri="{FF2B5EF4-FFF2-40B4-BE49-F238E27FC236}">
              <a16:creationId xmlns:a16="http://schemas.microsoft.com/office/drawing/2014/main" id="{34304D07-E1D1-421B-A734-3961647DFA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33" name="AutoShape 1" descr="Vista previa de toda la pantalla">
          <a:extLst>
            <a:ext uri="{FF2B5EF4-FFF2-40B4-BE49-F238E27FC236}">
              <a16:creationId xmlns:a16="http://schemas.microsoft.com/office/drawing/2014/main" id="{8EBBBD63-514A-48FE-8DF3-74AE175711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34" name="AutoShape 1" descr="Vista previa de toda la pantalla">
          <a:extLst>
            <a:ext uri="{FF2B5EF4-FFF2-40B4-BE49-F238E27FC236}">
              <a16:creationId xmlns:a16="http://schemas.microsoft.com/office/drawing/2014/main" id="{621EEFE6-184D-4676-A125-78D85635AF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35" name="AutoShape 1" descr="Vista previa de toda la pantalla">
          <a:extLst>
            <a:ext uri="{FF2B5EF4-FFF2-40B4-BE49-F238E27FC236}">
              <a16:creationId xmlns:a16="http://schemas.microsoft.com/office/drawing/2014/main" id="{2353C2B4-E82C-459B-A16A-70BCBB762D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36" name="AutoShape 1" descr="Vista previa de toda la pantalla">
          <a:extLst>
            <a:ext uri="{FF2B5EF4-FFF2-40B4-BE49-F238E27FC236}">
              <a16:creationId xmlns:a16="http://schemas.microsoft.com/office/drawing/2014/main" id="{CBDCD1D5-5541-43CE-B390-24DB5E2565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37" name="AutoShape 1" descr="Vista previa de toda la pantalla">
          <a:extLst>
            <a:ext uri="{FF2B5EF4-FFF2-40B4-BE49-F238E27FC236}">
              <a16:creationId xmlns:a16="http://schemas.microsoft.com/office/drawing/2014/main" id="{902C758C-BAAD-499D-9252-53A706F548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38" name="AutoShape 1" descr="Vista previa de toda la pantalla">
          <a:extLst>
            <a:ext uri="{FF2B5EF4-FFF2-40B4-BE49-F238E27FC236}">
              <a16:creationId xmlns:a16="http://schemas.microsoft.com/office/drawing/2014/main" id="{F431B115-CE71-4223-8E6A-A0E741131C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39" name="AutoShape 1" descr="Vista previa de toda la pantalla">
          <a:extLst>
            <a:ext uri="{FF2B5EF4-FFF2-40B4-BE49-F238E27FC236}">
              <a16:creationId xmlns:a16="http://schemas.microsoft.com/office/drawing/2014/main" id="{BA95D296-F161-4F0A-8494-75D0B42CB2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40" name="AutoShape 1" descr="Vista previa de toda la pantalla">
          <a:extLst>
            <a:ext uri="{FF2B5EF4-FFF2-40B4-BE49-F238E27FC236}">
              <a16:creationId xmlns:a16="http://schemas.microsoft.com/office/drawing/2014/main" id="{9244C777-359B-4906-8480-D21670DB37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41" name="AutoShape 1" descr="Vista previa de toda la pantalla">
          <a:extLst>
            <a:ext uri="{FF2B5EF4-FFF2-40B4-BE49-F238E27FC236}">
              <a16:creationId xmlns:a16="http://schemas.microsoft.com/office/drawing/2014/main" id="{D04A7B25-CBCA-4F77-8DEB-CAE6E03DEC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42" name="AutoShape 1" descr="Vista previa de toda la pantalla">
          <a:extLst>
            <a:ext uri="{FF2B5EF4-FFF2-40B4-BE49-F238E27FC236}">
              <a16:creationId xmlns:a16="http://schemas.microsoft.com/office/drawing/2014/main" id="{2980CEF0-0BB0-410F-9117-E6CD24CD67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43" name="AutoShape 1" descr="Vista previa de toda la pantalla">
          <a:extLst>
            <a:ext uri="{FF2B5EF4-FFF2-40B4-BE49-F238E27FC236}">
              <a16:creationId xmlns:a16="http://schemas.microsoft.com/office/drawing/2014/main" id="{2F47F893-D88C-4B3C-8E2B-3288FE269E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44" name="AutoShape 1" descr="Vista previa de toda la pantalla">
          <a:extLst>
            <a:ext uri="{FF2B5EF4-FFF2-40B4-BE49-F238E27FC236}">
              <a16:creationId xmlns:a16="http://schemas.microsoft.com/office/drawing/2014/main" id="{3F076EC4-3CC1-4B20-BCD7-5EB2A46717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45" name="AutoShape 1" descr="Vista previa de toda la pantalla">
          <a:extLst>
            <a:ext uri="{FF2B5EF4-FFF2-40B4-BE49-F238E27FC236}">
              <a16:creationId xmlns:a16="http://schemas.microsoft.com/office/drawing/2014/main" id="{69F6221E-187F-485C-9B83-64E0241867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46" name="AutoShape 1" descr="Vista previa de toda la pantalla">
          <a:extLst>
            <a:ext uri="{FF2B5EF4-FFF2-40B4-BE49-F238E27FC236}">
              <a16:creationId xmlns:a16="http://schemas.microsoft.com/office/drawing/2014/main" id="{07245D2A-C234-4C03-9FAF-DE18E26CD3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47" name="AutoShape 1" descr="Vista previa de toda la pantalla">
          <a:extLst>
            <a:ext uri="{FF2B5EF4-FFF2-40B4-BE49-F238E27FC236}">
              <a16:creationId xmlns:a16="http://schemas.microsoft.com/office/drawing/2014/main" id="{408B2BC8-31D8-4F40-9C8D-84AA2A2F0B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48" name="AutoShape 1" descr="Vista previa de toda la pantalla">
          <a:extLst>
            <a:ext uri="{FF2B5EF4-FFF2-40B4-BE49-F238E27FC236}">
              <a16:creationId xmlns:a16="http://schemas.microsoft.com/office/drawing/2014/main" id="{068CAE7A-FDE8-4838-A774-E9B82E4FB7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49" name="AutoShape 1" descr="Vista previa de toda la pantalla">
          <a:extLst>
            <a:ext uri="{FF2B5EF4-FFF2-40B4-BE49-F238E27FC236}">
              <a16:creationId xmlns:a16="http://schemas.microsoft.com/office/drawing/2014/main" id="{81321137-1BA8-4EEA-A919-A536A630E9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50" name="AutoShape 1" descr="Vista previa de toda la pantalla">
          <a:extLst>
            <a:ext uri="{FF2B5EF4-FFF2-40B4-BE49-F238E27FC236}">
              <a16:creationId xmlns:a16="http://schemas.microsoft.com/office/drawing/2014/main" id="{9A0196CC-80C1-43F4-B760-8F7656CB73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51" name="AutoShape 1" descr="Vista previa de toda la pantalla">
          <a:extLst>
            <a:ext uri="{FF2B5EF4-FFF2-40B4-BE49-F238E27FC236}">
              <a16:creationId xmlns:a16="http://schemas.microsoft.com/office/drawing/2014/main" id="{612C14CB-9773-4486-84E3-7956342BF7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52" name="AutoShape 1" descr="Vista previa de toda la pantalla">
          <a:extLst>
            <a:ext uri="{FF2B5EF4-FFF2-40B4-BE49-F238E27FC236}">
              <a16:creationId xmlns:a16="http://schemas.microsoft.com/office/drawing/2014/main" id="{F4A6CE02-C638-493C-B6C3-73B6A34CBA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53" name="AutoShape 1" descr="Vista previa de toda la pantalla">
          <a:extLst>
            <a:ext uri="{FF2B5EF4-FFF2-40B4-BE49-F238E27FC236}">
              <a16:creationId xmlns:a16="http://schemas.microsoft.com/office/drawing/2014/main" id="{BC24E8CB-76DC-4BE6-8123-ABB544F6D2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54" name="AutoShape 1" descr="Vista previa de toda la pantalla">
          <a:extLst>
            <a:ext uri="{FF2B5EF4-FFF2-40B4-BE49-F238E27FC236}">
              <a16:creationId xmlns:a16="http://schemas.microsoft.com/office/drawing/2014/main" id="{4B130068-AF3B-4F08-8A43-667DC4CA84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55" name="AutoShape 1" descr="Vista previa de toda la pantalla">
          <a:extLst>
            <a:ext uri="{FF2B5EF4-FFF2-40B4-BE49-F238E27FC236}">
              <a16:creationId xmlns:a16="http://schemas.microsoft.com/office/drawing/2014/main" id="{F8EDBE45-2252-46DA-953F-0FD33B9311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56" name="AutoShape 1" descr="Vista previa de toda la pantalla">
          <a:extLst>
            <a:ext uri="{FF2B5EF4-FFF2-40B4-BE49-F238E27FC236}">
              <a16:creationId xmlns:a16="http://schemas.microsoft.com/office/drawing/2014/main" id="{7AEA2173-8469-40B6-910C-957FFCE157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57" name="AutoShape 1" descr="Vista previa de toda la pantalla">
          <a:extLst>
            <a:ext uri="{FF2B5EF4-FFF2-40B4-BE49-F238E27FC236}">
              <a16:creationId xmlns:a16="http://schemas.microsoft.com/office/drawing/2014/main" id="{F6FFFECA-44AC-48C9-A329-49C3467C29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58" name="AutoShape 1" descr="Vista previa de toda la pantalla">
          <a:extLst>
            <a:ext uri="{FF2B5EF4-FFF2-40B4-BE49-F238E27FC236}">
              <a16:creationId xmlns:a16="http://schemas.microsoft.com/office/drawing/2014/main" id="{0F940D8C-36C7-4E16-9DAB-76666FA880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59" name="AutoShape 1" descr="Vista previa de toda la pantalla">
          <a:extLst>
            <a:ext uri="{FF2B5EF4-FFF2-40B4-BE49-F238E27FC236}">
              <a16:creationId xmlns:a16="http://schemas.microsoft.com/office/drawing/2014/main" id="{BA992727-6244-4594-9E24-2D0D1A1184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60" name="AutoShape 1" descr="Vista previa de toda la pantalla">
          <a:extLst>
            <a:ext uri="{FF2B5EF4-FFF2-40B4-BE49-F238E27FC236}">
              <a16:creationId xmlns:a16="http://schemas.microsoft.com/office/drawing/2014/main" id="{895CCF98-7469-4D15-8A97-2DE901C8AA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61" name="AutoShape 1" descr="Vista previa de toda la pantalla">
          <a:extLst>
            <a:ext uri="{FF2B5EF4-FFF2-40B4-BE49-F238E27FC236}">
              <a16:creationId xmlns:a16="http://schemas.microsoft.com/office/drawing/2014/main" id="{63D52989-85FD-469E-8DF4-C9633F16BC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62" name="AutoShape 1" descr="Vista previa de toda la pantalla">
          <a:extLst>
            <a:ext uri="{FF2B5EF4-FFF2-40B4-BE49-F238E27FC236}">
              <a16:creationId xmlns:a16="http://schemas.microsoft.com/office/drawing/2014/main" id="{6DAA701E-237E-4D87-9BE7-BEEC341D60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63" name="AutoShape 1" descr="Vista previa de toda la pantalla">
          <a:extLst>
            <a:ext uri="{FF2B5EF4-FFF2-40B4-BE49-F238E27FC236}">
              <a16:creationId xmlns:a16="http://schemas.microsoft.com/office/drawing/2014/main" id="{2B51ACEF-AAF0-4A13-921A-CB15F03A33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64" name="AutoShape 1" descr="Vista previa de toda la pantalla">
          <a:extLst>
            <a:ext uri="{FF2B5EF4-FFF2-40B4-BE49-F238E27FC236}">
              <a16:creationId xmlns:a16="http://schemas.microsoft.com/office/drawing/2014/main" id="{FEDB1EEC-74B6-4212-A29D-EB395CF75D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65" name="AutoShape 1" descr="Vista previa de toda la pantalla">
          <a:extLst>
            <a:ext uri="{FF2B5EF4-FFF2-40B4-BE49-F238E27FC236}">
              <a16:creationId xmlns:a16="http://schemas.microsoft.com/office/drawing/2014/main" id="{0663DE0C-9209-4F96-8BD7-B1816B2202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66" name="AutoShape 1" descr="Vista previa de toda la pantalla">
          <a:extLst>
            <a:ext uri="{FF2B5EF4-FFF2-40B4-BE49-F238E27FC236}">
              <a16:creationId xmlns:a16="http://schemas.microsoft.com/office/drawing/2014/main" id="{33D8C61F-E198-463F-A303-0E3CED79EB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67" name="AutoShape 1" descr="Vista previa de toda la pantalla">
          <a:extLst>
            <a:ext uri="{FF2B5EF4-FFF2-40B4-BE49-F238E27FC236}">
              <a16:creationId xmlns:a16="http://schemas.microsoft.com/office/drawing/2014/main" id="{5BB5639C-C298-4AB6-8EF8-E8B16E49DD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68" name="AutoShape 1" descr="Vista previa de toda la pantalla">
          <a:extLst>
            <a:ext uri="{FF2B5EF4-FFF2-40B4-BE49-F238E27FC236}">
              <a16:creationId xmlns:a16="http://schemas.microsoft.com/office/drawing/2014/main" id="{D8820C2C-AF59-4AA2-9444-6756EAF740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69" name="AutoShape 1" descr="Vista previa de toda la pantalla">
          <a:extLst>
            <a:ext uri="{FF2B5EF4-FFF2-40B4-BE49-F238E27FC236}">
              <a16:creationId xmlns:a16="http://schemas.microsoft.com/office/drawing/2014/main" id="{B0D6A90A-14ED-4D40-8E48-8EDDA0786C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70" name="AutoShape 1" descr="Vista previa de toda la pantalla">
          <a:extLst>
            <a:ext uri="{FF2B5EF4-FFF2-40B4-BE49-F238E27FC236}">
              <a16:creationId xmlns:a16="http://schemas.microsoft.com/office/drawing/2014/main" id="{4EDB7D2D-64F8-4D0A-9094-F9BBE42398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71" name="AutoShape 1" descr="Vista previa de toda la pantalla">
          <a:extLst>
            <a:ext uri="{FF2B5EF4-FFF2-40B4-BE49-F238E27FC236}">
              <a16:creationId xmlns:a16="http://schemas.microsoft.com/office/drawing/2014/main" id="{4B94D706-0A82-4569-A301-92445E74B9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72" name="AutoShape 1" descr="Vista previa de toda la pantalla">
          <a:extLst>
            <a:ext uri="{FF2B5EF4-FFF2-40B4-BE49-F238E27FC236}">
              <a16:creationId xmlns:a16="http://schemas.microsoft.com/office/drawing/2014/main" id="{FE1D179C-B9C9-43D2-8137-66B89EC503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73" name="AutoShape 1" descr="Vista previa de toda la pantalla">
          <a:extLst>
            <a:ext uri="{FF2B5EF4-FFF2-40B4-BE49-F238E27FC236}">
              <a16:creationId xmlns:a16="http://schemas.microsoft.com/office/drawing/2014/main" id="{7F17EE5D-0F00-4FB4-9674-9C76D32528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74" name="AutoShape 1" descr="Vista previa de toda la pantalla">
          <a:extLst>
            <a:ext uri="{FF2B5EF4-FFF2-40B4-BE49-F238E27FC236}">
              <a16:creationId xmlns:a16="http://schemas.microsoft.com/office/drawing/2014/main" id="{7336F210-A782-4065-BE55-3B03AFD218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75" name="AutoShape 1" descr="Vista previa de toda la pantalla">
          <a:extLst>
            <a:ext uri="{FF2B5EF4-FFF2-40B4-BE49-F238E27FC236}">
              <a16:creationId xmlns:a16="http://schemas.microsoft.com/office/drawing/2014/main" id="{B021BC33-6B34-4267-A36C-DCA43729A7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76" name="AutoShape 1" descr="Vista previa de toda la pantalla">
          <a:extLst>
            <a:ext uri="{FF2B5EF4-FFF2-40B4-BE49-F238E27FC236}">
              <a16:creationId xmlns:a16="http://schemas.microsoft.com/office/drawing/2014/main" id="{3B34028B-2627-400A-8AA4-2F5AB800F4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77" name="AutoShape 1" descr="Vista previa de toda la pantalla">
          <a:extLst>
            <a:ext uri="{FF2B5EF4-FFF2-40B4-BE49-F238E27FC236}">
              <a16:creationId xmlns:a16="http://schemas.microsoft.com/office/drawing/2014/main" id="{AF04CAE0-1ED9-4EDE-9A8E-6ADAC88FA3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78" name="AutoShape 1" descr="Vista previa de toda la pantalla">
          <a:extLst>
            <a:ext uri="{FF2B5EF4-FFF2-40B4-BE49-F238E27FC236}">
              <a16:creationId xmlns:a16="http://schemas.microsoft.com/office/drawing/2014/main" id="{C69624C3-30DB-4008-84F9-0B66564FAB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79" name="AutoShape 1" descr="Vista previa de toda la pantalla">
          <a:extLst>
            <a:ext uri="{FF2B5EF4-FFF2-40B4-BE49-F238E27FC236}">
              <a16:creationId xmlns:a16="http://schemas.microsoft.com/office/drawing/2014/main" id="{A4E75C70-ADEE-47A6-9BF6-42F33220B6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0" name="AutoShape 1" descr="Vista previa de toda la pantalla">
          <a:extLst>
            <a:ext uri="{FF2B5EF4-FFF2-40B4-BE49-F238E27FC236}">
              <a16:creationId xmlns:a16="http://schemas.microsoft.com/office/drawing/2014/main" id="{8D783B3E-20DD-4607-950C-73D379EFCE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1" name="AutoShape 1" descr="Vista previa de toda la pantalla">
          <a:extLst>
            <a:ext uri="{FF2B5EF4-FFF2-40B4-BE49-F238E27FC236}">
              <a16:creationId xmlns:a16="http://schemas.microsoft.com/office/drawing/2014/main" id="{779065F7-1965-49D1-B29A-BA6392AF8D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2" name="AutoShape 1" descr="Vista previa de toda la pantalla">
          <a:extLst>
            <a:ext uri="{FF2B5EF4-FFF2-40B4-BE49-F238E27FC236}">
              <a16:creationId xmlns:a16="http://schemas.microsoft.com/office/drawing/2014/main" id="{E29C93E4-A780-427E-90BD-FB9EF613B2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3" name="AutoShape 1" descr="Vista previa de toda la pantalla">
          <a:extLst>
            <a:ext uri="{FF2B5EF4-FFF2-40B4-BE49-F238E27FC236}">
              <a16:creationId xmlns:a16="http://schemas.microsoft.com/office/drawing/2014/main" id="{FD5F70F1-0636-44FA-8E8B-F7EBDBBEFD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4" name="AutoShape 1" descr="Vista previa de toda la pantalla">
          <a:extLst>
            <a:ext uri="{FF2B5EF4-FFF2-40B4-BE49-F238E27FC236}">
              <a16:creationId xmlns:a16="http://schemas.microsoft.com/office/drawing/2014/main" id="{FC74F8B3-F370-419B-A5C4-3EB2A102F4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5" name="AutoShape 1" descr="Vista previa de toda la pantalla">
          <a:extLst>
            <a:ext uri="{FF2B5EF4-FFF2-40B4-BE49-F238E27FC236}">
              <a16:creationId xmlns:a16="http://schemas.microsoft.com/office/drawing/2014/main" id="{9C1690C1-ADEC-4C7F-A12F-08FEC8D678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6" name="AutoShape 1" descr="Vista previa de toda la pantalla">
          <a:extLst>
            <a:ext uri="{FF2B5EF4-FFF2-40B4-BE49-F238E27FC236}">
              <a16:creationId xmlns:a16="http://schemas.microsoft.com/office/drawing/2014/main" id="{8A9BA482-D7C7-4562-94C5-996957CAD6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7" name="AutoShape 1" descr="Vista previa de toda la pantalla">
          <a:extLst>
            <a:ext uri="{FF2B5EF4-FFF2-40B4-BE49-F238E27FC236}">
              <a16:creationId xmlns:a16="http://schemas.microsoft.com/office/drawing/2014/main" id="{A47BA0E4-ABC3-4738-A8D9-3FC59EFCC3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8" name="AutoShape 1" descr="Vista previa de toda la pantalla">
          <a:extLst>
            <a:ext uri="{FF2B5EF4-FFF2-40B4-BE49-F238E27FC236}">
              <a16:creationId xmlns:a16="http://schemas.microsoft.com/office/drawing/2014/main" id="{65068FD0-3E57-4E9C-98D1-764B8CA0E1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89" name="AutoShape 1" descr="Vista previa de toda la pantalla">
          <a:extLst>
            <a:ext uri="{FF2B5EF4-FFF2-40B4-BE49-F238E27FC236}">
              <a16:creationId xmlns:a16="http://schemas.microsoft.com/office/drawing/2014/main" id="{4079713B-77BC-468C-9B36-1BD2C87E76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0" name="AutoShape 1" descr="Vista previa de toda la pantalla">
          <a:extLst>
            <a:ext uri="{FF2B5EF4-FFF2-40B4-BE49-F238E27FC236}">
              <a16:creationId xmlns:a16="http://schemas.microsoft.com/office/drawing/2014/main" id="{2D7D9090-7533-4458-B96D-A080E5B129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1" name="AutoShape 1" descr="Vista previa de toda la pantalla">
          <a:extLst>
            <a:ext uri="{FF2B5EF4-FFF2-40B4-BE49-F238E27FC236}">
              <a16:creationId xmlns:a16="http://schemas.microsoft.com/office/drawing/2014/main" id="{58C665C1-DD1C-4337-8FFD-320D39D6E3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2" name="AutoShape 1" descr="Vista previa de toda la pantalla">
          <a:extLst>
            <a:ext uri="{FF2B5EF4-FFF2-40B4-BE49-F238E27FC236}">
              <a16:creationId xmlns:a16="http://schemas.microsoft.com/office/drawing/2014/main" id="{93B86C94-A0D0-4AF7-AEF4-A77598F1BB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3" name="AutoShape 1" descr="Vista previa de toda la pantalla">
          <a:extLst>
            <a:ext uri="{FF2B5EF4-FFF2-40B4-BE49-F238E27FC236}">
              <a16:creationId xmlns:a16="http://schemas.microsoft.com/office/drawing/2014/main" id="{B07DC6A2-8F4B-48EF-BDBA-0E4B90C03F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4" name="AutoShape 1" descr="Vista previa de toda la pantalla">
          <a:extLst>
            <a:ext uri="{FF2B5EF4-FFF2-40B4-BE49-F238E27FC236}">
              <a16:creationId xmlns:a16="http://schemas.microsoft.com/office/drawing/2014/main" id="{3B674BA4-184B-404D-9A03-E7F5B428DA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5" name="AutoShape 1" descr="Vista previa de toda la pantalla">
          <a:extLst>
            <a:ext uri="{FF2B5EF4-FFF2-40B4-BE49-F238E27FC236}">
              <a16:creationId xmlns:a16="http://schemas.microsoft.com/office/drawing/2014/main" id="{845C9A6E-A49F-409C-9779-315F12CF74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6" name="AutoShape 1" descr="Vista previa de toda la pantalla">
          <a:extLst>
            <a:ext uri="{FF2B5EF4-FFF2-40B4-BE49-F238E27FC236}">
              <a16:creationId xmlns:a16="http://schemas.microsoft.com/office/drawing/2014/main" id="{511B2C77-BF13-4C54-BD8C-49830F41F4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7" name="AutoShape 1" descr="Vista previa de toda la pantalla">
          <a:extLst>
            <a:ext uri="{FF2B5EF4-FFF2-40B4-BE49-F238E27FC236}">
              <a16:creationId xmlns:a16="http://schemas.microsoft.com/office/drawing/2014/main" id="{52EB697A-CA3A-49AA-BDAB-BE1358D656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8" name="AutoShape 1" descr="Vista previa de toda la pantalla">
          <a:extLst>
            <a:ext uri="{FF2B5EF4-FFF2-40B4-BE49-F238E27FC236}">
              <a16:creationId xmlns:a16="http://schemas.microsoft.com/office/drawing/2014/main" id="{DEB1E3C9-1C18-4660-B86E-70A88E5AC1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299" name="AutoShape 1" descr="Vista previa de toda la pantalla">
          <a:extLst>
            <a:ext uri="{FF2B5EF4-FFF2-40B4-BE49-F238E27FC236}">
              <a16:creationId xmlns:a16="http://schemas.microsoft.com/office/drawing/2014/main" id="{1458A4D3-88A8-4A78-AD74-5D97567558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0" name="AutoShape 1" descr="Vista previa de toda la pantalla">
          <a:extLst>
            <a:ext uri="{FF2B5EF4-FFF2-40B4-BE49-F238E27FC236}">
              <a16:creationId xmlns:a16="http://schemas.microsoft.com/office/drawing/2014/main" id="{AB257A44-5520-4794-AE10-80CE97492D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1" name="AutoShape 1" descr="Vista previa de toda la pantalla">
          <a:extLst>
            <a:ext uri="{FF2B5EF4-FFF2-40B4-BE49-F238E27FC236}">
              <a16:creationId xmlns:a16="http://schemas.microsoft.com/office/drawing/2014/main" id="{CBDEC235-832A-472E-B471-1B81189A06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2" name="AutoShape 1" descr="Vista previa de toda la pantalla">
          <a:extLst>
            <a:ext uri="{FF2B5EF4-FFF2-40B4-BE49-F238E27FC236}">
              <a16:creationId xmlns:a16="http://schemas.microsoft.com/office/drawing/2014/main" id="{77D88E0B-18F1-4D43-B6C8-EF28E212A9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3" name="AutoShape 1" descr="Vista previa de toda la pantalla">
          <a:extLst>
            <a:ext uri="{FF2B5EF4-FFF2-40B4-BE49-F238E27FC236}">
              <a16:creationId xmlns:a16="http://schemas.microsoft.com/office/drawing/2014/main" id="{F439FE44-CD97-41FA-850A-079D65C549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4" name="AutoShape 1" descr="Vista previa de toda la pantalla">
          <a:extLst>
            <a:ext uri="{FF2B5EF4-FFF2-40B4-BE49-F238E27FC236}">
              <a16:creationId xmlns:a16="http://schemas.microsoft.com/office/drawing/2014/main" id="{D227499E-4801-4442-BEB3-92ED6E3ADB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5" name="AutoShape 1" descr="Vista previa de toda la pantalla">
          <a:extLst>
            <a:ext uri="{FF2B5EF4-FFF2-40B4-BE49-F238E27FC236}">
              <a16:creationId xmlns:a16="http://schemas.microsoft.com/office/drawing/2014/main" id="{387E3089-E1C8-4886-B1E6-42D220FBE7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6" name="AutoShape 1" descr="Vista previa de toda la pantalla">
          <a:extLst>
            <a:ext uri="{FF2B5EF4-FFF2-40B4-BE49-F238E27FC236}">
              <a16:creationId xmlns:a16="http://schemas.microsoft.com/office/drawing/2014/main" id="{1D01EAB0-D2CD-44A5-BD78-70A65ABC33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7" name="AutoShape 1" descr="Vista previa de toda la pantalla">
          <a:extLst>
            <a:ext uri="{FF2B5EF4-FFF2-40B4-BE49-F238E27FC236}">
              <a16:creationId xmlns:a16="http://schemas.microsoft.com/office/drawing/2014/main" id="{1054F07E-FF9B-4BD7-813A-B07EF07D33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8" name="AutoShape 1" descr="Vista previa de toda la pantalla">
          <a:extLst>
            <a:ext uri="{FF2B5EF4-FFF2-40B4-BE49-F238E27FC236}">
              <a16:creationId xmlns:a16="http://schemas.microsoft.com/office/drawing/2014/main" id="{ABA17AFF-D169-4AB2-9DC3-3BAF12BF57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09" name="AutoShape 1" descr="Vista previa de toda la pantalla">
          <a:extLst>
            <a:ext uri="{FF2B5EF4-FFF2-40B4-BE49-F238E27FC236}">
              <a16:creationId xmlns:a16="http://schemas.microsoft.com/office/drawing/2014/main" id="{01CFEA60-91BB-4865-BDE0-DC8922E10E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0" name="AutoShape 1" descr="Vista previa de toda la pantalla">
          <a:extLst>
            <a:ext uri="{FF2B5EF4-FFF2-40B4-BE49-F238E27FC236}">
              <a16:creationId xmlns:a16="http://schemas.microsoft.com/office/drawing/2014/main" id="{83C0C637-3679-4F6D-81B1-26AE6705BC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1" name="AutoShape 1" descr="Vista previa de toda la pantalla">
          <a:extLst>
            <a:ext uri="{FF2B5EF4-FFF2-40B4-BE49-F238E27FC236}">
              <a16:creationId xmlns:a16="http://schemas.microsoft.com/office/drawing/2014/main" id="{302E309A-A416-44ED-9FD3-8AC74EB988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2" name="AutoShape 1" descr="Vista previa de toda la pantalla">
          <a:extLst>
            <a:ext uri="{FF2B5EF4-FFF2-40B4-BE49-F238E27FC236}">
              <a16:creationId xmlns:a16="http://schemas.microsoft.com/office/drawing/2014/main" id="{9568075E-7C3B-4400-8E91-DE2CC339AF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3" name="AutoShape 1" descr="Vista previa de toda la pantalla">
          <a:extLst>
            <a:ext uri="{FF2B5EF4-FFF2-40B4-BE49-F238E27FC236}">
              <a16:creationId xmlns:a16="http://schemas.microsoft.com/office/drawing/2014/main" id="{492991B1-24C1-42F9-B2DE-4F6448FC25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4" name="AutoShape 1" descr="Vista previa de toda la pantalla">
          <a:extLst>
            <a:ext uri="{FF2B5EF4-FFF2-40B4-BE49-F238E27FC236}">
              <a16:creationId xmlns:a16="http://schemas.microsoft.com/office/drawing/2014/main" id="{69C83D34-CC84-4FCC-8BC5-86B6372ABF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5" name="AutoShape 1" descr="Vista previa de toda la pantalla">
          <a:extLst>
            <a:ext uri="{FF2B5EF4-FFF2-40B4-BE49-F238E27FC236}">
              <a16:creationId xmlns:a16="http://schemas.microsoft.com/office/drawing/2014/main" id="{36D05320-65EB-4299-B6D7-28DF261E94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6" name="AutoShape 1" descr="Vista previa de toda la pantalla">
          <a:extLst>
            <a:ext uri="{FF2B5EF4-FFF2-40B4-BE49-F238E27FC236}">
              <a16:creationId xmlns:a16="http://schemas.microsoft.com/office/drawing/2014/main" id="{0E2B5214-3C48-4A0C-9998-13E13BCBBC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7" name="AutoShape 1" descr="Vista previa de toda la pantalla">
          <a:extLst>
            <a:ext uri="{FF2B5EF4-FFF2-40B4-BE49-F238E27FC236}">
              <a16:creationId xmlns:a16="http://schemas.microsoft.com/office/drawing/2014/main" id="{7CDD12B3-2962-4024-B144-48ED8D975A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8" name="AutoShape 1" descr="Vista previa de toda la pantalla">
          <a:extLst>
            <a:ext uri="{FF2B5EF4-FFF2-40B4-BE49-F238E27FC236}">
              <a16:creationId xmlns:a16="http://schemas.microsoft.com/office/drawing/2014/main" id="{15D7E2ED-F50B-43A0-835B-8E950F7314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19" name="AutoShape 1" descr="Vista previa de toda la pantalla">
          <a:extLst>
            <a:ext uri="{FF2B5EF4-FFF2-40B4-BE49-F238E27FC236}">
              <a16:creationId xmlns:a16="http://schemas.microsoft.com/office/drawing/2014/main" id="{D5635ABE-0B30-469D-8061-C4583B68BB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0" name="AutoShape 1" descr="Vista previa de toda la pantalla">
          <a:extLst>
            <a:ext uri="{FF2B5EF4-FFF2-40B4-BE49-F238E27FC236}">
              <a16:creationId xmlns:a16="http://schemas.microsoft.com/office/drawing/2014/main" id="{B5A7EBD8-6D1F-43F1-B7B9-9CD946896C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1" name="AutoShape 1" descr="Vista previa de toda la pantalla">
          <a:extLst>
            <a:ext uri="{FF2B5EF4-FFF2-40B4-BE49-F238E27FC236}">
              <a16:creationId xmlns:a16="http://schemas.microsoft.com/office/drawing/2014/main" id="{6192EE1C-D985-49A9-9E2B-604619E40C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2" name="AutoShape 1" descr="Vista previa de toda la pantalla">
          <a:extLst>
            <a:ext uri="{FF2B5EF4-FFF2-40B4-BE49-F238E27FC236}">
              <a16:creationId xmlns:a16="http://schemas.microsoft.com/office/drawing/2014/main" id="{920A8EA3-5F63-4A30-B8D3-B133B77AF4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3" name="AutoShape 1" descr="Vista previa de toda la pantalla">
          <a:extLst>
            <a:ext uri="{FF2B5EF4-FFF2-40B4-BE49-F238E27FC236}">
              <a16:creationId xmlns:a16="http://schemas.microsoft.com/office/drawing/2014/main" id="{524BF68C-9AB5-4C12-A3F3-F308CCD175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4" name="AutoShape 1" descr="Vista previa de toda la pantalla">
          <a:extLst>
            <a:ext uri="{FF2B5EF4-FFF2-40B4-BE49-F238E27FC236}">
              <a16:creationId xmlns:a16="http://schemas.microsoft.com/office/drawing/2014/main" id="{BC049CAE-042A-493B-8617-88160918A3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5" name="AutoShape 1" descr="Vista previa de toda la pantalla">
          <a:extLst>
            <a:ext uri="{FF2B5EF4-FFF2-40B4-BE49-F238E27FC236}">
              <a16:creationId xmlns:a16="http://schemas.microsoft.com/office/drawing/2014/main" id="{D8008CF3-3456-46D5-A8BB-BB7C6FC3CD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6" name="AutoShape 1" descr="Vista previa de toda la pantalla">
          <a:extLst>
            <a:ext uri="{FF2B5EF4-FFF2-40B4-BE49-F238E27FC236}">
              <a16:creationId xmlns:a16="http://schemas.microsoft.com/office/drawing/2014/main" id="{1CB75316-1457-4839-8318-C7AC8D48E4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7" name="AutoShape 1" descr="Vista previa de toda la pantalla">
          <a:extLst>
            <a:ext uri="{FF2B5EF4-FFF2-40B4-BE49-F238E27FC236}">
              <a16:creationId xmlns:a16="http://schemas.microsoft.com/office/drawing/2014/main" id="{021EF9DF-A4B2-4284-96D5-D5660A02FA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8" name="AutoShape 1" descr="Vista previa de toda la pantalla">
          <a:extLst>
            <a:ext uri="{FF2B5EF4-FFF2-40B4-BE49-F238E27FC236}">
              <a16:creationId xmlns:a16="http://schemas.microsoft.com/office/drawing/2014/main" id="{179D1095-0D34-451B-9E49-468659B23F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29" name="AutoShape 1" descr="Vista previa de toda la pantalla">
          <a:extLst>
            <a:ext uri="{FF2B5EF4-FFF2-40B4-BE49-F238E27FC236}">
              <a16:creationId xmlns:a16="http://schemas.microsoft.com/office/drawing/2014/main" id="{089F3A7D-85E3-46E8-92F7-9B01E4A9BD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0" name="AutoShape 1" descr="Vista previa de toda la pantalla">
          <a:extLst>
            <a:ext uri="{FF2B5EF4-FFF2-40B4-BE49-F238E27FC236}">
              <a16:creationId xmlns:a16="http://schemas.microsoft.com/office/drawing/2014/main" id="{9D7DA986-8C77-4ABA-8ADE-28C8BB712C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1" name="AutoShape 1" descr="Vista previa de toda la pantalla">
          <a:extLst>
            <a:ext uri="{FF2B5EF4-FFF2-40B4-BE49-F238E27FC236}">
              <a16:creationId xmlns:a16="http://schemas.microsoft.com/office/drawing/2014/main" id="{A27E373D-C6A3-4DD7-B214-41E3E268EE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2" name="AutoShape 1" descr="Vista previa de toda la pantalla">
          <a:extLst>
            <a:ext uri="{FF2B5EF4-FFF2-40B4-BE49-F238E27FC236}">
              <a16:creationId xmlns:a16="http://schemas.microsoft.com/office/drawing/2014/main" id="{5474D0D7-4F58-45C5-8C27-B568B75593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3" name="AutoShape 1" descr="Vista previa de toda la pantalla">
          <a:extLst>
            <a:ext uri="{FF2B5EF4-FFF2-40B4-BE49-F238E27FC236}">
              <a16:creationId xmlns:a16="http://schemas.microsoft.com/office/drawing/2014/main" id="{BDE7EFFD-B3F7-4923-996F-A6AF408E76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4" name="AutoShape 1" descr="Vista previa de toda la pantalla">
          <a:extLst>
            <a:ext uri="{FF2B5EF4-FFF2-40B4-BE49-F238E27FC236}">
              <a16:creationId xmlns:a16="http://schemas.microsoft.com/office/drawing/2014/main" id="{6E3A2FD5-3729-41BD-9903-77F23442F1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5" name="AutoShape 1" descr="Vista previa de toda la pantalla">
          <a:extLst>
            <a:ext uri="{FF2B5EF4-FFF2-40B4-BE49-F238E27FC236}">
              <a16:creationId xmlns:a16="http://schemas.microsoft.com/office/drawing/2014/main" id="{645D7F78-946A-40C8-8F9A-1973755950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6" name="AutoShape 1" descr="Vista previa de toda la pantalla">
          <a:extLst>
            <a:ext uri="{FF2B5EF4-FFF2-40B4-BE49-F238E27FC236}">
              <a16:creationId xmlns:a16="http://schemas.microsoft.com/office/drawing/2014/main" id="{B1B5FBBC-FD14-4DEE-89E6-46AE333C7C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7" name="AutoShape 1" descr="Vista previa de toda la pantalla">
          <a:extLst>
            <a:ext uri="{FF2B5EF4-FFF2-40B4-BE49-F238E27FC236}">
              <a16:creationId xmlns:a16="http://schemas.microsoft.com/office/drawing/2014/main" id="{7AD47E0D-7CBC-420F-BD4F-E1F800221D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8" name="AutoShape 1" descr="Vista previa de toda la pantalla">
          <a:extLst>
            <a:ext uri="{FF2B5EF4-FFF2-40B4-BE49-F238E27FC236}">
              <a16:creationId xmlns:a16="http://schemas.microsoft.com/office/drawing/2014/main" id="{B5584E73-966D-4010-867F-46C78A6206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39" name="AutoShape 1" descr="Vista previa de toda la pantalla">
          <a:extLst>
            <a:ext uri="{FF2B5EF4-FFF2-40B4-BE49-F238E27FC236}">
              <a16:creationId xmlns:a16="http://schemas.microsoft.com/office/drawing/2014/main" id="{3B4B584F-35F8-4269-998E-2A61D14EB1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0" name="AutoShape 1" descr="Vista previa de toda la pantalla">
          <a:extLst>
            <a:ext uri="{FF2B5EF4-FFF2-40B4-BE49-F238E27FC236}">
              <a16:creationId xmlns:a16="http://schemas.microsoft.com/office/drawing/2014/main" id="{028D483D-7156-4557-AFB6-21F896C046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1" name="AutoShape 1" descr="Vista previa de toda la pantalla">
          <a:extLst>
            <a:ext uri="{FF2B5EF4-FFF2-40B4-BE49-F238E27FC236}">
              <a16:creationId xmlns:a16="http://schemas.microsoft.com/office/drawing/2014/main" id="{2C45F157-4B8D-4BFA-A6B7-F4DAF716AA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2" name="AutoShape 1" descr="Vista previa de toda la pantalla">
          <a:extLst>
            <a:ext uri="{FF2B5EF4-FFF2-40B4-BE49-F238E27FC236}">
              <a16:creationId xmlns:a16="http://schemas.microsoft.com/office/drawing/2014/main" id="{C44813A2-FF84-47DF-A06C-11E6E15406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3" name="AutoShape 1" descr="Vista previa de toda la pantalla">
          <a:extLst>
            <a:ext uri="{FF2B5EF4-FFF2-40B4-BE49-F238E27FC236}">
              <a16:creationId xmlns:a16="http://schemas.microsoft.com/office/drawing/2014/main" id="{9A35AB5A-CD1B-4F14-8173-A8375954E2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4" name="AutoShape 1" descr="Vista previa de toda la pantalla">
          <a:extLst>
            <a:ext uri="{FF2B5EF4-FFF2-40B4-BE49-F238E27FC236}">
              <a16:creationId xmlns:a16="http://schemas.microsoft.com/office/drawing/2014/main" id="{1CADC3DD-703C-48B7-A3FA-A3771A4F55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5" name="AutoShape 1" descr="Vista previa de toda la pantalla">
          <a:extLst>
            <a:ext uri="{FF2B5EF4-FFF2-40B4-BE49-F238E27FC236}">
              <a16:creationId xmlns:a16="http://schemas.microsoft.com/office/drawing/2014/main" id="{1CB9790A-F26D-490C-AD1C-EA44E37691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6" name="AutoShape 1" descr="Vista previa de toda la pantalla">
          <a:extLst>
            <a:ext uri="{FF2B5EF4-FFF2-40B4-BE49-F238E27FC236}">
              <a16:creationId xmlns:a16="http://schemas.microsoft.com/office/drawing/2014/main" id="{816DE16B-6A81-450D-A4ED-FEDD532948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7" name="AutoShape 1" descr="Vista previa de toda la pantalla">
          <a:extLst>
            <a:ext uri="{FF2B5EF4-FFF2-40B4-BE49-F238E27FC236}">
              <a16:creationId xmlns:a16="http://schemas.microsoft.com/office/drawing/2014/main" id="{2BD8547B-17D0-45CD-AB88-CC2AE95D1E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8" name="AutoShape 1" descr="Vista previa de toda la pantalla">
          <a:extLst>
            <a:ext uri="{FF2B5EF4-FFF2-40B4-BE49-F238E27FC236}">
              <a16:creationId xmlns:a16="http://schemas.microsoft.com/office/drawing/2014/main" id="{57416C41-E81B-402E-ADA3-9B3CB761B3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49" name="AutoShape 1" descr="Vista previa de toda la pantalla">
          <a:extLst>
            <a:ext uri="{FF2B5EF4-FFF2-40B4-BE49-F238E27FC236}">
              <a16:creationId xmlns:a16="http://schemas.microsoft.com/office/drawing/2014/main" id="{ED4F5C8D-DEAC-4596-864F-656B779B5F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0" name="AutoShape 1" descr="Vista previa de toda la pantalla">
          <a:extLst>
            <a:ext uri="{FF2B5EF4-FFF2-40B4-BE49-F238E27FC236}">
              <a16:creationId xmlns:a16="http://schemas.microsoft.com/office/drawing/2014/main" id="{A8EF14F4-55A0-4626-9115-1CAADDE4EC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1" name="AutoShape 1" descr="Vista previa de toda la pantalla">
          <a:extLst>
            <a:ext uri="{FF2B5EF4-FFF2-40B4-BE49-F238E27FC236}">
              <a16:creationId xmlns:a16="http://schemas.microsoft.com/office/drawing/2014/main" id="{F22CFC3A-1AA1-4BA4-8076-278E4F5786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2" name="AutoShape 1" descr="Vista previa de toda la pantalla">
          <a:extLst>
            <a:ext uri="{FF2B5EF4-FFF2-40B4-BE49-F238E27FC236}">
              <a16:creationId xmlns:a16="http://schemas.microsoft.com/office/drawing/2014/main" id="{A677CDFE-7487-4091-ABFD-ADF9F82E72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3" name="AutoShape 1" descr="Vista previa de toda la pantalla">
          <a:extLst>
            <a:ext uri="{FF2B5EF4-FFF2-40B4-BE49-F238E27FC236}">
              <a16:creationId xmlns:a16="http://schemas.microsoft.com/office/drawing/2014/main" id="{3CF996E6-FF5A-463C-89EE-956F8FDC83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4" name="AutoShape 1" descr="Vista previa de toda la pantalla">
          <a:extLst>
            <a:ext uri="{FF2B5EF4-FFF2-40B4-BE49-F238E27FC236}">
              <a16:creationId xmlns:a16="http://schemas.microsoft.com/office/drawing/2014/main" id="{6E86FB54-E216-49BD-AFCF-3547211315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5" name="AutoShape 1" descr="Vista previa de toda la pantalla">
          <a:extLst>
            <a:ext uri="{FF2B5EF4-FFF2-40B4-BE49-F238E27FC236}">
              <a16:creationId xmlns:a16="http://schemas.microsoft.com/office/drawing/2014/main" id="{3A5CE437-72BC-4720-BC7E-7E0633F8CB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6" name="AutoShape 1" descr="Vista previa de toda la pantalla">
          <a:extLst>
            <a:ext uri="{FF2B5EF4-FFF2-40B4-BE49-F238E27FC236}">
              <a16:creationId xmlns:a16="http://schemas.microsoft.com/office/drawing/2014/main" id="{E8FBA1BF-8E4E-4473-BCAF-611BADA4EF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7" name="AutoShape 1" descr="Vista previa de toda la pantalla">
          <a:extLst>
            <a:ext uri="{FF2B5EF4-FFF2-40B4-BE49-F238E27FC236}">
              <a16:creationId xmlns:a16="http://schemas.microsoft.com/office/drawing/2014/main" id="{978E030D-8923-4AE2-B327-EDA900A278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8" name="AutoShape 1" descr="Vista previa de toda la pantalla">
          <a:extLst>
            <a:ext uri="{FF2B5EF4-FFF2-40B4-BE49-F238E27FC236}">
              <a16:creationId xmlns:a16="http://schemas.microsoft.com/office/drawing/2014/main" id="{044E2294-90FD-44F2-8FB0-7EAD42E89D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59" name="AutoShape 1" descr="Vista previa de toda la pantalla">
          <a:extLst>
            <a:ext uri="{FF2B5EF4-FFF2-40B4-BE49-F238E27FC236}">
              <a16:creationId xmlns:a16="http://schemas.microsoft.com/office/drawing/2014/main" id="{E2AF5E81-76E3-4CE0-84A9-24C866C42C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0" name="AutoShape 1" descr="Vista previa de toda la pantalla">
          <a:extLst>
            <a:ext uri="{FF2B5EF4-FFF2-40B4-BE49-F238E27FC236}">
              <a16:creationId xmlns:a16="http://schemas.microsoft.com/office/drawing/2014/main" id="{DC6C66C2-CCB0-49B1-898B-C3520FA1A4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1" name="AutoShape 1" descr="Vista previa de toda la pantalla">
          <a:extLst>
            <a:ext uri="{FF2B5EF4-FFF2-40B4-BE49-F238E27FC236}">
              <a16:creationId xmlns:a16="http://schemas.microsoft.com/office/drawing/2014/main" id="{E6889971-86CA-492F-BB48-1A4E0DC06B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2" name="AutoShape 1" descr="Vista previa de toda la pantalla">
          <a:extLst>
            <a:ext uri="{FF2B5EF4-FFF2-40B4-BE49-F238E27FC236}">
              <a16:creationId xmlns:a16="http://schemas.microsoft.com/office/drawing/2014/main" id="{3D6377EE-5B3B-497F-B10C-5002EC9F98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3" name="AutoShape 1" descr="Vista previa de toda la pantalla">
          <a:extLst>
            <a:ext uri="{FF2B5EF4-FFF2-40B4-BE49-F238E27FC236}">
              <a16:creationId xmlns:a16="http://schemas.microsoft.com/office/drawing/2014/main" id="{95F9A765-DF3B-4A76-90A1-65F0758B38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4" name="AutoShape 1" descr="Vista previa de toda la pantalla">
          <a:extLst>
            <a:ext uri="{FF2B5EF4-FFF2-40B4-BE49-F238E27FC236}">
              <a16:creationId xmlns:a16="http://schemas.microsoft.com/office/drawing/2014/main" id="{17FC98C9-2414-4EA3-B890-8A1F0DD340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5" name="AutoShape 1" descr="Vista previa de toda la pantalla">
          <a:extLst>
            <a:ext uri="{FF2B5EF4-FFF2-40B4-BE49-F238E27FC236}">
              <a16:creationId xmlns:a16="http://schemas.microsoft.com/office/drawing/2014/main" id="{6A6ECFA3-77B6-4709-9DE4-C188EE38C0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6" name="AutoShape 1" descr="Vista previa de toda la pantalla">
          <a:extLst>
            <a:ext uri="{FF2B5EF4-FFF2-40B4-BE49-F238E27FC236}">
              <a16:creationId xmlns:a16="http://schemas.microsoft.com/office/drawing/2014/main" id="{1F88F065-EE12-4941-B5F7-F7EEE5CE7F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7" name="AutoShape 1" descr="Vista previa de toda la pantalla">
          <a:extLst>
            <a:ext uri="{FF2B5EF4-FFF2-40B4-BE49-F238E27FC236}">
              <a16:creationId xmlns:a16="http://schemas.microsoft.com/office/drawing/2014/main" id="{570D1322-927E-4EC1-86A3-5F9D82CDB8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8" name="AutoShape 1" descr="Vista previa de toda la pantalla">
          <a:extLst>
            <a:ext uri="{FF2B5EF4-FFF2-40B4-BE49-F238E27FC236}">
              <a16:creationId xmlns:a16="http://schemas.microsoft.com/office/drawing/2014/main" id="{000A9CFA-5703-4C9A-8DBE-0DF5792D83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69" name="AutoShape 1" descr="Vista previa de toda la pantalla">
          <a:extLst>
            <a:ext uri="{FF2B5EF4-FFF2-40B4-BE49-F238E27FC236}">
              <a16:creationId xmlns:a16="http://schemas.microsoft.com/office/drawing/2014/main" id="{DF030F65-06E5-41C8-88E7-AFB38DA537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0" name="AutoShape 1" descr="Vista previa de toda la pantalla">
          <a:extLst>
            <a:ext uri="{FF2B5EF4-FFF2-40B4-BE49-F238E27FC236}">
              <a16:creationId xmlns:a16="http://schemas.microsoft.com/office/drawing/2014/main" id="{379DBB6F-A3FF-400E-9255-56EB6E49E8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1" name="AutoShape 1" descr="Vista previa de toda la pantalla">
          <a:extLst>
            <a:ext uri="{FF2B5EF4-FFF2-40B4-BE49-F238E27FC236}">
              <a16:creationId xmlns:a16="http://schemas.microsoft.com/office/drawing/2014/main" id="{E3DA7DA5-3037-4750-AF8D-59710BC094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2" name="AutoShape 1" descr="Vista previa de toda la pantalla">
          <a:extLst>
            <a:ext uri="{FF2B5EF4-FFF2-40B4-BE49-F238E27FC236}">
              <a16:creationId xmlns:a16="http://schemas.microsoft.com/office/drawing/2014/main" id="{F73A395F-1F03-407C-B500-0C3E995755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3" name="AutoShape 1" descr="Vista previa de toda la pantalla">
          <a:extLst>
            <a:ext uri="{FF2B5EF4-FFF2-40B4-BE49-F238E27FC236}">
              <a16:creationId xmlns:a16="http://schemas.microsoft.com/office/drawing/2014/main" id="{6ACAD301-5EB4-4F34-ABD4-27AC238132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4" name="AutoShape 1" descr="Vista previa de toda la pantalla">
          <a:extLst>
            <a:ext uri="{FF2B5EF4-FFF2-40B4-BE49-F238E27FC236}">
              <a16:creationId xmlns:a16="http://schemas.microsoft.com/office/drawing/2014/main" id="{B8FD4054-87FA-4031-8CDB-400EED9DA8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5" name="AutoShape 1" descr="Vista previa de toda la pantalla">
          <a:extLst>
            <a:ext uri="{FF2B5EF4-FFF2-40B4-BE49-F238E27FC236}">
              <a16:creationId xmlns:a16="http://schemas.microsoft.com/office/drawing/2014/main" id="{E1B2136D-8A26-4925-BB35-D8152618FA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6" name="AutoShape 1" descr="Vista previa de toda la pantalla">
          <a:extLst>
            <a:ext uri="{FF2B5EF4-FFF2-40B4-BE49-F238E27FC236}">
              <a16:creationId xmlns:a16="http://schemas.microsoft.com/office/drawing/2014/main" id="{7576DEAD-FA2B-4DD3-83CA-BAC11A7278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7" name="AutoShape 1" descr="Vista previa de toda la pantalla">
          <a:extLst>
            <a:ext uri="{FF2B5EF4-FFF2-40B4-BE49-F238E27FC236}">
              <a16:creationId xmlns:a16="http://schemas.microsoft.com/office/drawing/2014/main" id="{11726F9C-52CB-40A3-9F32-83F18A4A71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8" name="AutoShape 1" descr="Vista previa de toda la pantalla">
          <a:extLst>
            <a:ext uri="{FF2B5EF4-FFF2-40B4-BE49-F238E27FC236}">
              <a16:creationId xmlns:a16="http://schemas.microsoft.com/office/drawing/2014/main" id="{973FB76D-0FB8-44B9-B038-BD5095E349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79" name="AutoShape 1" descr="Vista previa de toda la pantalla">
          <a:extLst>
            <a:ext uri="{FF2B5EF4-FFF2-40B4-BE49-F238E27FC236}">
              <a16:creationId xmlns:a16="http://schemas.microsoft.com/office/drawing/2014/main" id="{EE61E1B8-F643-4B67-948C-12E2249077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80" name="AutoShape 1" descr="Vista previa de toda la pantalla">
          <a:extLst>
            <a:ext uri="{FF2B5EF4-FFF2-40B4-BE49-F238E27FC236}">
              <a16:creationId xmlns:a16="http://schemas.microsoft.com/office/drawing/2014/main" id="{AFB563DF-F330-440A-8916-902B4A68A3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81" name="AutoShape 1" descr="Vista previa de toda la pantalla">
          <a:extLst>
            <a:ext uri="{FF2B5EF4-FFF2-40B4-BE49-F238E27FC236}">
              <a16:creationId xmlns:a16="http://schemas.microsoft.com/office/drawing/2014/main" id="{ECF66E97-8D78-4DA9-BC02-C83CF677B8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82" name="AutoShape 1" descr="Vista previa de toda la pantalla">
          <a:extLst>
            <a:ext uri="{FF2B5EF4-FFF2-40B4-BE49-F238E27FC236}">
              <a16:creationId xmlns:a16="http://schemas.microsoft.com/office/drawing/2014/main" id="{94F0E2E7-B106-4550-9024-45AD91804C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83" name="AutoShape 1" descr="Vista previa de toda la pantalla">
          <a:extLst>
            <a:ext uri="{FF2B5EF4-FFF2-40B4-BE49-F238E27FC236}">
              <a16:creationId xmlns:a16="http://schemas.microsoft.com/office/drawing/2014/main" id="{51E67FC8-391C-4053-A3FE-54D5664EE9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84" name="AutoShape 1" descr="Vista previa de toda la pantalla">
          <a:extLst>
            <a:ext uri="{FF2B5EF4-FFF2-40B4-BE49-F238E27FC236}">
              <a16:creationId xmlns:a16="http://schemas.microsoft.com/office/drawing/2014/main" id="{A33874B3-5038-44F6-B522-EA43990C9D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85" name="AutoShape 1" descr="Vista previa de toda la pantalla">
          <a:extLst>
            <a:ext uri="{FF2B5EF4-FFF2-40B4-BE49-F238E27FC236}">
              <a16:creationId xmlns:a16="http://schemas.microsoft.com/office/drawing/2014/main" id="{1D95E02D-3DE6-4B77-95A3-0903930467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86" name="AutoShape 1" descr="Vista previa de toda la pantalla">
          <a:extLst>
            <a:ext uri="{FF2B5EF4-FFF2-40B4-BE49-F238E27FC236}">
              <a16:creationId xmlns:a16="http://schemas.microsoft.com/office/drawing/2014/main" id="{1BC04702-051F-4470-A11B-1C55C3A2A8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87" name="AutoShape 1" descr="Vista previa de toda la pantalla">
          <a:extLst>
            <a:ext uri="{FF2B5EF4-FFF2-40B4-BE49-F238E27FC236}">
              <a16:creationId xmlns:a16="http://schemas.microsoft.com/office/drawing/2014/main" id="{B1355533-1FBE-42E6-A905-30D302BC02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3388" name="AutoShape 1" descr="Vista previa de toda la pantalla">
          <a:extLst>
            <a:ext uri="{FF2B5EF4-FFF2-40B4-BE49-F238E27FC236}">
              <a16:creationId xmlns:a16="http://schemas.microsoft.com/office/drawing/2014/main" id="{F782CEC5-1FB6-495C-AC80-838614961073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89" name="AutoShape 1" descr="Vista previa de toda la pantalla">
          <a:extLst>
            <a:ext uri="{FF2B5EF4-FFF2-40B4-BE49-F238E27FC236}">
              <a16:creationId xmlns:a16="http://schemas.microsoft.com/office/drawing/2014/main" id="{882D7531-EDFD-4807-9919-24CE5ABADC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0" name="AutoShape 1" descr="Vista previa de toda la pantalla">
          <a:extLst>
            <a:ext uri="{FF2B5EF4-FFF2-40B4-BE49-F238E27FC236}">
              <a16:creationId xmlns:a16="http://schemas.microsoft.com/office/drawing/2014/main" id="{8D53CC75-5549-4E25-A4EE-81EE0A08FF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1" name="AutoShape 1" descr="Vista previa de toda la pantalla">
          <a:extLst>
            <a:ext uri="{FF2B5EF4-FFF2-40B4-BE49-F238E27FC236}">
              <a16:creationId xmlns:a16="http://schemas.microsoft.com/office/drawing/2014/main" id="{F9A5B625-3FDF-44F4-A89B-A11042A798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2" name="AutoShape 1" descr="Vista previa de toda la pantalla">
          <a:extLst>
            <a:ext uri="{FF2B5EF4-FFF2-40B4-BE49-F238E27FC236}">
              <a16:creationId xmlns:a16="http://schemas.microsoft.com/office/drawing/2014/main" id="{34C5378E-3023-44B0-AEE1-B94F65A0B8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3" name="AutoShape 1" descr="Vista previa de toda la pantalla">
          <a:extLst>
            <a:ext uri="{FF2B5EF4-FFF2-40B4-BE49-F238E27FC236}">
              <a16:creationId xmlns:a16="http://schemas.microsoft.com/office/drawing/2014/main" id="{0423ECE7-30E6-4157-A309-1D626FD0E9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4" name="AutoShape 1" descr="Vista previa de toda la pantalla">
          <a:extLst>
            <a:ext uri="{FF2B5EF4-FFF2-40B4-BE49-F238E27FC236}">
              <a16:creationId xmlns:a16="http://schemas.microsoft.com/office/drawing/2014/main" id="{B011F843-D7F2-4526-8B73-2E7C6E9DAB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5" name="AutoShape 1" descr="Vista previa de toda la pantalla">
          <a:extLst>
            <a:ext uri="{FF2B5EF4-FFF2-40B4-BE49-F238E27FC236}">
              <a16:creationId xmlns:a16="http://schemas.microsoft.com/office/drawing/2014/main" id="{6418010A-3968-47B0-8856-CB4C1F28AA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6" name="AutoShape 1" descr="Vista previa de toda la pantalla">
          <a:extLst>
            <a:ext uri="{FF2B5EF4-FFF2-40B4-BE49-F238E27FC236}">
              <a16:creationId xmlns:a16="http://schemas.microsoft.com/office/drawing/2014/main" id="{C867A60D-FCB7-4F3B-A134-A39F0EAA6B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7" name="AutoShape 1" descr="Vista previa de toda la pantalla">
          <a:extLst>
            <a:ext uri="{FF2B5EF4-FFF2-40B4-BE49-F238E27FC236}">
              <a16:creationId xmlns:a16="http://schemas.microsoft.com/office/drawing/2014/main" id="{D5DD9B93-7938-4B7E-AC39-2D14A7EDAD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8" name="AutoShape 1" descr="Vista previa de toda la pantalla">
          <a:extLst>
            <a:ext uri="{FF2B5EF4-FFF2-40B4-BE49-F238E27FC236}">
              <a16:creationId xmlns:a16="http://schemas.microsoft.com/office/drawing/2014/main" id="{071E9709-B412-4D30-BCB7-6ED4000D27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399" name="AutoShape 1" descr="Vista previa de toda la pantalla">
          <a:extLst>
            <a:ext uri="{FF2B5EF4-FFF2-40B4-BE49-F238E27FC236}">
              <a16:creationId xmlns:a16="http://schemas.microsoft.com/office/drawing/2014/main" id="{379B0B2B-4732-4C5C-91D8-11785FB42E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0" name="AutoShape 1" descr="Vista previa de toda la pantalla">
          <a:extLst>
            <a:ext uri="{FF2B5EF4-FFF2-40B4-BE49-F238E27FC236}">
              <a16:creationId xmlns:a16="http://schemas.microsoft.com/office/drawing/2014/main" id="{5B35DE70-B2D5-410D-9835-FFCF922BDD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1" name="AutoShape 1" descr="Vista previa de toda la pantalla">
          <a:extLst>
            <a:ext uri="{FF2B5EF4-FFF2-40B4-BE49-F238E27FC236}">
              <a16:creationId xmlns:a16="http://schemas.microsoft.com/office/drawing/2014/main" id="{3AF37C46-1965-4AD1-97A6-B263069101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2" name="AutoShape 1" descr="Vista previa de toda la pantalla">
          <a:extLst>
            <a:ext uri="{FF2B5EF4-FFF2-40B4-BE49-F238E27FC236}">
              <a16:creationId xmlns:a16="http://schemas.microsoft.com/office/drawing/2014/main" id="{6E4DAFF6-3656-49BA-BB03-B6DB59D140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3" name="AutoShape 1" descr="Vista previa de toda la pantalla">
          <a:extLst>
            <a:ext uri="{FF2B5EF4-FFF2-40B4-BE49-F238E27FC236}">
              <a16:creationId xmlns:a16="http://schemas.microsoft.com/office/drawing/2014/main" id="{828A81D2-E978-49F8-BB63-BC87845335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4" name="AutoShape 1" descr="Vista previa de toda la pantalla">
          <a:extLst>
            <a:ext uri="{FF2B5EF4-FFF2-40B4-BE49-F238E27FC236}">
              <a16:creationId xmlns:a16="http://schemas.microsoft.com/office/drawing/2014/main" id="{E9F31BC4-5222-4270-B6F1-E482A2C160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5" name="AutoShape 1" descr="Vista previa de toda la pantalla">
          <a:extLst>
            <a:ext uri="{FF2B5EF4-FFF2-40B4-BE49-F238E27FC236}">
              <a16:creationId xmlns:a16="http://schemas.microsoft.com/office/drawing/2014/main" id="{05E95BA7-DBBE-4A3F-86AE-67A89EEDFA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6" name="AutoShape 1" descr="Vista previa de toda la pantalla">
          <a:extLst>
            <a:ext uri="{FF2B5EF4-FFF2-40B4-BE49-F238E27FC236}">
              <a16:creationId xmlns:a16="http://schemas.microsoft.com/office/drawing/2014/main" id="{6090DC6D-4D87-4E1E-924F-A8738B9F2B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7" name="AutoShape 1" descr="Vista previa de toda la pantalla">
          <a:extLst>
            <a:ext uri="{FF2B5EF4-FFF2-40B4-BE49-F238E27FC236}">
              <a16:creationId xmlns:a16="http://schemas.microsoft.com/office/drawing/2014/main" id="{B6CD390A-C9D5-4264-9E65-4DC2AE34AD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8" name="AutoShape 1" descr="Vista previa de toda la pantalla">
          <a:extLst>
            <a:ext uri="{FF2B5EF4-FFF2-40B4-BE49-F238E27FC236}">
              <a16:creationId xmlns:a16="http://schemas.microsoft.com/office/drawing/2014/main" id="{21E5CEBF-A010-4365-9C2A-7B4ADE1C90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09" name="AutoShape 1" descr="Vista previa de toda la pantalla">
          <a:extLst>
            <a:ext uri="{FF2B5EF4-FFF2-40B4-BE49-F238E27FC236}">
              <a16:creationId xmlns:a16="http://schemas.microsoft.com/office/drawing/2014/main" id="{4470D8A2-FD0D-4226-AA60-DA7523D12F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0" name="AutoShape 1" descr="Vista previa de toda la pantalla">
          <a:extLst>
            <a:ext uri="{FF2B5EF4-FFF2-40B4-BE49-F238E27FC236}">
              <a16:creationId xmlns:a16="http://schemas.microsoft.com/office/drawing/2014/main" id="{55FCAF21-F58B-4E85-AC66-966E373E9E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1" name="AutoShape 1" descr="Vista previa de toda la pantalla">
          <a:extLst>
            <a:ext uri="{FF2B5EF4-FFF2-40B4-BE49-F238E27FC236}">
              <a16:creationId xmlns:a16="http://schemas.microsoft.com/office/drawing/2014/main" id="{074A38D3-88FD-4AE4-A4A4-9E129E4B34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2" name="AutoShape 1" descr="Vista previa de toda la pantalla">
          <a:extLst>
            <a:ext uri="{FF2B5EF4-FFF2-40B4-BE49-F238E27FC236}">
              <a16:creationId xmlns:a16="http://schemas.microsoft.com/office/drawing/2014/main" id="{9569CB5C-0118-48C3-A105-A139F91D66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3" name="AutoShape 1" descr="Vista previa de toda la pantalla">
          <a:extLst>
            <a:ext uri="{FF2B5EF4-FFF2-40B4-BE49-F238E27FC236}">
              <a16:creationId xmlns:a16="http://schemas.microsoft.com/office/drawing/2014/main" id="{6CF90E94-179C-4C35-91C3-476CEFD6EA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4" name="AutoShape 1" descr="Vista previa de toda la pantalla">
          <a:extLst>
            <a:ext uri="{FF2B5EF4-FFF2-40B4-BE49-F238E27FC236}">
              <a16:creationId xmlns:a16="http://schemas.microsoft.com/office/drawing/2014/main" id="{FBA940FB-D844-458F-96B4-9ABF929F69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5" name="AutoShape 1" descr="Vista previa de toda la pantalla">
          <a:extLst>
            <a:ext uri="{FF2B5EF4-FFF2-40B4-BE49-F238E27FC236}">
              <a16:creationId xmlns:a16="http://schemas.microsoft.com/office/drawing/2014/main" id="{5362DCB4-3B7F-4FC4-A183-17040AF84E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6" name="AutoShape 1" descr="Vista previa de toda la pantalla">
          <a:extLst>
            <a:ext uri="{FF2B5EF4-FFF2-40B4-BE49-F238E27FC236}">
              <a16:creationId xmlns:a16="http://schemas.microsoft.com/office/drawing/2014/main" id="{842CF25F-B721-4623-851B-36CA79863C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7" name="AutoShape 1" descr="Vista previa de toda la pantalla">
          <a:extLst>
            <a:ext uri="{FF2B5EF4-FFF2-40B4-BE49-F238E27FC236}">
              <a16:creationId xmlns:a16="http://schemas.microsoft.com/office/drawing/2014/main" id="{C73F3E40-4615-4154-B6BE-0F16886D70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8" name="AutoShape 1" descr="Vista previa de toda la pantalla">
          <a:extLst>
            <a:ext uri="{FF2B5EF4-FFF2-40B4-BE49-F238E27FC236}">
              <a16:creationId xmlns:a16="http://schemas.microsoft.com/office/drawing/2014/main" id="{E8FC42B5-B9A9-4377-80EE-994D2326DC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19" name="AutoShape 1" descr="Vista previa de toda la pantalla">
          <a:extLst>
            <a:ext uri="{FF2B5EF4-FFF2-40B4-BE49-F238E27FC236}">
              <a16:creationId xmlns:a16="http://schemas.microsoft.com/office/drawing/2014/main" id="{6B7BD825-0AA9-4CC7-8CAB-4338FC6583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0" name="AutoShape 1" descr="Vista previa de toda la pantalla">
          <a:extLst>
            <a:ext uri="{FF2B5EF4-FFF2-40B4-BE49-F238E27FC236}">
              <a16:creationId xmlns:a16="http://schemas.microsoft.com/office/drawing/2014/main" id="{7D4F8850-787F-4EE0-BCDC-69423B4D69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1" name="AutoShape 1" descr="Vista previa de toda la pantalla">
          <a:extLst>
            <a:ext uri="{FF2B5EF4-FFF2-40B4-BE49-F238E27FC236}">
              <a16:creationId xmlns:a16="http://schemas.microsoft.com/office/drawing/2014/main" id="{7B8525B4-9244-4320-BBD4-00E52C253B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2" name="AutoShape 1" descr="Vista previa de toda la pantalla">
          <a:extLst>
            <a:ext uri="{FF2B5EF4-FFF2-40B4-BE49-F238E27FC236}">
              <a16:creationId xmlns:a16="http://schemas.microsoft.com/office/drawing/2014/main" id="{0FA46A77-4F82-47C0-B429-CEFA7759DC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3" name="AutoShape 1" descr="Vista previa de toda la pantalla">
          <a:extLst>
            <a:ext uri="{FF2B5EF4-FFF2-40B4-BE49-F238E27FC236}">
              <a16:creationId xmlns:a16="http://schemas.microsoft.com/office/drawing/2014/main" id="{55CA9E08-EB85-4C04-A3F6-DC3C57F338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4" name="AutoShape 1" descr="Vista previa de toda la pantalla">
          <a:extLst>
            <a:ext uri="{FF2B5EF4-FFF2-40B4-BE49-F238E27FC236}">
              <a16:creationId xmlns:a16="http://schemas.microsoft.com/office/drawing/2014/main" id="{75FF2ECF-C275-456E-90B5-AF06FA2E2D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5" name="AutoShape 1" descr="Vista previa de toda la pantalla">
          <a:extLst>
            <a:ext uri="{FF2B5EF4-FFF2-40B4-BE49-F238E27FC236}">
              <a16:creationId xmlns:a16="http://schemas.microsoft.com/office/drawing/2014/main" id="{6B853B30-8C71-4892-991B-FBC490B783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6" name="AutoShape 1" descr="Vista previa de toda la pantalla">
          <a:extLst>
            <a:ext uri="{FF2B5EF4-FFF2-40B4-BE49-F238E27FC236}">
              <a16:creationId xmlns:a16="http://schemas.microsoft.com/office/drawing/2014/main" id="{D96EB6C5-EF9A-4FA3-9121-B338D51939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7" name="AutoShape 1" descr="Vista previa de toda la pantalla">
          <a:extLst>
            <a:ext uri="{FF2B5EF4-FFF2-40B4-BE49-F238E27FC236}">
              <a16:creationId xmlns:a16="http://schemas.microsoft.com/office/drawing/2014/main" id="{000D58AC-660D-478D-B085-25126BD758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8" name="AutoShape 1" descr="Vista previa de toda la pantalla">
          <a:extLst>
            <a:ext uri="{FF2B5EF4-FFF2-40B4-BE49-F238E27FC236}">
              <a16:creationId xmlns:a16="http://schemas.microsoft.com/office/drawing/2014/main" id="{4133AED7-EA96-4B66-9860-475C0A79AF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29" name="AutoShape 1" descr="Vista previa de toda la pantalla">
          <a:extLst>
            <a:ext uri="{FF2B5EF4-FFF2-40B4-BE49-F238E27FC236}">
              <a16:creationId xmlns:a16="http://schemas.microsoft.com/office/drawing/2014/main" id="{CDA7CA12-2DE0-45A2-9AAD-0D88C66907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0" name="AutoShape 1" descr="Vista previa de toda la pantalla">
          <a:extLst>
            <a:ext uri="{FF2B5EF4-FFF2-40B4-BE49-F238E27FC236}">
              <a16:creationId xmlns:a16="http://schemas.microsoft.com/office/drawing/2014/main" id="{7A115CA6-A881-45DF-AD53-AEE49D6C56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1" name="AutoShape 1" descr="Vista previa de toda la pantalla">
          <a:extLst>
            <a:ext uri="{FF2B5EF4-FFF2-40B4-BE49-F238E27FC236}">
              <a16:creationId xmlns:a16="http://schemas.microsoft.com/office/drawing/2014/main" id="{B758F26E-3344-4A06-969E-C727BC9D7C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2" name="AutoShape 1" descr="Vista previa de toda la pantalla">
          <a:extLst>
            <a:ext uri="{FF2B5EF4-FFF2-40B4-BE49-F238E27FC236}">
              <a16:creationId xmlns:a16="http://schemas.microsoft.com/office/drawing/2014/main" id="{32B5DDA9-0632-488F-9ECC-4648AF4507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3" name="AutoShape 1" descr="Vista previa de toda la pantalla">
          <a:extLst>
            <a:ext uri="{FF2B5EF4-FFF2-40B4-BE49-F238E27FC236}">
              <a16:creationId xmlns:a16="http://schemas.microsoft.com/office/drawing/2014/main" id="{6EB0D26D-1EC5-499E-9056-EF32BD497B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4" name="AutoShape 1" descr="Vista previa de toda la pantalla">
          <a:extLst>
            <a:ext uri="{FF2B5EF4-FFF2-40B4-BE49-F238E27FC236}">
              <a16:creationId xmlns:a16="http://schemas.microsoft.com/office/drawing/2014/main" id="{4DAE3AB4-3FD6-43BB-9D7C-204398CB81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5" name="AutoShape 1" descr="Vista previa de toda la pantalla">
          <a:extLst>
            <a:ext uri="{FF2B5EF4-FFF2-40B4-BE49-F238E27FC236}">
              <a16:creationId xmlns:a16="http://schemas.microsoft.com/office/drawing/2014/main" id="{9ED110CA-BBEE-44CF-8CE3-F31B69D7F7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6" name="AutoShape 1" descr="Vista previa de toda la pantalla">
          <a:extLst>
            <a:ext uri="{FF2B5EF4-FFF2-40B4-BE49-F238E27FC236}">
              <a16:creationId xmlns:a16="http://schemas.microsoft.com/office/drawing/2014/main" id="{5543A29B-9BA5-47CB-B6D4-5E3E3ECA30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7" name="AutoShape 1" descr="Vista previa de toda la pantalla">
          <a:extLst>
            <a:ext uri="{FF2B5EF4-FFF2-40B4-BE49-F238E27FC236}">
              <a16:creationId xmlns:a16="http://schemas.microsoft.com/office/drawing/2014/main" id="{51FC4194-5167-4D6F-BFBC-03A34ED72A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8" name="AutoShape 1" descr="Vista previa de toda la pantalla">
          <a:extLst>
            <a:ext uri="{FF2B5EF4-FFF2-40B4-BE49-F238E27FC236}">
              <a16:creationId xmlns:a16="http://schemas.microsoft.com/office/drawing/2014/main" id="{72B4E9F3-68E9-4796-A4B0-794892961D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39" name="AutoShape 1" descr="Vista previa de toda la pantalla">
          <a:extLst>
            <a:ext uri="{FF2B5EF4-FFF2-40B4-BE49-F238E27FC236}">
              <a16:creationId xmlns:a16="http://schemas.microsoft.com/office/drawing/2014/main" id="{2A56520A-125A-4F20-8ABF-8D916E6696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0" name="AutoShape 1" descr="Vista previa de toda la pantalla">
          <a:extLst>
            <a:ext uri="{FF2B5EF4-FFF2-40B4-BE49-F238E27FC236}">
              <a16:creationId xmlns:a16="http://schemas.microsoft.com/office/drawing/2014/main" id="{67EDBA8D-C10C-4597-94CA-B32A815ABE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1" name="AutoShape 1" descr="Vista previa de toda la pantalla">
          <a:extLst>
            <a:ext uri="{FF2B5EF4-FFF2-40B4-BE49-F238E27FC236}">
              <a16:creationId xmlns:a16="http://schemas.microsoft.com/office/drawing/2014/main" id="{BC8F35ED-F343-48CA-BC32-388D59CC78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2" name="AutoShape 1" descr="Vista previa de toda la pantalla">
          <a:extLst>
            <a:ext uri="{FF2B5EF4-FFF2-40B4-BE49-F238E27FC236}">
              <a16:creationId xmlns:a16="http://schemas.microsoft.com/office/drawing/2014/main" id="{7A51C8D3-67E7-4E38-A598-4C1C13AA4D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3" name="AutoShape 1" descr="Vista previa de toda la pantalla">
          <a:extLst>
            <a:ext uri="{FF2B5EF4-FFF2-40B4-BE49-F238E27FC236}">
              <a16:creationId xmlns:a16="http://schemas.microsoft.com/office/drawing/2014/main" id="{430AD059-6139-40F8-8A76-26176968A2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4" name="AutoShape 1" descr="Vista previa de toda la pantalla">
          <a:extLst>
            <a:ext uri="{FF2B5EF4-FFF2-40B4-BE49-F238E27FC236}">
              <a16:creationId xmlns:a16="http://schemas.microsoft.com/office/drawing/2014/main" id="{791DF96E-2AA3-4324-AE97-5E68EB2930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5" name="AutoShape 1" descr="Vista previa de toda la pantalla">
          <a:extLst>
            <a:ext uri="{FF2B5EF4-FFF2-40B4-BE49-F238E27FC236}">
              <a16:creationId xmlns:a16="http://schemas.microsoft.com/office/drawing/2014/main" id="{96205695-4666-46BD-BF4C-33764A670F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6" name="AutoShape 1" descr="Vista previa de toda la pantalla">
          <a:extLst>
            <a:ext uri="{FF2B5EF4-FFF2-40B4-BE49-F238E27FC236}">
              <a16:creationId xmlns:a16="http://schemas.microsoft.com/office/drawing/2014/main" id="{959A1DA9-274E-467D-B423-CEA6D09B95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7" name="AutoShape 1" descr="Vista previa de toda la pantalla">
          <a:extLst>
            <a:ext uri="{FF2B5EF4-FFF2-40B4-BE49-F238E27FC236}">
              <a16:creationId xmlns:a16="http://schemas.microsoft.com/office/drawing/2014/main" id="{90B2CCC8-A405-4B44-B729-BB5A73407F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8" name="AutoShape 1" descr="Vista previa de toda la pantalla">
          <a:extLst>
            <a:ext uri="{FF2B5EF4-FFF2-40B4-BE49-F238E27FC236}">
              <a16:creationId xmlns:a16="http://schemas.microsoft.com/office/drawing/2014/main" id="{89B05A3C-E836-4BDC-8CF0-B448B0D0FA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49" name="AutoShape 1" descr="Vista previa de toda la pantalla">
          <a:extLst>
            <a:ext uri="{FF2B5EF4-FFF2-40B4-BE49-F238E27FC236}">
              <a16:creationId xmlns:a16="http://schemas.microsoft.com/office/drawing/2014/main" id="{0C2D6810-CC46-46C9-861A-5ED68C9B25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0" name="AutoShape 1" descr="Vista previa de toda la pantalla">
          <a:extLst>
            <a:ext uri="{FF2B5EF4-FFF2-40B4-BE49-F238E27FC236}">
              <a16:creationId xmlns:a16="http://schemas.microsoft.com/office/drawing/2014/main" id="{E2602968-506A-4A4A-BF89-D18C6B0706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1" name="AutoShape 1" descr="Vista previa de toda la pantalla">
          <a:extLst>
            <a:ext uri="{FF2B5EF4-FFF2-40B4-BE49-F238E27FC236}">
              <a16:creationId xmlns:a16="http://schemas.microsoft.com/office/drawing/2014/main" id="{C6E1EEB2-233A-4B76-887C-292D71E1BD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2" name="AutoShape 1" descr="Vista previa de toda la pantalla">
          <a:extLst>
            <a:ext uri="{FF2B5EF4-FFF2-40B4-BE49-F238E27FC236}">
              <a16:creationId xmlns:a16="http://schemas.microsoft.com/office/drawing/2014/main" id="{0C1FFA89-D5BF-4484-94F2-CB577A0ABD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3" name="AutoShape 1" descr="Vista previa de toda la pantalla">
          <a:extLst>
            <a:ext uri="{FF2B5EF4-FFF2-40B4-BE49-F238E27FC236}">
              <a16:creationId xmlns:a16="http://schemas.microsoft.com/office/drawing/2014/main" id="{978C2811-556F-49BE-AB19-D49CE1738D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4" name="AutoShape 1" descr="Vista previa de toda la pantalla">
          <a:extLst>
            <a:ext uri="{FF2B5EF4-FFF2-40B4-BE49-F238E27FC236}">
              <a16:creationId xmlns:a16="http://schemas.microsoft.com/office/drawing/2014/main" id="{7E0D2A42-FA7B-4880-88B9-FF8518DB50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5" name="AutoShape 1" descr="Vista previa de toda la pantalla">
          <a:extLst>
            <a:ext uri="{FF2B5EF4-FFF2-40B4-BE49-F238E27FC236}">
              <a16:creationId xmlns:a16="http://schemas.microsoft.com/office/drawing/2014/main" id="{B67253FC-8E7E-4CB5-A334-61EFF6215A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6" name="AutoShape 1" descr="Vista previa de toda la pantalla">
          <a:extLst>
            <a:ext uri="{FF2B5EF4-FFF2-40B4-BE49-F238E27FC236}">
              <a16:creationId xmlns:a16="http://schemas.microsoft.com/office/drawing/2014/main" id="{1418AF97-AA49-49FA-A3B7-FE51B4D852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7" name="AutoShape 1" descr="Vista previa de toda la pantalla">
          <a:extLst>
            <a:ext uri="{FF2B5EF4-FFF2-40B4-BE49-F238E27FC236}">
              <a16:creationId xmlns:a16="http://schemas.microsoft.com/office/drawing/2014/main" id="{50B78EA3-30B3-4053-9DBB-CBF6E8BF28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8" name="AutoShape 1" descr="Vista previa de toda la pantalla">
          <a:extLst>
            <a:ext uri="{FF2B5EF4-FFF2-40B4-BE49-F238E27FC236}">
              <a16:creationId xmlns:a16="http://schemas.microsoft.com/office/drawing/2014/main" id="{4FAEB315-8443-42BA-B0D1-896973629C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59" name="AutoShape 1" descr="Vista previa de toda la pantalla">
          <a:extLst>
            <a:ext uri="{FF2B5EF4-FFF2-40B4-BE49-F238E27FC236}">
              <a16:creationId xmlns:a16="http://schemas.microsoft.com/office/drawing/2014/main" id="{7DCB5EF5-5048-412C-BE77-CAC125ACC3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0" name="AutoShape 1" descr="Vista previa de toda la pantalla">
          <a:extLst>
            <a:ext uri="{FF2B5EF4-FFF2-40B4-BE49-F238E27FC236}">
              <a16:creationId xmlns:a16="http://schemas.microsoft.com/office/drawing/2014/main" id="{37A8B253-2153-41C5-B6C9-21B0859FF9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1" name="AutoShape 1" descr="Vista previa de toda la pantalla">
          <a:extLst>
            <a:ext uri="{FF2B5EF4-FFF2-40B4-BE49-F238E27FC236}">
              <a16:creationId xmlns:a16="http://schemas.microsoft.com/office/drawing/2014/main" id="{2E7E85DC-40A5-4187-8735-B7EF48999B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2" name="AutoShape 1" descr="Vista previa de toda la pantalla">
          <a:extLst>
            <a:ext uri="{FF2B5EF4-FFF2-40B4-BE49-F238E27FC236}">
              <a16:creationId xmlns:a16="http://schemas.microsoft.com/office/drawing/2014/main" id="{213D628F-615F-4BD3-9344-A60F5AD8BC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3" name="AutoShape 1" descr="Vista previa de toda la pantalla">
          <a:extLst>
            <a:ext uri="{FF2B5EF4-FFF2-40B4-BE49-F238E27FC236}">
              <a16:creationId xmlns:a16="http://schemas.microsoft.com/office/drawing/2014/main" id="{2F900387-DF17-4045-B0EC-F25B43F368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4" name="AutoShape 1" descr="Vista previa de toda la pantalla">
          <a:extLst>
            <a:ext uri="{FF2B5EF4-FFF2-40B4-BE49-F238E27FC236}">
              <a16:creationId xmlns:a16="http://schemas.microsoft.com/office/drawing/2014/main" id="{DFB33B47-A43A-4DC3-894F-EF4F6079FB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5" name="AutoShape 1" descr="Vista previa de toda la pantalla">
          <a:extLst>
            <a:ext uri="{FF2B5EF4-FFF2-40B4-BE49-F238E27FC236}">
              <a16:creationId xmlns:a16="http://schemas.microsoft.com/office/drawing/2014/main" id="{B0DC3087-4ABD-4C2E-8F8B-CB431732A7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6" name="AutoShape 1" descr="Vista previa de toda la pantalla">
          <a:extLst>
            <a:ext uri="{FF2B5EF4-FFF2-40B4-BE49-F238E27FC236}">
              <a16:creationId xmlns:a16="http://schemas.microsoft.com/office/drawing/2014/main" id="{438B022A-165F-4E63-81C9-2472B53EE1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7" name="AutoShape 1" descr="Vista previa de toda la pantalla">
          <a:extLst>
            <a:ext uri="{FF2B5EF4-FFF2-40B4-BE49-F238E27FC236}">
              <a16:creationId xmlns:a16="http://schemas.microsoft.com/office/drawing/2014/main" id="{1153065A-4366-4145-90B7-A7A3A8C580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8" name="AutoShape 1" descr="Vista previa de toda la pantalla">
          <a:extLst>
            <a:ext uri="{FF2B5EF4-FFF2-40B4-BE49-F238E27FC236}">
              <a16:creationId xmlns:a16="http://schemas.microsoft.com/office/drawing/2014/main" id="{83DE35E7-0882-45F2-AFB4-8B4566EBFE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69" name="AutoShape 1" descr="Vista previa de toda la pantalla">
          <a:extLst>
            <a:ext uri="{FF2B5EF4-FFF2-40B4-BE49-F238E27FC236}">
              <a16:creationId xmlns:a16="http://schemas.microsoft.com/office/drawing/2014/main" id="{43FF7F05-4653-40C2-880E-1CE8ECC37C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0" name="AutoShape 1" descr="Vista previa de toda la pantalla">
          <a:extLst>
            <a:ext uri="{FF2B5EF4-FFF2-40B4-BE49-F238E27FC236}">
              <a16:creationId xmlns:a16="http://schemas.microsoft.com/office/drawing/2014/main" id="{5B2A48EF-F00B-4279-9AAC-3087443F2A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1" name="AutoShape 1" descr="Vista previa de toda la pantalla">
          <a:extLst>
            <a:ext uri="{FF2B5EF4-FFF2-40B4-BE49-F238E27FC236}">
              <a16:creationId xmlns:a16="http://schemas.microsoft.com/office/drawing/2014/main" id="{87669645-E8C2-445E-A67F-C643B1D564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2" name="AutoShape 1" descr="Vista previa de toda la pantalla">
          <a:extLst>
            <a:ext uri="{FF2B5EF4-FFF2-40B4-BE49-F238E27FC236}">
              <a16:creationId xmlns:a16="http://schemas.microsoft.com/office/drawing/2014/main" id="{DEC66F97-1142-4769-95B7-B731721E3A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3" name="AutoShape 1" descr="Vista previa de toda la pantalla">
          <a:extLst>
            <a:ext uri="{FF2B5EF4-FFF2-40B4-BE49-F238E27FC236}">
              <a16:creationId xmlns:a16="http://schemas.microsoft.com/office/drawing/2014/main" id="{81B81774-63E5-4520-B455-1A44DA4ABB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4" name="AutoShape 1" descr="Vista previa de toda la pantalla">
          <a:extLst>
            <a:ext uri="{FF2B5EF4-FFF2-40B4-BE49-F238E27FC236}">
              <a16:creationId xmlns:a16="http://schemas.microsoft.com/office/drawing/2014/main" id="{57F6CCBA-6796-4B7C-8C86-149C731705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5" name="AutoShape 1" descr="Vista previa de toda la pantalla">
          <a:extLst>
            <a:ext uri="{FF2B5EF4-FFF2-40B4-BE49-F238E27FC236}">
              <a16:creationId xmlns:a16="http://schemas.microsoft.com/office/drawing/2014/main" id="{B0273063-DB66-4E18-A6FD-B2906D8523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6" name="AutoShape 1" descr="Vista previa de toda la pantalla">
          <a:extLst>
            <a:ext uri="{FF2B5EF4-FFF2-40B4-BE49-F238E27FC236}">
              <a16:creationId xmlns:a16="http://schemas.microsoft.com/office/drawing/2014/main" id="{1A525F82-725B-4CC9-9E43-AA8CC980B9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7" name="AutoShape 1" descr="Vista previa de toda la pantalla">
          <a:extLst>
            <a:ext uri="{FF2B5EF4-FFF2-40B4-BE49-F238E27FC236}">
              <a16:creationId xmlns:a16="http://schemas.microsoft.com/office/drawing/2014/main" id="{DF0753EA-AFB1-4DE2-8BFC-B69FA157E7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8" name="AutoShape 1" descr="Vista previa de toda la pantalla">
          <a:extLst>
            <a:ext uri="{FF2B5EF4-FFF2-40B4-BE49-F238E27FC236}">
              <a16:creationId xmlns:a16="http://schemas.microsoft.com/office/drawing/2014/main" id="{C9755BFD-1A26-44FE-87A5-44E9005AF5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79" name="AutoShape 1" descr="Vista previa de toda la pantalla">
          <a:extLst>
            <a:ext uri="{FF2B5EF4-FFF2-40B4-BE49-F238E27FC236}">
              <a16:creationId xmlns:a16="http://schemas.microsoft.com/office/drawing/2014/main" id="{2BA0FBD0-0068-41FA-82F2-FD7B81D5C6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0" name="AutoShape 1" descr="Vista previa de toda la pantalla">
          <a:extLst>
            <a:ext uri="{FF2B5EF4-FFF2-40B4-BE49-F238E27FC236}">
              <a16:creationId xmlns:a16="http://schemas.microsoft.com/office/drawing/2014/main" id="{C01162F4-F79B-42F5-B652-3BFBDC6049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1" name="AutoShape 1" descr="Vista previa de toda la pantalla">
          <a:extLst>
            <a:ext uri="{FF2B5EF4-FFF2-40B4-BE49-F238E27FC236}">
              <a16:creationId xmlns:a16="http://schemas.microsoft.com/office/drawing/2014/main" id="{45FCF55E-DDC5-4701-96EF-4237B64750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2" name="AutoShape 1" descr="Vista previa de toda la pantalla">
          <a:extLst>
            <a:ext uri="{FF2B5EF4-FFF2-40B4-BE49-F238E27FC236}">
              <a16:creationId xmlns:a16="http://schemas.microsoft.com/office/drawing/2014/main" id="{4E8E53EB-BC9A-477A-8592-737E01C7A0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3" name="AutoShape 1" descr="Vista previa de toda la pantalla">
          <a:extLst>
            <a:ext uri="{FF2B5EF4-FFF2-40B4-BE49-F238E27FC236}">
              <a16:creationId xmlns:a16="http://schemas.microsoft.com/office/drawing/2014/main" id="{525C69DA-17C8-4035-ACF1-5E940D6B66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4" name="AutoShape 1" descr="Vista previa de toda la pantalla">
          <a:extLst>
            <a:ext uri="{FF2B5EF4-FFF2-40B4-BE49-F238E27FC236}">
              <a16:creationId xmlns:a16="http://schemas.microsoft.com/office/drawing/2014/main" id="{A8242ECC-8C96-4DBD-AE17-35AA29AFB9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5" name="AutoShape 1" descr="Vista previa de toda la pantalla">
          <a:extLst>
            <a:ext uri="{FF2B5EF4-FFF2-40B4-BE49-F238E27FC236}">
              <a16:creationId xmlns:a16="http://schemas.microsoft.com/office/drawing/2014/main" id="{3559031C-D8D2-4528-A1F0-AEEF23EAF5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6" name="AutoShape 1" descr="Vista previa de toda la pantalla">
          <a:extLst>
            <a:ext uri="{FF2B5EF4-FFF2-40B4-BE49-F238E27FC236}">
              <a16:creationId xmlns:a16="http://schemas.microsoft.com/office/drawing/2014/main" id="{A814179E-2987-414A-83C2-896AA6A362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7" name="AutoShape 1" descr="Vista previa de toda la pantalla">
          <a:extLst>
            <a:ext uri="{FF2B5EF4-FFF2-40B4-BE49-F238E27FC236}">
              <a16:creationId xmlns:a16="http://schemas.microsoft.com/office/drawing/2014/main" id="{209D1E61-A83C-433B-B486-039BD41CCA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8" name="AutoShape 1" descr="Vista previa de toda la pantalla">
          <a:extLst>
            <a:ext uri="{FF2B5EF4-FFF2-40B4-BE49-F238E27FC236}">
              <a16:creationId xmlns:a16="http://schemas.microsoft.com/office/drawing/2014/main" id="{5D37596A-AF3D-44DD-A8E4-98C23DD187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89" name="AutoShape 1" descr="Vista previa de toda la pantalla">
          <a:extLst>
            <a:ext uri="{FF2B5EF4-FFF2-40B4-BE49-F238E27FC236}">
              <a16:creationId xmlns:a16="http://schemas.microsoft.com/office/drawing/2014/main" id="{81E19941-A201-4F9F-B589-496F7939A1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0" name="AutoShape 1" descr="Vista previa de toda la pantalla">
          <a:extLst>
            <a:ext uri="{FF2B5EF4-FFF2-40B4-BE49-F238E27FC236}">
              <a16:creationId xmlns:a16="http://schemas.microsoft.com/office/drawing/2014/main" id="{427CD1D5-429C-4864-B578-4D994ACA15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1" name="AutoShape 1" descr="Vista previa de toda la pantalla">
          <a:extLst>
            <a:ext uri="{FF2B5EF4-FFF2-40B4-BE49-F238E27FC236}">
              <a16:creationId xmlns:a16="http://schemas.microsoft.com/office/drawing/2014/main" id="{3D0D3919-2E25-41B0-8FB9-217140B104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2" name="AutoShape 1" descr="Vista previa de toda la pantalla">
          <a:extLst>
            <a:ext uri="{FF2B5EF4-FFF2-40B4-BE49-F238E27FC236}">
              <a16:creationId xmlns:a16="http://schemas.microsoft.com/office/drawing/2014/main" id="{3AF8AD51-47B4-4FBE-9BDF-0A66CE4B46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3" name="AutoShape 1" descr="Vista previa de toda la pantalla">
          <a:extLst>
            <a:ext uri="{FF2B5EF4-FFF2-40B4-BE49-F238E27FC236}">
              <a16:creationId xmlns:a16="http://schemas.microsoft.com/office/drawing/2014/main" id="{2AB689D9-A3AB-41CA-BE33-789F3CA7D5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4" name="AutoShape 1" descr="Vista previa de toda la pantalla">
          <a:extLst>
            <a:ext uri="{FF2B5EF4-FFF2-40B4-BE49-F238E27FC236}">
              <a16:creationId xmlns:a16="http://schemas.microsoft.com/office/drawing/2014/main" id="{EFB33879-5C40-40A5-B64B-DBA4291603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5" name="AutoShape 1" descr="Vista previa de toda la pantalla">
          <a:extLst>
            <a:ext uri="{FF2B5EF4-FFF2-40B4-BE49-F238E27FC236}">
              <a16:creationId xmlns:a16="http://schemas.microsoft.com/office/drawing/2014/main" id="{922F1AF2-CDD1-48F6-882F-A3DA7890B8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6" name="AutoShape 1" descr="Vista previa de toda la pantalla">
          <a:extLst>
            <a:ext uri="{FF2B5EF4-FFF2-40B4-BE49-F238E27FC236}">
              <a16:creationId xmlns:a16="http://schemas.microsoft.com/office/drawing/2014/main" id="{E80F773B-C1D0-4104-9D4D-8E965E9A14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7" name="AutoShape 1" descr="Vista previa de toda la pantalla">
          <a:extLst>
            <a:ext uri="{FF2B5EF4-FFF2-40B4-BE49-F238E27FC236}">
              <a16:creationId xmlns:a16="http://schemas.microsoft.com/office/drawing/2014/main" id="{DBEF42F2-F02E-44B2-A03B-D8E1692047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8" name="AutoShape 1" descr="Vista previa de toda la pantalla">
          <a:extLst>
            <a:ext uri="{FF2B5EF4-FFF2-40B4-BE49-F238E27FC236}">
              <a16:creationId xmlns:a16="http://schemas.microsoft.com/office/drawing/2014/main" id="{1454BBAD-E505-4276-A082-AA856F20FD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499" name="AutoShape 1" descr="Vista previa de toda la pantalla">
          <a:extLst>
            <a:ext uri="{FF2B5EF4-FFF2-40B4-BE49-F238E27FC236}">
              <a16:creationId xmlns:a16="http://schemas.microsoft.com/office/drawing/2014/main" id="{E0481FA9-F103-49CF-8806-E0E4BE210E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0" name="AutoShape 1" descr="Vista previa de toda la pantalla">
          <a:extLst>
            <a:ext uri="{FF2B5EF4-FFF2-40B4-BE49-F238E27FC236}">
              <a16:creationId xmlns:a16="http://schemas.microsoft.com/office/drawing/2014/main" id="{35996D92-9093-4D1E-A2EC-555BEF231E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1" name="AutoShape 1" descr="Vista previa de toda la pantalla">
          <a:extLst>
            <a:ext uri="{FF2B5EF4-FFF2-40B4-BE49-F238E27FC236}">
              <a16:creationId xmlns:a16="http://schemas.microsoft.com/office/drawing/2014/main" id="{7D92C397-37D5-4AA2-A6A9-E424BAD0AA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2" name="AutoShape 1" descr="Vista previa de toda la pantalla">
          <a:extLst>
            <a:ext uri="{FF2B5EF4-FFF2-40B4-BE49-F238E27FC236}">
              <a16:creationId xmlns:a16="http://schemas.microsoft.com/office/drawing/2014/main" id="{3D7DCE74-D891-4466-8EC9-87C6BEF56C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3" name="AutoShape 1" descr="Vista previa de toda la pantalla">
          <a:extLst>
            <a:ext uri="{FF2B5EF4-FFF2-40B4-BE49-F238E27FC236}">
              <a16:creationId xmlns:a16="http://schemas.microsoft.com/office/drawing/2014/main" id="{24052950-B13C-4C84-8662-CFA94BCE27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4" name="AutoShape 1" descr="Vista previa de toda la pantalla">
          <a:extLst>
            <a:ext uri="{FF2B5EF4-FFF2-40B4-BE49-F238E27FC236}">
              <a16:creationId xmlns:a16="http://schemas.microsoft.com/office/drawing/2014/main" id="{79F937AF-FF79-4721-8304-2D7171F36E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5" name="AutoShape 1" descr="Vista previa de toda la pantalla">
          <a:extLst>
            <a:ext uri="{FF2B5EF4-FFF2-40B4-BE49-F238E27FC236}">
              <a16:creationId xmlns:a16="http://schemas.microsoft.com/office/drawing/2014/main" id="{03634427-383A-4F78-8579-D8FD7E851D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6" name="AutoShape 1" descr="Vista previa de toda la pantalla">
          <a:extLst>
            <a:ext uri="{FF2B5EF4-FFF2-40B4-BE49-F238E27FC236}">
              <a16:creationId xmlns:a16="http://schemas.microsoft.com/office/drawing/2014/main" id="{B5143456-951D-40EC-9E6D-E2F2D81A07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7" name="AutoShape 1" descr="Vista previa de toda la pantalla">
          <a:extLst>
            <a:ext uri="{FF2B5EF4-FFF2-40B4-BE49-F238E27FC236}">
              <a16:creationId xmlns:a16="http://schemas.microsoft.com/office/drawing/2014/main" id="{D35254C0-48D9-4A85-93E6-D74406ABEE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8" name="AutoShape 1" descr="Vista previa de toda la pantalla">
          <a:extLst>
            <a:ext uri="{FF2B5EF4-FFF2-40B4-BE49-F238E27FC236}">
              <a16:creationId xmlns:a16="http://schemas.microsoft.com/office/drawing/2014/main" id="{7ED2B08A-80C7-41AD-AD64-2F30663441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09" name="AutoShape 1" descr="Vista previa de toda la pantalla">
          <a:extLst>
            <a:ext uri="{FF2B5EF4-FFF2-40B4-BE49-F238E27FC236}">
              <a16:creationId xmlns:a16="http://schemas.microsoft.com/office/drawing/2014/main" id="{CFD57B54-6A15-43E9-8A7B-8A45D22722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0" name="AutoShape 1" descr="Vista previa de toda la pantalla">
          <a:extLst>
            <a:ext uri="{FF2B5EF4-FFF2-40B4-BE49-F238E27FC236}">
              <a16:creationId xmlns:a16="http://schemas.microsoft.com/office/drawing/2014/main" id="{6029420D-3F06-4A42-A65D-D031362A6A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1" name="AutoShape 1" descr="Vista previa de toda la pantalla">
          <a:extLst>
            <a:ext uri="{FF2B5EF4-FFF2-40B4-BE49-F238E27FC236}">
              <a16:creationId xmlns:a16="http://schemas.microsoft.com/office/drawing/2014/main" id="{7F16A738-7BCB-447D-8CBF-6A3ED28467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2" name="AutoShape 1" descr="Vista previa de toda la pantalla">
          <a:extLst>
            <a:ext uri="{FF2B5EF4-FFF2-40B4-BE49-F238E27FC236}">
              <a16:creationId xmlns:a16="http://schemas.microsoft.com/office/drawing/2014/main" id="{78694DA3-DEB4-4036-9E00-BE325040FE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3" name="AutoShape 1" descr="Vista previa de toda la pantalla">
          <a:extLst>
            <a:ext uri="{FF2B5EF4-FFF2-40B4-BE49-F238E27FC236}">
              <a16:creationId xmlns:a16="http://schemas.microsoft.com/office/drawing/2014/main" id="{622914C8-A3C3-49FE-9737-CE77567056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4" name="AutoShape 1" descr="Vista previa de toda la pantalla">
          <a:extLst>
            <a:ext uri="{FF2B5EF4-FFF2-40B4-BE49-F238E27FC236}">
              <a16:creationId xmlns:a16="http://schemas.microsoft.com/office/drawing/2014/main" id="{35462FE7-068F-4E00-8CBD-6DDFB1EC4A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5" name="AutoShape 1" descr="Vista previa de toda la pantalla">
          <a:extLst>
            <a:ext uri="{FF2B5EF4-FFF2-40B4-BE49-F238E27FC236}">
              <a16:creationId xmlns:a16="http://schemas.microsoft.com/office/drawing/2014/main" id="{1006E9AE-0B0A-464B-8FCB-3A8CAE64EA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6" name="AutoShape 1" descr="Vista previa de toda la pantalla">
          <a:extLst>
            <a:ext uri="{FF2B5EF4-FFF2-40B4-BE49-F238E27FC236}">
              <a16:creationId xmlns:a16="http://schemas.microsoft.com/office/drawing/2014/main" id="{234564BA-0B27-4B66-8260-2A229311FF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7" name="AutoShape 1" descr="Vista previa de toda la pantalla">
          <a:extLst>
            <a:ext uri="{FF2B5EF4-FFF2-40B4-BE49-F238E27FC236}">
              <a16:creationId xmlns:a16="http://schemas.microsoft.com/office/drawing/2014/main" id="{B2A86938-40F5-43F5-B910-D56FFCF228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8" name="AutoShape 1" descr="Vista previa de toda la pantalla">
          <a:extLst>
            <a:ext uri="{FF2B5EF4-FFF2-40B4-BE49-F238E27FC236}">
              <a16:creationId xmlns:a16="http://schemas.microsoft.com/office/drawing/2014/main" id="{00D0E5DD-C8EB-47B7-9A87-9042158406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19" name="AutoShape 1" descr="Vista previa de toda la pantalla">
          <a:extLst>
            <a:ext uri="{FF2B5EF4-FFF2-40B4-BE49-F238E27FC236}">
              <a16:creationId xmlns:a16="http://schemas.microsoft.com/office/drawing/2014/main" id="{7150935B-0CFA-45C9-A4D3-C2B75C1008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0" name="AutoShape 1" descr="Vista previa de toda la pantalla">
          <a:extLst>
            <a:ext uri="{FF2B5EF4-FFF2-40B4-BE49-F238E27FC236}">
              <a16:creationId xmlns:a16="http://schemas.microsoft.com/office/drawing/2014/main" id="{EE0069E2-0BF7-464B-B543-D15C782C77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1" name="AutoShape 1" descr="Vista previa de toda la pantalla">
          <a:extLst>
            <a:ext uri="{FF2B5EF4-FFF2-40B4-BE49-F238E27FC236}">
              <a16:creationId xmlns:a16="http://schemas.microsoft.com/office/drawing/2014/main" id="{8FA0BB0D-5039-4161-B8DC-E630F72F57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2" name="AutoShape 1" descr="Vista previa de toda la pantalla">
          <a:extLst>
            <a:ext uri="{FF2B5EF4-FFF2-40B4-BE49-F238E27FC236}">
              <a16:creationId xmlns:a16="http://schemas.microsoft.com/office/drawing/2014/main" id="{A43E366D-7BDD-42B2-90CA-FA5E095679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3" name="AutoShape 1" descr="Vista previa de toda la pantalla">
          <a:extLst>
            <a:ext uri="{FF2B5EF4-FFF2-40B4-BE49-F238E27FC236}">
              <a16:creationId xmlns:a16="http://schemas.microsoft.com/office/drawing/2014/main" id="{5A7C0597-34DB-437E-8539-79A9178A69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4" name="AutoShape 1" descr="Vista previa de toda la pantalla">
          <a:extLst>
            <a:ext uri="{FF2B5EF4-FFF2-40B4-BE49-F238E27FC236}">
              <a16:creationId xmlns:a16="http://schemas.microsoft.com/office/drawing/2014/main" id="{8845A112-05E0-477D-988B-F0EB0282BE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5" name="AutoShape 1" descr="Vista previa de toda la pantalla">
          <a:extLst>
            <a:ext uri="{FF2B5EF4-FFF2-40B4-BE49-F238E27FC236}">
              <a16:creationId xmlns:a16="http://schemas.microsoft.com/office/drawing/2014/main" id="{E88B862B-CD94-4986-AD1D-463955EA3F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6" name="AutoShape 1" descr="Vista previa de toda la pantalla">
          <a:extLst>
            <a:ext uri="{FF2B5EF4-FFF2-40B4-BE49-F238E27FC236}">
              <a16:creationId xmlns:a16="http://schemas.microsoft.com/office/drawing/2014/main" id="{0AB1A843-7C1F-416E-9FAA-2F07042AB9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7" name="AutoShape 1" descr="Vista previa de toda la pantalla">
          <a:extLst>
            <a:ext uri="{FF2B5EF4-FFF2-40B4-BE49-F238E27FC236}">
              <a16:creationId xmlns:a16="http://schemas.microsoft.com/office/drawing/2014/main" id="{23F886F9-0AD6-4C3C-93CE-AAE848AFFF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8" name="AutoShape 1" descr="Vista previa de toda la pantalla">
          <a:extLst>
            <a:ext uri="{FF2B5EF4-FFF2-40B4-BE49-F238E27FC236}">
              <a16:creationId xmlns:a16="http://schemas.microsoft.com/office/drawing/2014/main" id="{40FA2FB2-9F7C-4802-B4C7-170E88A9B8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29" name="AutoShape 1" descr="Vista previa de toda la pantalla">
          <a:extLst>
            <a:ext uri="{FF2B5EF4-FFF2-40B4-BE49-F238E27FC236}">
              <a16:creationId xmlns:a16="http://schemas.microsoft.com/office/drawing/2014/main" id="{BB31A41A-392E-4F56-B939-DBE275A9F3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0" name="AutoShape 1" descr="Vista previa de toda la pantalla">
          <a:extLst>
            <a:ext uri="{FF2B5EF4-FFF2-40B4-BE49-F238E27FC236}">
              <a16:creationId xmlns:a16="http://schemas.microsoft.com/office/drawing/2014/main" id="{431BE087-3D25-4B4D-977A-B9DE6C0BC1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1" name="AutoShape 1" descr="Vista previa de toda la pantalla">
          <a:extLst>
            <a:ext uri="{FF2B5EF4-FFF2-40B4-BE49-F238E27FC236}">
              <a16:creationId xmlns:a16="http://schemas.microsoft.com/office/drawing/2014/main" id="{ADD635BE-7A1F-4EFC-A82D-FE00B8D8A0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2" name="AutoShape 1" descr="Vista previa de toda la pantalla">
          <a:extLst>
            <a:ext uri="{FF2B5EF4-FFF2-40B4-BE49-F238E27FC236}">
              <a16:creationId xmlns:a16="http://schemas.microsoft.com/office/drawing/2014/main" id="{DF7FC1AB-BBC7-48EB-991A-2A99F7B103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3" name="AutoShape 1" descr="Vista previa de toda la pantalla">
          <a:extLst>
            <a:ext uri="{FF2B5EF4-FFF2-40B4-BE49-F238E27FC236}">
              <a16:creationId xmlns:a16="http://schemas.microsoft.com/office/drawing/2014/main" id="{6EC3A525-6FE1-4181-972C-744A967CAB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4" name="AutoShape 1" descr="Vista previa de toda la pantalla">
          <a:extLst>
            <a:ext uri="{FF2B5EF4-FFF2-40B4-BE49-F238E27FC236}">
              <a16:creationId xmlns:a16="http://schemas.microsoft.com/office/drawing/2014/main" id="{8F501DF7-CA9B-43B5-BC7A-0C0711A17A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5" name="AutoShape 1" descr="Vista previa de toda la pantalla">
          <a:extLst>
            <a:ext uri="{FF2B5EF4-FFF2-40B4-BE49-F238E27FC236}">
              <a16:creationId xmlns:a16="http://schemas.microsoft.com/office/drawing/2014/main" id="{3DE5C27F-8742-4C30-BFE1-9703491569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6" name="AutoShape 1" descr="Vista previa de toda la pantalla">
          <a:extLst>
            <a:ext uri="{FF2B5EF4-FFF2-40B4-BE49-F238E27FC236}">
              <a16:creationId xmlns:a16="http://schemas.microsoft.com/office/drawing/2014/main" id="{87F1FA7E-1628-4BE6-A286-33E5EDC7A9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7" name="AutoShape 1" descr="Vista previa de toda la pantalla">
          <a:extLst>
            <a:ext uri="{FF2B5EF4-FFF2-40B4-BE49-F238E27FC236}">
              <a16:creationId xmlns:a16="http://schemas.microsoft.com/office/drawing/2014/main" id="{B548B88A-4E2C-4B90-8C0A-421C0A4CA7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8" name="AutoShape 1" descr="Vista previa de toda la pantalla">
          <a:extLst>
            <a:ext uri="{FF2B5EF4-FFF2-40B4-BE49-F238E27FC236}">
              <a16:creationId xmlns:a16="http://schemas.microsoft.com/office/drawing/2014/main" id="{13C3A6D7-5263-44A2-B45B-A6A299FC6A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39" name="AutoShape 1" descr="Vista previa de toda la pantalla">
          <a:extLst>
            <a:ext uri="{FF2B5EF4-FFF2-40B4-BE49-F238E27FC236}">
              <a16:creationId xmlns:a16="http://schemas.microsoft.com/office/drawing/2014/main" id="{6EB9FC72-CBA2-4373-897D-A6BF252E1F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0" name="AutoShape 1" descr="Vista previa de toda la pantalla">
          <a:extLst>
            <a:ext uri="{FF2B5EF4-FFF2-40B4-BE49-F238E27FC236}">
              <a16:creationId xmlns:a16="http://schemas.microsoft.com/office/drawing/2014/main" id="{B566DBB4-C078-4CF9-B186-E62CE7A85E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1" name="AutoShape 1" descr="Vista previa de toda la pantalla">
          <a:extLst>
            <a:ext uri="{FF2B5EF4-FFF2-40B4-BE49-F238E27FC236}">
              <a16:creationId xmlns:a16="http://schemas.microsoft.com/office/drawing/2014/main" id="{FB3F5C8A-9BA4-4F82-BB58-A1B771A52C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2" name="AutoShape 1" descr="Vista previa de toda la pantalla">
          <a:extLst>
            <a:ext uri="{FF2B5EF4-FFF2-40B4-BE49-F238E27FC236}">
              <a16:creationId xmlns:a16="http://schemas.microsoft.com/office/drawing/2014/main" id="{D178A313-D84B-46CA-B398-D7AFD5CA52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3" name="AutoShape 1" descr="Vista previa de toda la pantalla">
          <a:extLst>
            <a:ext uri="{FF2B5EF4-FFF2-40B4-BE49-F238E27FC236}">
              <a16:creationId xmlns:a16="http://schemas.microsoft.com/office/drawing/2014/main" id="{5960AC63-007A-47E5-9F17-9223AE8DF9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4" name="AutoShape 1" descr="Vista previa de toda la pantalla">
          <a:extLst>
            <a:ext uri="{FF2B5EF4-FFF2-40B4-BE49-F238E27FC236}">
              <a16:creationId xmlns:a16="http://schemas.microsoft.com/office/drawing/2014/main" id="{C625294F-501D-4EBD-AF22-C4E24A9EB8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5" name="AutoShape 1" descr="Vista previa de toda la pantalla">
          <a:extLst>
            <a:ext uri="{FF2B5EF4-FFF2-40B4-BE49-F238E27FC236}">
              <a16:creationId xmlns:a16="http://schemas.microsoft.com/office/drawing/2014/main" id="{7A9CA74E-6935-4296-9355-A784DA5AA7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6" name="AutoShape 1" descr="Vista previa de toda la pantalla">
          <a:extLst>
            <a:ext uri="{FF2B5EF4-FFF2-40B4-BE49-F238E27FC236}">
              <a16:creationId xmlns:a16="http://schemas.microsoft.com/office/drawing/2014/main" id="{7A3A8931-D1CD-4903-B43F-42EDDE8CAF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7" name="AutoShape 1" descr="Vista previa de toda la pantalla">
          <a:extLst>
            <a:ext uri="{FF2B5EF4-FFF2-40B4-BE49-F238E27FC236}">
              <a16:creationId xmlns:a16="http://schemas.microsoft.com/office/drawing/2014/main" id="{FD9EFE4D-26D3-4271-ADBB-3FEF0D5A94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8" name="AutoShape 1" descr="Vista previa de toda la pantalla">
          <a:extLst>
            <a:ext uri="{FF2B5EF4-FFF2-40B4-BE49-F238E27FC236}">
              <a16:creationId xmlns:a16="http://schemas.microsoft.com/office/drawing/2014/main" id="{A318A010-4A2F-4BD4-80C2-384A9667B9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49" name="AutoShape 1" descr="Vista previa de toda la pantalla">
          <a:extLst>
            <a:ext uri="{FF2B5EF4-FFF2-40B4-BE49-F238E27FC236}">
              <a16:creationId xmlns:a16="http://schemas.microsoft.com/office/drawing/2014/main" id="{C5D9C831-9DA9-409F-8BA7-1CE4AB08D5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50" name="AutoShape 1" descr="Vista previa de toda la pantalla">
          <a:extLst>
            <a:ext uri="{FF2B5EF4-FFF2-40B4-BE49-F238E27FC236}">
              <a16:creationId xmlns:a16="http://schemas.microsoft.com/office/drawing/2014/main" id="{4107DE0E-F2A0-474D-B4D7-0EBA169E98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51" name="AutoShape 1" descr="Vista previa de toda la pantalla">
          <a:extLst>
            <a:ext uri="{FF2B5EF4-FFF2-40B4-BE49-F238E27FC236}">
              <a16:creationId xmlns:a16="http://schemas.microsoft.com/office/drawing/2014/main" id="{BE9E22D3-98C7-4E24-AF3B-7517AEB64B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52" name="AutoShape 1" descr="Vista previa de toda la pantalla">
          <a:extLst>
            <a:ext uri="{FF2B5EF4-FFF2-40B4-BE49-F238E27FC236}">
              <a16:creationId xmlns:a16="http://schemas.microsoft.com/office/drawing/2014/main" id="{9E4F50FA-E149-42FA-A0CE-26C8406FF8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53" name="AutoShape 1" descr="Vista previa de toda la pantalla">
          <a:extLst>
            <a:ext uri="{FF2B5EF4-FFF2-40B4-BE49-F238E27FC236}">
              <a16:creationId xmlns:a16="http://schemas.microsoft.com/office/drawing/2014/main" id="{75E54157-9FBC-40C8-98A6-D3B5D06D8D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54" name="AutoShape 1" descr="Vista previa de toda la pantalla">
          <a:extLst>
            <a:ext uri="{FF2B5EF4-FFF2-40B4-BE49-F238E27FC236}">
              <a16:creationId xmlns:a16="http://schemas.microsoft.com/office/drawing/2014/main" id="{B9E38930-6072-4383-B93D-595D80D0D6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55" name="AutoShape 1" descr="Vista previa de toda la pantalla">
          <a:extLst>
            <a:ext uri="{FF2B5EF4-FFF2-40B4-BE49-F238E27FC236}">
              <a16:creationId xmlns:a16="http://schemas.microsoft.com/office/drawing/2014/main" id="{57C6A9A3-051D-46F7-9CE8-8345B67DA0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56" name="AutoShape 1" descr="Vista previa de toda la pantalla">
          <a:extLst>
            <a:ext uri="{FF2B5EF4-FFF2-40B4-BE49-F238E27FC236}">
              <a16:creationId xmlns:a16="http://schemas.microsoft.com/office/drawing/2014/main" id="{4FE5B571-87E2-477E-9EBB-7227CBA56B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3557" name="AutoShape 1" descr="Vista previa de toda la pantalla">
          <a:extLst>
            <a:ext uri="{FF2B5EF4-FFF2-40B4-BE49-F238E27FC236}">
              <a16:creationId xmlns:a16="http://schemas.microsoft.com/office/drawing/2014/main" id="{5E81DB56-F025-43BF-A774-C14DC91E8332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58" name="AutoShape 1" descr="Vista previa de toda la pantalla">
          <a:extLst>
            <a:ext uri="{FF2B5EF4-FFF2-40B4-BE49-F238E27FC236}">
              <a16:creationId xmlns:a16="http://schemas.microsoft.com/office/drawing/2014/main" id="{F593D6BE-00BB-4443-972E-1258F47AE2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59" name="AutoShape 1" descr="Vista previa de toda la pantalla">
          <a:extLst>
            <a:ext uri="{FF2B5EF4-FFF2-40B4-BE49-F238E27FC236}">
              <a16:creationId xmlns:a16="http://schemas.microsoft.com/office/drawing/2014/main" id="{BDE85433-3131-4BB5-A1A8-53B714C905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0" name="AutoShape 1" descr="Vista previa de toda la pantalla">
          <a:extLst>
            <a:ext uri="{FF2B5EF4-FFF2-40B4-BE49-F238E27FC236}">
              <a16:creationId xmlns:a16="http://schemas.microsoft.com/office/drawing/2014/main" id="{9959DC28-3047-4697-B443-AEB841D412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1" name="AutoShape 1" descr="Vista previa de toda la pantalla">
          <a:extLst>
            <a:ext uri="{FF2B5EF4-FFF2-40B4-BE49-F238E27FC236}">
              <a16:creationId xmlns:a16="http://schemas.microsoft.com/office/drawing/2014/main" id="{0B8FF012-EB8C-4982-AA73-C2B14527C9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2" name="AutoShape 1" descr="Vista previa de toda la pantalla">
          <a:extLst>
            <a:ext uri="{FF2B5EF4-FFF2-40B4-BE49-F238E27FC236}">
              <a16:creationId xmlns:a16="http://schemas.microsoft.com/office/drawing/2014/main" id="{09439733-44B8-4114-9440-3EBE290D27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3" name="AutoShape 1" descr="Vista previa de toda la pantalla">
          <a:extLst>
            <a:ext uri="{FF2B5EF4-FFF2-40B4-BE49-F238E27FC236}">
              <a16:creationId xmlns:a16="http://schemas.microsoft.com/office/drawing/2014/main" id="{CCEF42B8-F37B-4BDB-9E17-6073942350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4" name="AutoShape 1" descr="Vista previa de toda la pantalla">
          <a:extLst>
            <a:ext uri="{FF2B5EF4-FFF2-40B4-BE49-F238E27FC236}">
              <a16:creationId xmlns:a16="http://schemas.microsoft.com/office/drawing/2014/main" id="{6D1972B4-4CE8-4E97-8F28-A45326925B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5" name="AutoShape 1" descr="Vista previa de toda la pantalla">
          <a:extLst>
            <a:ext uri="{FF2B5EF4-FFF2-40B4-BE49-F238E27FC236}">
              <a16:creationId xmlns:a16="http://schemas.microsoft.com/office/drawing/2014/main" id="{5CD9DF8C-6458-4AF2-8C9A-78238D9294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6" name="AutoShape 1" descr="Vista previa de toda la pantalla">
          <a:extLst>
            <a:ext uri="{FF2B5EF4-FFF2-40B4-BE49-F238E27FC236}">
              <a16:creationId xmlns:a16="http://schemas.microsoft.com/office/drawing/2014/main" id="{A9BFFD26-0FCA-4436-8209-7BF6730F7C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7" name="AutoShape 1" descr="Vista previa de toda la pantalla">
          <a:extLst>
            <a:ext uri="{FF2B5EF4-FFF2-40B4-BE49-F238E27FC236}">
              <a16:creationId xmlns:a16="http://schemas.microsoft.com/office/drawing/2014/main" id="{A5DC22D6-872F-4796-9ACD-4FB99FA345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8" name="AutoShape 1" descr="Vista previa de toda la pantalla">
          <a:extLst>
            <a:ext uri="{FF2B5EF4-FFF2-40B4-BE49-F238E27FC236}">
              <a16:creationId xmlns:a16="http://schemas.microsoft.com/office/drawing/2014/main" id="{D7F65790-EF69-4741-B477-7E42846011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69" name="AutoShape 1" descr="Vista previa de toda la pantalla">
          <a:extLst>
            <a:ext uri="{FF2B5EF4-FFF2-40B4-BE49-F238E27FC236}">
              <a16:creationId xmlns:a16="http://schemas.microsoft.com/office/drawing/2014/main" id="{D58236BB-D87D-4D52-A2B3-9C51CB0785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0" name="AutoShape 1" descr="Vista previa de toda la pantalla">
          <a:extLst>
            <a:ext uri="{FF2B5EF4-FFF2-40B4-BE49-F238E27FC236}">
              <a16:creationId xmlns:a16="http://schemas.microsoft.com/office/drawing/2014/main" id="{A9527B27-2A16-4E95-B711-EF92CE06DD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1" name="AutoShape 1" descr="Vista previa de toda la pantalla">
          <a:extLst>
            <a:ext uri="{FF2B5EF4-FFF2-40B4-BE49-F238E27FC236}">
              <a16:creationId xmlns:a16="http://schemas.microsoft.com/office/drawing/2014/main" id="{0DAE1002-D8E3-4FE9-8E4A-605EFFC34C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2" name="AutoShape 1" descr="Vista previa de toda la pantalla">
          <a:extLst>
            <a:ext uri="{FF2B5EF4-FFF2-40B4-BE49-F238E27FC236}">
              <a16:creationId xmlns:a16="http://schemas.microsoft.com/office/drawing/2014/main" id="{03CB35AA-4C0F-4E42-A679-B174DFDE33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3" name="AutoShape 1" descr="Vista previa de toda la pantalla">
          <a:extLst>
            <a:ext uri="{FF2B5EF4-FFF2-40B4-BE49-F238E27FC236}">
              <a16:creationId xmlns:a16="http://schemas.microsoft.com/office/drawing/2014/main" id="{553C1D78-FAC8-416C-92EF-99C92E1E3F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4" name="AutoShape 1" descr="Vista previa de toda la pantalla">
          <a:extLst>
            <a:ext uri="{FF2B5EF4-FFF2-40B4-BE49-F238E27FC236}">
              <a16:creationId xmlns:a16="http://schemas.microsoft.com/office/drawing/2014/main" id="{73D653D2-C968-43EF-8CE6-DEA1E00DF9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5" name="AutoShape 1" descr="Vista previa de toda la pantalla">
          <a:extLst>
            <a:ext uri="{FF2B5EF4-FFF2-40B4-BE49-F238E27FC236}">
              <a16:creationId xmlns:a16="http://schemas.microsoft.com/office/drawing/2014/main" id="{463DF0CE-B687-4375-82CD-F545E3A964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6" name="AutoShape 1" descr="Vista previa de toda la pantalla">
          <a:extLst>
            <a:ext uri="{FF2B5EF4-FFF2-40B4-BE49-F238E27FC236}">
              <a16:creationId xmlns:a16="http://schemas.microsoft.com/office/drawing/2014/main" id="{74A42D35-2E40-495C-91D7-5CF7B1F878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7" name="AutoShape 1" descr="Vista previa de toda la pantalla">
          <a:extLst>
            <a:ext uri="{FF2B5EF4-FFF2-40B4-BE49-F238E27FC236}">
              <a16:creationId xmlns:a16="http://schemas.microsoft.com/office/drawing/2014/main" id="{C7F19D34-410A-47C6-8568-A820501725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8" name="AutoShape 1" descr="Vista previa de toda la pantalla">
          <a:extLst>
            <a:ext uri="{FF2B5EF4-FFF2-40B4-BE49-F238E27FC236}">
              <a16:creationId xmlns:a16="http://schemas.microsoft.com/office/drawing/2014/main" id="{82215774-CC8C-47E6-BD57-FF32B8EDA7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79" name="AutoShape 1" descr="Vista previa de toda la pantalla">
          <a:extLst>
            <a:ext uri="{FF2B5EF4-FFF2-40B4-BE49-F238E27FC236}">
              <a16:creationId xmlns:a16="http://schemas.microsoft.com/office/drawing/2014/main" id="{E0016A41-9741-4BAA-B874-7B2856BF88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0" name="AutoShape 1" descr="Vista previa de toda la pantalla">
          <a:extLst>
            <a:ext uri="{FF2B5EF4-FFF2-40B4-BE49-F238E27FC236}">
              <a16:creationId xmlns:a16="http://schemas.microsoft.com/office/drawing/2014/main" id="{832B1BB1-0C55-42F6-9011-354901E043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1" name="AutoShape 1" descr="Vista previa de toda la pantalla">
          <a:extLst>
            <a:ext uri="{FF2B5EF4-FFF2-40B4-BE49-F238E27FC236}">
              <a16:creationId xmlns:a16="http://schemas.microsoft.com/office/drawing/2014/main" id="{21D664C6-E061-4893-9E32-0C1D360E8B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2" name="AutoShape 1" descr="Vista previa de toda la pantalla">
          <a:extLst>
            <a:ext uri="{FF2B5EF4-FFF2-40B4-BE49-F238E27FC236}">
              <a16:creationId xmlns:a16="http://schemas.microsoft.com/office/drawing/2014/main" id="{2B09897B-16B0-4E74-87BF-5890E6CAC2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3" name="AutoShape 1" descr="Vista previa de toda la pantalla">
          <a:extLst>
            <a:ext uri="{FF2B5EF4-FFF2-40B4-BE49-F238E27FC236}">
              <a16:creationId xmlns:a16="http://schemas.microsoft.com/office/drawing/2014/main" id="{8B419AC6-C8AB-461D-AB8F-E95A5B48FA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4" name="AutoShape 1" descr="Vista previa de toda la pantalla">
          <a:extLst>
            <a:ext uri="{FF2B5EF4-FFF2-40B4-BE49-F238E27FC236}">
              <a16:creationId xmlns:a16="http://schemas.microsoft.com/office/drawing/2014/main" id="{90752714-25A7-454A-9D4D-0CA3966387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5" name="AutoShape 1" descr="Vista previa de toda la pantalla">
          <a:extLst>
            <a:ext uri="{FF2B5EF4-FFF2-40B4-BE49-F238E27FC236}">
              <a16:creationId xmlns:a16="http://schemas.microsoft.com/office/drawing/2014/main" id="{FF51E011-7A7F-40B7-BCE4-1565CFDE5A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6" name="AutoShape 1" descr="Vista previa de toda la pantalla">
          <a:extLst>
            <a:ext uri="{FF2B5EF4-FFF2-40B4-BE49-F238E27FC236}">
              <a16:creationId xmlns:a16="http://schemas.microsoft.com/office/drawing/2014/main" id="{8287F1FA-8DA4-4BB3-9410-3842BD55F3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7" name="AutoShape 1" descr="Vista previa de toda la pantalla">
          <a:extLst>
            <a:ext uri="{FF2B5EF4-FFF2-40B4-BE49-F238E27FC236}">
              <a16:creationId xmlns:a16="http://schemas.microsoft.com/office/drawing/2014/main" id="{6E3C2088-F003-49F5-9A15-F572081D3F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8" name="AutoShape 1" descr="Vista previa de toda la pantalla">
          <a:extLst>
            <a:ext uri="{FF2B5EF4-FFF2-40B4-BE49-F238E27FC236}">
              <a16:creationId xmlns:a16="http://schemas.microsoft.com/office/drawing/2014/main" id="{92E58F38-E1DA-44F5-A8F5-7E1C7289E8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89" name="AutoShape 1" descr="Vista previa de toda la pantalla">
          <a:extLst>
            <a:ext uri="{FF2B5EF4-FFF2-40B4-BE49-F238E27FC236}">
              <a16:creationId xmlns:a16="http://schemas.microsoft.com/office/drawing/2014/main" id="{A9744C0C-F3DA-4BB5-A900-EFBA16A7BC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0" name="AutoShape 1" descr="Vista previa de toda la pantalla">
          <a:extLst>
            <a:ext uri="{FF2B5EF4-FFF2-40B4-BE49-F238E27FC236}">
              <a16:creationId xmlns:a16="http://schemas.microsoft.com/office/drawing/2014/main" id="{36B83EAE-D3D3-4290-8E14-7CD815D70C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1" name="AutoShape 1" descr="Vista previa de toda la pantalla">
          <a:extLst>
            <a:ext uri="{FF2B5EF4-FFF2-40B4-BE49-F238E27FC236}">
              <a16:creationId xmlns:a16="http://schemas.microsoft.com/office/drawing/2014/main" id="{B615E2CB-8BE9-4BA8-9CD3-C2362A9829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2" name="AutoShape 1" descr="Vista previa de toda la pantalla">
          <a:extLst>
            <a:ext uri="{FF2B5EF4-FFF2-40B4-BE49-F238E27FC236}">
              <a16:creationId xmlns:a16="http://schemas.microsoft.com/office/drawing/2014/main" id="{E76CBCFC-1882-466F-B43A-A930930602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3" name="AutoShape 1" descr="Vista previa de toda la pantalla">
          <a:extLst>
            <a:ext uri="{FF2B5EF4-FFF2-40B4-BE49-F238E27FC236}">
              <a16:creationId xmlns:a16="http://schemas.microsoft.com/office/drawing/2014/main" id="{881634CC-170C-47D6-A89A-6D58B146C1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4" name="AutoShape 1" descr="Vista previa de toda la pantalla">
          <a:extLst>
            <a:ext uri="{FF2B5EF4-FFF2-40B4-BE49-F238E27FC236}">
              <a16:creationId xmlns:a16="http://schemas.microsoft.com/office/drawing/2014/main" id="{3A24BD34-41AB-489B-A137-AD0BED3127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5" name="AutoShape 1" descr="Vista previa de toda la pantalla">
          <a:extLst>
            <a:ext uri="{FF2B5EF4-FFF2-40B4-BE49-F238E27FC236}">
              <a16:creationId xmlns:a16="http://schemas.microsoft.com/office/drawing/2014/main" id="{E8F94266-F1D1-4C0B-B7AE-810C22535B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6" name="AutoShape 1" descr="Vista previa de toda la pantalla">
          <a:extLst>
            <a:ext uri="{FF2B5EF4-FFF2-40B4-BE49-F238E27FC236}">
              <a16:creationId xmlns:a16="http://schemas.microsoft.com/office/drawing/2014/main" id="{15F8972D-AF53-4D39-BC1B-04BB63ADE3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7" name="AutoShape 1" descr="Vista previa de toda la pantalla">
          <a:extLst>
            <a:ext uri="{FF2B5EF4-FFF2-40B4-BE49-F238E27FC236}">
              <a16:creationId xmlns:a16="http://schemas.microsoft.com/office/drawing/2014/main" id="{294D3467-5393-4187-8DF1-DD911FFEAD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8" name="AutoShape 1" descr="Vista previa de toda la pantalla">
          <a:extLst>
            <a:ext uri="{FF2B5EF4-FFF2-40B4-BE49-F238E27FC236}">
              <a16:creationId xmlns:a16="http://schemas.microsoft.com/office/drawing/2014/main" id="{22347327-2EFD-4ECC-8435-E804A4909E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599" name="AutoShape 1" descr="Vista previa de toda la pantalla">
          <a:extLst>
            <a:ext uri="{FF2B5EF4-FFF2-40B4-BE49-F238E27FC236}">
              <a16:creationId xmlns:a16="http://schemas.microsoft.com/office/drawing/2014/main" id="{CB250741-471F-4BF7-ACEB-0E6AE838C9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0" name="AutoShape 1" descr="Vista previa de toda la pantalla">
          <a:extLst>
            <a:ext uri="{FF2B5EF4-FFF2-40B4-BE49-F238E27FC236}">
              <a16:creationId xmlns:a16="http://schemas.microsoft.com/office/drawing/2014/main" id="{C5A846E5-DDFD-432B-ACDD-4B54CA9736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1" name="AutoShape 1" descr="Vista previa de toda la pantalla">
          <a:extLst>
            <a:ext uri="{FF2B5EF4-FFF2-40B4-BE49-F238E27FC236}">
              <a16:creationId xmlns:a16="http://schemas.microsoft.com/office/drawing/2014/main" id="{2F8AABD8-2D56-4E23-AE81-2C6AC736A6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2" name="AutoShape 1" descr="Vista previa de toda la pantalla">
          <a:extLst>
            <a:ext uri="{FF2B5EF4-FFF2-40B4-BE49-F238E27FC236}">
              <a16:creationId xmlns:a16="http://schemas.microsoft.com/office/drawing/2014/main" id="{9D326E55-8420-4010-8661-A469A1866C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3" name="AutoShape 1" descr="Vista previa de toda la pantalla">
          <a:extLst>
            <a:ext uri="{FF2B5EF4-FFF2-40B4-BE49-F238E27FC236}">
              <a16:creationId xmlns:a16="http://schemas.microsoft.com/office/drawing/2014/main" id="{0742DE9B-1215-4E67-BC70-E8B6928D77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4" name="AutoShape 1" descr="Vista previa de toda la pantalla">
          <a:extLst>
            <a:ext uri="{FF2B5EF4-FFF2-40B4-BE49-F238E27FC236}">
              <a16:creationId xmlns:a16="http://schemas.microsoft.com/office/drawing/2014/main" id="{08753459-D929-4B2E-934C-434C02B350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5" name="AutoShape 1" descr="Vista previa de toda la pantalla">
          <a:extLst>
            <a:ext uri="{FF2B5EF4-FFF2-40B4-BE49-F238E27FC236}">
              <a16:creationId xmlns:a16="http://schemas.microsoft.com/office/drawing/2014/main" id="{2C8782F6-86F4-4D20-AB34-BB3EA93815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6" name="AutoShape 1" descr="Vista previa de toda la pantalla">
          <a:extLst>
            <a:ext uri="{FF2B5EF4-FFF2-40B4-BE49-F238E27FC236}">
              <a16:creationId xmlns:a16="http://schemas.microsoft.com/office/drawing/2014/main" id="{6C4C49F7-3277-4DF8-8E39-F24EB48BEA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7" name="AutoShape 1" descr="Vista previa de toda la pantalla">
          <a:extLst>
            <a:ext uri="{FF2B5EF4-FFF2-40B4-BE49-F238E27FC236}">
              <a16:creationId xmlns:a16="http://schemas.microsoft.com/office/drawing/2014/main" id="{291B322D-C25E-48D4-A684-5721050751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8" name="AutoShape 1" descr="Vista previa de toda la pantalla">
          <a:extLst>
            <a:ext uri="{FF2B5EF4-FFF2-40B4-BE49-F238E27FC236}">
              <a16:creationId xmlns:a16="http://schemas.microsoft.com/office/drawing/2014/main" id="{4C84D3DB-3CFB-4FB2-89A9-3A0E6C9A11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09" name="AutoShape 1" descr="Vista previa de toda la pantalla">
          <a:extLst>
            <a:ext uri="{FF2B5EF4-FFF2-40B4-BE49-F238E27FC236}">
              <a16:creationId xmlns:a16="http://schemas.microsoft.com/office/drawing/2014/main" id="{8E6D790B-C643-42ED-B828-B057C513D2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0" name="AutoShape 1" descr="Vista previa de toda la pantalla">
          <a:extLst>
            <a:ext uri="{FF2B5EF4-FFF2-40B4-BE49-F238E27FC236}">
              <a16:creationId xmlns:a16="http://schemas.microsoft.com/office/drawing/2014/main" id="{217AB864-BD68-4A49-A302-FD69C37410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1" name="AutoShape 1" descr="Vista previa de toda la pantalla">
          <a:extLst>
            <a:ext uri="{FF2B5EF4-FFF2-40B4-BE49-F238E27FC236}">
              <a16:creationId xmlns:a16="http://schemas.microsoft.com/office/drawing/2014/main" id="{324FECED-C3F8-4343-84C7-D7B2C9492B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2" name="AutoShape 1" descr="Vista previa de toda la pantalla">
          <a:extLst>
            <a:ext uri="{FF2B5EF4-FFF2-40B4-BE49-F238E27FC236}">
              <a16:creationId xmlns:a16="http://schemas.microsoft.com/office/drawing/2014/main" id="{B1D69B3F-CC2D-4880-B436-5869F32D9B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3" name="AutoShape 1" descr="Vista previa de toda la pantalla">
          <a:extLst>
            <a:ext uri="{FF2B5EF4-FFF2-40B4-BE49-F238E27FC236}">
              <a16:creationId xmlns:a16="http://schemas.microsoft.com/office/drawing/2014/main" id="{7D94D26B-33E6-48C6-BDB2-E0FE5227BA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4" name="AutoShape 1" descr="Vista previa de toda la pantalla">
          <a:extLst>
            <a:ext uri="{FF2B5EF4-FFF2-40B4-BE49-F238E27FC236}">
              <a16:creationId xmlns:a16="http://schemas.microsoft.com/office/drawing/2014/main" id="{3864B55C-1740-4910-933E-212AE7DEE5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5" name="AutoShape 1" descr="Vista previa de toda la pantalla">
          <a:extLst>
            <a:ext uri="{FF2B5EF4-FFF2-40B4-BE49-F238E27FC236}">
              <a16:creationId xmlns:a16="http://schemas.microsoft.com/office/drawing/2014/main" id="{B1BFA0C0-DF3C-45E5-B447-AD5C685D9E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6" name="AutoShape 1" descr="Vista previa de toda la pantalla">
          <a:extLst>
            <a:ext uri="{FF2B5EF4-FFF2-40B4-BE49-F238E27FC236}">
              <a16:creationId xmlns:a16="http://schemas.microsoft.com/office/drawing/2014/main" id="{5EC10C39-0F7F-47F2-B3D7-8FEDC61D06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7" name="AutoShape 1" descr="Vista previa de toda la pantalla">
          <a:extLst>
            <a:ext uri="{FF2B5EF4-FFF2-40B4-BE49-F238E27FC236}">
              <a16:creationId xmlns:a16="http://schemas.microsoft.com/office/drawing/2014/main" id="{BAFA349E-831B-4915-9F95-B6987C1EBE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8" name="AutoShape 1" descr="Vista previa de toda la pantalla">
          <a:extLst>
            <a:ext uri="{FF2B5EF4-FFF2-40B4-BE49-F238E27FC236}">
              <a16:creationId xmlns:a16="http://schemas.microsoft.com/office/drawing/2014/main" id="{1DACE5DC-0C77-490B-B910-35F41B969B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19" name="AutoShape 1" descr="Vista previa de toda la pantalla">
          <a:extLst>
            <a:ext uri="{FF2B5EF4-FFF2-40B4-BE49-F238E27FC236}">
              <a16:creationId xmlns:a16="http://schemas.microsoft.com/office/drawing/2014/main" id="{22EA0690-089A-4325-BC00-978A0F3C3A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0" name="AutoShape 1" descr="Vista previa de toda la pantalla">
          <a:extLst>
            <a:ext uri="{FF2B5EF4-FFF2-40B4-BE49-F238E27FC236}">
              <a16:creationId xmlns:a16="http://schemas.microsoft.com/office/drawing/2014/main" id="{125A6B10-1F5E-4D90-94FF-517DD7479E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1" name="AutoShape 1" descr="Vista previa de toda la pantalla">
          <a:extLst>
            <a:ext uri="{FF2B5EF4-FFF2-40B4-BE49-F238E27FC236}">
              <a16:creationId xmlns:a16="http://schemas.microsoft.com/office/drawing/2014/main" id="{5A283363-5D00-41B9-A195-4E262C4F33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2" name="AutoShape 1" descr="Vista previa de toda la pantalla">
          <a:extLst>
            <a:ext uri="{FF2B5EF4-FFF2-40B4-BE49-F238E27FC236}">
              <a16:creationId xmlns:a16="http://schemas.microsoft.com/office/drawing/2014/main" id="{1BA36EC9-7B61-4EB3-BA0B-E5A6EF9D44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3" name="AutoShape 1" descr="Vista previa de toda la pantalla">
          <a:extLst>
            <a:ext uri="{FF2B5EF4-FFF2-40B4-BE49-F238E27FC236}">
              <a16:creationId xmlns:a16="http://schemas.microsoft.com/office/drawing/2014/main" id="{747D2DC6-05AF-4FFA-9E8E-71096E433D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4" name="AutoShape 1" descr="Vista previa de toda la pantalla">
          <a:extLst>
            <a:ext uri="{FF2B5EF4-FFF2-40B4-BE49-F238E27FC236}">
              <a16:creationId xmlns:a16="http://schemas.microsoft.com/office/drawing/2014/main" id="{14AA4AE8-1667-45E7-A19B-149A805DB8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5" name="AutoShape 1" descr="Vista previa de toda la pantalla">
          <a:extLst>
            <a:ext uri="{FF2B5EF4-FFF2-40B4-BE49-F238E27FC236}">
              <a16:creationId xmlns:a16="http://schemas.microsoft.com/office/drawing/2014/main" id="{F2F50043-5628-4A35-90D1-5B48D1EFE1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6" name="AutoShape 1" descr="Vista previa de toda la pantalla">
          <a:extLst>
            <a:ext uri="{FF2B5EF4-FFF2-40B4-BE49-F238E27FC236}">
              <a16:creationId xmlns:a16="http://schemas.microsoft.com/office/drawing/2014/main" id="{74002C6C-30ED-437B-9253-BD0672C184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7" name="AutoShape 1" descr="Vista previa de toda la pantalla">
          <a:extLst>
            <a:ext uri="{FF2B5EF4-FFF2-40B4-BE49-F238E27FC236}">
              <a16:creationId xmlns:a16="http://schemas.microsoft.com/office/drawing/2014/main" id="{49CD4BA3-7476-4B4C-87ED-16592E206F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8" name="AutoShape 1" descr="Vista previa de toda la pantalla">
          <a:extLst>
            <a:ext uri="{FF2B5EF4-FFF2-40B4-BE49-F238E27FC236}">
              <a16:creationId xmlns:a16="http://schemas.microsoft.com/office/drawing/2014/main" id="{22AF925B-C902-448C-9F91-0DB2ED4707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29" name="AutoShape 1" descr="Vista previa de toda la pantalla">
          <a:extLst>
            <a:ext uri="{FF2B5EF4-FFF2-40B4-BE49-F238E27FC236}">
              <a16:creationId xmlns:a16="http://schemas.microsoft.com/office/drawing/2014/main" id="{0A15717E-AFA1-4496-BB3D-4BC91FDBD5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0" name="AutoShape 1" descr="Vista previa de toda la pantalla">
          <a:extLst>
            <a:ext uri="{FF2B5EF4-FFF2-40B4-BE49-F238E27FC236}">
              <a16:creationId xmlns:a16="http://schemas.microsoft.com/office/drawing/2014/main" id="{D962660F-B11C-4CFB-BBDA-D7C8EB22A3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1" name="AutoShape 1" descr="Vista previa de toda la pantalla">
          <a:extLst>
            <a:ext uri="{FF2B5EF4-FFF2-40B4-BE49-F238E27FC236}">
              <a16:creationId xmlns:a16="http://schemas.microsoft.com/office/drawing/2014/main" id="{769C2E01-7779-4433-8CC0-1329DFD85E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2" name="AutoShape 1" descr="Vista previa de toda la pantalla">
          <a:extLst>
            <a:ext uri="{FF2B5EF4-FFF2-40B4-BE49-F238E27FC236}">
              <a16:creationId xmlns:a16="http://schemas.microsoft.com/office/drawing/2014/main" id="{0B6B1904-CD4E-4E4F-AB25-37CE1A6D20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3" name="AutoShape 1" descr="Vista previa de toda la pantalla">
          <a:extLst>
            <a:ext uri="{FF2B5EF4-FFF2-40B4-BE49-F238E27FC236}">
              <a16:creationId xmlns:a16="http://schemas.microsoft.com/office/drawing/2014/main" id="{85AC881E-DABD-4429-B52D-8D69515DD0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4" name="AutoShape 1" descr="Vista previa de toda la pantalla">
          <a:extLst>
            <a:ext uri="{FF2B5EF4-FFF2-40B4-BE49-F238E27FC236}">
              <a16:creationId xmlns:a16="http://schemas.microsoft.com/office/drawing/2014/main" id="{F24F8703-ADF3-4B13-8D81-7CABB117AF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5" name="AutoShape 1" descr="Vista previa de toda la pantalla">
          <a:extLst>
            <a:ext uri="{FF2B5EF4-FFF2-40B4-BE49-F238E27FC236}">
              <a16:creationId xmlns:a16="http://schemas.microsoft.com/office/drawing/2014/main" id="{1FEA12D0-0013-4949-AB46-8FB97919E3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6" name="AutoShape 1" descr="Vista previa de toda la pantalla">
          <a:extLst>
            <a:ext uri="{FF2B5EF4-FFF2-40B4-BE49-F238E27FC236}">
              <a16:creationId xmlns:a16="http://schemas.microsoft.com/office/drawing/2014/main" id="{93C72A2E-EF16-4265-9ADF-6F4843A3A4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7" name="AutoShape 1" descr="Vista previa de toda la pantalla">
          <a:extLst>
            <a:ext uri="{FF2B5EF4-FFF2-40B4-BE49-F238E27FC236}">
              <a16:creationId xmlns:a16="http://schemas.microsoft.com/office/drawing/2014/main" id="{C3BD0FC8-A493-430F-8C4A-56E33E1355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8" name="AutoShape 1" descr="Vista previa de toda la pantalla">
          <a:extLst>
            <a:ext uri="{FF2B5EF4-FFF2-40B4-BE49-F238E27FC236}">
              <a16:creationId xmlns:a16="http://schemas.microsoft.com/office/drawing/2014/main" id="{03A29891-65C8-46AB-86FB-CD6F748CDA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39" name="AutoShape 1" descr="Vista previa de toda la pantalla">
          <a:extLst>
            <a:ext uri="{FF2B5EF4-FFF2-40B4-BE49-F238E27FC236}">
              <a16:creationId xmlns:a16="http://schemas.microsoft.com/office/drawing/2014/main" id="{AC3F7A70-A9F0-4919-A0AB-4CF1640D60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0" name="AutoShape 1" descr="Vista previa de toda la pantalla">
          <a:extLst>
            <a:ext uri="{FF2B5EF4-FFF2-40B4-BE49-F238E27FC236}">
              <a16:creationId xmlns:a16="http://schemas.microsoft.com/office/drawing/2014/main" id="{DAB1465E-F759-4106-B191-B1FCABFB72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1" name="AutoShape 1" descr="Vista previa de toda la pantalla">
          <a:extLst>
            <a:ext uri="{FF2B5EF4-FFF2-40B4-BE49-F238E27FC236}">
              <a16:creationId xmlns:a16="http://schemas.microsoft.com/office/drawing/2014/main" id="{B5BA3E47-C449-4241-8CBD-3E6337091D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2" name="AutoShape 1" descr="Vista previa de toda la pantalla">
          <a:extLst>
            <a:ext uri="{FF2B5EF4-FFF2-40B4-BE49-F238E27FC236}">
              <a16:creationId xmlns:a16="http://schemas.microsoft.com/office/drawing/2014/main" id="{D7DE7523-2382-4DA1-B93F-EC26464AB1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3" name="AutoShape 1" descr="Vista previa de toda la pantalla">
          <a:extLst>
            <a:ext uri="{FF2B5EF4-FFF2-40B4-BE49-F238E27FC236}">
              <a16:creationId xmlns:a16="http://schemas.microsoft.com/office/drawing/2014/main" id="{0777E636-E1E6-4BB0-B8E5-C471699B1E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4" name="AutoShape 1" descr="Vista previa de toda la pantalla">
          <a:extLst>
            <a:ext uri="{FF2B5EF4-FFF2-40B4-BE49-F238E27FC236}">
              <a16:creationId xmlns:a16="http://schemas.microsoft.com/office/drawing/2014/main" id="{62D1EFA1-CD84-49DB-A654-70696F0250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5" name="AutoShape 1" descr="Vista previa de toda la pantalla">
          <a:extLst>
            <a:ext uri="{FF2B5EF4-FFF2-40B4-BE49-F238E27FC236}">
              <a16:creationId xmlns:a16="http://schemas.microsoft.com/office/drawing/2014/main" id="{F9CD8CED-E4FD-4D6F-AC53-9ED42D7675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6" name="AutoShape 1" descr="Vista previa de toda la pantalla">
          <a:extLst>
            <a:ext uri="{FF2B5EF4-FFF2-40B4-BE49-F238E27FC236}">
              <a16:creationId xmlns:a16="http://schemas.microsoft.com/office/drawing/2014/main" id="{D030DD36-DEB0-4A58-B9B8-7DADA16EB3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7" name="AutoShape 1" descr="Vista previa de toda la pantalla">
          <a:extLst>
            <a:ext uri="{FF2B5EF4-FFF2-40B4-BE49-F238E27FC236}">
              <a16:creationId xmlns:a16="http://schemas.microsoft.com/office/drawing/2014/main" id="{30792EAC-55FF-49C1-8492-0970C13F9B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8" name="AutoShape 1" descr="Vista previa de toda la pantalla">
          <a:extLst>
            <a:ext uri="{FF2B5EF4-FFF2-40B4-BE49-F238E27FC236}">
              <a16:creationId xmlns:a16="http://schemas.microsoft.com/office/drawing/2014/main" id="{D0277C23-E753-4285-A0B8-04A7243E32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49" name="AutoShape 1" descr="Vista previa de toda la pantalla">
          <a:extLst>
            <a:ext uri="{FF2B5EF4-FFF2-40B4-BE49-F238E27FC236}">
              <a16:creationId xmlns:a16="http://schemas.microsoft.com/office/drawing/2014/main" id="{42AD7BED-2020-4EBB-AE2E-919A7C5221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0" name="AutoShape 1" descr="Vista previa de toda la pantalla">
          <a:extLst>
            <a:ext uri="{FF2B5EF4-FFF2-40B4-BE49-F238E27FC236}">
              <a16:creationId xmlns:a16="http://schemas.microsoft.com/office/drawing/2014/main" id="{4AD0A094-2889-4C2E-AAA3-547A59CAE9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1" name="AutoShape 1" descr="Vista previa de toda la pantalla">
          <a:extLst>
            <a:ext uri="{FF2B5EF4-FFF2-40B4-BE49-F238E27FC236}">
              <a16:creationId xmlns:a16="http://schemas.microsoft.com/office/drawing/2014/main" id="{DE4AD0BF-9D73-469D-9005-BE3563861E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2" name="AutoShape 1" descr="Vista previa de toda la pantalla">
          <a:extLst>
            <a:ext uri="{FF2B5EF4-FFF2-40B4-BE49-F238E27FC236}">
              <a16:creationId xmlns:a16="http://schemas.microsoft.com/office/drawing/2014/main" id="{3BFA8042-3576-4E28-96E0-DC13D09C06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3" name="AutoShape 1" descr="Vista previa de toda la pantalla">
          <a:extLst>
            <a:ext uri="{FF2B5EF4-FFF2-40B4-BE49-F238E27FC236}">
              <a16:creationId xmlns:a16="http://schemas.microsoft.com/office/drawing/2014/main" id="{0F248A44-CA95-43AB-92B1-E045DEBF0C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4" name="AutoShape 1" descr="Vista previa de toda la pantalla">
          <a:extLst>
            <a:ext uri="{FF2B5EF4-FFF2-40B4-BE49-F238E27FC236}">
              <a16:creationId xmlns:a16="http://schemas.microsoft.com/office/drawing/2014/main" id="{1E523370-482A-45E0-8189-C359587001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5" name="AutoShape 1" descr="Vista previa de toda la pantalla">
          <a:extLst>
            <a:ext uri="{FF2B5EF4-FFF2-40B4-BE49-F238E27FC236}">
              <a16:creationId xmlns:a16="http://schemas.microsoft.com/office/drawing/2014/main" id="{D850AEAC-BFA9-44DA-9E0B-E3FA1E4ABB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6" name="AutoShape 1" descr="Vista previa de toda la pantalla">
          <a:extLst>
            <a:ext uri="{FF2B5EF4-FFF2-40B4-BE49-F238E27FC236}">
              <a16:creationId xmlns:a16="http://schemas.microsoft.com/office/drawing/2014/main" id="{AD1482B6-8837-48FB-AB36-4C88DEFE61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7" name="AutoShape 1" descr="Vista previa de toda la pantalla">
          <a:extLst>
            <a:ext uri="{FF2B5EF4-FFF2-40B4-BE49-F238E27FC236}">
              <a16:creationId xmlns:a16="http://schemas.microsoft.com/office/drawing/2014/main" id="{8E425CEB-7B21-4C6F-BEA8-43F18FB38E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8" name="AutoShape 1" descr="Vista previa de toda la pantalla">
          <a:extLst>
            <a:ext uri="{FF2B5EF4-FFF2-40B4-BE49-F238E27FC236}">
              <a16:creationId xmlns:a16="http://schemas.microsoft.com/office/drawing/2014/main" id="{9CB5664B-01A2-4522-BFC1-D6EB8F177D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59" name="AutoShape 1" descr="Vista previa de toda la pantalla">
          <a:extLst>
            <a:ext uri="{FF2B5EF4-FFF2-40B4-BE49-F238E27FC236}">
              <a16:creationId xmlns:a16="http://schemas.microsoft.com/office/drawing/2014/main" id="{81E8E94B-8EC5-4811-B719-09916E2CA2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0" name="AutoShape 1" descr="Vista previa de toda la pantalla">
          <a:extLst>
            <a:ext uri="{FF2B5EF4-FFF2-40B4-BE49-F238E27FC236}">
              <a16:creationId xmlns:a16="http://schemas.microsoft.com/office/drawing/2014/main" id="{339381EA-6B3F-4233-BB1E-3ABF1E56EB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1" name="AutoShape 1" descr="Vista previa de toda la pantalla">
          <a:extLst>
            <a:ext uri="{FF2B5EF4-FFF2-40B4-BE49-F238E27FC236}">
              <a16:creationId xmlns:a16="http://schemas.microsoft.com/office/drawing/2014/main" id="{7BBF5F7A-65FF-4E60-8202-1ADA78E4C0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2" name="AutoShape 1" descr="Vista previa de toda la pantalla">
          <a:extLst>
            <a:ext uri="{FF2B5EF4-FFF2-40B4-BE49-F238E27FC236}">
              <a16:creationId xmlns:a16="http://schemas.microsoft.com/office/drawing/2014/main" id="{253DB73F-7E65-4106-BB83-1D58408298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3" name="AutoShape 1" descr="Vista previa de toda la pantalla">
          <a:extLst>
            <a:ext uri="{FF2B5EF4-FFF2-40B4-BE49-F238E27FC236}">
              <a16:creationId xmlns:a16="http://schemas.microsoft.com/office/drawing/2014/main" id="{940BFE53-8B2E-4997-83F4-9E531439CB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4" name="AutoShape 1" descr="Vista previa de toda la pantalla">
          <a:extLst>
            <a:ext uri="{FF2B5EF4-FFF2-40B4-BE49-F238E27FC236}">
              <a16:creationId xmlns:a16="http://schemas.microsoft.com/office/drawing/2014/main" id="{69DE1051-C89A-4ECD-9FBE-C7B6E58CD2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5" name="AutoShape 1" descr="Vista previa de toda la pantalla">
          <a:extLst>
            <a:ext uri="{FF2B5EF4-FFF2-40B4-BE49-F238E27FC236}">
              <a16:creationId xmlns:a16="http://schemas.microsoft.com/office/drawing/2014/main" id="{958A2ED4-725C-4771-B310-E4DF9B1004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6" name="AutoShape 1" descr="Vista previa de toda la pantalla">
          <a:extLst>
            <a:ext uri="{FF2B5EF4-FFF2-40B4-BE49-F238E27FC236}">
              <a16:creationId xmlns:a16="http://schemas.microsoft.com/office/drawing/2014/main" id="{F7708B13-FBE8-401E-8435-5A11B30B34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7" name="AutoShape 1" descr="Vista previa de toda la pantalla">
          <a:extLst>
            <a:ext uri="{FF2B5EF4-FFF2-40B4-BE49-F238E27FC236}">
              <a16:creationId xmlns:a16="http://schemas.microsoft.com/office/drawing/2014/main" id="{0DF2F75A-0280-48FD-ABD1-86EBF8E2FF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8" name="AutoShape 1" descr="Vista previa de toda la pantalla">
          <a:extLst>
            <a:ext uri="{FF2B5EF4-FFF2-40B4-BE49-F238E27FC236}">
              <a16:creationId xmlns:a16="http://schemas.microsoft.com/office/drawing/2014/main" id="{5C8B37A3-70E3-4399-8932-4B367A86C4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69" name="AutoShape 1" descr="Vista previa de toda la pantalla">
          <a:extLst>
            <a:ext uri="{FF2B5EF4-FFF2-40B4-BE49-F238E27FC236}">
              <a16:creationId xmlns:a16="http://schemas.microsoft.com/office/drawing/2014/main" id="{C184A542-5E86-4732-BCFF-026FDD2D2F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0" name="AutoShape 1" descr="Vista previa de toda la pantalla">
          <a:extLst>
            <a:ext uri="{FF2B5EF4-FFF2-40B4-BE49-F238E27FC236}">
              <a16:creationId xmlns:a16="http://schemas.microsoft.com/office/drawing/2014/main" id="{012EF333-CB9F-42F2-8F97-E4C7943350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1" name="AutoShape 1" descr="Vista previa de toda la pantalla">
          <a:extLst>
            <a:ext uri="{FF2B5EF4-FFF2-40B4-BE49-F238E27FC236}">
              <a16:creationId xmlns:a16="http://schemas.microsoft.com/office/drawing/2014/main" id="{E467D4CA-0AD9-43BF-B8B6-D8ACB8360B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2" name="AutoShape 1" descr="Vista previa de toda la pantalla">
          <a:extLst>
            <a:ext uri="{FF2B5EF4-FFF2-40B4-BE49-F238E27FC236}">
              <a16:creationId xmlns:a16="http://schemas.microsoft.com/office/drawing/2014/main" id="{935F3741-210D-4B6B-9802-B483765EA1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3" name="AutoShape 1" descr="Vista previa de toda la pantalla">
          <a:extLst>
            <a:ext uri="{FF2B5EF4-FFF2-40B4-BE49-F238E27FC236}">
              <a16:creationId xmlns:a16="http://schemas.microsoft.com/office/drawing/2014/main" id="{34428481-78F3-4080-B01B-AB22353EB7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4" name="AutoShape 1" descr="Vista previa de toda la pantalla">
          <a:extLst>
            <a:ext uri="{FF2B5EF4-FFF2-40B4-BE49-F238E27FC236}">
              <a16:creationId xmlns:a16="http://schemas.microsoft.com/office/drawing/2014/main" id="{B0EB47DA-44A4-47EC-B1E7-F39DBC9A0E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5" name="AutoShape 1" descr="Vista previa de toda la pantalla">
          <a:extLst>
            <a:ext uri="{FF2B5EF4-FFF2-40B4-BE49-F238E27FC236}">
              <a16:creationId xmlns:a16="http://schemas.microsoft.com/office/drawing/2014/main" id="{E1D84B65-9468-4848-BE2C-90430C891D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6" name="AutoShape 1" descr="Vista previa de toda la pantalla">
          <a:extLst>
            <a:ext uri="{FF2B5EF4-FFF2-40B4-BE49-F238E27FC236}">
              <a16:creationId xmlns:a16="http://schemas.microsoft.com/office/drawing/2014/main" id="{6062962E-F764-49D2-8B1C-34FD6AFF77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7" name="AutoShape 1" descr="Vista previa de toda la pantalla">
          <a:extLst>
            <a:ext uri="{FF2B5EF4-FFF2-40B4-BE49-F238E27FC236}">
              <a16:creationId xmlns:a16="http://schemas.microsoft.com/office/drawing/2014/main" id="{8EEB3E59-C941-460C-95D0-1428CD9F5E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8" name="AutoShape 1" descr="Vista previa de toda la pantalla">
          <a:extLst>
            <a:ext uri="{FF2B5EF4-FFF2-40B4-BE49-F238E27FC236}">
              <a16:creationId xmlns:a16="http://schemas.microsoft.com/office/drawing/2014/main" id="{D1BA3B10-870C-4164-B6E5-411CFCFA3C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79" name="AutoShape 1" descr="Vista previa de toda la pantalla">
          <a:extLst>
            <a:ext uri="{FF2B5EF4-FFF2-40B4-BE49-F238E27FC236}">
              <a16:creationId xmlns:a16="http://schemas.microsoft.com/office/drawing/2014/main" id="{459D16CA-2B5E-4992-8E76-163AE0B89C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0" name="AutoShape 1" descr="Vista previa de toda la pantalla">
          <a:extLst>
            <a:ext uri="{FF2B5EF4-FFF2-40B4-BE49-F238E27FC236}">
              <a16:creationId xmlns:a16="http://schemas.microsoft.com/office/drawing/2014/main" id="{6F1B67C3-FEE5-4851-BA27-21AF69823F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1" name="AutoShape 1" descr="Vista previa de toda la pantalla">
          <a:extLst>
            <a:ext uri="{FF2B5EF4-FFF2-40B4-BE49-F238E27FC236}">
              <a16:creationId xmlns:a16="http://schemas.microsoft.com/office/drawing/2014/main" id="{132AE432-E7C5-42A2-A139-0C6D81FD70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2" name="AutoShape 1" descr="Vista previa de toda la pantalla">
          <a:extLst>
            <a:ext uri="{FF2B5EF4-FFF2-40B4-BE49-F238E27FC236}">
              <a16:creationId xmlns:a16="http://schemas.microsoft.com/office/drawing/2014/main" id="{485AE1E4-867E-46E0-AA06-DD29348470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3" name="AutoShape 1" descr="Vista previa de toda la pantalla">
          <a:extLst>
            <a:ext uri="{FF2B5EF4-FFF2-40B4-BE49-F238E27FC236}">
              <a16:creationId xmlns:a16="http://schemas.microsoft.com/office/drawing/2014/main" id="{BA41176A-605A-4C42-96D0-2206B65219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4" name="AutoShape 1" descr="Vista previa de toda la pantalla">
          <a:extLst>
            <a:ext uri="{FF2B5EF4-FFF2-40B4-BE49-F238E27FC236}">
              <a16:creationId xmlns:a16="http://schemas.microsoft.com/office/drawing/2014/main" id="{2C25DB0D-DA5F-463A-A8DF-32FE97076B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5" name="AutoShape 1" descr="Vista previa de toda la pantalla">
          <a:extLst>
            <a:ext uri="{FF2B5EF4-FFF2-40B4-BE49-F238E27FC236}">
              <a16:creationId xmlns:a16="http://schemas.microsoft.com/office/drawing/2014/main" id="{1E92F889-91A1-4AE9-82F1-69E8752E68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6" name="AutoShape 1" descr="Vista previa de toda la pantalla">
          <a:extLst>
            <a:ext uri="{FF2B5EF4-FFF2-40B4-BE49-F238E27FC236}">
              <a16:creationId xmlns:a16="http://schemas.microsoft.com/office/drawing/2014/main" id="{FD5814B6-A5F0-4792-AAE5-FD2BCF92D1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7" name="AutoShape 1" descr="Vista previa de toda la pantalla">
          <a:extLst>
            <a:ext uri="{FF2B5EF4-FFF2-40B4-BE49-F238E27FC236}">
              <a16:creationId xmlns:a16="http://schemas.microsoft.com/office/drawing/2014/main" id="{2D4F423C-8E56-4779-993E-CB82B4FEE2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8" name="AutoShape 1" descr="Vista previa de toda la pantalla">
          <a:extLst>
            <a:ext uri="{FF2B5EF4-FFF2-40B4-BE49-F238E27FC236}">
              <a16:creationId xmlns:a16="http://schemas.microsoft.com/office/drawing/2014/main" id="{D776AA5B-E0AF-4E03-9D5C-123701A8EC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89" name="AutoShape 1" descr="Vista previa de toda la pantalla">
          <a:extLst>
            <a:ext uri="{FF2B5EF4-FFF2-40B4-BE49-F238E27FC236}">
              <a16:creationId xmlns:a16="http://schemas.microsoft.com/office/drawing/2014/main" id="{0D5E3D49-E6D3-48F1-8E03-4BA8195D10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0" name="AutoShape 1" descr="Vista previa de toda la pantalla">
          <a:extLst>
            <a:ext uri="{FF2B5EF4-FFF2-40B4-BE49-F238E27FC236}">
              <a16:creationId xmlns:a16="http://schemas.microsoft.com/office/drawing/2014/main" id="{631C2556-EBB3-4C9D-B833-35FA366868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1" name="AutoShape 1" descr="Vista previa de toda la pantalla">
          <a:extLst>
            <a:ext uri="{FF2B5EF4-FFF2-40B4-BE49-F238E27FC236}">
              <a16:creationId xmlns:a16="http://schemas.microsoft.com/office/drawing/2014/main" id="{39F795F4-3CE1-4EFE-B2EE-80C221D261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2" name="AutoShape 1" descr="Vista previa de toda la pantalla">
          <a:extLst>
            <a:ext uri="{FF2B5EF4-FFF2-40B4-BE49-F238E27FC236}">
              <a16:creationId xmlns:a16="http://schemas.microsoft.com/office/drawing/2014/main" id="{FC38CC6D-7831-4251-BD55-330AFD38D0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3" name="AutoShape 1" descr="Vista previa de toda la pantalla">
          <a:extLst>
            <a:ext uri="{FF2B5EF4-FFF2-40B4-BE49-F238E27FC236}">
              <a16:creationId xmlns:a16="http://schemas.microsoft.com/office/drawing/2014/main" id="{FC3BF91C-5377-4B51-8946-DD014E8B3B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4" name="AutoShape 1" descr="Vista previa de toda la pantalla">
          <a:extLst>
            <a:ext uri="{FF2B5EF4-FFF2-40B4-BE49-F238E27FC236}">
              <a16:creationId xmlns:a16="http://schemas.microsoft.com/office/drawing/2014/main" id="{A6C2255B-4082-43CB-AB6D-2E12A7053E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5" name="AutoShape 1" descr="Vista previa de toda la pantalla">
          <a:extLst>
            <a:ext uri="{FF2B5EF4-FFF2-40B4-BE49-F238E27FC236}">
              <a16:creationId xmlns:a16="http://schemas.microsoft.com/office/drawing/2014/main" id="{F4A5F17D-60BD-477E-BC62-E32F4D99DC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6" name="AutoShape 1" descr="Vista previa de toda la pantalla">
          <a:extLst>
            <a:ext uri="{FF2B5EF4-FFF2-40B4-BE49-F238E27FC236}">
              <a16:creationId xmlns:a16="http://schemas.microsoft.com/office/drawing/2014/main" id="{494ED6FF-3D70-4B9F-A24F-140084F205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7" name="AutoShape 1" descr="Vista previa de toda la pantalla">
          <a:extLst>
            <a:ext uri="{FF2B5EF4-FFF2-40B4-BE49-F238E27FC236}">
              <a16:creationId xmlns:a16="http://schemas.microsoft.com/office/drawing/2014/main" id="{19758446-1EDA-49C8-836F-8484EDDC64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8" name="AutoShape 1" descr="Vista previa de toda la pantalla">
          <a:extLst>
            <a:ext uri="{FF2B5EF4-FFF2-40B4-BE49-F238E27FC236}">
              <a16:creationId xmlns:a16="http://schemas.microsoft.com/office/drawing/2014/main" id="{48561435-3B16-40ED-A711-CFC3BC581E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699" name="AutoShape 1" descr="Vista previa de toda la pantalla">
          <a:extLst>
            <a:ext uri="{FF2B5EF4-FFF2-40B4-BE49-F238E27FC236}">
              <a16:creationId xmlns:a16="http://schemas.microsoft.com/office/drawing/2014/main" id="{B7A59967-8EEE-4B96-A1B6-5CE3618D4F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0" name="AutoShape 1" descr="Vista previa de toda la pantalla">
          <a:extLst>
            <a:ext uri="{FF2B5EF4-FFF2-40B4-BE49-F238E27FC236}">
              <a16:creationId xmlns:a16="http://schemas.microsoft.com/office/drawing/2014/main" id="{2F7C23DD-413E-4F00-9626-848DA90AEA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1" name="AutoShape 1" descr="Vista previa de toda la pantalla">
          <a:extLst>
            <a:ext uri="{FF2B5EF4-FFF2-40B4-BE49-F238E27FC236}">
              <a16:creationId xmlns:a16="http://schemas.microsoft.com/office/drawing/2014/main" id="{0C3BE01F-55EE-4809-8808-5F8CE0D864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2" name="AutoShape 1" descr="Vista previa de toda la pantalla">
          <a:extLst>
            <a:ext uri="{FF2B5EF4-FFF2-40B4-BE49-F238E27FC236}">
              <a16:creationId xmlns:a16="http://schemas.microsoft.com/office/drawing/2014/main" id="{B53F645E-341C-400F-B25E-0EFA22BF0D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3" name="AutoShape 1" descr="Vista previa de toda la pantalla">
          <a:extLst>
            <a:ext uri="{FF2B5EF4-FFF2-40B4-BE49-F238E27FC236}">
              <a16:creationId xmlns:a16="http://schemas.microsoft.com/office/drawing/2014/main" id="{E535D204-292C-468B-84E0-1CF78E467F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4" name="AutoShape 1" descr="Vista previa de toda la pantalla">
          <a:extLst>
            <a:ext uri="{FF2B5EF4-FFF2-40B4-BE49-F238E27FC236}">
              <a16:creationId xmlns:a16="http://schemas.microsoft.com/office/drawing/2014/main" id="{26BAEE70-DCF8-4EA9-AB68-B93DD0E3D9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5" name="AutoShape 1" descr="Vista previa de toda la pantalla">
          <a:extLst>
            <a:ext uri="{FF2B5EF4-FFF2-40B4-BE49-F238E27FC236}">
              <a16:creationId xmlns:a16="http://schemas.microsoft.com/office/drawing/2014/main" id="{EAF33C2D-ABA3-43DF-82CE-C46DB7829A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6" name="AutoShape 1" descr="Vista previa de toda la pantalla">
          <a:extLst>
            <a:ext uri="{FF2B5EF4-FFF2-40B4-BE49-F238E27FC236}">
              <a16:creationId xmlns:a16="http://schemas.microsoft.com/office/drawing/2014/main" id="{6BDF4799-D2FA-4B1F-8EB7-4B97A49F17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7" name="AutoShape 1" descr="Vista previa de toda la pantalla">
          <a:extLst>
            <a:ext uri="{FF2B5EF4-FFF2-40B4-BE49-F238E27FC236}">
              <a16:creationId xmlns:a16="http://schemas.microsoft.com/office/drawing/2014/main" id="{CE47B004-ABEC-412E-B169-E5C5DA0502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8" name="AutoShape 1" descr="Vista previa de toda la pantalla">
          <a:extLst>
            <a:ext uri="{FF2B5EF4-FFF2-40B4-BE49-F238E27FC236}">
              <a16:creationId xmlns:a16="http://schemas.microsoft.com/office/drawing/2014/main" id="{DA5214A5-EAAD-40A1-B5C2-0A19BBADD2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09" name="AutoShape 1" descr="Vista previa de toda la pantalla">
          <a:extLst>
            <a:ext uri="{FF2B5EF4-FFF2-40B4-BE49-F238E27FC236}">
              <a16:creationId xmlns:a16="http://schemas.microsoft.com/office/drawing/2014/main" id="{40DE5B9B-23BB-4D48-A4E8-9BAB0FF6B6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0" name="AutoShape 1" descr="Vista previa de toda la pantalla">
          <a:extLst>
            <a:ext uri="{FF2B5EF4-FFF2-40B4-BE49-F238E27FC236}">
              <a16:creationId xmlns:a16="http://schemas.microsoft.com/office/drawing/2014/main" id="{1550CCBD-F9E4-46A2-9055-6B5F29F46D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1" name="AutoShape 1" descr="Vista previa de toda la pantalla">
          <a:extLst>
            <a:ext uri="{FF2B5EF4-FFF2-40B4-BE49-F238E27FC236}">
              <a16:creationId xmlns:a16="http://schemas.microsoft.com/office/drawing/2014/main" id="{B0625264-0E71-4EEC-9489-18D1616F4B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2" name="AutoShape 1" descr="Vista previa de toda la pantalla">
          <a:extLst>
            <a:ext uri="{FF2B5EF4-FFF2-40B4-BE49-F238E27FC236}">
              <a16:creationId xmlns:a16="http://schemas.microsoft.com/office/drawing/2014/main" id="{63461B39-7B8C-4CB5-AC9A-E1C56B897D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3" name="AutoShape 1" descr="Vista previa de toda la pantalla">
          <a:extLst>
            <a:ext uri="{FF2B5EF4-FFF2-40B4-BE49-F238E27FC236}">
              <a16:creationId xmlns:a16="http://schemas.microsoft.com/office/drawing/2014/main" id="{CFAF567C-D696-4D57-99D0-EAEAC81C5F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4" name="AutoShape 1" descr="Vista previa de toda la pantalla">
          <a:extLst>
            <a:ext uri="{FF2B5EF4-FFF2-40B4-BE49-F238E27FC236}">
              <a16:creationId xmlns:a16="http://schemas.microsoft.com/office/drawing/2014/main" id="{2AB45B00-4A50-4B05-A3D1-708F97B3B6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5" name="AutoShape 1" descr="Vista previa de toda la pantalla">
          <a:extLst>
            <a:ext uri="{FF2B5EF4-FFF2-40B4-BE49-F238E27FC236}">
              <a16:creationId xmlns:a16="http://schemas.microsoft.com/office/drawing/2014/main" id="{729E3741-3367-4A50-8CD8-911D0FDEAD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6" name="AutoShape 1" descr="Vista previa de toda la pantalla">
          <a:extLst>
            <a:ext uri="{FF2B5EF4-FFF2-40B4-BE49-F238E27FC236}">
              <a16:creationId xmlns:a16="http://schemas.microsoft.com/office/drawing/2014/main" id="{5B7DBF7A-B515-45AB-B4DE-1757491926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7" name="AutoShape 1" descr="Vista previa de toda la pantalla">
          <a:extLst>
            <a:ext uri="{FF2B5EF4-FFF2-40B4-BE49-F238E27FC236}">
              <a16:creationId xmlns:a16="http://schemas.microsoft.com/office/drawing/2014/main" id="{A814BFCD-988E-47A3-A97B-F5293CB965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8" name="AutoShape 1" descr="Vista previa de toda la pantalla">
          <a:extLst>
            <a:ext uri="{FF2B5EF4-FFF2-40B4-BE49-F238E27FC236}">
              <a16:creationId xmlns:a16="http://schemas.microsoft.com/office/drawing/2014/main" id="{965CADFD-AC1C-4D0E-BC2D-5A4988D0DC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19" name="AutoShape 1" descr="Vista previa de toda la pantalla">
          <a:extLst>
            <a:ext uri="{FF2B5EF4-FFF2-40B4-BE49-F238E27FC236}">
              <a16:creationId xmlns:a16="http://schemas.microsoft.com/office/drawing/2014/main" id="{84A8D63F-C2B4-43D2-B4B9-AD99622981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20" name="AutoShape 1" descr="Vista previa de toda la pantalla">
          <a:extLst>
            <a:ext uri="{FF2B5EF4-FFF2-40B4-BE49-F238E27FC236}">
              <a16:creationId xmlns:a16="http://schemas.microsoft.com/office/drawing/2014/main" id="{82019B61-86FE-4D99-906E-4BED3E4550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21" name="AutoShape 1" descr="Vista previa de toda la pantalla">
          <a:extLst>
            <a:ext uri="{FF2B5EF4-FFF2-40B4-BE49-F238E27FC236}">
              <a16:creationId xmlns:a16="http://schemas.microsoft.com/office/drawing/2014/main" id="{C5A05F1D-AF14-4C02-8C1F-352184BE59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22" name="AutoShape 1" descr="Vista previa de toda la pantalla">
          <a:extLst>
            <a:ext uri="{FF2B5EF4-FFF2-40B4-BE49-F238E27FC236}">
              <a16:creationId xmlns:a16="http://schemas.microsoft.com/office/drawing/2014/main" id="{33C43EEB-97CA-4B1A-8A4E-AE01A91A73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23" name="AutoShape 1" descr="Vista previa de toda la pantalla">
          <a:extLst>
            <a:ext uri="{FF2B5EF4-FFF2-40B4-BE49-F238E27FC236}">
              <a16:creationId xmlns:a16="http://schemas.microsoft.com/office/drawing/2014/main" id="{3A08DA0D-6D63-4D1B-A7CA-182271F56D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24" name="AutoShape 1" descr="Vista previa de toda la pantalla">
          <a:extLst>
            <a:ext uri="{FF2B5EF4-FFF2-40B4-BE49-F238E27FC236}">
              <a16:creationId xmlns:a16="http://schemas.microsoft.com/office/drawing/2014/main" id="{6262B1E4-CA2B-451E-847F-9551AF434D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25" name="AutoShape 1" descr="Vista previa de toda la pantalla">
          <a:extLst>
            <a:ext uri="{FF2B5EF4-FFF2-40B4-BE49-F238E27FC236}">
              <a16:creationId xmlns:a16="http://schemas.microsoft.com/office/drawing/2014/main" id="{2505EF27-912C-46DF-8479-E0FFE91240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3726" name="AutoShape 1" descr="Vista previa de toda la pantalla">
          <a:extLst>
            <a:ext uri="{FF2B5EF4-FFF2-40B4-BE49-F238E27FC236}">
              <a16:creationId xmlns:a16="http://schemas.microsoft.com/office/drawing/2014/main" id="{12D1C4F0-C929-40B4-A398-7F6003119450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27" name="AutoShape 1" descr="Vista previa de toda la pantalla">
          <a:extLst>
            <a:ext uri="{FF2B5EF4-FFF2-40B4-BE49-F238E27FC236}">
              <a16:creationId xmlns:a16="http://schemas.microsoft.com/office/drawing/2014/main" id="{16F12178-0A0E-477E-BE80-3A88190F4F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28" name="AutoShape 1" descr="Vista previa de toda la pantalla">
          <a:extLst>
            <a:ext uri="{FF2B5EF4-FFF2-40B4-BE49-F238E27FC236}">
              <a16:creationId xmlns:a16="http://schemas.microsoft.com/office/drawing/2014/main" id="{DCEFDE98-420E-40AE-A143-FEA72C2B55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29" name="AutoShape 1" descr="Vista previa de toda la pantalla">
          <a:extLst>
            <a:ext uri="{FF2B5EF4-FFF2-40B4-BE49-F238E27FC236}">
              <a16:creationId xmlns:a16="http://schemas.microsoft.com/office/drawing/2014/main" id="{2DF3B437-9EE0-4FF7-8953-C6FA99782B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0" name="AutoShape 1" descr="Vista previa de toda la pantalla">
          <a:extLst>
            <a:ext uri="{FF2B5EF4-FFF2-40B4-BE49-F238E27FC236}">
              <a16:creationId xmlns:a16="http://schemas.microsoft.com/office/drawing/2014/main" id="{76C53AE0-1DA8-4FC3-9D61-482EC04010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1" name="AutoShape 1" descr="Vista previa de toda la pantalla">
          <a:extLst>
            <a:ext uri="{FF2B5EF4-FFF2-40B4-BE49-F238E27FC236}">
              <a16:creationId xmlns:a16="http://schemas.microsoft.com/office/drawing/2014/main" id="{9621AA9E-4A68-4853-849E-4783F75CA3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2" name="AutoShape 1" descr="Vista previa de toda la pantalla">
          <a:extLst>
            <a:ext uri="{FF2B5EF4-FFF2-40B4-BE49-F238E27FC236}">
              <a16:creationId xmlns:a16="http://schemas.microsoft.com/office/drawing/2014/main" id="{AA862356-53E1-41C5-868A-F5DC5B0CFD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3" name="AutoShape 1" descr="Vista previa de toda la pantalla">
          <a:extLst>
            <a:ext uri="{FF2B5EF4-FFF2-40B4-BE49-F238E27FC236}">
              <a16:creationId xmlns:a16="http://schemas.microsoft.com/office/drawing/2014/main" id="{B4BE124F-7E6B-4074-9C36-219D054C51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4" name="AutoShape 1" descr="Vista previa de toda la pantalla">
          <a:extLst>
            <a:ext uri="{FF2B5EF4-FFF2-40B4-BE49-F238E27FC236}">
              <a16:creationId xmlns:a16="http://schemas.microsoft.com/office/drawing/2014/main" id="{45E62FA4-5980-4690-ABC2-23B8F28E97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5" name="AutoShape 1" descr="Vista previa de toda la pantalla">
          <a:extLst>
            <a:ext uri="{FF2B5EF4-FFF2-40B4-BE49-F238E27FC236}">
              <a16:creationId xmlns:a16="http://schemas.microsoft.com/office/drawing/2014/main" id="{E7E48994-483D-41C4-9A52-2F2CF5C8EE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6" name="AutoShape 1" descr="Vista previa de toda la pantalla">
          <a:extLst>
            <a:ext uri="{FF2B5EF4-FFF2-40B4-BE49-F238E27FC236}">
              <a16:creationId xmlns:a16="http://schemas.microsoft.com/office/drawing/2014/main" id="{E7C4424F-C38F-4D13-B7DB-E3F054A3E9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7" name="AutoShape 1" descr="Vista previa de toda la pantalla">
          <a:extLst>
            <a:ext uri="{FF2B5EF4-FFF2-40B4-BE49-F238E27FC236}">
              <a16:creationId xmlns:a16="http://schemas.microsoft.com/office/drawing/2014/main" id="{E066CA7B-5E88-484C-B389-9C322CBB31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8" name="AutoShape 1" descr="Vista previa de toda la pantalla">
          <a:extLst>
            <a:ext uri="{FF2B5EF4-FFF2-40B4-BE49-F238E27FC236}">
              <a16:creationId xmlns:a16="http://schemas.microsoft.com/office/drawing/2014/main" id="{13908B1F-1CE6-4135-8664-79435428CB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39" name="AutoShape 1" descr="Vista previa de toda la pantalla">
          <a:extLst>
            <a:ext uri="{FF2B5EF4-FFF2-40B4-BE49-F238E27FC236}">
              <a16:creationId xmlns:a16="http://schemas.microsoft.com/office/drawing/2014/main" id="{0DD61A5A-825D-4E06-B652-7B82EBE27C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0" name="AutoShape 1" descr="Vista previa de toda la pantalla">
          <a:extLst>
            <a:ext uri="{FF2B5EF4-FFF2-40B4-BE49-F238E27FC236}">
              <a16:creationId xmlns:a16="http://schemas.microsoft.com/office/drawing/2014/main" id="{D8C8BD86-4267-4765-82AF-9454E5323B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1" name="AutoShape 1" descr="Vista previa de toda la pantalla">
          <a:extLst>
            <a:ext uri="{FF2B5EF4-FFF2-40B4-BE49-F238E27FC236}">
              <a16:creationId xmlns:a16="http://schemas.microsoft.com/office/drawing/2014/main" id="{633FB208-2BC4-420D-B120-C063D467C1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2" name="AutoShape 1" descr="Vista previa de toda la pantalla">
          <a:extLst>
            <a:ext uri="{FF2B5EF4-FFF2-40B4-BE49-F238E27FC236}">
              <a16:creationId xmlns:a16="http://schemas.microsoft.com/office/drawing/2014/main" id="{1D974D38-C58C-4242-ACF3-D18374B98B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3" name="AutoShape 1" descr="Vista previa de toda la pantalla">
          <a:extLst>
            <a:ext uri="{FF2B5EF4-FFF2-40B4-BE49-F238E27FC236}">
              <a16:creationId xmlns:a16="http://schemas.microsoft.com/office/drawing/2014/main" id="{B3FC55B0-662D-43F6-88B8-381C8BDB49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4" name="AutoShape 1" descr="Vista previa de toda la pantalla">
          <a:extLst>
            <a:ext uri="{FF2B5EF4-FFF2-40B4-BE49-F238E27FC236}">
              <a16:creationId xmlns:a16="http://schemas.microsoft.com/office/drawing/2014/main" id="{D58D3DB9-15A2-43B6-88CB-0C02C0908C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5" name="AutoShape 1" descr="Vista previa de toda la pantalla">
          <a:extLst>
            <a:ext uri="{FF2B5EF4-FFF2-40B4-BE49-F238E27FC236}">
              <a16:creationId xmlns:a16="http://schemas.microsoft.com/office/drawing/2014/main" id="{2C167983-A895-4DE4-808C-8AA5E2AE7B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6" name="AutoShape 1" descr="Vista previa de toda la pantalla">
          <a:extLst>
            <a:ext uri="{FF2B5EF4-FFF2-40B4-BE49-F238E27FC236}">
              <a16:creationId xmlns:a16="http://schemas.microsoft.com/office/drawing/2014/main" id="{B38D51A5-8CD1-480A-9EE1-2F090E0781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7" name="AutoShape 1" descr="Vista previa de toda la pantalla">
          <a:extLst>
            <a:ext uri="{FF2B5EF4-FFF2-40B4-BE49-F238E27FC236}">
              <a16:creationId xmlns:a16="http://schemas.microsoft.com/office/drawing/2014/main" id="{65E4527E-E06F-4846-B56B-CB867CE832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8" name="AutoShape 1" descr="Vista previa de toda la pantalla">
          <a:extLst>
            <a:ext uri="{FF2B5EF4-FFF2-40B4-BE49-F238E27FC236}">
              <a16:creationId xmlns:a16="http://schemas.microsoft.com/office/drawing/2014/main" id="{3AE253A8-5371-4630-A674-9298A5B889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49" name="AutoShape 1" descr="Vista previa de toda la pantalla">
          <a:extLst>
            <a:ext uri="{FF2B5EF4-FFF2-40B4-BE49-F238E27FC236}">
              <a16:creationId xmlns:a16="http://schemas.microsoft.com/office/drawing/2014/main" id="{A0DB6AF0-7B31-4AED-8B2C-D1B9D3D07B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0" name="AutoShape 1" descr="Vista previa de toda la pantalla">
          <a:extLst>
            <a:ext uri="{FF2B5EF4-FFF2-40B4-BE49-F238E27FC236}">
              <a16:creationId xmlns:a16="http://schemas.microsoft.com/office/drawing/2014/main" id="{A0091161-543E-4F34-BA86-85BAF0FA54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1" name="AutoShape 1" descr="Vista previa de toda la pantalla">
          <a:extLst>
            <a:ext uri="{FF2B5EF4-FFF2-40B4-BE49-F238E27FC236}">
              <a16:creationId xmlns:a16="http://schemas.microsoft.com/office/drawing/2014/main" id="{7D69A708-73D9-442F-B338-F7CC9AB699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2" name="AutoShape 1" descr="Vista previa de toda la pantalla">
          <a:extLst>
            <a:ext uri="{FF2B5EF4-FFF2-40B4-BE49-F238E27FC236}">
              <a16:creationId xmlns:a16="http://schemas.microsoft.com/office/drawing/2014/main" id="{55749DA5-B30B-4802-A0B4-2E61F006AB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3" name="AutoShape 1" descr="Vista previa de toda la pantalla">
          <a:extLst>
            <a:ext uri="{FF2B5EF4-FFF2-40B4-BE49-F238E27FC236}">
              <a16:creationId xmlns:a16="http://schemas.microsoft.com/office/drawing/2014/main" id="{DC27923D-E824-4302-AB22-11A291A7B4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4" name="AutoShape 1" descr="Vista previa de toda la pantalla">
          <a:extLst>
            <a:ext uri="{FF2B5EF4-FFF2-40B4-BE49-F238E27FC236}">
              <a16:creationId xmlns:a16="http://schemas.microsoft.com/office/drawing/2014/main" id="{6D982189-0614-4850-8825-5F7AE3612E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5" name="AutoShape 1" descr="Vista previa de toda la pantalla">
          <a:extLst>
            <a:ext uri="{FF2B5EF4-FFF2-40B4-BE49-F238E27FC236}">
              <a16:creationId xmlns:a16="http://schemas.microsoft.com/office/drawing/2014/main" id="{7C1111FC-B1B6-48AC-9363-1156610AFF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6" name="AutoShape 1" descr="Vista previa de toda la pantalla">
          <a:extLst>
            <a:ext uri="{FF2B5EF4-FFF2-40B4-BE49-F238E27FC236}">
              <a16:creationId xmlns:a16="http://schemas.microsoft.com/office/drawing/2014/main" id="{EA44575F-7625-43B6-A6F8-5E5FED2AFC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7" name="AutoShape 1" descr="Vista previa de toda la pantalla">
          <a:extLst>
            <a:ext uri="{FF2B5EF4-FFF2-40B4-BE49-F238E27FC236}">
              <a16:creationId xmlns:a16="http://schemas.microsoft.com/office/drawing/2014/main" id="{ADC7BBD0-60BD-4313-8792-C771C145D3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8" name="AutoShape 1" descr="Vista previa de toda la pantalla">
          <a:extLst>
            <a:ext uri="{FF2B5EF4-FFF2-40B4-BE49-F238E27FC236}">
              <a16:creationId xmlns:a16="http://schemas.microsoft.com/office/drawing/2014/main" id="{E47B29A9-3515-4773-88CB-AB30AF46C2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59" name="AutoShape 1" descr="Vista previa de toda la pantalla">
          <a:extLst>
            <a:ext uri="{FF2B5EF4-FFF2-40B4-BE49-F238E27FC236}">
              <a16:creationId xmlns:a16="http://schemas.microsoft.com/office/drawing/2014/main" id="{AE93CBE7-B984-4043-8B7D-3777E1CCD8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0" name="AutoShape 1" descr="Vista previa de toda la pantalla">
          <a:extLst>
            <a:ext uri="{FF2B5EF4-FFF2-40B4-BE49-F238E27FC236}">
              <a16:creationId xmlns:a16="http://schemas.microsoft.com/office/drawing/2014/main" id="{20B37C32-119E-439E-8B27-95DF40C720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1" name="AutoShape 1" descr="Vista previa de toda la pantalla">
          <a:extLst>
            <a:ext uri="{FF2B5EF4-FFF2-40B4-BE49-F238E27FC236}">
              <a16:creationId xmlns:a16="http://schemas.microsoft.com/office/drawing/2014/main" id="{664BF9C4-B753-46A5-8146-D27127EB91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2" name="AutoShape 1" descr="Vista previa de toda la pantalla">
          <a:extLst>
            <a:ext uri="{FF2B5EF4-FFF2-40B4-BE49-F238E27FC236}">
              <a16:creationId xmlns:a16="http://schemas.microsoft.com/office/drawing/2014/main" id="{112C50D8-6536-4622-AF6F-57DB02EC1E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3" name="AutoShape 1" descr="Vista previa de toda la pantalla">
          <a:extLst>
            <a:ext uri="{FF2B5EF4-FFF2-40B4-BE49-F238E27FC236}">
              <a16:creationId xmlns:a16="http://schemas.microsoft.com/office/drawing/2014/main" id="{ADB56087-734E-46A3-B9E1-EC942DEF62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4" name="AutoShape 1" descr="Vista previa de toda la pantalla">
          <a:extLst>
            <a:ext uri="{FF2B5EF4-FFF2-40B4-BE49-F238E27FC236}">
              <a16:creationId xmlns:a16="http://schemas.microsoft.com/office/drawing/2014/main" id="{24D7FBAD-40E4-4DDF-B835-2588C6139B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5" name="AutoShape 1" descr="Vista previa de toda la pantalla">
          <a:extLst>
            <a:ext uri="{FF2B5EF4-FFF2-40B4-BE49-F238E27FC236}">
              <a16:creationId xmlns:a16="http://schemas.microsoft.com/office/drawing/2014/main" id="{BF39FDC4-1D44-4EA5-A414-F4BD67DEBC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6" name="AutoShape 1" descr="Vista previa de toda la pantalla">
          <a:extLst>
            <a:ext uri="{FF2B5EF4-FFF2-40B4-BE49-F238E27FC236}">
              <a16:creationId xmlns:a16="http://schemas.microsoft.com/office/drawing/2014/main" id="{1A3DFEC7-3358-41F7-B048-6BBF4012D2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7" name="AutoShape 1" descr="Vista previa de toda la pantalla">
          <a:extLst>
            <a:ext uri="{FF2B5EF4-FFF2-40B4-BE49-F238E27FC236}">
              <a16:creationId xmlns:a16="http://schemas.microsoft.com/office/drawing/2014/main" id="{D7E38224-BEC5-4726-AAA2-2C3E45D3B1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8" name="AutoShape 1" descr="Vista previa de toda la pantalla">
          <a:extLst>
            <a:ext uri="{FF2B5EF4-FFF2-40B4-BE49-F238E27FC236}">
              <a16:creationId xmlns:a16="http://schemas.microsoft.com/office/drawing/2014/main" id="{A1DC8442-A5CA-4920-836E-9F1D2088B3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69" name="AutoShape 1" descr="Vista previa de toda la pantalla">
          <a:extLst>
            <a:ext uri="{FF2B5EF4-FFF2-40B4-BE49-F238E27FC236}">
              <a16:creationId xmlns:a16="http://schemas.microsoft.com/office/drawing/2014/main" id="{36AE3437-C953-4100-8488-21C403B7EE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0" name="AutoShape 1" descr="Vista previa de toda la pantalla">
          <a:extLst>
            <a:ext uri="{FF2B5EF4-FFF2-40B4-BE49-F238E27FC236}">
              <a16:creationId xmlns:a16="http://schemas.microsoft.com/office/drawing/2014/main" id="{8D3033D3-ED3B-42C6-90E0-741CDB2D51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1" name="AutoShape 1" descr="Vista previa de toda la pantalla">
          <a:extLst>
            <a:ext uri="{FF2B5EF4-FFF2-40B4-BE49-F238E27FC236}">
              <a16:creationId xmlns:a16="http://schemas.microsoft.com/office/drawing/2014/main" id="{3E0F3E07-9D10-451B-89FA-A8E10E0722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2" name="AutoShape 1" descr="Vista previa de toda la pantalla">
          <a:extLst>
            <a:ext uri="{FF2B5EF4-FFF2-40B4-BE49-F238E27FC236}">
              <a16:creationId xmlns:a16="http://schemas.microsoft.com/office/drawing/2014/main" id="{07226E80-5E2C-482F-B1D9-BD76D572B2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3" name="AutoShape 1" descr="Vista previa de toda la pantalla">
          <a:extLst>
            <a:ext uri="{FF2B5EF4-FFF2-40B4-BE49-F238E27FC236}">
              <a16:creationId xmlns:a16="http://schemas.microsoft.com/office/drawing/2014/main" id="{2C81BCCD-10B0-4D3C-8715-EC33E3C589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4" name="AutoShape 1" descr="Vista previa de toda la pantalla">
          <a:extLst>
            <a:ext uri="{FF2B5EF4-FFF2-40B4-BE49-F238E27FC236}">
              <a16:creationId xmlns:a16="http://schemas.microsoft.com/office/drawing/2014/main" id="{6C6D652C-B7BB-4A41-A532-9EBD1CE6E9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5" name="AutoShape 1" descr="Vista previa de toda la pantalla">
          <a:extLst>
            <a:ext uri="{FF2B5EF4-FFF2-40B4-BE49-F238E27FC236}">
              <a16:creationId xmlns:a16="http://schemas.microsoft.com/office/drawing/2014/main" id="{9FA989D2-1A44-4C97-A151-F5709E135E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6" name="AutoShape 1" descr="Vista previa de toda la pantalla">
          <a:extLst>
            <a:ext uri="{FF2B5EF4-FFF2-40B4-BE49-F238E27FC236}">
              <a16:creationId xmlns:a16="http://schemas.microsoft.com/office/drawing/2014/main" id="{F944B41E-3C16-4509-9F72-4AAA427114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7" name="AutoShape 1" descr="Vista previa de toda la pantalla">
          <a:extLst>
            <a:ext uri="{FF2B5EF4-FFF2-40B4-BE49-F238E27FC236}">
              <a16:creationId xmlns:a16="http://schemas.microsoft.com/office/drawing/2014/main" id="{CEE80510-3820-4449-92A5-F72CD25E44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8" name="AutoShape 1" descr="Vista previa de toda la pantalla">
          <a:extLst>
            <a:ext uri="{FF2B5EF4-FFF2-40B4-BE49-F238E27FC236}">
              <a16:creationId xmlns:a16="http://schemas.microsoft.com/office/drawing/2014/main" id="{B1BD55DE-3078-4CAC-957E-31D77DEED9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79" name="AutoShape 1" descr="Vista previa de toda la pantalla">
          <a:extLst>
            <a:ext uri="{FF2B5EF4-FFF2-40B4-BE49-F238E27FC236}">
              <a16:creationId xmlns:a16="http://schemas.microsoft.com/office/drawing/2014/main" id="{7B19D282-683C-4503-961C-E4E2003949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0" name="AutoShape 1" descr="Vista previa de toda la pantalla">
          <a:extLst>
            <a:ext uri="{FF2B5EF4-FFF2-40B4-BE49-F238E27FC236}">
              <a16:creationId xmlns:a16="http://schemas.microsoft.com/office/drawing/2014/main" id="{748B08AC-3921-437A-B4C0-1BD892A637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1" name="AutoShape 1" descr="Vista previa de toda la pantalla">
          <a:extLst>
            <a:ext uri="{FF2B5EF4-FFF2-40B4-BE49-F238E27FC236}">
              <a16:creationId xmlns:a16="http://schemas.microsoft.com/office/drawing/2014/main" id="{D3B377E8-289B-4641-88C2-65C45CD526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2" name="AutoShape 1" descr="Vista previa de toda la pantalla">
          <a:extLst>
            <a:ext uri="{FF2B5EF4-FFF2-40B4-BE49-F238E27FC236}">
              <a16:creationId xmlns:a16="http://schemas.microsoft.com/office/drawing/2014/main" id="{1E026E0B-FECF-4C33-AE0B-B036FEA5BE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3" name="AutoShape 1" descr="Vista previa de toda la pantalla">
          <a:extLst>
            <a:ext uri="{FF2B5EF4-FFF2-40B4-BE49-F238E27FC236}">
              <a16:creationId xmlns:a16="http://schemas.microsoft.com/office/drawing/2014/main" id="{E397D578-F6FC-4D01-9D89-E7D62888E5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4" name="AutoShape 1" descr="Vista previa de toda la pantalla">
          <a:extLst>
            <a:ext uri="{FF2B5EF4-FFF2-40B4-BE49-F238E27FC236}">
              <a16:creationId xmlns:a16="http://schemas.microsoft.com/office/drawing/2014/main" id="{E3872B39-30D2-45CF-881D-19357841D3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5" name="AutoShape 1" descr="Vista previa de toda la pantalla">
          <a:extLst>
            <a:ext uri="{FF2B5EF4-FFF2-40B4-BE49-F238E27FC236}">
              <a16:creationId xmlns:a16="http://schemas.microsoft.com/office/drawing/2014/main" id="{B543E90C-F7DA-4A3F-ABA0-219418140F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6" name="AutoShape 1" descr="Vista previa de toda la pantalla">
          <a:extLst>
            <a:ext uri="{FF2B5EF4-FFF2-40B4-BE49-F238E27FC236}">
              <a16:creationId xmlns:a16="http://schemas.microsoft.com/office/drawing/2014/main" id="{6BDCB9DC-D23E-4C09-B1A7-26E08A796B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7" name="AutoShape 1" descr="Vista previa de toda la pantalla">
          <a:extLst>
            <a:ext uri="{FF2B5EF4-FFF2-40B4-BE49-F238E27FC236}">
              <a16:creationId xmlns:a16="http://schemas.microsoft.com/office/drawing/2014/main" id="{952D4AB0-E6AD-4A73-91D8-200775817C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8" name="AutoShape 1" descr="Vista previa de toda la pantalla">
          <a:extLst>
            <a:ext uri="{FF2B5EF4-FFF2-40B4-BE49-F238E27FC236}">
              <a16:creationId xmlns:a16="http://schemas.microsoft.com/office/drawing/2014/main" id="{D5546854-7E99-43C0-8F5A-238F4C3724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89" name="AutoShape 1" descr="Vista previa de toda la pantalla">
          <a:extLst>
            <a:ext uri="{FF2B5EF4-FFF2-40B4-BE49-F238E27FC236}">
              <a16:creationId xmlns:a16="http://schemas.microsoft.com/office/drawing/2014/main" id="{1E898AAC-AB14-4BAD-B307-2BF171410F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0" name="AutoShape 1" descr="Vista previa de toda la pantalla">
          <a:extLst>
            <a:ext uri="{FF2B5EF4-FFF2-40B4-BE49-F238E27FC236}">
              <a16:creationId xmlns:a16="http://schemas.microsoft.com/office/drawing/2014/main" id="{AAF8BAB2-1843-4111-B4E2-70C387589B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1" name="AutoShape 1" descr="Vista previa de toda la pantalla">
          <a:extLst>
            <a:ext uri="{FF2B5EF4-FFF2-40B4-BE49-F238E27FC236}">
              <a16:creationId xmlns:a16="http://schemas.microsoft.com/office/drawing/2014/main" id="{4AF7578D-B694-4B93-BA58-4DEAD4E63F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2" name="AutoShape 1" descr="Vista previa de toda la pantalla">
          <a:extLst>
            <a:ext uri="{FF2B5EF4-FFF2-40B4-BE49-F238E27FC236}">
              <a16:creationId xmlns:a16="http://schemas.microsoft.com/office/drawing/2014/main" id="{53189939-C7BF-4B6C-812B-FA26D98B06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3" name="AutoShape 1" descr="Vista previa de toda la pantalla">
          <a:extLst>
            <a:ext uri="{FF2B5EF4-FFF2-40B4-BE49-F238E27FC236}">
              <a16:creationId xmlns:a16="http://schemas.microsoft.com/office/drawing/2014/main" id="{4E19EA4D-6C9A-48FD-A02D-1C66142D34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4" name="AutoShape 1" descr="Vista previa de toda la pantalla">
          <a:extLst>
            <a:ext uri="{FF2B5EF4-FFF2-40B4-BE49-F238E27FC236}">
              <a16:creationId xmlns:a16="http://schemas.microsoft.com/office/drawing/2014/main" id="{D41A6E0E-63A3-4C72-A9E0-3D37FE3550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5" name="AutoShape 1" descr="Vista previa de toda la pantalla">
          <a:extLst>
            <a:ext uri="{FF2B5EF4-FFF2-40B4-BE49-F238E27FC236}">
              <a16:creationId xmlns:a16="http://schemas.microsoft.com/office/drawing/2014/main" id="{581A2759-196E-4935-9551-EE183092F6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6" name="AutoShape 1" descr="Vista previa de toda la pantalla">
          <a:extLst>
            <a:ext uri="{FF2B5EF4-FFF2-40B4-BE49-F238E27FC236}">
              <a16:creationId xmlns:a16="http://schemas.microsoft.com/office/drawing/2014/main" id="{A4FA1899-96D2-4B68-BEE1-A544C2E160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7" name="AutoShape 1" descr="Vista previa de toda la pantalla">
          <a:extLst>
            <a:ext uri="{FF2B5EF4-FFF2-40B4-BE49-F238E27FC236}">
              <a16:creationId xmlns:a16="http://schemas.microsoft.com/office/drawing/2014/main" id="{1D3F49C0-2401-4484-83EF-431925572E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8" name="AutoShape 1" descr="Vista previa de toda la pantalla">
          <a:extLst>
            <a:ext uri="{FF2B5EF4-FFF2-40B4-BE49-F238E27FC236}">
              <a16:creationId xmlns:a16="http://schemas.microsoft.com/office/drawing/2014/main" id="{0BCA0703-9A53-49FA-8628-AEA1772EE4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799" name="AutoShape 1" descr="Vista previa de toda la pantalla">
          <a:extLst>
            <a:ext uri="{FF2B5EF4-FFF2-40B4-BE49-F238E27FC236}">
              <a16:creationId xmlns:a16="http://schemas.microsoft.com/office/drawing/2014/main" id="{B99BAA27-BB37-41A5-A87A-03FD595147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0" name="AutoShape 1" descr="Vista previa de toda la pantalla">
          <a:extLst>
            <a:ext uri="{FF2B5EF4-FFF2-40B4-BE49-F238E27FC236}">
              <a16:creationId xmlns:a16="http://schemas.microsoft.com/office/drawing/2014/main" id="{EF46D9BE-B52D-41CD-863B-32D5F6A4D8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1" name="AutoShape 1" descr="Vista previa de toda la pantalla">
          <a:extLst>
            <a:ext uri="{FF2B5EF4-FFF2-40B4-BE49-F238E27FC236}">
              <a16:creationId xmlns:a16="http://schemas.microsoft.com/office/drawing/2014/main" id="{BFEB0340-CA8A-4AB4-A0BA-5012368982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2" name="AutoShape 1" descr="Vista previa de toda la pantalla">
          <a:extLst>
            <a:ext uri="{FF2B5EF4-FFF2-40B4-BE49-F238E27FC236}">
              <a16:creationId xmlns:a16="http://schemas.microsoft.com/office/drawing/2014/main" id="{10FFA6F6-9EB9-4BFF-A8DE-0BFFB69455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3" name="AutoShape 1" descr="Vista previa de toda la pantalla">
          <a:extLst>
            <a:ext uri="{FF2B5EF4-FFF2-40B4-BE49-F238E27FC236}">
              <a16:creationId xmlns:a16="http://schemas.microsoft.com/office/drawing/2014/main" id="{18A62205-AFCF-4FA2-A0FE-0E45F8A033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4" name="AutoShape 1" descr="Vista previa de toda la pantalla">
          <a:extLst>
            <a:ext uri="{FF2B5EF4-FFF2-40B4-BE49-F238E27FC236}">
              <a16:creationId xmlns:a16="http://schemas.microsoft.com/office/drawing/2014/main" id="{0BCF06A0-7849-4D89-B072-1ECEC8540E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5" name="AutoShape 1" descr="Vista previa de toda la pantalla">
          <a:extLst>
            <a:ext uri="{FF2B5EF4-FFF2-40B4-BE49-F238E27FC236}">
              <a16:creationId xmlns:a16="http://schemas.microsoft.com/office/drawing/2014/main" id="{D4370C09-F69C-4FC8-A9B0-24FFE09F1E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6" name="AutoShape 1" descr="Vista previa de toda la pantalla">
          <a:extLst>
            <a:ext uri="{FF2B5EF4-FFF2-40B4-BE49-F238E27FC236}">
              <a16:creationId xmlns:a16="http://schemas.microsoft.com/office/drawing/2014/main" id="{66B689ED-DFCE-49B5-BF12-858CEE34B8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7" name="AutoShape 1" descr="Vista previa de toda la pantalla">
          <a:extLst>
            <a:ext uri="{FF2B5EF4-FFF2-40B4-BE49-F238E27FC236}">
              <a16:creationId xmlns:a16="http://schemas.microsoft.com/office/drawing/2014/main" id="{D50A3560-C794-471E-A121-3837F86E93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8" name="AutoShape 1" descr="Vista previa de toda la pantalla">
          <a:extLst>
            <a:ext uri="{FF2B5EF4-FFF2-40B4-BE49-F238E27FC236}">
              <a16:creationId xmlns:a16="http://schemas.microsoft.com/office/drawing/2014/main" id="{3ECA7654-D2BA-4035-87AB-C528108FB4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09" name="AutoShape 1" descr="Vista previa de toda la pantalla">
          <a:extLst>
            <a:ext uri="{FF2B5EF4-FFF2-40B4-BE49-F238E27FC236}">
              <a16:creationId xmlns:a16="http://schemas.microsoft.com/office/drawing/2014/main" id="{41BF45E6-B09F-4B64-A715-F61DAE8B4F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0" name="AutoShape 1" descr="Vista previa de toda la pantalla">
          <a:extLst>
            <a:ext uri="{FF2B5EF4-FFF2-40B4-BE49-F238E27FC236}">
              <a16:creationId xmlns:a16="http://schemas.microsoft.com/office/drawing/2014/main" id="{93648993-185F-4921-A1C0-0335F6039D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1" name="AutoShape 1" descr="Vista previa de toda la pantalla">
          <a:extLst>
            <a:ext uri="{FF2B5EF4-FFF2-40B4-BE49-F238E27FC236}">
              <a16:creationId xmlns:a16="http://schemas.microsoft.com/office/drawing/2014/main" id="{57E4A016-10F7-4A80-B361-9B2D3A5800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2" name="AutoShape 1" descr="Vista previa de toda la pantalla">
          <a:extLst>
            <a:ext uri="{FF2B5EF4-FFF2-40B4-BE49-F238E27FC236}">
              <a16:creationId xmlns:a16="http://schemas.microsoft.com/office/drawing/2014/main" id="{05200200-8A7E-4460-940C-2FB195AC4E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3" name="AutoShape 1" descr="Vista previa de toda la pantalla">
          <a:extLst>
            <a:ext uri="{FF2B5EF4-FFF2-40B4-BE49-F238E27FC236}">
              <a16:creationId xmlns:a16="http://schemas.microsoft.com/office/drawing/2014/main" id="{95F1C7CB-24EF-4431-A5D9-0B63FB5B44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4" name="AutoShape 1" descr="Vista previa de toda la pantalla">
          <a:extLst>
            <a:ext uri="{FF2B5EF4-FFF2-40B4-BE49-F238E27FC236}">
              <a16:creationId xmlns:a16="http://schemas.microsoft.com/office/drawing/2014/main" id="{DE688D70-81DE-44C4-8169-903449A79E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5" name="AutoShape 1" descr="Vista previa de toda la pantalla">
          <a:extLst>
            <a:ext uri="{FF2B5EF4-FFF2-40B4-BE49-F238E27FC236}">
              <a16:creationId xmlns:a16="http://schemas.microsoft.com/office/drawing/2014/main" id="{769D169B-7BEE-4E9A-8822-B15A343647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6" name="AutoShape 1" descr="Vista previa de toda la pantalla">
          <a:extLst>
            <a:ext uri="{FF2B5EF4-FFF2-40B4-BE49-F238E27FC236}">
              <a16:creationId xmlns:a16="http://schemas.microsoft.com/office/drawing/2014/main" id="{7534BF0C-79D3-4FE6-851F-C2763241B0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7" name="AutoShape 1" descr="Vista previa de toda la pantalla">
          <a:extLst>
            <a:ext uri="{FF2B5EF4-FFF2-40B4-BE49-F238E27FC236}">
              <a16:creationId xmlns:a16="http://schemas.microsoft.com/office/drawing/2014/main" id="{45E505A6-B71C-4BA8-8988-65F7EE2C5B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8" name="AutoShape 1" descr="Vista previa de toda la pantalla">
          <a:extLst>
            <a:ext uri="{FF2B5EF4-FFF2-40B4-BE49-F238E27FC236}">
              <a16:creationId xmlns:a16="http://schemas.microsoft.com/office/drawing/2014/main" id="{DED9F3B1-006C-4AC8-89BF-4FA614D351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19" name="AutoShape 1" descr="Vista previa de toda la pantalla">
          <a:extLst>
            <a:ext uri="{FF2B5EF4-FFF2-40B4-BE49-F238E27FC236}">
              <a16:creationId xmlns:a16="http://schemas.microsoft.com/office/drawing/2014/main" id="{347E1410-D482-4DE5-BFCB-A3BF38A0C5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0" name="AutoShape 1" descr="Vista previa de toda la pantalla">
          <a:extLst>
            <a:ext uri="{FF2B5EF4-FFF2-40B4-BE49-F238E27FC236}">
              <a16:creationId xmlns:a16="http://schemas.microsoft.com/office/drawing/2014/main" id="{7ABD08B8-87C8-4200-BD9C-5A947CAA5D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1" name="AutoShape 1" descr="Vista previa de toda la pantalla">
          <a:extLst>
            <a:ext uri="{FF2B5EF4-FFF2-40B4-BE49-F238E27FC236}">
              <a16:creationId xmlns:a16="http://schemas.microsoft.com/office/drawing/2014/main" id="{B093DFCA-ED8E-48B3-A5DB-0918F791F2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2" name="AutoShape 1" descr="Vista previa de toda la pantalla">
          <a:extLst>
            <a:ext uri="{FF2B5EF4-FFF2-40B4-BE49-F238E27FC236}">
              <a16:creationId xmlns:a16="http://schemas.microsoft.com/office/drawing/2014/main" id="{63666DDD-99F2-4BA5-9B91-D3010BDD5D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3" name="AutoShape 1" descr="Vista previa de toda la pantalla">
          <a:extLst>
            <a:ext uri="{FF2B5EF4-FFF2-40B4-BE49-F238E27FC236}">
              <a16:creationId xmlns:a16="http://schemas.microsoft.com/office/drawing/2014/main" id="{70A04183-2FDA-44BE-8431-676BD67DB3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4" name="AutoShape 1" descr="Vista previa de toda la pantalla">
          <a:extLst>
            <a:ext uri="{FF2B5EF4-FFF2-40B4-BE49-F238E27FC236}">
              <a16:creationId xmlns:a16="http://schemas.microsoft.com/office/drawing/2014/main" id="{4E5AB7BE-C2D4-4411-9B4D-0766BF32F3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5" name="AutoShape 1" descr="Vista previa de toda la pantalla">
          <a:extLst>
            <a:ext uri="{FF2B5EF4-FFF2-40B4-BE49-F238E27FC236}">
              <a16:creationId xmlns:a16="http://schemas.microsoft.com/office/drawing/2014/main" id="{6774E354-4ECA-4BAD-9BBB-344E5D3389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6" name="AutoShape 1" descr="Vista previa de toda la pantalla">
          <a:extLst>
            <a:ext uri="{FF2B5EF4-FFF2-40B4-BE49-F238E27FC236}">
              <a16:creationId xmlns:a16="http://schemas.microsoft.com/office/drawing/2014/main" id="{91B13FCB-B9AA-49DD-9636-B00BE231F7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7" name="AutoShape 1" descr="Vista previa de toda la pantalla">
          <a:extLst>
            <a:ext uri="{FF2B5EF4-FFF2-40B4-BE49-F238E27FC236}">
              <a16:creationId xmlns:a16="http://schemas.microsoft.com/office/drawing/2014/main" id="{F70F6098-CBA5-40E5-A6A0-9C530167D9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8" name="AutoShape 1" descr="Vista previa de toda la pantalla">
          <a:extLst>
            <a:ext uri="{FF2B5EF4-FFF2-40B4-BE49-F238E27FC236}">
              <a16:creationId xmlns:a16="http://schemas.microsoft.com/office/drawing/2014/main" id="{F8553C7C-49E1-43CD-854B-8F960A0059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29" name="AutoShape 1" descr="Vista previa de toda la pantalla">
          <a:extLst>
            <a:ext uri="{FF2B5EF4-FFF2-40B4-BE49-F238E27FC236}">
              <a16:creationId xmlns:a16="http://schemas.microsoft.com/office/drawing/2014/main" id="{E1453CDD-741C-44B8-99CA-272EF7F9C6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0" name="AutoShape 1" descr="Vista previa de toda la pantalla">
          <a:extLst>
            <a:ext uri="{FF2B5EF4-FFF2-40B4-BE49-F238E27FC236}">
              <a16:creationId xmlns:a16="http://schemas.microsoft.com/office/drawing/2014/main" id="{8BD4FBC7-CF8D-4F0E-AEA9-8F66210583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1" name="AutoShape 1" descr="Vista previa de toda la pantalla">
          <a:extLst>
            <a:ext uri="{FF2B5EF4-FFF2-40B4-BE49-F238E27FC236}">
              <a16:creationId xmlns:a16="http://schemas.microsoft.com/office/drawing/2014/main" id="{4E570FBF-BDDA-4863-96BC-DD56297E1E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2" name="AutoShape 1" descr="Vista previa de toda la pantalla">
          <a:extLst>
            <a:ext uri="{FF2B5EF4-FFF2-40B4-BE49-F238E27FC236}">
              <a16:creationId xmlns:a16="http://schemas.microsoft.com/office/drawing/2014/main" id="{7381198F-91D7-430C-9E7E-3692D6E184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3" name="AutoShape 1" descr="Vista previa de toda la pantalla">
          <a:extLst>
            <a:ext uri="{FF2B5EF4-FFF2-40B4-BE49-F238E27FC236}">
              <a16:creationId xmlns:a16="http://schemas.microsoft.com/office/drawing/2014/main" id="{7F9A355E-A949-4AFE-BFC6-952F5DB7B3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4" name="AutoShape 1" descr="Vista previa de toda la pantalla">
          <a:extLst>
            <a:ext uri="{FF2B5EF4-FFF2-40B4-BE49-F238E27FC236}">
              <a16:creationId xmlns:a16="http://schemas.microsoft.com/office/drawing/2014/main" id="{EE47F990-51C3-4B33-9381-9107C54F8F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5" name="AutoShape 1" descr="Vista previa de toda la pantalla">
          <a:extLst>
            <a:ext uri="{FF2B5EF4-FFF2-40B4-BE49-F238E27FC236}">
              <a16:creationId xmlns:a16="http://schemas.microsoft.com/office/drawing/2014/main" id="{44B54837-E014-446F-A12B-B31C64BC3C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6" name="AutoShape 1" descr="Vista previa de toda la pantalla">
          <a:extLst>
            <a:ext uri="{FF2B5EF4-FFF2-40B4-BE49-F238E27FC236}">
              <a16:creationId xmlns:a16="http://schemas.microsoft.com/office/drawing/2014/main" id="{9B61B11A-550E-4DB5-A668-9D90931273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7" name="AutoShape 1" descr="Vista previa de toda la pantalla">
          <a:extLst>
            <a:ext uri="{FF2B5EF4-FFF2-40B4-BE49-F238E27FC236}">
              <a16:creationId xmlns:a16="http://schemas.microsoft.com/office/drawing/2014/main" id="{25665A6D-6FDD-44B5-A2E4-42542BC106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8" name="AutoShape 1" descr="Vista previa de toda la pantalla">
          <a:extLst>
            <a:ext uri="{FF2B5EF4-FFF2-40B4-BE49-F238E27FC236}">
              <a16:creationId xmlns:a16="http://schemas.microsoft.com/office/drawing/2014/main" id="{841C53E5-E84C-47CC-BC1A-304C3FA637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39" name="AutoShape 1" descr="Vista previa de toda la pantalla">
          <a:extLst>
            <a:ext uri="{FF2B5EF4-FFF2-40B4-BE49-F238E27FC236}">
              <a16:creationId xmlns:a16="http://schemas.microsoft.com/office/drawing/2014/main" id="{03070984-24BD-4112-9D75-998CD7B9D2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0" name="AutoShape 1" descr="Vista previa de toda la pantalla">
          <a:extLst>
            <a:ext uri="{FF2B5EF4-FFF2-40B4-BE49-F238E27FC236}">
              <a16:creationId xmlns:a16="http://schemas.microsoft.com/office/drawing/2014/main" id="{165F7D1A-3C31-4A29-B7E3-ED663439B0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1" name="AutoShape 1" descr="Vista previa de toda la pantalla">
          <a:extLst>
            <a:ext uri="{FF2B5EF4-FFF2-40B4-BE49-F238E27FC236}">
              <a16:creationId xmlns:a16="http://schemas.microsoft.com/office/drawing/2014/main" id="{4F2A2A81-CBD1-430D-A08A-807BBCD3E0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2" name="AutoShape 1" descr="Vista previa de toda la pantalla">
          <a:extLst>
            <a:ext uri="{FF2B5EF4-FFF2-40B4-BE49-F238E27FC236}">
              <a16:creationId xmlns:a16="http://schemas.microsoft.com/office/drawing/2014/main" id="{9A3DAE8F-E073-4B0E-AF0F-0DF128F22F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3" name="AutoShape 1" descr="Vista previa de toda la pantalla">
          <a:extLst>
            <a:ext uri="{FF2B5EF4-FFF2-40B4-BE49-F238E27FC236}">
              <a16:creationId xmlns:a16="http://schemas.microsoft.com/office/drawing/2014/main" id="{032039DE-D7B5-4FF8-9B42-E60FB66EE6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4" name="AutoShape 1" descr="Vista previa de toda la pantalla">
          <a:extLst>
            <a:ext uri="{FF2B5EF4-FFF2-40B4-BE49-F238E27FC236}">
              <a16:creationId xmlns:a16="http://schemas.microsoft.com/office/drawing/2014/main" id="{CA61A5A0-5805-48F6-8EDD-6B7329D5D9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5" name="AutoShape 1" descr="Vista previa de toda la pantalla">
          <a:extLst>
            <a:ext uri="{FF2B5EF4-FFF2-40B4-BE49-F238E27FC236}">
              <a16:creationId xmlns:a16="http://schemas.microsoft.com/office/drawing/2014/main" id="{6CBB2B05-96A7-4424-BD06-7AF56DEB70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6" name="AutoShape 1" descr="Vista previa de toda la pantalla">
          <a:extLst>
            <a:ext uri="{FF2B5EF4-FFF2-40B4-BE49-F238E27FC236}">
              <a16:creationId xmlns:a16="http://schemas.microsoft.com/office/drawing/2014/main" id="{61CF81E5-5C9D-4D33-B87E-60D7774A2F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7" name="AutoShape 1" descr="Vista previa de toda la pantalla">
          <a:extLst>
            <a:ext uri="{FF2B5EF4-FFF2-40B4-BE49-F238E27FC236}">
              <a16:creationId xmlns:a16="http://schemas.microsoft.com/office/drawing/2014/main" id="{ECF1105E-DA36-4B6A-A592-46148CCEA9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8" name="AutoShape 1" descr="Vista previa de toda la pantalla">
          <a:extLst>
            <a:ext uri="{FF2B5EF4-FFF2-40B4-BE49-F238E27FC236}">
              <a16:creationId xmlns:a16="http://schemas.microsoft.com/office/drawing/2014/main" id="{8BACCFDC-5F32-4960-979B-AA17A1C772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49" name="AutoShape 1" descr="Vista previa de toda la pantalla">
          <a:extLst>
            <a:ext uri="{FF2B5EF4-FFF2-40B4-BE49-F238E27FC236}">
              <a16:creationId xmlns:a16="http://schemas.microsoft.com/office/drawing/2014/main" id="{9B38B606-51E8-475B-928A-E80A97F0B9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0" name="AutoShape 1" descr="Vista previa de toda la pantalla">
          <a:extLst>
            <a:ext uri="{FF2B5EF4-FFF2-40B4-BE49-F238E27FC236}">
              <a16:creationId xmlns:a16="http://schemas.microsoft.com/office/drawing/2014/main" id="{F896E1DF-2852-443C-9675-39CE67AA1D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1" name="AutoShape 1" descr="Vista previa de toda la pantalla">
          <a:extLst>
            <a:ext uri="{FF2B5EF4-FFF2-40B4-BE49-F238E27FC236}">
              <a16:creationId xmlns:a16="http://schemas.microsoft.com/office/drawing/2014/main" id="{48F5895B-8949-43F1-90B6-A8E7B4D101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2" name="AutoShape 1" descr="Vista previa de toda la pantalla">
          <a:extLst>
            <a:ext uri="{FF2B5EF4-FFF2-40B4-BE49-F238E27FC236}">
              <a16:creationId xmlns:a16="http://schemas.microsoft.com/office/drawing/2014/main" id="{48854C41-71D8-464E-93C3-A442A660F8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3" name="AutoShape 1" descr="Vista previa de toda la pantalla">
          <a:extLst>
            <a:ext uri="{FF2B5EF4-FFF2-40B4-BE49-F238E27FC236}">
              <a16:creationId xmlns:a16="http://schemas.microsoft.com/office/drawing/2014/main" id="{58EAE2FF-534B-4646-B8C8-F0B8431D1F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4" name="AutoShape 1" descr="Vista previa de toda la pantalla">
          <a:extLst>
            <a:ext uri="{FF2B5EF4-FFF2-40B4-BE49-F238E27FC236}">
              <a16:creationId xmlns:a16="http://schemas.microsoft.com/office/drawing/2014/main" id="{5894AC15-0A7F-4197-8FEE-B7C5BD22EB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5" name="AutoShape 1" descr="Vista previa de toda la pantalla">
          <a:extLst>
            <a:ext uri="{FF2B5EF4-FFF2-40B4-BE49-F238E27FC236}">
              <a16:creationId xmlns:a16="http://schemas.microsoft.com/office/drawing/2014/main" id="{0CBE962D-FAFA-4BF1-81EF-B179978466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6" name="AutoShape 1" descr="Vista previa de toda la pantalla">
          <a:extLst>
            <a:ext uri="{FF2B5EF4-FFF2-40B4-BE49-F238E27FC236}">
              <a16:creationId xmlns:a16="http://schemas.microsoft.com/office/drawing/2014/main" id="{C0F8F098-5C0C-40C9-977B-6E686A9221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7" name="AutoShape 1" descr="Vista previa de toda la pantalla">
          <a:extLst>
            <a:ext uri="{FF2B5EF4-FFF2-40B4-BE49-F238E27FC236}">
              <a16:creationId xmlns:a16="http://schemas.microsoft.com/office/drawing/2014/main" id="{F449E54E-3552-454C-A68E-0D19E73C59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8" name="AutoShape 1" descr="Vista previa de toda la pantalla">
          <a:extLst>
            <a:ext uri="{FF2B5EF4-FFF2-40B4-BE49-F238E27FC236}">
              <a16:creationId xmlns:a16="http://schemas.microsoft.com/office/drawing/2014/main" id="{65CADDAB-DCAD-4250-A989-6A6A607150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59" name="AutoShape 1" descr="Vista previa de toda la pantalla">
          <a:extLst>
            <a:ext uri="{FF2B5EF4-FFF2-40B4-BE49-F238E27FC236}">
              <a16:creationId xmlns:a16="http://schemas.microsoft.com/office/drawing/2014/main" id="{7F29E86B-AF14-4EB9-A7AE-65539EF74C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0" name="AutoShape 1" descr="Vista previa de toda la pantalla">
          <a:extLst>
            <a:ext uri="{FF2B5EF4-FFF2-40B4-BE49-F238E27FC236}">
              <a16:creationId xmlns:a16="http://schemas.microsoft.com/office/drawing/2014/main" id="{D1092005-7495-47D8-9FB0-7B7E3AA074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1" name="AutoShape 1" descr="Vista previa de toda la pantalla">
          <a:extLst>
            <a:ext uri="{FF2B5EF4-FFF2-40B4-BE49-F238E27FC236}">
              <a16:creationId xmlns:a16="http://schemas.microsoft.com/office/drawing/2014/main" id="{E8B0ADA7-E056-4F64-9F60-F89C7449AD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2" name="AutoShape 1" descr="Vista previa de toda la pantalla">
          <a:extLst>
            <a:ext uri="{FF2B5EF4-FFF2-40B4-BE49-F238E27FC236}">
              <a16:creationId xmlns:a16="http://schemas.microsoft.com/office/drawing/2014/main" id="{0682F423-3955-450B-B1C9-8EE57D1DE8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3" name="AutoShape 1" descr="Vista previa de toda la pantalla">
          <a:extLst>
            <a:ext uri="{FF2B5EF4-FFF2-40B4-BE49-F238E27FC236}">
              <a16:creationId xmlns:a16="http://schemas.microsoft.com/office/drawing/2014/main" id="{52185A97-2046-4AC5-9BF6-5745101473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4" name="AutoShape 1" descr="Vista previa de toda la pantalla">
          <a:extLst>
            <a:ext uri="{FF2B5EF4-FFF2-40B4-BE49-F238E27FC236}">
              <a16:creationId xmlns:a16="http://schemas.microsoft.com/office/drawing/2014/main" id="{1A801D24-0E42-4713-A682-5BD5240556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5" name="AutoShape 1" descr="Vista previa de toda la pantalla">
          <a:extLst>
            <a:ext uri="{FF2B5EF4-FFF2-40B4-BE49-F238E27FC236}">
              <a16:creationId xmlns:a16="http://schemas.microsoft.com/office/drawing/2014/main" id="{8FB84DBF-D671-47CB-9090-76411DA35C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6" name="AutoShape 1" descr="Vista previa de toda la pantalla">
          <a:extLst>
            <a:ext uri="{FF2B5EF4-FFF2-40B4-BE49-F238E27FC236}">
              <a16:creationId xmlns:a16="http://schemas.microsoft.com/office/drawing/2014/main" id="{8773A4ED-6EF0-4576-83A7-12966F5E03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7" name="AutoShape 1" descr="Vista previa de toda la pantalla">
          <a:extLst>
            <a:ext uri="{FF2B5EF4-FFF2-40B4-BE49-F238E27FC236}">
              <a16:creationId xmlns:a16="http://schemas.microsoft.com/office/drawing/2014/main" id="{57D73137-1A6F-475A-8583-36A51A6462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8" name="AutoShape 1" descr="Vista previa de toda la pantalla">
          <a:extLst>
            <a:ext uri="{FF2B5EF4-FFF2-40B4-BE49-F238E27FC236}">
              <a16:creationId xmlns:a16="http://schemas.microsoft.com/office/drawing/2014/main" id="{7114A53C-557D-482B-B069-9C982B8F94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69" name="AutoShape 1" descr="Vista previa de toda la pantalla">
          <a:extLst>
            <a:ext uri="{FF2B5EF4-FFF2-40B4-BE49-F238E27FC236}">
              <a16:creationId xmlns:a16="http://schemas.microsoft.com/office/drawing/2014/main" id="{860BBA10-793D-438A-9A10-F74EF64CCE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0" name="AutoShape 1" descr="Vista previa de toda la pantalla">
          <a:extLst>
            <a:ext uri="{FF2B5EF4-FFF2-40B4-BE49-F238E27FC236}">
              <a16:creationId xmlns:a16="http://schemas.microsoft.com/office/drawing/2014/main" id="{211AC9BA-BE2B-4BE8-B64B-5E523D59C0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1" name="AutoShape 1" descr="Vista previa de toda la pantalla">
          <a:extLst>
            <a:ext uri="{FF2B5EF4-FFF2-40B4-BE49-F238E27FC236}">
              <a16:creationId xmlns:a16="http://schemas.microsoft.com/office/drawing/2014/main" id="{FAE6775E-7B5C-406C-B32E-E633F5A1DE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2" name="AutoShape 1" descr="Vista previa de toda la pantalla">
          <a:extLst>
            <a:ext uri="{FF2B5EF4-FFF2-40B4-BE49-F238E27FC236}">
              <a16:creationId xmlns:a16="http://schemas.microsoft.com/office/drawing/2014/main" id="{29889688-5CA9-464E-A3D8-D50EDE6B07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3" name="AutoShape 1" descr="Vista previa de toda la pantalla">
          <a:extLst>
            <a:ext uri="{FF2B5EF4-FFF2-40B4-BE49-F238E27FC236}">
              <a16:creationId xmlns:a16="http://schemas.microsoft.com/office/drawing/2014/main" id="{9E95CA29-1F33-47BA-8522-7F2B014BF1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4" name="AutoShape 1" descr="Vista previa de toda la pantalla">
          <a:extLst>
            <a:ext uri="{FF2B5EF4-FFF2-40B4-BE49-F238E27FC236}">
              <a16:creationId xmlns:a16="http://schemas.microsoft.com/office/drawing/2014/main" id="{10BDCEDC-DCD5-41BC-A8C6-A0993C654F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5" name="AutoShape 1" descr="Vista previa de toda la pantalla">
          <a:extLst>
            <a:ext uri="{FF2B5EF4-FFF2-40B4-BE49-F238E27FC236}">
              <a16:creationId xmlns:a16="http://schemas.microsoft.com/office/drawing/2014/main" id="{7ACDA609-4341-4383-BF46-80B726D72D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6" name="AutoShape 1" descr="Vista previa de toda la pantalla">
          <a:extLst>
            <a:ext uri="{FF2B5EF4-FFF2-40B4-BE49-F238E27FC236}">
              <a16:creationId xmlns:a16="http://schemas.microsoft.com/office/drawing/2014/main" id="{2A6014E7-2493-4791-B836-814CA2877E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7" name="AutoShape 1" descr="Vista previa de toda la pantalla">
          <a:extLst>
            <a:ext uri="{FF2B5EF4-FFF2-40B4-BE49-F238E27FC236}">
              <a16:creationId xmlns:a16="http://schemas.microsoft.com/office/drawing/2014/main" id="{260F1965-FBDA-43D7-8435-7F857C7560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8" name="AutoShape 1" descr="Vista previa de toda la pantalla">
          <a:extLst>
            <a:ext uri="{FF2B5EF4-FFF2-40B4-BE49-F238E27FC236}">
              <a16:creationId xmlns:a16="http://schemas.microsoft.com/office/drawing/2014/main" id="{88CA67CF-27EA-4D44-A4E2-E08D04666B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79" name="AutoShape 1" descr="Vista previa de toda la pantalla">
          <a:extLst>
            <a:ext uri="{FF2B5EF4-FFF2-40B4-BE49-F238E27FC236}">
              <a16:creationId xmlns:a16="http://schemas.microsoft.com/office/drawing/2014/main" id="{3133E387-AA7A-4112-AF04-4BB1F9AB42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0" name="AutoShape 1" descr="Vista previa de toda la pantalla">
          <a:extLst>
            <a:ext uri="{FF2B5EF4-FFF2-40B4-BE49-F238E27FC236}">
              <a16:creationId xmlns:a16="http://schemas.microsoft.com/office/drawing/2014/main" id="{866216DA-E664-489F-A761-5B1E3CE9AC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1" name="AutoShape 1" descr="Vista previa de toda la pantalla">
          <a:extLst>
            <a:ext uri="{FF2B5EF4-FFF2-40B4-BE49-F238E27FC236}">
              <a16:creationId xmlns:a16="http://schemas.microsoft.com/office/drawing/2014/main" id="{5C381A45-4B81-4AC6-8914-5CC4108DA1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2" name="AutoShape 1" descr="Vista previa de toda la pantalla">
          <a:extLst>
            <a:ext uri="{FF2B5EF4-FFF2-40B4-BE49-F238E27FC236}">
              <a16:creationId xmlns:a16="http://schemas.microsoft.com/office/drawing/2014/main" id="{BCE73895-917A-425F-B1F6-DDE151A820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3" name="AutoShape 1" descr="Vista previa de toda la pantalla">
          <a:extLst>
            <a:ext uri="{FF2B5EF4-FFF2-40B4-BE49-F238E27FC236}">
              <a16:creationId xmlns:a16="http://schemas.microsoft.com/office/drawing/2014/main" id="{1D7DFDD7-281E-4250-9107-472F611873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4" name="AutoShape 1" descr="Vista previa de toda la pantalla">
          <a:extLst>
            <a:ext uri="{FF2B5EF4-FFF2-40B4-BE49-F238E27FC236}">
              <a16:creationId xmlns:a16="http://schemas.microsoft.com/office/drawing/2014/main" id="{B01895C7-6937-4D55-AB16-9AA7F664F9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5" name="AutoShape 1" descr="Vista previa de toda la pantalla">
          <a:extLst>
            <a:ext uri="{FF2B5EF4-FFF2-40B4-BE49-F238E27FC236}">
              <a16:creationId xmlns:a16="http://schemas.microsoft.com/office/drawing/2014/main" id="{546AADBC-8341-46A7-9895-C14FDD9CE1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6" name="AutoShape 1" descr="Vista previa de toda la pantalla">
          <a:extLst>
            <a:ext uri="{FF2B5EF4-FFF2-40B4-BE49-F238E27FC236}">
              <a16:creationId xmlns:a16="http://schemas.microsoft.com/office/drawing/2014/main" id="{07549E3C-23CE-4E74-AC99-4D1493A727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7" name="AutoShape 1" descr="Vista previa de toda la pantalla">
          <a:extLst>
            <a:ext uri="{FF2B5EF4-FFF2-40B4-BE49-F238E27FC236}">
              <a16:creationId xmlns:a16="http://schemas.microsoft.com/office/drawing/2014/main" id="{DBCC6FE3-B87A-4D35-831D-64A121A44F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8" name="AutoShape 1" descr="Vista previa de toda la pantalla">
          <a:extLst>
            <a:ext uri="{FF2B5EF4-FFF2-40B4-BE49-F238E27FC236}">
              <a16:creationId xmlns:a16="http://schemas.microsoft.com/office/drawing/2014/main" id="{A5298F67-44B6-40C6-AD33-7D6DE597B0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89" name="AutoShape 1" descr="Vista previa de toda la pantalla">
          <a:extLst>
            <a:ext uri="{FF2B5EF4-FFF2-40B4-BE49-F238E27FC236}">
              <a16:creationId xmlns:a16="http://schemas.microsoft.com/office/drawing/2014/main" id="{090D37D3-8DC5-4BA2-BCFD-99EB295C92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0" name="AutoShape 1" descr="Vista previa de toda la pantalla">
          <a:extLst>
            <a:ext uri="{FF2B5EF4-FFF2-40B4-BE49-F238E27FC236}">
              <a16:creationId xmlns:a16="http://schemas.microsoft.com/office/drawing/2014/main" id="{6C22A7A2-B605-4BEF-8AD8-4203449ECC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1" name="AutoShape 1" descr="Vista previa de toda la pantalla">
          <a:extLst>
            <a:ext uri="{FF2B5EF4-FFF2-40B4-BE49-F238E27FC236}">
              <a16:creationId xmlns:a16="http://schemas.microsoft.com/office/drawing/2014/main" id="{374F1A6C-7B99-4B06-A251-A11F45B428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2" name="AutoShape 1" descr="Vista previa de toda la pantalla">
          <a:extLst>
            <a:ext uri="{FF2B5EF4-FFF2-40B4-BE49-F238E27FC236}">
              <a16:creationId xmlns:a16="http://schemas.microsoft.com/office/drawing/2014/main" id="{4C3A8C1C-FDE8-4A5D-9E00-C574E62EAE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3" name="AutoShape 1" descr="Vista previa de toda la pantalla">
          <a:extLst>
            <a:ext uri="{FF2B5EF4-FFF2-40B4-BE49-F238E27FC236}">
              <a16:creationId xmlns:a16="http://schemas.microsoft.com/office/drawing/2014/main" id="{8B4CF5F8-B2D9-4F22-97B5-188955315E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4" name="AutoShape 1" descr="Vista previa de toda la pantalla">
          <a:extLst>
            <a:ext uri="{FF2B5EF4-FFF2-40B4-BE49-F238E27FC236}">
              <a16:creationId xmlns:a16="http://schemas.microsoft.com/office/drawing/2014/main" id="{0EC36284-9EEA-4905-A996-46EA82B6FB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5" name="AutoShape 1" descr="Vista previa de toda la pantalla">
          <a:extLst>
            <a:ext uri="{FF2B5EF4-FFF2-40B4-BE49-F238E27FC236}">
              <a16:creationId xmlns:a16="http://schemas.microsoft.com/office/drawing/2014/main" id="{030509EA-611E-4F93-BD64-AB89ADC41D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6" name="AutoShape 1" descr="Vista previa de toda la pantalla">
          <a:extLst>
            <a:ext uri="{FF2B5EF4-FFF2-40B4-BE49-F238E27FC236}">
              <a16:creationId xmlns:a16="http://schemas.microsoft.com/office/drawing/2014/main" id="{E54E1C66-E56B-4CF3-BF15-508F4863A5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7" name="AutoShape 1" descr="Vista previa de toda la pantalla">
          <a:extLst>
            <a:ext uri="{FF2B5EF4-FFF2-40B4-BE49-F238E27FC236}">
              <a16:creationId xmlns:a16="http://schemas.microsoft.com/office/drawing/2014/main" id="{5C688FE9-934E-4A26-8DCF-C50CA88135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8" name="AutoShape 1" descr="Vista previa de toda la pantalla">
          <a:extLst>
            <a:ext uri="{FF2B5EF4-FFF2-40B4-BE49-F238E27FC236}">
              <a16:creationId xmlns:a16="http://schemas.microsoft.com/office/drawing/2014/main" id="{5C034162-FC4F-4587-8F5E-274E7FE8BA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899" name="AutoShape 1" descr="Vista previa de toda la pantalla">
          <a:extLst>
            <a:ext uri="{FF2B5EF4-FFF2-40B4-BE49-F238E27FC236}">
              <a16:creationId xmlns:a16="http://schemas.microsoft.com/office/drawing/2014/main" id="{FF66DC34-D1A7-4497-9CE8-8964FEFF66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0" name="AutoShape 1" descr="Vista previa de toda la pantalla">
          <a:extLst>
            <a:ext uri="{FF2B5EF4-FFF2-40B4-BE49-F238E27FC236}">
              <a16:creationId xmlns:a16="http://schemas.microsoft.com/office/drawing/2014/main" id="{8F68DCE0-F637-4DF2-A575-B2EF01431E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1" name="AutoShape 1" descr="Vista previa de toda la pantalla">
          <a:extLst>
            <a:ext uri="{FF2B5EF4-FFF2-40B4-BE49-F238E27FC236}">
              <a16:creationId xmlns:a16="http://schemas.microsoft.com/office/drawing/2014/main" id="{61204AA3-EBE1-44D9-A58E-957C96A91D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2" name="AutoShape 1" descr="Vista previa de toda la pantalla">
          <a:extLst>
            <a:ext uri="{FF2B5EF4-FFF2-40B4-BE49-F238E27FC236}">
              <a16:creationId xmlns:a16="http://schemas.microsoft.com/office/drawing/2014/main" id="{050D0949-8E41-4972-85EC-BDE76F7638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3" name="AutoShape 1" descr="Vista previa de toda la pantalla">
          <a:extLst>
            <a:ext uri="{FF2B5EF4-FFF2-40B4-BE49-F238E27FC236}">
              <a16:creationId xmlns:a16="http://schemas.microsoft.com/office/drawing/2014/main" id="{F876737C-427E-4359-9B33-62EA11A772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4" name="AutoShape 1" descr="Vista previa de toda la pantalla">
          <a:extLst>
            <a:ext uri="{FF2B5EF4-FFF2-40B4-BE49-F238E27FC236}">
              <a16:creationId xmlns:a16="http://schemas.microsoft.com/office/drawing/2014/main" id="{634B6A9F-4084-46F2-98F0-367D0810E6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5" name="AutoShape 1" descr="Vista previa de toda la pantalla">
          <a:extLst>
            <a:ext uri="{FF2B5EF4-FFF2-40B4-BE49-F238E27FC236}">
              <a16:creationId xmlns:a16="http://schemas.microsoft.com/office/drawing/2014/main" id="{53B2B736-8D0C-4963-9AE2-3568B1B6CF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6" name="AutoShape 1" descr="Vista previa de toda la pantalla">
          <a:extLst>
            <a:ext uri="{FF2B5EF4-FFF2-40B4-BE49-F238E27FC236}">
              <a16:creationId xmlns:a16="http://schemas.microsoft.com/office/drawing/2014/main" id="{72D3F0C4-4E8B-4F1C-9204-5B7A3E79C7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7" name="AutoShape 1" descr="Vista previa de toda la pantalla">
          <a:extLst>
            <a:ext uri="{FF2B5EF4-FFF2-40B4-BE49-F238E27FC236}">
              <a16:creationId xmlns:a16="http://schemas.microsoft.com/office/drawing/2014/main" id="{0E6260CC-119E-4D40-9985-0225638DED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8" name="AutoShape 1" descr="Vista previa de toda la pantalla">
          <a:extLst>
            <a:ext uri="{FF2B5EF4-FFF2-40B4-BE49-F238E27FC236}">
              <a16:creationId xmlns:a16="http://schemas.microsoft.com/office/drawing/2014/main" id="{7AA8C9A7-E11F-4A85-A6F9-FE9B2B462F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09" name="AutoShape 1" descr="Vista previa de toda la pantalla">
          <a:extLst>
            <a:ext uri="{FF2B5EF4-FFF2-40B4-BE49-F238E27FC236}">
              <a16:creationId xmlns:a16="http://schemas.microsoft.com/office/drawing/2014/main" id="{E75921B1-8686-43C2-A5FD-781C0810DD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0" name="AutoShape 1" descr="Vista previa de toda la pantalla">
          <a:extLst>
            <a:ext uri="{FF2B5EF4-FFF2-40B4-BE49-F238E27FC236}">
              <a16:creationId xmlns:a16="http://schemas.microsoft.com/office/drawing/2014/main" id="{9597A062-2102-41A2-8884-0926CDD442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1" name="AutoShape 1" descr="Vista previa de toda la pantalla">
          <a:extLst>
            <a:ext uri="{FF2B5EF4-FFF2-40B4-BE49-F238E27FC236}">
              <a16:creationId xmlns:a16="http://schemas.microsoft.com/office/drawing/2014/main" id="{2C655362-496B-479E-AAAB-5D7AAA983D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2" name="AutoShape 1" descr="Vista previa de toda la pantalla">
          <a:extLst>
            <a:ext uri="{FF2B5EF4-FFF2-40B4-BE49-F238E27FC236}">
              <a16:creationId xmlns:a16="http://schemas.microsoft.com/office/drawing/2014/main" id="{F732CC7C-8D9A-46AE-B0DE-F0FDC56A0A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3" name="AutoShape 1" descr="Vista previa de toda la pantalla">
          <a:extLst>
            <a:ext uri="{FF2B5EF4-FFF2-40B4-BE49-F238E27FC236}">
              <a16:creationId xmlns:a16="http://schemas.microsoft.com/office/drawing/2014/main" id="{E99DA84A-20FB-457F-9B10-FBF99D2881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4" name="AutoShape 1" descr="Vista previa de toda la pantalla">
          <a:extLst>
            <a:ext uri="{FF2B5EF4-FFF2-40B4-BE49-F238E27FC236}">
              <a16:creationId xmlns:a16="http://schemas.microsoft.com/office/drawing/2014/main" id="{CF3CFEE7-E32F-4890-A12B-4CC1FFB1BF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5" name="AutoShape 1" descr="Vista previa de toda la pantalla">
          <a:extLst>
            <a:ext uri="{FF2B5EF4-FFF2-40B4-BE49-F238E27FC236}">
              <a16:creationId xmlns:a16="http://schemas.microsoft.com/office/drawing/2014/main" id="{894E3E7D-A2B7-4386-9D9E-1B82AFB603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6" name="AutoShape 1" descr="Vista previa de toda la pantalla">
          <a:extLst>
            <a:ext uri="{FF2B5EF4-FFF2-40B4-BE49-F238E27FC236}">
              <a16:creationId xmlns:a16="http://schemas.microsoft.com/office/drawing/2014/main" id="{753E51B7-833B-497D-B5B2-81D1F347E7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7" name="AutoShape 1" descr="Vista previa de toda la pantalla">
          <a:extLst>
            <a:ext uri="{FF2B5EF4-FFF2-40B4-BE49-F238E27FC236}">
              <a16:creationId xmlns:a16="http://schemas.microsoft.com/office/drawing/2014/main" id="{B4A5C1B4-D5FF-44E4-B7A2-46476B85F4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8" name="AutoShape 1" descr="Vista previa de toda la pantalla">
          <a:extLst>
            <a:ext uri="{FF2B5EF4-FFF2-40B4-BE49-F238E27FC236}">
              <a16:creationId xmlns:a16="http://schemas.microsoft.com/office/drawing/2014/main" id="{BC446D48-208C-4ECE-ADEB-2C4400123F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19" name="AutoShape 1" descr="Vista previa de toda la pantalla">
          <a:extLst>
            <a:ext uri="{FF2B5EF4-FFF2-40B4-BE49-F238E27FC236}">
              <a16:creationId xmlns:a16="http://schemas.microsoft.com/office/drawing/2014/main" id="{462312CB-777F-4AA0-AEC8-682694F508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0" name="AutoShape 1" descr="Vista previa de toda la pantalla">
          <a:extLst>
            <a:ext uri="{FF2B5EF4-FFF2-40B4-BE49-F238E27FC236}">
              <a16:creationId xmlns:a16="http://schemas.microsoft.com/office/drawing/2014/main" id="{E24B67C5-0855-4631-AFEE-9046735B04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1" name="AutoShape 1" descr="Vista previa de toda la pantalla">
          <a:extLst>
            <a:ext uri="{FF2B5EF4-FFF2-40B4-BE49-F238E27FC236}">
              <a16:creationId xmlns:a16="http://schemas.microsoft.com/office/drawing/2014/main" id="{0988FF3C-CAF0-4EBE-912B-47BDB27C61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2" name="AutoShape 1" descr="Vista previa de toda la pantalla">
          <a:extLst>
            <a:ext uri="{FF2B5EF4-FFF2-40B4-BE49-F238E27FC236}">
              <a16:creationId xmlns:a16="http://schemas.microsoft.com/office/drawing/2014/main" id="{6F4732BB-CCDA-4393-A50E-D020CDD088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3" name="AutoShape 1" descr="Vista previa de toda la pantalla">
          <a:extLst>
            <a:ext uri="{FF2B5EF4-FFF2-40B4-BE49-F238E27FC236}">
              <a16:creationId xmlns:a16="http://schemas.microsoft.com/office/drawing/2014/main" id="{F3375551-361B-4CEB-8B5D-6EB20D0AED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4" name="AutoShape 1" descr="Vista previa de toda la pantalla">
          <a:extLst>
            <a:ext uri="{FF2B5EF4-FFF2-40B4-BE49-F238E27FC236}">
              <a16:creationId xmlns:a16="http://schemas.microsoft.com/office/drawing/2014/main" id="{9BCCA140-B589-48B0-9678-4C513E2A08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5" name="AutoShape 1" descr="Vista previa de toda la pantalla">
          <a:extLst>
            <a:ext uri="{FF2B5EF4-FFF2-40B4-BE49-F238E27FC236}">
              <a16:creationId xmlns:a16="http://schemas.microsoft.com/office/drawing/2014/main" id="{E7395CEC-D1E9-447A-8102-E88B5457E5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6" name="AutoShape 1" descr="Vista previa de toda la pantalla">
          <a:extLst>
            <a:ext uri="{FF2B5EF4-FFF2-40B4-BE49-F238E27FC236}">
              <a16:creationId xmlns:a16="http://schemas.microsoft.com/office/drawing/2014/main" id="{5B81A310-9047-427B-9C03-E78316E1A1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7" name="AutoShape 1" descr="Vista previa de toda la pantalla">
          <a:extLst>
            <a:ext uri="{FF2B5EF4-FFF2-40B4-BE49-F238E27FC236}">
              <a16:creationId xmlns:a16="http://schemas.microsoft.com/office/drawing/2014/main" id="{1C84B524-5122-4BD7-9466-30B988BFD3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8" name="AutoShape 1" descr="Vista previa de toda la pantalla">
          <a:extLst>
            <a:ext uri="{FF2B5EF4-FFF2-40B4-BE49-F238E27FC236}">
              <a16:creationId xmlns:a16="http://schemas.microsoft.com/office/drawing/2014/main" id="{E4601284-42D3-4E31-8C51-D24042EE44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29" name="AutoShape 1" descr="Vista previa de toda la pantalla">
          <a:extLst>
            <a:ext uri="{FF2B5EF4-FFF2-40B4-BE49-F238E27FC236}">
              <a16:creationId xmlns:a16="http://schemas.microsoft.com/office/drawing/2014/main" id="{72E06C82-2F86-4B61-8E62-6402297D53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0" name="AutoShape 1" descr="Vista previa de toda la pantalla">
          <a:extLst>
            <a:ext uri="{FF2B5EF4-FFF2-40B4-BE49-F238E27FC236}">
              <a16:creationId xmlns:a16="http://schemas.microsoft.com/office/drawing/2014/main" id="{D751B45B-6B95-41AD-AB60-8CF08D2AB3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1" name="AutoShape 1" descr="Vista previa de toda la pantalla">
          <a:extLst>
            <a:ext uri="{FF2B5EF4-FFF2-40B4-BE49-F238E27FC236}">
              <a16:creationId xmlns:a16="http://schemas.microsoft.com/office/drawing/2014/main" id="{0C27D491-65CE-4E8D-892C-88662B4839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2" name="AutoShape 1" descr="Vista previa de toda la pantalla">
          <a:extLst>
            <a:ext uri="{FF2B5EF4-FFF2-40B4-BE49-F238E27FC236}">
              <a16:creationId xmlns:a16="http://schemas.microsoft.com/office/drawing/2014/main" id="{048C4EBE-6687-4372-95C3-1396B94CB9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3" name="AutoShape 1" descr="Vista previa de toda la pantalla">
          <a:extLst>
            <a:ext uri="{FF2B5EF4-FFF2-40B4-BE49-F238E27FC236}">
              <a16:creationId xmlns:a16="http://schemas.microsoft.com/office/drawing/2014/main" id="{61764A66-5E0D-43D1-AD0A-775BBD5821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4" name="AutoShape 1" descr="Vista previa de toda la pantalla">
          <a:extLst>
            <a:ext uri="{FF2B5EF4-FFF2-40B4-BE49-F238E27FC236}">
              <a16:creationId xmlns:a16="http://schemas.microsoft.com/office/drawing/2014/main" id="{18E12600-0BB7-45F1-B7EE-D0217CEE5C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5" name="AutoShape 1" descr="Vista previa de toda la pantalla">
          <a:extLst>
            <a:ext uri="{FF2B5EF4-FFF2-40B4-BE49-F238E27FC236}">
              <a16:creationId xmlns:a16="http://schemas.microsoft.com/office/drawing/2014/main" id="{D51D50B8-D93B-4450-93CE-DC74788DBE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6" name="AutoShape 1" descr="Vista previa de toda la pantalla">
          <a:extLst>
            <a:ext uri="{FF2B5EF4-FFF2-40B4-BE49-F238E27FC236}">
              <a16:creationId xmlns:a16="http://schemas.microsoft.com/office/drawing/2014/main" id="{8FDA55BD-7C99-48E5-81E9-824F0F1120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7" name="AutoShape 1" descr="Vista previa de toda la pantalla">
          <a:extLst>
            <a:ext uri="{FF2B5EF4-FFF2-40B4-BE49-F238E27FC236}">
              <a16:creationId xmlns:a16="http://schemas.microsoft.com/office/drawing/2014/main" id="{EDD8A907-FE48-4CAB-8BE5-137A6D3C8D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8" name="AutoShape 1" descr="Vista previa de toda la pantalla">
          <a:extLst>
            <a:ext uri="{FF2B5EF4-FFF2-40B4-BE49-F238E27FC236}">
              <a16:creationId xmlns:a16="http://schemas.microsoft.com/office/drawing/2014/main" id="{03932187-96D6-4BAF-A205-2D1B93D057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39" name="AutoShape 1" descr="Vista previa de toda la pantalla">
          <a:extLst>
            <a:ext uri="{FF2B5EF4-FFF2-40B4-BE49-F238E27FC236}">
              <a16:creationId xmlns:a16="http://schemas.microsoft.com/office/drawing/2014/main" id="{18C85870-818F-48CD-9757-02971285B4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0" name="AutoShape 1" descr="Vista previa de toda la pantalla">
          <a:extLst>
            <a:ext uri="{FF2B5EF4-FFF2-40B4-BE49-F238E27FC236}">
              <a16:creationId xmlns:a16="http://schemas.microsoft.com/office/drawing/2014/main" id="{E56B303B-0E6E-4147-BBF0-F3120B4C85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1" name="AutoShape 1" descr="Vista previa de toda la pantalla">
          <a:extLst>
            <a:ext uri="{FF2B5EF4-FFF2-40B4-BE49-F238E27FC236}">
              <a16:creationId xmlns:a16="http://schemas.microsoft.com/office/drawing/2014/main" id="{49B5B2B2-1EBC-47AB-8C06-E45E2EC39D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2" name="AutoShape 1" descr="Vista previa de toda la pantalla">
          <a:extLst>
            <a:ext uri="{FF2B5EF4-FFF2-40B4-BE49-F238E27FC236}">
              <a16:creationId xmlns:a16="http://schemas.microsoft.com/office/drawing/2014/main" id="{1DC43321-BBB1-4BFB-96E9-E24B834C28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3" name="AutoShape 1" descr="Vista previa de toda la pantalla">
          <a:extLst>
            <a:ext uri="{FF2B5EF4-FFF2-40B4-BE49-F238E27FC236}">
              <a16:creationId xmlns:a16="http://schemas.microsoft.com/office/drawing/2014/main" id="{00A7423A-6113-4F34-8D39-010C7BD092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4" name="AutoShape 1" descr="Vista previa de toda la pantalla">
          <a:extLst>
            <a:ext uri="{FF2B5EF4-FFF2-40B4-BE49-F238E27FC236}">
              <a16:creationId xmlns:a16="http://schemas.microsoft.com/office/drawing/2014/main" id="{3861A4A1-CF31-402C-B1EB-B60882D772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5" name="AutoShape 1" descr="Vista previa de toda la pantalla">
          <a:extLst>
            <a:ext uri="{FF2B5EF4-FFF2-40B4-BE49-F238E27FC236}">
              <a16:creationId xmlns:a16="http://schemas.microsoft.com/office/drawing/2014/main" id="{53A6466F-22F4-4F8C-9E89-F8B9821A29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6" name="AutoShape 1" descr="Vista previa de toda la pantalla">
          <a:extLst>
            <a:ext uri="{FF2B5EF4-FFF2-40B4-BE49-F238E27FC236}">
              <a16:creationId xmlns:a16="http://schemas.microsoft.com/office/drawing/2014/main" id="{5B702C13-46D8-4842-A57A-5596202120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7" name="AutoShape 1" descr="Vista previa de toda la pantalla">
          <a:extLst>
            <a:ext uri="{FF2B5EF4-FFF2-40B4-BE49-F238E27FC236}">
              <a16:creationId xmlns:a16="http://schemas.microsoft.com/office/drawing/2014/main" id="{4F11BDF9-5A3D-473A-A84C-783D2A2BC9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8" name="AutoShape 1" descr="Vista previa de toda la pantalla">
          <a:extLst>
            <a:ext uri="{FF2B5EF4-FFF2-40B4-BE49-F238E27FC236}">
              <a16:creationId xmlns:a16="http://schemas.microsoft.com/office/drawing/2014/main" id="{5DAF6362-8B96-4C7A-9121-68A0BC9D5C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49" name="AutoShape 1" descr="Vista previa de toda la pantalla">
          <a:extLst>
            <a:ext uri="{FF2B5EF4-FFF2-40B4-BE49-F238E27FC236}">
              <a16:creationId xmlns:a16="http://schemas.microsoft.com/office/drawing/2014/main" id="{DB86A10F-FAF8-4247-B20A-1807802CDC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0" name="AutoShape 1" descr="Vista previa de toda la pantalla">
          <a:extLst>
            <a:ext uri="{FF2B5EF4-FFF2-40B4-BE49-F238E27FC236}">
              <a16:creationId xmlns:a16="http://schemas.microsoft.com/office/drawing/2014/main" id="{E579F52D-7085-4EA4-AAC3-5C204BF072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1" name="AutoShape 1" descr="Vista previa de toda la pantalla">
          <a:extLst>
            <a:ext uri="{FF2B5EF4-FFF2-40B4-BE49-F238E27FC236}">
              <a16:creationId xmlns:a16="http://schemas.microsoft.com/office/drawing/2014/main" id="{8A312690-7A10-4FC7-9A99-E583D9B70E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2" name="AutoShape 1" descr="Vista previa de toda la pantalla">
          <a:extLst>
            <a:ext uri="{FF2B5EF4-FFF2-40B4-BE49-F238E27FC236}">
              <a16:creationId xmlns:a16="http://schemas.microsoft.com/office/drawing/2014/main" id="{FB8CA4A1-DAC4-44AD-BD5C-49940D9D3D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3" name="AutoShape 1" descr="Vista previa de toda la pantalla">
          <a:extLst>
            <a:ext uri="{FF2B5EF4-FFF2-40B4-BE49-F238E27FC236}">
              <a16:creationId xmlns:a16="http://schemas.microsoft.com/office/drawing/2014/main" id="{01397BDC-3326-4780-A3B1-6EE15DED0B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4" name="AutoShape 1" descr="Vista previa de toda la pantalla">
          <a:extLst>
            <a:ext uri="{FF2B5EF4-FFF2-40B4-BE49-F238E27FC236}">
              <a16:creationId xmlns:a16="http://schemas.microsoft.com/office/drawing/2014/main" id="{699B02F9-4FFB-4001-A748-205CE589C9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5" name="AutoShape 1" descr="Vista previa de toda la pantalla">
          <a:extLst>
            <a:ext uri="{FF2B5EF4-FFF2-40B4-BE49-F238E27FC236}">
              <a16:creationId xmlns:a16="http://schemas.microsoft.com/office/drawing/2014/main" id="{2257B37A-B8A4-4FB9-A6B9-A0E3CD35A0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6" name="AutoShape 1" descr="Vista previa de toda la pantalla">
          <a:extLst>
            <a:ext uri="{FF2B5EF4-FFF2-40B4-BE49-F238E27FC236}">
              <a16:creationId xmlns:a16="http://schemas.microsoft.com/office/drawing/2014/main" id="{7F7015EB-F674-4DF3-A588-492567AC3F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7" name="AutoShape 1" descr="Vista previa de toda la pantalla">
          <a:extLst>
            <a:ext uri="{FF2B5EF4-FFF2-40B4-BE49-F238E27FC236}">
              <a16:creationId xmlns:a16="http://schemas.microsoft.com/office/drawing/2014/main" id="{22B50D79-05BC-4CB7-AD77-9FD991B03D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8" name="AutoShape 1" descr="Vista previa de toda la pantalla">
          <a:extLst>
            <a:ext uri="{FF2B5EF4-FFF2-40B4-BE49-F238E27FC236}">
              <a16:creationId xmlns:a16="http://schemas.microsoft.com/office/drawing/2014/main" id="{9E5E7BA4-E5B5-4194-85CE-AAF4649FDE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59" name="AutoShape 1" descr="Vista previa de toda la pantalla">
          <a:extLst>
            <a:ext uri="{FF2B5EF4-FFF2-40B4-BE49-F238E27FC236}">
              <a16:creationId xmlns:a16="http://schemas.microsoft.com/office/drawing/2014/main" id="{8E759958-5DF4-4B4E-B861-94901266F3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0" name="AutoShape 1" descr="Vista previa de toda la pantalla">
          <a:extLst>
            <a:ext uri="{FF2B5EF4-FFF2-40B4-BE49-F238E27FC236}">
              <a16:creationId xmlns:a16="http://schemas.microsoft.com/office/drawing/2014/main" id="{89F59F63-F4AB-46C9-8476-18E30EE226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1" name="AutoShape 1" descr="Vista previa de toda la pantalla">
          <a:extLst>
            <a:ext uri="{FF2B5EF4-FFF2-40B4-BE49-F238E27FC236}">
              <a16:creationId xmlns:a16="http://schemas.microsoft.com/office/drawing/2014/main" id="{D6C3D166-BA59-44E9-8754-8A65FAE77F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2" name="AutoShape 1" descr="Vista previa de toda la pantalla">
          <a:extLst>
            <a:ext uri="{FF2B5EF4-FFF2-40B4-BE49-F238E27FC236}">
              <a16:creationId xmlns:a16="http://schemas.microsoft.com/office/drawing/2014/main" id="{561AE90E-421E-4402-811E-05BA8D560E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3" name="AutoShape 1" descr="Vista previa de toda la pantalla">
          <a:extLst>
            <a:ext uri="{FF2B5EF4-FFF2-40B4-BE49-F238E27FC236}">
              <a16:creationId xmlns:a16="http://schemas.microsoft.com/office/drawing/2014/main" id="{AC35A76D-C170-48B2-BD9B-8D82B19D2E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4" name="AutoShape 1" descr="Vista previa de toda la pantalla">
          <a:extLst>
            <a:ext uri="{FF2B5EF4-FFF2-40B4-BE49-F238E27FC236}">
              <a16:creationId xmlns:a16="http://schemas.microsoft.com/office/drawing/2014/main" id="{BACD46EA-58A4-475C-B420-48760A4D5D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5" name="AutoShape 1" descr="Vista previa de toda la pantalla">
          <a:extLst>
            <a:ext uri="{FF2B5EF4-FFF2-40B4-BE49-F238E27FC236}">
              <a16:creationId xmlns:a16="http://schemas.microsoft.com/office/drawing/2014/main" id="{FF24568F-66D1-4D6F-ABE9-C632FAAC79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6" name="AutoShape 1" descr="Vista previa de toda la pantalla">
          <a:extLst>
            <a:ext uri="{FF2B5EF4-FFF2-40B4-BE49-F238E27FC236}">
              <a16:creationId xmlns:a16="http://schemas.microsoft.com/office/drawing/2014/main" id="{3AC7E5C0-E67B-4229-A2EF-BB3529E3FD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7" name="AutoShape 1" descr="Vista previa de toda la pantalla">
          <a:extLst>
            <a:ext uri="{FF2B5EF4-FFF2-40B4-BE49-F238E27FC236}">
              <a16:creationId xmlns:a16="http://schemas.microsoft.com/office/drawing/2014/main" id="{06CAB0E1-128A-40F7-AB80-8FDDC23B46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8" name="AutoShape 1" descr="Vista previa de toda la pantalla">
          <a:extLst>
            <a:ext uri="{FF2B5EF4-FFF2-40B4-BE49-F238E27FC236}">
              <a16:creationId xmlns:a16="http://schemas.microsoft.com/office/drawing/2014/main" id="{7FAA9605-DAB9-430F-85AE-BCB9FF3577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69" name="AutoShape 1" descr="Vista previa de toda la pantalla">
          <a:extLst>
            <a:ext uri="{FF2B5EF4-FFF2-40B4-BE49-F238E27FC236}">
              <a16:creationId xmlns:a16="http://schemas.microsoft.com/office/drawing/2014/main" id="{260DDD0A-3DFE-41C7-9274-EBAD737A98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0" name="AutoShape 1" descr="Vista previa de toda la pantalla">
          <a:extLst>
            <a:ext uri="{FF2B5EF4-FFF2-40B4-BE49-F238E27FC236}">
              <a16:creationId xmlns:a16="http://schemas.microsoft.com/office/drawing/2014/main" id="{41B5F97B-EB80-407A-BFC1-765D9957F9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1" name="AutoShape 1" descr="Vista previa de toda la pantalla">
          <a:extLst>
            <a:ext uri="{FF2B5EF4-FFF2-40B4-BE49-F238E27FC236}">
              <a16:creationId xmlns:a16="http://schemas.microsoft.com/office/drawing/2014/main" id="{00CD6D8E-8F32-4D42-9C83-0198BA6CBB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2" name="AutoShape 1" descr="Vista previa de toda la pantalla">
          <a:extLst>
            <a:ext uri="{FF2B5EF4-FFF2-40B4-BE49-F238E27FC236}">
              <a16:creationId xmlns:a16="http://schemas.microsoft.com/office/drawing/2014/main" id="{18B23830-F414-443F-B58B-2AE604ED27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3" name="AutoShape 1" descr="Vista previa de toda la pantalla">
          <a:extLst>
            <a:ext uri="{FF2B5EF4-FFF2-40B4-BE49-F238E27FC236}">
              <a16:creationId xmlns:a16="http://schemas.microsoft.com/office/drawing/2014/main" id="{2EBC9BDE-6CFB-487B-A25A-C6A220C7EF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4" name="AutoShape 1" descr="Vista previa de toda la pantalla">
          <a:extLst>
            <a:ext uri="{FF2B5EF4-FFF2-40B4-BE49-F238E27FC236}">
              <a16:creationId xmlns:a16="http://schemas.microsoft.com/office/drawing/2014/main" id="{6094EFE9-BA79-4B9A-8D36-E673F35ECF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5" name="AutoShape 1" descr="Vista previa de toda la pantalla">
          <a:extLst>
            <a:ext uri="{FF2B5EF4-FFF2-40B4-BE49-F238E27FC236}">
              <a16:creationId xmlns:a16="http://schemas.microsoft.com/office/drawing/2014/main" id="{969A30B5-22D4-40BF-931D-4AC995DC5F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6" name="AutoShape 1" descr="Vista previa de toda la pantalla">
          <a:extLst>
            <a:ext uri="{FF2B5EF4-FFF2-40B4-BE49-F238E27FC236}">
              <a16:creationId xmlns:a16="http://schemas.microsoft.com/office/drawing/2014/main" id="{5089334D-5411-4BEC-8EE4-CB7556DDEF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7" name="AutoShape 1" descr="Vista previa de toda la pantalla">
          <a:extLst>
            <a:ext uri="{FF2B5EF4-FFF2-40B4-BE49-F238E27FC236}">
              <a16:creationId xmlns:a16="http://schemas.microsoft.com/office/drawing/2014/main" id="{4A0AC6BB-47C4-4653-B73A-344F9BA49B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8" name="AutoShape 1" descr="Vista previa de toda la pantalla">
          <a:extLst>
            <a:ext uri="{FF2B5EF4-FFF2-40B4-BE49-F238E27FC236}">
              <a16:creationId xmlns:a16="http://schemas.microsoft.com/office/drawing/2014/main" id="{8FA72C08-5667-4DD0-84FA-01C1447772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79" name="AutoShape 1" descr="Vista previa de toda la pantalla">
          <a:extLst>
            <a:ext uri="{FF2B5EF4-FFF2-40B4-BE49-F238E27FC236}">
              <a16:creationId xmlns:a16="http://schemas.microsoft.com/office/drawing/2014/main" id="{3025F02E-6F96-4DCA-9D96-58C425F85F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0" name="AutoShape 1" descr="Vista previa de toda la pantalla">
          <a:extLst>
            <a:ext uri="{FF2B5EF4-FFF2-40B4-BE49-F238E27FC236}">
              <a16:creationId xmlns:a16="http://schemas.microsoft.com/office/drawing/2014/main" id="{A72F43EB-2EE4-489B-9631-CFEBA6D0AA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1" name="AutoShape 1" descr="Vista previa de toda la pantalla">
          <a:extLst>
            <a:ext uri="{FF2B5EF4-FFF2-40B4-BE49-F238E27FC236}">
              <a16:creationId xmlns:a16="http://schemas.microsoft.com/office/drawing/2014/main" id="{F77A9DC0-69CB-45E3-B164-22E7B9B335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2" name="AutoShape 1" descr="Vista previa de toda la pantalla">
          <a:extLst>
            <a:ext uri="{FF2B5EF4-FFF2-40B4-BE49-F238E27FC236}">
              <a16:creationId xmlns:a16="http://schemas.microsoft.com/office/drawing/2014/main" id="{52BA1D79-C6A8-48F2-94BF-4C55C593B8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3" name="AutoShape 1" descr="Vista previa de toda la pantalla">
          <a:extLst>
            <a:ext uri="{FF2B5EF4-FFF2-40B4-BE49-F238E27FC236}">
              <a16:creationId xmlns:a16="http://schemas.microsoft.com/office/drawing/2014/main" id="{4151B023-F579-47E6-B56D-AEF2259C0D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4" name="AutoShape 1" descr="Vista previa de toda la pantalla">
          <a:extLst>
            <a:ext uri="{FF2B5EF4-FFF2-40B4-BE49-F238E27FC236}">
              <a16:creationId xmlns:a16="http://schemas.microsoft.com/office/drawing/2014/main" id="{A236D20E-489A-4FD4-BFA3-788E24061E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5" name="AutoShape 1" descr="Vista previa de toda la pantalla">
          <a:extLst>
            <a:ext uri="{FF2B5EF4-FFF2-40B4-BE49-F238E27FC236}">
              <a16:creationId xmlns:a16="http://schemas.microsoft.com/office/drawing/2014/main" id="{54DFD2D7-B3C5-4403-AED8-209FCE1E0F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6" name="AutoShape 1" descr="Vista previa de toda la pantalla">
          <a:extLst>
            <a:ext uri="{FF2B5EF4-FFF2-40B4-BE49-F238E27FC236}">
              <a16:creationId xmlns:a16="http://schemas.microsoft.com/office/drawing/2014/main" id="{97B31DE4-F648-40FF-8FBE-C639898E09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7" name="AutoShape 1" descr="Vista previa de toda la pantalla">
          <a:extLst>
            <a:ext uri="{FF2B5EF4-FFF2-40B4-BE49-F238E27FC236}">
              <a16:creationId xmlns:a16="http://schemas.microsoft.com/office/drawing/2014/main" id="{15B70C9F-F780-4563-9AD1-2FD112D711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8" name="AutoShape 1" descr="Vista previa de toda la pantalla">
          <a:extLst>
            <a:ext uri="{FF2B5EF4-FFF2-40B4-BE49-F238E27FC236}">
              <a16:creationId xmlns:a16="http://schemas.microsoft.com/office/drawing/2014/main" id="{E9428D91-A48A-4020-B530-D92E68DE77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89" name="AutoShape 1" descr="Vista previa de toda la pantalla">
          <a:extLst>
            <a:ext uri="{FF2B5EF4-FFF2-40B4-BE49-F238E27FC236}">
              <a16:creationId xmlns:a16="http://schemas.microsoft.com/office/drawing/2014/main" id="{CE34279E-1A84-4D49-A184-A71D902606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0" name="AutoShape 1" descr="Vista previa de toda la pantalla">
          <a:extLst>
            <a:ext uri="{FF2B5EF4-FFF2-40B4-BE49-F238E27FC236}">
              <a16:creationId xmlns:a16="http://schemas.microsoft.com/office/drawing/2014/main" id="{3517400A-1B1D-4474-A401-7F41F86CCA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1" name="AutoShape 1" descr="Vista previa de toda la pantalla">
          <a:extLst>
            <a:ext uri="{FF2B5EF4-FFF2-40B4-BE49-F238E27FC236}">
              <a16:creationId xmlns:a16="http://schemas.microsoft.com/office/drawing/2014/main" id="{874741D1-5455-419F-98A4-88434ADE90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2" name="AutoShape 1" descr="Vista previa de toda la pantalla">
          <a:extLst>
            <a:ext uri="{FF2B5EF4-FFF2-40B4-BE49-F238E27FC236}">
              <a16:creationId xmlns:a16="http://schemas.microsoft.com/office/drawing/2014/main" id="{7EF679C0-5BB7-4A19-9DF5-669D3C8CE2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3" name="AutoShape 1" descr="Vista previa de toda la pantalla">
          <a:extLst>
            <a:ext uri="{FF2B5EF4-FFF2-40B4-BE49-F238E27FC236}">
              <a16:creationId xmlns:a16="http://schemas.microsoft.com/office/drawing/2014/main" id="{BED7EBBD-0050-4CD6-9346-D3FC464BAE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4" name="AutoShape 1" descr="Vista previa de toda la pantalla">
          <a:extLst>
            <a:ext uri="{FF2B5EF4-FFF2-40B4-BE49-F238E27FC236}">
              <a16:creationId xmlns:a16="http://schemas.microsoft.com/office/drawing/2014/main" id="{61C68975-B40B-4F48-BF4A-2541AE4E39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5" name="AutoShape 1" descr="Vista previa de toda la pantalla">
          <a:extLst>
            <a:ext uri="{FF2B5EF4-FFF2-40B4-BE49-F238E27FC236}">
              <a16:creationId xmlns:a16="http://schemas.microsoft.com/office/drawing/2014/main" id="{BC2EC9CC-A929-4E51-AD4E-12777059A7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6" name="AutoShape 1" descr="Vista previa de toda la pantalla">
          <a:extLst>
            <a:ext uri="{FF2B5EF4-FFF2-40B4-BE49-F238E27FC236}">
              <a16:creationId xmlns:a16="http://schemas.microsoft.com/office/drawing/2014/main" id="{2AC44D69-FA74-4D30-B2D4-B5507D11BA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7" name="AutoShape 1" descr="Vista previa de toda la pantalla">
          <a:extLst>
            <a:ext uri="{FF2B5EF4-FFF2-40B4-BE49-F238E27FC236}">
              <a16:creationId xmlns:a16="http://schemas.microsoft.com/office/drawing/2014/main" id="{5761ED73-CB81-4222-8B0D-560548418C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8" name="AutoShape 1" descr="Vista previa de toda la pantalla">
          <a:extLst>
            <a:ext uri="{FF2B5EF4-FFF2-40B4-BE49-F238E27FC236}">
              <a16:creationId xmlns:a16="http://schemas.microsoft.com/office/drawing/2014/main" id="{467C48F8-7C94-40CC-B34A-E79D7C48A7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3999" name="AutoShape 1" descr="Vista previa de toda la pantalla">
          <a:extLst>
            <a:ext uri="{FF2B5EF4-FFF2-40B4-BE49-F238E27FC236}">
              <a16:creationId xmlns:a16="http://schemas.microsoft.com/office/drawing/2014/main" id="{68C25CB8-EEDB-4D65-8412-48C27EA86D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0" name="AutoShape 1" descr="Vista previa de toda la pantalla">
          <a:extLst>
            <a:ext uri="{FF2B5EF4-FFF2-40B4-BE49-F238E27FC236}">
              <a16:creationId xmlns:a16="http://schemas.microsoft.com/office/drawing/2014/main" id="{16A4FE51-36AB-450F-B009-9D8883EA3D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1" name="AutoShape 1" descr="Vista previa de toda la pantalla">
          <a:extLst>
            <a:ext uri="{FF2B5EF4-FFF2-40B4-BE49-F238E27FC236}">
              <a16:creationId xmlns:a16="http://schemas.microsoft.com/office/drawing/2014/main" id="{FF1F9679-6888-45BC-B30A-E70E33014F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2" name="AutoShape 1" descr="Vista previa de toda la pantalla">
          <a:extLst>
            <a:ext uri="{FF2B5EF4-FFF2-40B4-BE49-F238E27FC236}">
              <a16:creationId xmlns:a16="http://schemas.microsoft.com/office/drawing/2014/main" id="{1E7923CB-01D9-4947-A3E5-3FF1F86A87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3" name="AutoShape 1" descr="Vista previa de toda la pantalla">
          <a:extLst>
            <a:ext uri="{FF2B5EF4-FFF2-40B4-BE49-F238E27FC236}">
              <a16:creationId xmlns:a16="http://schemas.microsoft.com/office/drawing/2014/main" id="{74CD053D-1D58-4675-A6D0-5A37A45ED7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4" name="AutoShape 1" descr="Vista previa de toda la pantalla">
          <a:extLst>
            <a:ext uri="{FF2B5EF4-FFF2-40B4-BE49-F238E27FC236}">
              <a16:creationId xmlns:a16="http://schemas.microsoft.com/office/drawing/2014/main" id="{27BF66A3-D384-4440-9313-01998D94AC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5" name="AutoShape 1" descr="Vista previa de toda la pantalla">
          <a:extLst>
            <a:ext uri="{FF2B5EF4-FFF2-40B4-BE49-F238E27FC236}">
              <a16:creationId xmlns:a16="http://schemas.microsoft.com/office/drawing/2014/main" id="{26E097A9-09CD-4E20-9617-720FD2FEC3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6" name="AutoShape 1" descr="Vista previa de toda la pantalla">
          <a:extLst>
            <a:ext uri="{FF2B5EF4-FFF2-40B4-BE49-F238E27FC236}">
              <a16:creationId xmlns:a16="http://schemas.microsoft.com/office/drawing/2014/main" id="{D0878DBE-3E7E-4A98-845D-798C91EFFE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7" name="AutoShape 1" descr="Vista previa de toda la pantalla">
          <a:extLst>
            <a:ext uri="{FF2B5EF4-FFF2-40B4-BE49-F238E27FC236}">
              <a16:creationId xmlns:a16="http://schemas.microsoft.com/office/drawing/2014/main" id="{97F62EC7-4C0D-45D5-AE60-8C269B57F2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8" name="AutoShape 1" descr="Vista previa de toda la pantalla">
          <a:extLst>
            <a:ext uri="{FF2B5EF4-FFF2-40B4-BE49-F238E27FC236}">
              <a16:creationId xmlns:a16="http://schemas.microsoft.com/office/drawing/2014/main" id="{06207B72-C23D-40A9-8C18-CF54A5940C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09" name="AutoShape 1" descr="Vista previa de toda la pantalla">
          <a:extLst>
            <a:ext uri="{FF2B5EF4-FFF2-40B4-BE49-F238E27FC236}">
              <a16:creationId xmlns:a16="http://schemas.microsoft.com/office/drawing/2014/main" id="{145A5F36-37EF-408D-A577-5FC6D6B2E3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0" name="AutoShape 1" descr="Vista previa de toda la pantalla">
          <a:extLst>
            <a:ext uri="{FF2B5EF4-FFF2-40B4-BE49-F238E27FC236}">
              <a16:creationId xmlns:a16="http://schemas.microsoft.com/office/drawing/2014/main" id="{59098DE0-D6A4-4C98-AB33-8EC14263A2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1" name="AutoShape 1" descr="Vista previa de toda la pantalla">
          <a:extLst>
            <a:ext uri="{FF2B5EF4-FFF2-40B4-BE49-F238E27FC236}">
              <a16:creationId xmlns:a16="http://schemas.microsoft.com/office/drawing/2014/main" id="{708F5D3C-1164-4339-B2DF-D9C641876C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2" name="AutoShape 1" descr="Vista previa de toda la pantalla">
          <a:extLst>
            <a:ext uri="{FF2B5EF4-FFF2-40B4-BE49-F238E27FC236}">
              <a16:creationId xmlns:a16="http://schemas.microsoft.com/office/drawing/2014/main" id="{05AE54B0-7FAF-4FE8-A1E7-301CDDD7D8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3" name="AutoShape 1" descr="Vista previa de toda la pantalla">
          <a:extLst>
            <a:ext uri="{FF2B5EF4-FFF2-40B4-BE49-F238E27FC236}">
              <a16:creationId xmlns:a16="http://schemas.microsoft.com/office/drawing/2014/main" id="{5CEC9391-4AB9-4714-9CEC-515C6DBE3F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4" name="AutoShape 1" descr="Vista previa de toda la pantalla">
          <a:extLst>
            <a:ext uri="{FF2B5EF4-FFF2-40B4-BE49-F238E27FC236}">
              <a16:creationId xmlns:a16="http://schemas.microsoft.com/office/drawing/2014/main" id="{F914A5D5-09E3-45C9-BEB2-A74B636ECE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5" name="AutoShape 1" descr="Vista previa de toda la pantalla">
          <a:extLst>
            <a:ext uri="{FF2B5EF4-FFF2-40B4-BE49-F238E27FC236}">
              <a16:creationId xmlns:a16="http://schemas.microsoft.com/office/drawing/2014/main" id="{F6A093BA-9BF0-4456-9B24-BDDCA0C6FE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6" name="AutoShape 1" descr="Vista previa de toda la pantalla">
          <a:extLst>
            <a:ext uri="{FF2B5EF4-FFF2-40B4-BE49-F238E27FC236}">
              <a16:creationId xmlns:a16="http://schemas.microsoft.com/office/drawing/2014/main" id="{719B3751-7D2E-4662-A853-6EB211CEB6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7" name="AutoShape 1" descr="Vista previa de toda la pantalla">
          <a:extLst>
            <a:ext uri="{FF2B5EF4-FFF2-40B4-BE49-F238E27FC236}">
              <a16:creationId xmlns:a16="http://schemas.microsoft.com/office/drawing/2014/main" id="{701FCF6C-3B68-4F8D-B2D9-A1D2EF2700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8" name="AutoShape 1" descr="Vista previa de toda la pantalla">
          <a:extLst>
            <a:ext uri="{FF2B5EF4-FFF2-40B4-BE49-F238E27FC236}">
              <a16:creationId xmlns:a16="http://schemas.microsoft.com/office/drawing/2014/main" id="{C4F587AB-6ABD-4DED-AEA6-33615FC99D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19" name="AutoShape 1" descr="Vista previa de toda la pantalla">
          <a:extLst>
            <a:ext uri="{FF2B5EF4-FFF2-40B4-BE49-F238E27FC236}">
              <a16:creationId xmlns:a16="http://schemas.microsoft.com/office/drawing/2014/main" id="{0AA8C83C-6966-4172-94B9-70E9F82F4D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0" name="AutoShape 1" descr="Vista previa de toda la pantalla">
          <a:extLst>
            <a:ext uri="{FF2B5EF4-FFF2-40B4-BE49-F238E27FC236}">
              <a16:creationId xmlns:a16="http://schemas.microsoft.com/office/drawing/2014/main" id="{1057FDDB-B3D6-471B-95F2-FC3BC4B73A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1" name="AutoShape 1" descr="Vista previa de toda la pantalla">
          <a:extLst>
            <a:ext uri="{FF2B5EF4-FFF2-40B4-BE49-F238E27FC236}">
              <a16:creationId xmlns:a16="http://schemas.microsoft.com/office/drawing/2014/main" id="{D296131F-B530-4CA7-B189-0FFE92A700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2" name="AutoShape 1" descr="Vista previa de toda la pantalla">
          <a:extLst>
            <a:ext uri="{FF2B5EF4-FFF2-40B4-BE49-F238E27FC236}">
              <a16:creationId xmlns:a16="http://schemas.microsoft.com/office/drawing/2014/main" id="{BB0F6F30-CDC8-4DC3-BF3D-0F01EB51C2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3" name="AutoShape 1" descr="Vista previa de toda la pantalla">
          <a:extLst>
            <a:ext uri="{FF2B5EF4-FFF2-40B4-BE49-F238E27FC236}">
              <a16:creationId xmlns:a16="http://schemas.microsoft.com/office/drawing/2014/main" id="{2357BFA8-83D2-404D-809D-09204FF69C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4" name="AutoShape 1" descr="Vista previa de toda la pantalla">
          <a:extLst>
            <a:ext uri="{FF2B5EF4-FFF2-40B4-BE49-F238E27FC236}">
              <a16:creationId xmlns:a16="http://schemas.microsoft.com/office/drawing/2014/main" id="{58F7313E-3FAE-4648-9583-5F40B0177A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5" name="AutoShape 1" descr="Vista previa de toda la pantalla">
          <a:extLst>
            <a:ext uri="{FF2B5EF4-FFF2-40B4-BE49-F238E27FC236}">
              <a16:creationId xmlns:a16="http://schemas.microsoft.com/office/drawing/2014/main" id="{68023CFF-506C-47E2-9FB8-8C96F5B2A1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6" name="AutoShape 1" descr="Vista previa de toda la pantalla">
          <a:extLst>
            <a:ext uri="{FF2B5EF4-FFF2-40B4-BE49-F238E27FC236}">
              <a16:creationId xmlns:a16="http://schemas.microsoft.com/office/drawing/2014/main" id="{C2F283B8-AE24-4D54-87BA-D461EDD81E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7" name="AutoShape 1" descr="Vista previa de toda la pantalla">
          <a:extLst>
            <a:ext uri="{FF2B5EF4-FFF2-40B4-BE49-F238E27FC236}">
              <a16:creationId xmlns:a16="http://schemas.microsoft.com/office/drawing/2014/main" id="{54765E33-8D6F-4390-B07E-4E46A15C76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8" name="AutoShape 1" descr="Vista previa de toda la pantalla">
          <a:extLst>
            <a:ext uri="{FF2B5EF4-FFF2-40B4-BE49-F238E27FC236}">
              <a16:creationId xmlns:a16="http://schemas.microsoft.com/office/drawing/2014/main" id="{ACD44CB1-BDA8-4C44-9562-F4FA1043C7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29" name="AutoShape 1" descr="Vista previa de toda la pantalla">
          <a:extLst>
            <a:ext uri="{FF2B5EF4-FFF2-40B4-BE49-F238E27FC236}">
              <a16:creationId xmlns:a16="http://schemas.microsoft.com/office/drawing/2014/main" id="{5E0A5326-5FF6-4DCE-AEEA-A450CF6B4F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0" name="AutoShape 1" descr="Vista previa de toda la pantalla">
          <a:extLst>
            <a:ext uri="{FF2B5EF4-FFF2-40B4-BE49-F238E27FC236}">
              <a16:creationId xmlns:a16="http://schemas.microsoft.com/office/drawing/2014/main" id="{C31E98E3-36B2-49E7-803A-2963AE363F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1" name="AutoShape 1" descr="Vista previa de toda la pantalla">
          <a:extLst>
            <a:ext uri="{FF2B5EF4-FFF2-40B4-BE49-F238E27FC236}">
              <a16:creationId xmlns:a16="http://schemas.microsoft.com/office/drawing/2014/main" id="{D4400C62-816E-4675-B1AE-F1DA5D4C91A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2" name="AutoShape 1" descr="Vista previa de toda la pantalla">
          <a:extLst>
            <a:ext uri="{FF2B5EF4-FFF2-40B4-BE49-F238E27FC236}">
              <a16:creationId xmlns:a16="http://schemas.microsoft.com/office/drawing/2014/main" id="{EFE11DC1-1EC1-4DFB-8312-2C3B89CC6E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3" name="AutoShape 1" descr="Vista previa de toda la pantalla">
          <a:extLst>
            <a:ext uri="{FF2B5EF4-FFF2-40B4-BE49-F238E27FC236}">
              <a16:creationId xmlns:a16="http://schemas.microsoft.com/office/drawing/2014/main" id="{A0E78B2C-A231-4D4E-95B9-43724E67D7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4" name="AutoShape 1" descr="Vista previa de toda la pantalla">
          <a:extLst>
            <a:ext uri="{FF2B5EF4-FFF2-40B4-BE49-F238E27FC236}">
              <a16:creationId xmlns:a16="http://schemas.microsoft.com/office/drawing/2014/main" id="{030888C0-A5AF-4AFF-A9E5-2698C7D413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5" name="AutoShape 1" descr="Vista previa de toda la pantalla">
          <a:extLst>
            <a:ext uri="{FF2B5EF4-FFF2-40B4-BE49-F238E27FC236}">
              <a16:creationId xmlns:a16="http://schemas.microsoft.com/office/drawing/2014/main" id="{DFA6A33E-D7C1-470F-918C-F08C1D1D8E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6" name="AutoShape 1" descr="Vista previa de toda la pantalla">
          <a:extLst>
            <a:ext uri="{FF2B5EF4-FFF2-40B4-BE49-F238E27FC236}">
              <a16:creationId xmlns:a16="http://schemas.microsoft.com/office/drawing/2014/main" id="{E76C811A-F48C-494B-B371-2AF83F0E5C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7" name="AutoShape 1" descr="Vista previa de toda la pantalla">
          <a:extLst>
            <a:ext uri="{FF2B5EF4-FFF2-40B4-BE49-F238E27FC236}">
              <a16:creationId xmlns:a16="http://schemas.microsoft.com/office/drawing/2014/main" id="{92CC319C-3C5B-4420-8529-D0D353B9F7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8" name="AutoShape 1" descr="Vista previa de toda la pantalla">
          <a:extLst>
            <a:ext uri="{FF2B5EF4-FFF2-40B4-BE49-F238E27FC236}">
              <a16:creationId xmlns:a16="http://schemas.microsoft.com/office/drawing/2014/main" id="{C9A3C38D-EFCD-42E6-89B9-4DA109992F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39" name="AutoShape 1" descr="Vista previa de toda la pantalla">
          <a:extLst>
            <a:ext uri="{FF2B5EF4-FFF2-40B4-BE49-F238E27FC236}">
              <a16:creationId xmlns:a16="http://schemas.microsoft.com/office/drawing/2014/main" id="{2A87E354-29F7-43B1-9D29-ED4A4E45B1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0" name="AutoShape 1" descr="Vista previa de toda la pantalla">
          <a:extLst>
            <a:ext uri="{FF2B5EF4-FFF2-40B4-BE49-F238E27FC236}">
              <a16:creationId xmlns:a16="http://schemas.microsoft.com/office/drawing/2014/main" id="{D1B99F0D-21EC-4D94-B703-76F17C015A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1" name="AutoShape 1" descr="Vista previa de toda la pantalla">
          <a:extLst>
            <a:ext uri="{FF2B5EF4-FFF2-40B4-BE49-F238E27FC236}">
              <a16:creationId xmlns:a16="http://schemas.microsoft.com/office/drawing/2014/main" id="{4CD67045-931F-4AE6-8465-758D50CBF2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2" name="AutoShape 1" descr="Vista previa de toda la pantalla">
          <a:extLst>
            <a:ext uri="{FF2B5EF4-FFF2-40B4-BE49-F238E27FC236}">
              <a16:creationId xmlns:a16="http://schemas.microsoft.com/office/drawing/2014/main" id="{90A5E912-729F-447A-ABF2-DEDF54343E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3" name="AutoShape 1" descr="Vista previa de toda la pantalla">
          <a:extLst>
            <a:ext uri="{FF2B5EF4-FFF2-40B4-BE49-F238E27FC236}">
              <a16:creationId xmlns:a16="http://schemas.microsoft.com/office/drawing/2014/main" id="{AE612C8F-E98C-4CCF-BFB1-CDDAF65CB9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4" name="AutoShape 1" descr="Vista previa de toda la pantalla">
          <a:extLst>
            <a:ext uri="{FF2B5EF4-FFF2-40B4-BE49-F238E27FC236}">
              <a16:creationId xmlns:a16="http://schemas.microsoft.com/office/drawing/2014/main" id="{A32C9F4E-56C9-4680-9EBC-98328EAE65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5" name="AutoShape 1" descr="Vista previa de toda la pantalla">
          <a:extLst>
            <a:ext uri="{FF2B5EF4-FFF2-40B4-BE49-F238E27FC236}">
              <a16:creationId xmlns:a16="http://schemas.microsoft.com/office/drawing/2014/main" id="{7AD7EB8A-865A-41BC-AA50-294E9CFA52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6" name="AutoShape 1" descr="Vista previa de toda la pantalla">
          <a:extLst>
            <a:ext uri="{FF2B5EF4-FFF2-40B4-BE49-F238E27FC236}">
              <a16:creationId xmlns:a16="http://schemas.microsoft.com/office/drawing/2014/main" id="{ABBC5BBC-BB0F-4035-A5F6-7E52F59611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7" name="AutoShape 1" descr="Vista previa de toda la pantalla">
          <a:extLst>
            <a:ext uri="{FF2B5EF4-FFF2-40B4-BE49-F238E27FC236}">
              <a16:creationId xmlns:a16="http://schemas.microsoft.com/office/drawing/2014/main" id="{597982BE-0805-4B5E-B9D0-E42A20E9A7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8" name="AutoShape 1" descr="Vista previa de toda la pantalla">
          <a:extLst>
            <a:ext uri="{FF2B5EF4-FFF2-40B4-BE49-F238E27FC236}">
              <a16:creationId xmlns:a16="http://schemas.microsoft.com/office/drawing/2014/main" id="{F07AE7C2-B34D-449E-9FF0-BB89D7A83F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49" name="AutoShape 1" descr="Vista previa de toda la pantalla">
          <a:extLst>
            <a:ext uri="{FF2B5EF4-FFF2-40B4-BE49-F238E27FC236}">
              <a16:creationId xmlns:a16="http://schemas.microsoft.com/office/drawing/2014/main" id="{86CC3D67-AE00-453A-A07A-4CF8069907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0" name="AutoShape 1" descr="Vista previa de toda la pantalla">
          <a:extLst>
            <a:ext uri="{FF2B5EF4-FFF2-40B4-BE49-F238E27FC236}">
              <a16:creationId xmlns:a16="http://schemas.microsoft.com/office/drawing/2014/main" id="{4BE0008C-1CE6-4DF3-B0C8-FD376F7C28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1" name="AutoShape 1" descr="Vista previa de toda la pantalla">
          <a:extLst>
            <a:ext uri="{FF2B5EF4-FFF2-40B4-BE49-F238E27FC236}">
              <a16:creationId xmlns:a16="http://schemas.microsoft.com/office/drawing/2014/main" id="{C0B2A5C6-51DF-4047-802E-9E2BA3889B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2" name="AutoShape 1" descr="Vista previa de toda la pantalla">
          <a:extLst>
            <a:ext uri="{FF2B5EF4-FFF2-40B4-BE49-F238E27FC236}">
              <a16:creationId xmlns:a16="http://schemas.microsoft.com/office/drawing/2014/main" id="{3AF0FC36-00B2-47FC-B9DA-EE9ED84E41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3" name="AutoShape 1" descr="Vista previa de toda la pantalla">
          <a:extLst>
            <a:ext uri="{FF2B5EF4-FFF2-40B4-BE49-F238E27FC236}">
              <a16:creationId xmlns:a16="http://schemas.microsoft.com/office/drawing/2014/main" id="{DFE2E279-4375-41F3-AFF0-7265C3F933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4" name="AutoShape 1" descr="Vista previa de toda la pantalla">
          <a:extLst>
            <a:ext uri="{FF2B5EF4-FFF2-40B4-BE49-F238E27FC236}">
              <a16:creationId xmlns:a16="http://schemas.microsoft.com/office/drawing/2014/main" id="{052B984C-59C2-4C4E-8253-A6BAF404B5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5" name="AutoShape 1" descr="Vista previa de toda la pantalla">
          <a:extLst>
            <a:ext uri="{FF2B5EF4-FFF2-40B4-BE49-F238E27FC236}">
              <a16:creationId xmlns:a16="http://schemas.microsoft.com/office/drawing/2014/main" id="{4A86DFF4-6FFB-4DD8-A301-BD677B93DB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6" name="AutoShape 1" descr="Vista previa de toda la pantalla">
          <a:extLst>
            <a:ext uri="{FF2B5EF4-FFF2-40B4-BE49-F238E27FC236}">
              <a16:creationId xmlns:a16="http://schemas.microsoft.com/office/drawing/2014/main" id="{794529F3-887C-4958-908C-3B3F364621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7" name="AutoShape 1" descr="Vista previa de toda la pantalla">
          <a:extLst>
            <a:ext uri="{FF2B5EF4-FFF2-40B4-BE49-F238E27FC236}">
              <a16:creationId xmlns:a16="http://schemas.microsoft.com/office/drawing/2014/main" id="{B92CB53B-900B-4BB2-ADB1-D5506BD316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8" name="AutoShape 1" descr="Vista previa de toda la pantalla">
          <a:extLst>
            <a:ext uri="{FF2B5EF4-FFF2-40B4-BE49-F238E27FC236}">
              <a16:creationId xmlns:a16="http://schemas.microsoft.com/office/drawing/2014/main" id="{01C0D064-1A1B-4302-8CFE-04CA025C24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59" name="AutoShape 1" descr="Vista previa de toda la pantalla">
          <a:extLst>
            <a:ext uri="{FF2B5EF4-FFF2-40B4-BE49-F238E27FC236}">
              <a16:creationId xmlns:a16="http://schemas.microsoft.com/office/drawing/2014/main" id="{625094B8-1C9F-41FB-862C-3EFF771912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60" name="AutoShape 1" descr="Vista previa de toda la pantalla">
          <a:extLst>
            <a:ext uri="{FF2B5EF4-FFF2-40B4-BE49-F238E27FC236}">
              <a16:creationId xmlns:a16="http://schemas.microsoft.com/office/drawing/2014/main" id="{C1E71551-1A06-459D-9B99-6C678DE3DB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61" name="AutoShape 1" descr="Vista previa de toda la pantalla">
          <a:extLst>
            <a:ext uri="{FF2B5EF4-FFF2-40B4-BE49-F238E27FC236}">
              <a16:creationId xmlns:a16="http://schemas.microsoft.com/office/drawing/2014/main" id="{D3AA6CF2-EF76-44C4-BA26-232CF22FB8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62" name="AutoShape 1" descr="Vista previa de toda la pantalla">
          <a:extLst>
            <a:ext uri="{FF2B5EF4-FFF2-40B4-BE49-F238E27FC236}">
              <a16:creationId xmlns:a16="http://schemas.microsoft.com/office/drawing/2014/main" id="{AABA39A8-6756-4970-8874-D79A16AFBD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4063" name="AutoShape 1" descr="Vista previa de toda la pantalla">
          <a:extLst>
            <a:ext uri="{FF2B5EF4-FFF2-40B4-BE49-F238E27FC236}">
              <a16:creationId xmlns:a16="http://schemas.microsoft.com/office/drawing/2014/main" id="{4C595FFF-7066-4A79-A669-9FC75461C02F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64" name="AutoShape 1" descr="Vista previa de toda la pantalla">
          <a:extLst>
            <a:ext uri="{FF2B5EF4-FFF2-40B4-BE49-F238E27FC236}">
              <a16:creationId xmlns:a16="http://schemas.microsoft.com/office/drawing/2014/main" id="{3EF2AC5C-B160-4D0B-9548-3F83F464EE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65" name="AutoShape 1" descr="Vista previa de toda la pantalla">
          <a:extLst>
            <a:ext uri="{FF2B5EF4-FFF2-40B4-BE49-F238E27FC236}">
              <a16:creationId xmlns:a16="http://schemas.microsoft.com/office/drawing/2014/main" id="{C6DF3303-B369-49CD-90F4-A6CADE6E64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66" name="AutoShape 1" descr="Vista previa de toda la pantalla">
          <a:extLst>
            <a:ext uri="{FF2B5EF4-FFF2-40B4-BE49-F238E27FC236}">
              <a16:creationId xmlns:a16="http://schemas.microsoft.com/office/drawing/2014/main" id="{D39F01DD-916D-4B47-B021-4BE47BF106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67" name="AutoShape 1" descr="Vista previa de toda la pantalla">
          <a:extLst>
            <a:ext uri="{FF2B5EF4-FFF2-40B4-BE49-F238E27FC236}">
              <a16:creationId xmlns:a16="http://schemas.microsoft.com/office/drawing/2014/main" id="{7CDA6D45-F335-4057-B842-C992BFF75F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68" name="AutoShape 1" descr="Vista previa de toda la pantalla">
          <a:extLst>
            <a:ext uri="{FF2B5EF4-FFF2-40B4-BE49-F238E27FC236}">
              <a16:creationId xmlns:a16="http://schemas.microsoft.com/office/drawing/2014/main" id="{8A3CAA1D-BAAF-47DD-A4BD-424581E3A2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69" name="AutoShape 1" descr="Vista previa de toda la pantalla">
          <a:extLst>
            <a:ext uri="{FF2B5EF4-FFF2-40B4-BE49-F238E27FC236}">
              <a16:creationId xmlns:a16="http://schemas.microsoft.com/office/drawing/2014/main" id="{DF5B66CA-3D34-450A-A197-92869F09AB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0" name="AutoShape 1" descr="Vista previa de toda la pantalla">
          <a:extLst>
            <a:ext uri="{FF2B5EF4-FFF2-40B4-BE49-F238E27FC236}">
              <a16:creationId xmlns:a16="http://schemas.microsoft.com/office/drawing/2014/main" id="{74D1B1B7-2804-4C67-AD90-00AA55DF27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1" name="AutoShape 1" descr="Vista previa de toda la pantalla">
          <a:extLst>
            <a:ext uri="{FF2B5EF4-FFF2-40B4-BE49-F238E27FC236}">
              <a16:creationId xmlns:a16="http://schemas.microsoft.com/office/drawing/2014/main" id="{4C441910-D5AE-4031-A5E0-E37BAE86E0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2" name="AutoShape 1" descr="Vista previa de toda la pantalla">
          <a:extLst>
            <a:ext uri="{FF2B5EF4-FFF2-40B4-BE49-F238E27FC236}">
              <a16:creationId xmlns:a16="http://schemas.microsoft.com/office/drawing/2014/main" id="{4CA24CDB-8730-4E28-AAB5-0282C40430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3" name="AutoShape 1" descr="Vista previa de toda la pantalla">
          <a:extLst>
            <a:ext uri="{FF2B5EF4-FFF2-40B4-BE49-F238E27FC236}">
              <a16:creationId xmlns:a16="http://schemas.microsoft.com/office/drawing/2014/main" id="{9B528AE6-635C-4A84-8847-EFD9296259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4" name="AutoShape 1" descr="Vista previa de toda la pantalla">
          <a:extLst>
            <a:ext uri="{FF2B5EF4-FFF2-40B4-BE49-F238E27FC236}">
              <a16:creationId xmlns:a16="http://schemas.microsoft.com/office/drawing/2014/main" id="{BCCB9D9C-C453-4CD3-97E2-301D5F56AF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5" name="AutoShape 1" descr="Vista previa de toda la pantalla">
          <a:extLst>
            <a:ext uri="{FF2B5EF4-FFF2-40B4-BE49-F238E27FC236}">
              <a16:creationId xmlns:a16="http://schemas.microsoft.com/office/drawing/2014/main" id="{3978AC31-4560-41C9-BE8C-40DD183110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6" name="AutoShape 1" descr="Vista previa de toda la pantalla">
          <a:extLst>
            <a:ext uri="{FF2B5EF4-FFF2-40B4-BE49-F238E27FC236}">
              <a16:creationId xmlns:a16="http://schemas.microsoft.com/office/drawing/2014/main" id="{0D29A8C2-27D5-4FB7-89DF-7ED7B95A52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7" name="AutoShape 1" descr="Vista previa de toda la pantalla">
          <a:extLst>
            <a:ext uri="{FF2B5EF4-FFF2-40B4-BE49-F238E27FC236}">
              <a16:creationId xmlns:a16="http://schemas.microsoft.com/office/drawing/2014/main" id="{899DDB10-6492-4537-9AFE-6BCF31D8E2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8" name="AutoShape 1" descr="Vista previa de toda la pantalla">
          <a:extLst>
            <a:ext uri="{FF2B5EF4-FFF2-40B4-BE49-F238E27FC236}">
              <a16:creationId xmlns:a16="http://schemas.microsoft.com/office/drawing/2014/main" id="{E09AEA63-1299-45E9-A3A6-91262BD2D0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79" name="AutoShape 1" descr="Vista previa de toda la pantalla">
          <a:extLst>
            <a:ext uri="{FF2B5EF4-FFF2-40B4-BE49-F238E27FC236}">
              <a16:creationId xmlns:a16="http://schemas.microsoft.com/office/drawing/2014/main" id="{6CF9EA5E-540E-4068-91E9-2E3379FB6E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0" name="AutoShape 1" descr="Vista previa de toda la pantalla">
          <a:extLst>
            <a:ext uri="{FF2B5EF4-FFF2-40B4-BE49-F238E27FC236}">
              <a16:creationId xmlns:a16="http://schemas.microsoft.com/office/drawing/2014/main" id="{E50CBDC8-DEBE-4E25-BEDD-1D62D85089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1" name="AutoShape 1" descr="Vista previa de toda la pantalla">
          <a:extLst>
            <a:ext uri="{FF2B5EF4-FFF2-40B4-BE49-F238E27FC236}">
              <a16:creationId xmlns:a16="http://schemas.microsoft.com/office/drawing/2014/main" id="{9804F634-86E1-426B-BDC6-74956070CB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2" name="AutoShape 1" descr="Vista previa de toda la pantalla">
          <a:extLst>
            <a:ext uri="{FF2B5EF4-FFF2-40B4-BE49-F238E27FC236}">
              <a16:creationId xmlns:a16="http://schemas.microsoft.com/office/drawing/2014/main" id="{1F86E561-D557-472B-A57C-484FD17149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3" name="AutoShape 1" descr="Vista previa de toda la pantalla">
          <a:extLst>
            <a:ext uri="{FF2B5EF4-FFF2-40B4-BE49-F238E27FC236}">
              <a16:creationId xmlns:a16="http://schemas.microsoft.com/office/drawing/2014/main" id="{1A052E51-B929-4C77-AED5-D45ED7BF75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4" name="AutoShape 1" descr="Vista previa de toda la pantalla">
          <a:extLst>
            <a:ext uri="{FF2B5EF4-FFF2-40B4-BE49-F238E27FC236}">
              <a16:creationId xmlns:a16="http://schemas.microsoft.com/office/drawing/2014/main" id="{1EAD61F0-FBF5-402A-A5A5-566C67AEC4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5" name="AutoShape 1" descr="Vista previa de toda la pantalla">
          <a:extLst>
            <a:ext uri="{FF2B5EF4-FFF2-40B4-BE49-F238E27FC236}">
              <a16:creationId xmlns:a16="http://schemas.microsoft.com/office/drawing/2014/main" id="{67FE4F21-2071-4D7C-88F5-E64CAADD73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6" name="AutoShape 1" descr="Vista previa de toda la pantalla">
          <a:extLst>
            <a:ext uri="{FF2B5EF4-FFF2-40B4-BE49-F238E27FC236}">
              <a16:creationId xmlns:a16="http://schemas.microsoft.com/office/drawing/2014/main" id="{3BD59CE9-FFB3-43EE-9584-9AC1CF7DC3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7" name="AutoShape 1" descr="Vista previa de toda la pantalla">
          <a:extLst>
            <a:ext uri="{FF2B5EF4-FFF2-40B4-BE49-F238E27FC236}">
              <a16:creationId xmlns:a16="http://schemas.microsoft.com/office/drawing/2014/main" id="{E83AACC1-FDE3-42AA-9DB4-9D99F2EE00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8" name="AutoShape 1" descr="Vista previa de toda la pantalla">
          <a:extLst>
            <a:ext uri="{FF2B5EF4-FFF2-40B4-BE49-F238E27FC236}">
              <a16:creationId xmlns:a16="http://schemas.microsoft.com/office/drawing/2014/main" id="{DAD380CC-0793-4504-AC41-98B03BC8CE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89" name="AutoShape 1" descr="Vista previa de toda la pantalla">
          <a:extLst>
            <a:ext uri="{FF2B5EF4-FFF2-40B4-BE49-F238E27FC236}">
              <a16:creationId xmlns:a16="http://schemas.microsoft.com/office/drawing/2014/main" id="{4B3CB9AA-D87F-4D86-AF48-F76053E28E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0" name="AutoShape 1" descr="Vista previa de toda la pantalla">
          <a:extLst>
            <a:ext uri="{FF2B5EF4-FFF2-40B4-BE49-F238E27FC236}">
              <a16:creationId xmlns:a16="http://schemas.microsoft.com/office/drawing/2014/main" id="{F2ECBB22-0DAE-4035-B75C-3FCEEECB80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1" name="AutoShape 1" descr="Vista previa de toda la pantalla">
          <a:extLst>
            <a:ext uri="{FF2B5EF4-FFF2-40B4-BE49-F238E27FC236}">
              <a16:creationId xmlns:a16="http://schemas.microsoft.com/office/drawing/2014/main" id="{B06C1B20-BAC2-4F40-A458-192B6531BF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2" name="AutoShape 1" descr="Vista previa de toda la pantalla">
          <a:extLst>
            <a:ext uri="{FF2B5EF4-FFF2-40B4-BE49-F238E27FC236}">
              <a16:creationId xmlns:a16="http://schemas.microsoft.com/office/drawing/2014/main" id="{155DC6E5-75A3-4860-9888-2471D2B28E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3" name="AutoShape 1" descr="Vista previa de toda la pantalla">
          <a:extLst>
            <a:ext uri="{FF2B5EF4-FFF2-40B4-BE49-F238E27FC236}">
              <a16:creationId xmlns:a16="http://schemas.microsoft.com/office/drawing/2014/main" id="{B9057EC4-BDCC-4BB4-88A6-688F1BD2E3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4" name="AutoShape 1" descr="Vista previa de toda la pantalla">
          <a:extLst>
            <a:ext uri="{FF2B5EF4-FFF2-40B4-BE49-F238E27FC236}">
              <a16:creationId xmlns:a16="http://schemas.microsoft.com/office/drawing/2014/main" id="{C11D3173-C615-4144-8782-F6180F8AAD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5" name="AutoShape 1" descr="Vista previa de toda la pantalla">
          <a:extLst>
            <a:ext uri="{FF2B5EF4-FFF2-40B4-BE49-F238E27FC236}">
              <a16:creationId xmlns:a16="http://schemas.microsoft.com/office/drawing/2014/main" id="{29C38D27-8E1B-408A-A20C-63BF331546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6" name="AutoShape 1" descr="Vista previa de toda la pantalla">
          <a:extLst>
            <a:ext uri="{FF2B5EF4-FFF2-40B4-BE49-F238E27FC236}">
              <a16:creationId xmlns:a16="http://schemas.microsoft.com/office/drawing/2014/main" id="{4CD66371-0246-48FD-982F-B78AC56D9A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7" name="AutoShape 1" descr="Vista previa de toda la pantalla">
          <a:extLst>
            <a:ext uri="{FF2B5EF4-FFF2-40B4-BE49-F238E27FC236}">
              <a16:creationId xmlns:a16="http://schemas.microsoft.com/office/drawing/2014/main" id="{8AD77701-886C-4A94-9572-DEE033D456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8" name="AutoShape 1" descr="Vista previa de toda la pantalla">
          <a:extLst>
            <a:ext uri="{FF2B5EF4-FFF2-40B4-BE49-F238E27FC236}">
              <a16:creationId xmlns:a16="http://schemas.microsoft.com/office/drawing/2014/main" id="{231CCD26-D2D5-436C-AA81-29E4708E2C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099" name="AutoShape 1" descr="Vista previa de toda la pantalla">
          <a:extLst>
            <a:ext uri="{FF2B5EF4-FFF2-40B4-BE49-F238E27FC236}">
              <a16:creationId xmlns:a16="http://schemas.microsoft.com/office/drawing/2014/main" id="{AF794821-380E-4945-A030-2E4EE281E0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0" name="AutoShape 1" descr="Vista previa de toda la pantalla">
          <a:extLst>
            <a:ext uri="{FF2B5EF4-FFF2-40B4-BE49-F238E27FC236}">
              <a16:creationId xmlns:a16="http://schemas.microsoft.com/office/drawing/2014/main" id="{128EE6B6-1813-4E84-8C03-DBDC2A7F30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1" name="AutoShape 1" descr="Vista previa de toda la pantalla">
          <a:extLst>
            <a:ext uri="{FF2B5EF4-FFF2-40B4-BE49-F238E27FC236}">
              <a16:creationId xmlns:a16="http://schemas.microsoft.com/office/drawing/2014/main" id="{731596EA-2EAC-4DB8-8B61-379046DF36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2" name="AutoShape 1" descr="Vista previa de toda la pantalla">
          <a:extLst>
            <a:ext uri="{FF2B5EF4-FFF2-40B4-BE49-F238E27FC236}">
              <a16:creationId xmlns:a16="http://schemas.microsoft.com/office/drawing/2014/main" id="{D85947CC-9FB2-47D2-AFB1-91D96D5772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3" name="AutoShape 1" descr="Vista previa de toda la pantalla">
          <a:extLst>
            <a:ext uri="{FF2B5EF4-FFF2-40B4-BE49-F238E27FC236}">
              <a16:creationId xmlns:a16="http://schemas.microsoft.com/office/drawing/2014/main" id="{4804C48C-2AD2-4159-84D8-B047E86B19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4" name="AutoShape 1" descr="Vista previa de toda la pantalla">
          <a:extLst>
            <a:ext uri="{FF2B5EF4-FFF2-40B4-BE49-F238E27FC236}">
              <a16:creationId xmlns:a16="http://schemas.microsoft.com/office/drawing/2014/main" id="{771EA122-FF26-476D-A6E7-EC794DFE45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5" name="AutoShape 1" descr="Vista previa de toda la pantalla">
          <a:extLst>
            <a:ext uri="{FF2B5EF4-FFF2-40B4-BE49-F238E27FC236}">
              <a16:creationId xmlns:a16="http://schemas.microsoft.com/office/drawing/2014/main" id="{E2D8B667-7C29-4656-BC95-D923BC0FB2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6" name="AutoShape 1" descr="Vista previa de toda la pantalla">
          <a:extLst>
            <a:ext uri="{FF2B5EF4-FFF2-40B4-BE49-F238E27FC236}">
              <a16:creationId xmlns:a16="http://schemas.microsoft.com/office/drawing/2014/main" id="{1D185304-3B1D-4F1C-810C-9866BB0B71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7" name="AutoShape 1" descr="Vista previa de toda la pantalla">
          <a:extLst>
            <a:ext uri="{FF2B5EF4-FFF2-40B4-BE49-F238E27FC236}">
              <a16:creationId xmlns:a16="http://schemas.microsoft.com/office/drawing/2014/main" id="{110DB349-8134-47ED-92D0-494CD749F4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8" name="AutoShape 1" descr="Vista previa de toda la pantalla">
          <a:extLst>
            <a:ext uri="{FF2B5EF4-FFF2-40B4-BE49-F238E27FC236}">
              <a16:creationId xmlns:a16="http://schemas.microsoft.com/office/drawing/2014/main" id="{EE9E6CB9-B4BD-4F0D-946F-011DC4FC87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09" name="AutoShape 1" descr="Vista previa de toda la pantalla">
          <a:extLst>
            <a:ext uri="{FF2B5EF4-FFF2-40B4-BE49-F238E27FC236}">
              <a16:creationId xmlns:a16="http://schemas.microsoft.com/office/drawing/2014/main" id="{E67C8540-012A-4B70-8F31-7FDAB368B2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0" name="AutoShape 1" descr="Vista previa de toda la pantalla">
          <a:extLst>
            <a:ext uri="{FF2B5EF4-FFF2-40B4-BE49-F238E27FC236}">
              <a16:creationId xmlns:a16="http://schemas.microsoft.com/office/drawing/2014/main" id="{287BB8C9-9153-4D6A-9379-B7AE4CBF9F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1" name="AutoShape 1" descr="Vista previa de toda la pantalla">
          <a:extLst>
            <a:ext uri="{FF2B5EF4-FFF2-40B4-BE49-F238E27FC236}">
              <a16:creationId xmlns:a16="http://schemas.microsoft.com/office/drawing/2014/main" id="{B3BEA08D-86BF-44CE-9D44-7619972C1C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2" name="AutoShape 1" descr="Vista previa de toda la pantalla">
          <a:extLst>
            <a:ext uri="{FF2B5EF4-FFF2-40B4-BE49-F238E27FC236}">
              <a16:creationId xmlns:a16="http://schemas.microsoft.com/office/drawing/2014/main" id="{EFB43793-5AD3-4510-928B-CE9BB231BB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3" name="AutoShape 1" descr="Vista previa de toda la pantalla">
          <a:extLst>
            <a:ext uri="{FF2B5EF4-FFF2-40B4-BE49-F238E27FC236}">
              <a16:creationId xmlns:a16="http://schemas.microsoft.com/office/drawing/2014/main" id="{FF45EB33-9677-48F4-8332-A4BD8E75A9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4" name="AutoShape 1" descr="Vista previa de toda la pantalla">
          <a:extLst>
            <a:ext uri="{FF2B5EF4-FFF2-40B4-BE49-F238E27FC236}">
              <a16:creationId xmlns:a16="http://schemas.microsoft.com/office/drawing/2014/main" id="{4E75840A-B985-46F4-A1A7-18F85D8FC7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5" name="AutoShape 1" descr="Vista previa de toda la pantalla">
          <a:extLst>
            <a:ext uri="{FF2B5EF4-FFF2-40B4-BE49-F238E27FC236}">
              <a16:creationId xmlns:a16="http://schemas.microsoft.com/office/drawing/2014/main" id="{096F9FF8-30CF-4309-85BE-5CA99CFACF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6" name="AutoShape 1" descr="Vista previa de toda la pantalla">
          <a:extLst>
            <a:ext uri="{FF2B5EF4-FFF2-40B4-BE49-F238E27FC236}">
              <a16:creationId xmlns:a16="http://schemas.microsoft.com/office/drawing/2014/main" id="{49EE5073-48A0-4895-8C06-7CDCAED33E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7" name="AutoShape 1" descr="Vista previa de toda la pantalla">
          <a:extLst>
            <a:ext uri="{FF2B5EF4-FFF2-40B4-BE49-F238E27FC236}">
              <a16:creationId xmlns:a16="http://schemas.microsoft.com/office/drawing/2014/main" id="{6157A57B-D420-4825-85C3-D981C8F82E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8" name="AutoShape 1" descr="Vista previa de toda la pantalla">
          <a:extLst>
            <a:ext uri="{FF2B5EF4-FFF2-40B4-BE49-F238E27FC236}">
              <a16:creationId xmlns:a16="http://schemas.microsoft.com/office/drawing/2014/main" id="{EA6EC460-A6FF-4B34-AECA-BE7B990B1C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19" name="AutoShape 1" descr="Vista previa de toda la pantalla">
          <a:extLst>
            <a:ext uri="{FF2B5EF4-FFF2-40B4-BE49-F238E27FC236}">
              <a16:creationId xmlns:a16="http://schemas.microsoft.com/office/drawing/2014/main" id="{F1AD42F9-68EB-449A-8307-5EBB4073F0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0" name="AutoShape 1" descr="Vista previa de toda la pantalla">
          <a:extLst>
            <a:ext uri="{FF2B5EF4-FFF2-40B4-BE49-F238E27FC236}">
              <a16:creationId xmlns:a16="http://schemas.microsoft.com/office/drawing/2014/main" id="{CFAA3221-EC34-414F-A464-8A0A3C9005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1" name="AutoShape 1" descr="Vista previa de toda la pantalla">
          <a:extLst>
            <a:ext uri="{FF2B5EF4-FFF2-40B4-BE49-F238E27FC236}">
              <a16:creationId xmlns:a16="http://schemas.microsoft.com/office/drawing/2014/main" id="{ED3BAA5E-08C6-4DEC-81F0-1502D6F582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2" name="AutoShape 1" descr="Vista previa de toda la pantalla">
          <a:extLst>
            <a:ext uri="{FF2B5EF4-FFF2-40B4-BE49-F238E27FC236}">
              <a16:creationId xmlns:a16="http://schemas.microsoft.com/office/drawing/2014/main" id="{421CBB31-516A-4900-8993-75C9EBCD84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3" name="AutoShape 1" descr="Vista previa de toda la pantalla">
          <a:extLst>
            <a:ext uri="{FF2B5EF4-FFF2-40B4-BE49-F238E27FC236}">
              <a16:creationId xmlns:a16="http://schemas.microsoft.com/office/drawing/2014/main" id="{9AC4A7A3-C0C9-47A6-968D-D99798229F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4" name="AutoShape 1" descr="Vista previa de toda la pantalla">
          <a:extLst>
            <a:ext uri="{FF2B5EF4-FFF2-40B4-BE49-F238E27FC236}">
              <a16:creationId xmlns:a16="http://schemas.microsoft.com/office/drawing/2014/main" id="{0E9BA963-22C8-4E2F-B269-224A36FDE1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5" name="AutoShape 1" descr="Vista previa de toda la pantalla">
          <a:extLst>
            <a:ext uri="{FF2B5EF4-FFF2-40B4-BE49-F238E27FC236}">
              <a16:creationId xmlns:a16="http://schemas.microsoft.com/office/drawing/2014/main" id="{842581DE-36C7-4382-AD03-D1EB923C04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6" name="AutoShape 1" descr="Vista previa de toda la pantalla">
          <a:extLst>
            <a:ext uri="{FF2B5EF4-FFF2-40B4-BE49-F238E27FC236}">
              <a16:creationId xmlns:a16="http://schemas.microsoft.com/office/drawing/2014/main" id="{B266CA5E-922E-4BAF-97F6-508A9D2757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7" name="AutoShape 1" descr="Vista previa de toda la pantalla">
          <a:extLst>
            <a:ext uri="{FF2B5EF4-FFF2-40B4-BE49-F238E27FC236}">
              <a16:creationId xmlns:a16="http://schemas.microsoft.com/office/drawing/2014/main" id="{AD36E2E6-093C-4EE4-BADF-733356BA14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8" name="AutoShape 1" descr="Vista previa de toda la pantalla">
          <a:extLst>
            <a:ext uri="{FF2B5EF4-FFF2-40B4-BE49-F238E27FC236}">
              <a16:creationId xmlns:a16="http://schemas.microsoft.com/office/drawing/2014/main" id="{B5E27489-1C4E-49AD-9DB7-7C578A1D40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29" name="AutoShape 1" descr="Vista previa de toda la pantalla">
          <a:extLst>
            <a:ext uri="{FF2B5EF4-FFF2-40B4-BE49-F238E27FC236}">
              <a16:creationId xmlns:a16="http://schemas.microsoft.com/office/drawing/2014/main" id="{13D5C63D-E9F7-4E0D-8E94-7B1DE0EDCF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0" name="AutoShape 1" descr="Vista previa de toda la pantalla">
          <a:extLst>
            <a:ext uri="{FF2B5EF4-FFF2-40B4-BE49-F238E27FC236}">
              <a16:creationId xmlns:a16="http://schemas.microsoft.com/office/drawing/2014/main" id="{F07988BD-AEC4-435A-937E-E2657AD04B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1" name="AutoShape 1" descr="Vista previa de toda la pantalla">
          <a:extLst>
            <a:ext uri="{FF2B5EF4-FFF2-40B4-BE49-F238E27FC236}">
              <a16:creationId xmlns:a16="http://schemas.microsoft.com/office/drawing/2014/main" id="{5A1BA42B-C697-4CFD-ADC3-4928998281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2" name="AutoShape 1" descr="Vista previa de toda la pantalla">
          <a:extLst>
            <a:ext uri="{FF2B5EF4-FFF2-40B4-BE49-F238E27FC236}">
              <a16:creationId xmlns:a16="http://schemas.microsoft.com/office/drawing/2014/main" id="{19FCB89A-8A05-4EF2-A927-14CA79E932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3" name="AutoShape 1" descr="Vista previa de toda la pantalla">
          <a:extLst>
            <a:ext uri="{FF2B5EF4-FFF2-40B4-BE49-F238E27FC236}">
              <a16:creationId xmlns:a16="http://schemas.microsoft.com/office/drawing/2014/main" id="{FFF045F3-0CDA-4916-9E80-C9257FEE0F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4" name="AutoShape 1" descr="Vista previa de toda la pantalla">
          <a:extLst>
            <a:ext uri="{FF2B5EF4-FFF2-40B4-BE49-F238E27FC236}">
              <a16:creationId xmlns:a16="http://schemas.microsoft.com/office/drawing/2014/main" id="{F419F5BD-6D7D-48B4-A8B6-C5AC45CC88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5" name="AutoShape 1" descr="Vista previa de toda la pantalla">
          <a:extLst>
            <a:ext uri="{FF2B5EF4-FFF2-40B4-BE49-F238E27FC236}">
              <a16:creationId xmlns:a16="http://schemas.microsoft.com/office/drawing/2014/main" id="{1BFCBC7B-216D-4FEC-9F19-586364437B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6" name="AutoShape 1" descr="Vista previa de toda la pantalla">
          <a:extLst>
            <a:ext uri="{FF2B5EF4-FFF2-40B4-BE49-F238E27FC236}">
              <a16:creationId xmlns:a16="http://schemas.microsoft.com/office/drawing/2014/main" id="{857CCBB6-902C-401A-A0F7-7319A77164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7" name="AutoShape 1" descr="Vista previa de toda la pantalla">
          <a:extLst>
            <a:ext uri="{FF2B5EF4-FFF2-40B4-BE49-F238E27FC236}">
              <a16:creationId xmlns:a16="http://schemas.microsoft.com/office/drawing/2014/main" id="{AA9F694B-A42F-4B06-A4FF-C10D8F4DC0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8" name="AutoShape 1" descr="Vista previa de toda la pantalla">
          <a:extLst>
            <a:ext uri="{FF2B5EF4-FFF2-40B4-BE49-F238E27FC236}">
              <a16:creationId xmlns:a16="http://schemas.microsoft.com/office/drawing/2014/main" id="{F79FCAF1-E194-403F-9804-2D63704C0C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39" name="AutoShape 1" descr="Vista previa de toda la pantalla">
          <a:extLst>
            <a:ext uri="{FF2B5EF4-FFF2-40B4-BE49-F238E27FC236}">
              <a16:creationId xmlns:a16="http://schemas.microsoft.com/office/drawing/2014/main" id="{6E96E820-AAB5-4CB8-9008-BE81B460A1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0" name="AutoShape 1" descr="Vista previa de toda la pantalla">
          <a:extLst>
            <a:ext uri="{FF2B5EF4-FFF2-40B4-BE49-F238E27FC236}">
              <a16:creationId xmlns:a16="http://schemas.microsoft.com/office/drawing/2014/main" id="{8F5D29CD-DB17-43DC-AA33-E5542F1B4D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1" name="AutoShape 1" descr="Vista previa de toda la pantalla">
          <a:extLst>
            <a:ext uri="{FF2B5EF4-FFF2-40B4-BE49-F238E27FC236}">
              <a16:creationId xmlns:a16="http://schemas.microsoft.com/office/drawing/2014/main" id="{A91ED4DF-F672-4056-A4EC-91B0F79725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2" name="AutoShape 1" descr="Vista previa de toda la pantalla">
          <a:extLst>
            <a:ext uri="{FF2B5EF4-FFF2-40B4-BE49-F238E27FC236}">
              <a16:creationId xmlns:a16="http://schemas.microsoft.com/office/drawing/2014/main" id="{AB42FF89-3933-4269-A6A8-D1D36A71F7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3" name="AutoShape 1" descr="Vista previa de toda la pantalla">
          <a:extLst>
            <a:ext uri="{FF2B5EF4-FFF2-40B4-BE49-F238E27FC236}">
              <a16:creationId xmlns:a16="http://schemas.microsoft.com/office/drawing/2014/main" id="{651C6E24-F073-4C34-962B-EA05C969F8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4" name="AutoShape 1" descr="Vista previa de toda la pantalla">
          <a:extLst>
            <a:ext uri="{FF2B5EF4-FFF2-40B4-BE49-F238E27FC236}">
              <a16:creationId xmlns:a16="http://schemas.microsoft.com/office/drawing/2014/main" id="{AFF28732-1CD8-4A51-AD9C-3104C9786B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5" name="AutoShape 1" descr="Vista previa de toda la pantalla">
          <a:extLst>
            <a:ext uri="{FF2B5EF4-FFF2-40B4-BE49-F238E27FC236}">
              <a16:creationId xmlns:a16="http://schemas.microsoft.com/office/drawing/2014/main" id="{1CC6EFFD-C4D4-4517-9EDC-3982681AC6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6" name="AutoShape 1" descr="Vista previa de toda la pantalla">
          <a:extLst>
            <a:ext uri="{FF2B5EF4-FFF2-40B4-BE49-F238E27FC236}">
              <a16:creationId xmlns:a16="http://schemas.microsoft.com/office/drawing/2014/main" id="{5AE89718-DC77-4E4F-8EE7-3E69C23456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7" name="AutoShape 1" descr="Vista previa de toda la pantalla">
          <a:extLst>
            <a:ext uri="{FF2B5EF4-FFF2-40B4-BE49-F238E27FC236}">
              <a16:creationId xmlns:a16="http://schemas.microsoft.com/office/drawing/2014/main" id="{79183E9C-2801-4A4C-9680-CCD1B5E664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8" name="AutoShape 1" descr="Vista previa de toda la pantalla">
          <a:extLst>
            <a:ext uri="{FF2B5EF4-FFF2-40B4-BE49-F238E27FC236}">
              <a16:creationId xmlns:a16="http://schemas.microsoft.com/office/drawing/2014/main" id="{4F27DFA2-FFDA-4A9F-B8FE-89EC0C0327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49" name="AutoShape 1" descr="Vista previa de toda la pantalla">
          <a:extLst>
            <a:ext uri="{FF2B5EF4-FFF2-40B4-BE49-F238E27FC236}">
              <a16:creationId xmlns:a16="http://schemas.microsoft.com/office/drawing/2014/main" id="{43E54B11-C675-4F95-A0D9-4162BC1B0D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0" name="AutoShape 1" descr="Vista previa de toda la pantalla">
          <a:extLst>
            <a:ext uri="{FF2B5EF4-FFF2-40B4-BE49-F238E27FC236}">
              <a16:creationId xmlns:a16="http://schemas.microsoft.com/office/drawing/2014/main" id="{A18F9C61-9889-4455-A148-4599355E3C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1" name="AutoShape 1" descr="Vista previa de toda la pantalla">
          <a:extLst>
            <a:ext uri="{FF2B5EF4-FFF2-40B4-BE49-F238E27FC236}">
              <a16:creationId xmlns:a16="http://schemas.microsoft.com/office/drawing/2014/main" id="{250F4416-F7C9-4149-95E7-C6A7063B58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2" name="AutoShape 1" descr="Vista previa de toda la pantalla">
          <a:extLst>
            <a:ext uri="{FF2B5EF4-FFF2-40B4-BE49-F238E27FC236}">
              <a16:creationId xmlns:a16="http://schemas.microsoft.com/office/drawing/2014/main" id="{6BB82E45-98AA-48ED-AF9E-118A4DFFCF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3" name="AutoShape 1" descr="Vista previa de toda la pantalla">
          <a:extLst>
            <a:ext uri="{FF2B5EF4-FFF2-40B4-BE49-F238E27FC236}">
              <a16:creationId xmlns:a16="http://schemas.microsoft.com/office/drawing/2014/main" id="{0CE63E95-CF97-45C7-B4F3-408BE58A15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4" name="AutoShape 1" descr="Vista previa de toda la pantalla">
          <a:extLst>
            <a:ext uri="{FF2B5EF4-FFF2-40B4-BE49-F238E27FC236}">
              <a16:creationId xmlns:a16="http://schemas.microsoft.com/office/drawing/2014/main" id="{42D2D06D-B445-42AC-B67B-2D08D29A12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5" name="AutoShape 1" descr="Vista previa de toda la pantalla">
          <a:extLst>
            <a:ext uri="{FF2B5EF4-FFF2-40B4-BE49-F238E27FC236}">
              <a16:creationId xmlns:a16="http://schemas.microsoft.com/office/drawing/2014/main" id="{6F150CC1-1DA3-4AE1-9CC2-F67FEB7422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6" name="AutoShape 1" descr="Vista previa de toda la pantalla">
          <a:extLst>
            <a:ext uri="{FF2B5EF4-FFF2-40B4-BE49-F238E27FC236}">
              <a16:creationId xmlns:a16="http://schemas.microsoft.com/office/drawing/2014/main" id="{7E9F6CD2-E11B-47AC-8C96-952F4AC0D9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7" name="AutoShape 1" descr="Vista previa de toda la pantalla">
          <a:extLst>
            <a:ext uri="{FF2B5EF4-FFF2-40B4-BE49-F238E27FC236}">
              <a16:creationId xmlns:a16="http://schemas.microsoft.com/office/drawing/2014/main" id="{4D7AF81E-4592-4BA3-B584-34741708C4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8" name="AutoShape 1" descr="Vista previa de toda la pantalla">
          <a:extLst>
            <a:ext uri="{FF2B5EF4-FFF2-40B4-BE49-F238E27FC236}">
              <a16:creationId xmlns:a16="http://schemas.microsoft.com/office/drawing/2014/main" id="{1793C30B-BB3A-4EEA-BFC2-4769A1BFEA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59" name="AutoShape 1" descr="Vista previa de toda la pantalla">
          <a:extLst>
            <a:ext uri="{FF2B5EF4-FFF2-40B4-BE49-F238E27FC236}">
              <a16:creationId xmlns:a16="http://schemas.microsoft.com/office/drawing/2014/main" id="{541052E6-B6DB-427D-A1E2-3AE0517E79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0" name="AutoShape 1" descr="Vista previa de toda la pantalla">
          <a:extLst>
            <a:ext uri="{FF2B5EF4-FFF2-40B4-BE49-F238E27FC236}">
              <a16:creationId xmlns:a16="http://schemas.microsoft.com/office/drawing/2014/main" id="{6440526C-03CF-4099-8A83-4BD9028A30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1" name="AutoShape 1" descr="Vista previa de toda la pantalla">
          <a:extLst>
            <a:ext uri="{FF2B5EF4-FFF2-40B4-BE49-F238E27FC236}">
              <a16:creationId xmlns:a16="http://schemas.microsoft.com/office/drawing/2014/main" id="{B8DC7B2D-0B8F-4619-A89E-134EC51E18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2" name="AutoShape 1" descr="Vista previa de toda la pantalla">
          <a:extLst>
            <a:ext uri="{FF2B5EF4-FFF2-40B4-BE49-F238E27FC236}">
              <a16:creationId xmlns:a16="http://schemas.microsoft.com/office/drawing/2014/main" id="{72835D52-6DD0-4BC4-AB4E-FD3B54EFA4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3" name="AutoShape 1" descr="Vista previa de toda la pantalla">
          <a:extLst>
            <a:ext uri="{FF2B5EF4-FFF2-40B4-BE49-F238E27FC236}">
              <a16:creationId xmlns:a16="http://schemas.microsoft.com/office/drawing/2014/main" id="{24B7FF53-743C-4266-95D9-7EC7299C5B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4" name="AutoShape 1" descr="Vista previa de toda la pantalla">
          <a:extLst>
            <a:ext uri="{FF2B5EF4-FFF2-40B4-BE49-F238E27FC236}">
              <a16:creationId xmlns:a16="http://schemas.microsoft.com/office/drawing/2014/main" id="{FD9453EF-CA8A-4B40-ACD3-2422DC2DF4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5" name="AutoShape 1" descr="Vista previa de toda la pantalla">
          <a:extLst>
            <a:ext uri="{FF2B5EF4-FFF2-40B4-BE49-F238E27FC236}">
              <a16:creationId xmlns:a16="http://schemas.microsoft.com/office/drawing/2014/main" id="{7B13E3B9-CB42-48CE-AB21-F44C2FED7B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6" name="AutoShape 1" descr="Vista previa de toda la pantalla">
          <a:extLst>
            <a:ext uri="{FF2B5EF4-FFF2-40B4-BE49-F238E27FC236}">
              <a16:creationId xmlns:a16="http://schemas.microsoft.com/office/drawing/2014/main" id="{55568438-EB1B-4728-BFD5-5DF1C01580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7" name="AutoShape 1" descr="Vista previa de toda la pantalla">
          <a:extLst>
            <a:ext uri="{FF2B5EF4-FFF2-40B4-BE49-F238E27FC236}">
              <a16:creationId xmlns:a16="http://schemas.microsoft.com/office/drawing/2014/main" id="{4003BD8E-059C-44B3-9A57-5EA52CD07C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8" name="AutoShape 1" descr="Vista previa de toda la pantalla">
          <a:extLst>
            <a:ext uri="{FF2B5EF4-FFF2-40B4-BE49-F238E27FC236}">
              <a16:creationId xmlns:a16="http://schemas.microsoft.com/office/drawing/2014/main" id="{FAB52774-82DA-4D6D-A973-FC57807A4B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69" name="AutoShape 1" descr="Vista previa de toda la pantalla">
          <a:extLst>
            <a:ext uri="{FF2B5EF4-FFF2-40B4-BE49-F238E27FC236}">
              <a16:creationId xmlns:a16="http://schemas.microsoft.com/office/drawing/2014/main" id="{1969A394-FE39-4581-9BC2-A0C0F5C7C8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0" name="AutoShape 1" descr="Vista previa de toda la pantalla">
          <a:extLst>
            <a:ext uri="{FF2B5EF4-FFF2-40B4-BE49-F238E27FC236}">
              <a16:creationId xmlns:a16="http://schemas.microsoft.com/office/drawing/2014/main" id="{E342A6C7-1B1B-49A1-9493-9D9B9EDA69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1" name="AutoShape 1" descr="Vista previa de toda la pantalla">
          <a:extLst>
            <a:ext uri="{FF2B5EF4-FFF2-40B4-BE49-F238E27FC236}">
              <a16:creationId xmlns:a16="http://schemas.microsoft.com/office/drawing/2014/main" id="{5E916001-B381-4C09-BE1B-45B72C57EF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2" name="AutoShape 1" descr="Vista previa de toda la pantalla">
          <a:extLst>
            <a:ext uri="{FF2B5EF4-FFF2-40B4-BE49-F238E27FC236}">
              <a16:creationId xmlns:a16="http://schemas.microsoft.com/office/drawing/2014/main" id="{7C68428B-CF33-43E9-BD6B-72F56BB5C8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3" name="AutoShape 1" descr="Vista previa de toda la pantalla">
          <a:extLst>
            <a:ext uri="{FF2B5EF4-FFF2-40B4-BE49-F238E27FC236}">
              <a16:creationId xmlns:a16="http://schemas.microsoft.com/office/drawing/2014/main" id="{92266272-0FAE-4DDE-B705-950675B2CE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4" name="AutoShape 1" descr="Vista previa de toda la pantalla">
          <a:extLst>
            <a:ext uri="{FF2B5EF4-FFF2-40B4-BE49-F238E27FC236}">
              <a16:creationId xmlns:a16="http://schemas.microsoft.com/office/drawing/2014/main" id="{4A5BBC6A-4CF2-4DAC-BFC6-AE50799C7C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5" name="AutoShape 1" descr="Vista previa de toda la pantalla">
          <a:extLst>
            <a:ext uri="{FF2B5EF4-FFF2-40B4-BE49-F238E27FC236}">
              <a16:creationId xmlns:a16="http://schemas.microsoft.com/office/drawing/2014/main" id="{18D47D44-DAA5-4F62-88C6-BD6B4E45B4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6" name="AutoShape 1" descr="Vista previa de toda la pantalla">
          <a:extLst>
            <a:ext uri="{FF2B5EF4-FFF2-40B4-BE49-F238E27FC236}">
              <a16:creationId xmlns:a16="http://schemas.microsoft.com/office/drawing/2014/main" id="{C1D1AC0B-43B3-4902-94C9-80A5A10642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7" name="AutoShape 1" descr="Vista previa de toda la pantalla">
          <a:extLst>
            <a:ext uri="{FF2B5EF4-FFF2-40B4-BE49-F238E27FC236}">
              <a16:creationId xmlns:a16="http://schemas.microsoft.com/office/drawing/2014/main" id="{1ED58B28-3357-4944-9AC5-2B13A4B38B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8" name="AutoShape 1" descr="Vista previa de toda la pantalla">
          <a:extLst>
            <a:ext uri="{FF2B5EF4-FFF2-40B4-BE49-F238E27FC236}">
              <a16:creationId xmlns:a16="http://schemas.microsoft.com/office/drawing/2014/main" id="{543917C5-559D-4ED3-A4E8-86BB796936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79" name="AutoShape 1" descr="Vista previa de toda la pantalla">
          <a:extLst>
            <a:ext uri="{FF2B5EF4-FFF2-40B4-BE49-F238E27FC236}">
              <a16:creationId xmlns:a16="http://schemas.microsoft.com/office/drawing/2014/main" id="{4AFCD87F-B553-48F1-A25B-A6FC29ACCB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0" name="AutoShape 1" descr="Vista previa de toda la pantalla">
          <a:extLst>
            <a:ext uri="{FF2B5EF4-FFF2-40B4-BE49-F238E27FC236}">
              <a16:creationId xmlns:a16="http://schemas.microsoft.com/office/drawing/2014/main" id="{79B2E3B5-E91A-42DA-AB43-F65218C52A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1" name="AutoShape 1" descr="Vista previa de toda la pantalla">
          <a:extLst>
            <a:ext uri="{FF2B5EF4-FFF2-40B4-BE49-F238E27FC236}">
              <a16:creationId xmlns:a16="http://schemas.microsoft.com/office/drawing/2014/main" id="{9520FF78-35EF-4AC0-8492-94FFA32BEC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2" name="AutoShape 1" descr="Vista previa de toda la pantalla">
          <a:extLst>
            <a:ext uri="{FF2B5EF4-FFF2-40B4-BE49-F238E27FC236}">
              <a16:creationId xmlns:a16="http://schemas.microsoft.com/office/drawing/2014/main" id="{B0B3A196-45D7-4E18-BC17-893E7BA697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3" name="AutoShape 1" descr="Vista previa de toda la pantalla">
          <a:extLst>
            <a:ext uri="{FF2B5EF4-FFF2-40B4-BE49-F238E27FC236}">
              <a16:creationId xmlns:a16="http://schemas.microsoft.com/office/drawing/2014/main" id="{2C913FE9-D136-4B23-A417-D3A7E6B9BB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4" name="AutoShape 1" descr="Vista previa de toda la pantalla">
          <a:extLst>
            <a:ext uri="{FF2B5EF4-FFF2-40B4-BE49-F238E27FC236}">
              <a16:creationId xmlns:a16="http://schemas.microsoft.com/office/drawing/2014/main" id="{63A7CB3E-A3D1-448B-AFC1-FC2043BD87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5" name="AutoShape 1" descr="Vista previa de toda la pantalla">
          <a:extLst>
            <a:ext uri="{FF2B5EF4-FFF2-40B4-BE49-F238E27FC236}">
              <a16:creationId xmlns:a16="http://schemas.microsoft.com/office/drawing/2014/main" id="{1B629E05-6BBA-4F6D-BB39-7069ACDFD8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6" name="AutoShape 1" descr="Vista previa de toda la pantalla">
          <a:extLst>
            <a:ext uri="{FF2B5EF4-FFF2-40B4-BE49-F238E27FC236}">
              <a16:creationId xmlns:a16="http://schemas.microsoft.com/office/drawing/2014/main" id="{EDE55ECD-C445-4EB3-A40B-8D8E0F4BDB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7" name="AutoShape 1" descr="Vista previa de toda la pantalla">
          <a:extLst>
            <a:ext uri="{FF2B5EF4-FFF2-40B4-BE49-F238E27FC236}">
              <a16:creationId xmlns:a16="http://schemas.microsoft.com/office/drawing/2014/main" id="{D45B08E7-1A79-4A23-8810-8D4442F276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8" name="AutoShape 1" descr="Vista previa de toda la pantalla">
          <a:extLst>
            <a:ext uri="{FF2B5EF4-FFF2-40B4-BE49-F238E27FC236}">
              <a16:creationId xmlns:a16="http://schemas.microsoft.com/office/drawing/2014/main" id="{453417C4-40E0-48C6-B070-0B5C273DE5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89" name="AutoShape 1" descr="Vista previa de toda la pantalla">
          <a:extLst>
            <a:ext uri="{FF2B5EF4-FFF2-40B4-BE49-F238E27FC236}">
              <a16:creationId xmlns:a16="http://schemas.microsoft.com/office/drawing/2014/main" id="{52061FD2-9C81-441E-94BD-B84E5CD1B9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0" name="AutoShape 1" descr="Vista previa de toda la pantalla">
          <a:extLst>
            <a:ext uri="{FF2B5EF4-FFF2-40B4-BE49-F238E27FC236}">
              <a16:creationId xmlns:a16="http://schemas.microsoft.com/office/drawing/2014/main" id="{947FE4D9-4487-4C62-AC17-CFF524644A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1" name="AutoShape 1" descr="Vista previa de toda la pantalla">
          <a:extLst>
            <a:ext uri="{FF2B5EF4-FFF2-40B4-BE49-F238E27FC236}">
              <a16:creationId xmlns:a16="http://schemas.microsoft.com/office/drawing/2014/main" id="{1DCAE910-414D-45F0-994E-7FED84C3C0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2" name="AutoShape 1" descr="Vista previa de toda la pantalla">
          <a:extLst>
            <a:ext uri="{FF2B5EF4-FFF2-40B4-BE49-F238E27FC236}">
              <a16:creationId xmlns:a16="http://schemas.microsoft.com/office/drawing/2014/main" id="{835E71F6-902F-47C5-9E3F-3A119A1178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3" name="AutoShape 1" descr="Vista previa de toda la pantalla">
          <a:extLst>
            <a:ext uri="{FF2B5EF4-FFF2-40B4-BE49-F238E27FC236}">
              <a16:creationId xmlns:a16="http://schemas.microsoft.com/office/drawing/2014/main" id="{D5545AA5-B468-4221-8397-B5D6E2A1D7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4" name="AutoShape 1" descr="Vista previa de toda la pantalla">
          <a:extLst>
            <a:ext uri="{FF2B5EF4-FFF2-40B4-BE49-F238E27FC236}">
              <a16:creationId xmlns:a16="http://schemas.microsoft.com/office/drawing/2014/main" id="{8ECF968B-3F32-4688-9656-B5C7D2F246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5" name="AutoShape 1" descr="Vista previa de toda la pantalla">
          <a:extLst>
            <a:ext uri="{FF2B5EF4-FFF2-40B4-BE49-F238E27FC236}">
              <a16:creationId xmlns:a16="http://schemas.microsoft.com/office/drawing/2014/main" id="{CD891108-80B7-40EA-9063-BB4A8C6961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6" name="AutoShape 1" descr="Vista previa de toda la pantalla">
          <a:extLst>
            <a:ext uri="{FF2B5EF4-FFF2-40B4-BE49-F238E27FC236}">
              <a16:creationId xmlns:a16="http://schemas.microsoft.com/office/drawing/2014/main" id="{AC71A8BD-068E-4F3A-927F-0F0873EEFF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7" name="AutoShape 1" descr="Vista previa de toda la pantalla">
          <a:extLst>
            <a:ext uri="{FF2B5EF4-FFF2-40B4-BE49-F238E27FC236}">
              <a16:creationId xmlns:a16="http://schemas.microsoft.com/office/drawing/2014/main" id="{4080CB5A-EF12-4726-9AE5-59CDB1C3E4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8" name="AutoShape 1" descr="Vista previa de toda la pantalla">
          <a:extLst>
            <a:ext uri="{FF2B5EF4-FFF2-40B4-BE49-F238E27FC236}">
              <a16:creationId xmlns:a16="http://schemas.microsoft.com/office/drawing/2014/main" id="{2B5F502B-3AC1-422F-BB2F-D6CB4A00CD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199" name="AutoShape 1" descr="Vista previa de toda la pantalla">
          <a:extLst>
            <a:ext uri="{FF2B5EF4-FFF2-40B4-BE49-F238E27FC236}">
              <a16:creationId xmlns:a16="http://schemas.microsoft.com/office/drawing/2014/main" id="{23EE33E4-3F64-40E9-A3F9-7C57BF208B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0" name="AutoShape 1" descr="Vista previa de toda la pantalla">
          <a:extLst>
            <a:ext uri="{FF2B5EF4-FFF2-40B4-BE49-F238E27FC236}">
              <a16:creationId xmlns:a16="http://schemas.microsoft.com/office/drawing/2014/main" id="{F336F8B6-2DD1-4F25-932A-7C6892D82D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1" name="AutoShape 1" descr="Vista previa de toda la pantalla">
          <a:extLst>
            <a:ext uri="{FF2B5EF4-FFF2-40B4-BE49-F238E27FC236}">
              <a16:creationId xmlns:a16="http://schemas.microsoft.com/office/drawing/2014/main" id="{F4B0664D-79FB-4BD6-8EAB-ED0ECAE8D8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2" name="AutoShape 1" descr="Vista previa de toda la pantalla">
          <a:extLst>
            <a:ext uri="{FF2B5EF4-FFF2-40B4-BE49-F238E27FC236}">
              <a16:creationId xmlns:a16="http://schemas.microsoft.com/office/drawing/2014/main" id="{48CEFC7B-DF4B-4803-B6F0-46CE7953F8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3" name="AutoShape 1" descr="Vista previa de toda la pantalla">
          <a:extLst>
            <a:ext uri="{FF2B5EF4-FFF2-40B4-BE49-F238E27FC236}">
              <a16:creationId xmlns:a16="http://schemas.microsoft.com/office/drawing/2014/main" id="{4A72CF72-5D99-4F51-8256-315286AD1E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4" name="AutoShape 1" descr="Vista previa de toda la pantalla">
          <a:extLst>
            <a:ext uri="{FF2B5EF4-FFF2-40B4-BE49-F238E27FC236}">
              <a16:creationId xmlns:a16="http://schemas.microsoft.com/office/drawing/2014/main" id="{F767662C-3B0E-493D-88D8-AB79BE7449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5" name="AutoShape 1" descr="Vista previa de toda la pantalla">
          <a:extLst>
            <a:ext uri="{FF2B5EF4-FFF2-40B4-BE49-F238E27FC236}">
              <a16:creationId xmlns:a16="http://schemas.microsoft.com/office/drawing/2014/main" id="{98E290B3-689C-4E64-A92A-AB95261795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6" name="AutoShape 1" descr="Vista previa de toda la pantalla">
          <a:extLst>
            <a:ext uri="{FF2B5EF4-FFF2-40B4-BE49-F238E27FC236}">
              <a16:creationId xmlns:a16="http://schemas.microsoft.com/office/drawing/2014/main" id="{8A51360F-1C3F-48CC-85E0-FF6B640CA5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7" name="AutoShape 1" descr="Vista previa de toda la pantalla">
          <a:extLst>
            <a:ext uri="{FF2B5EF4-FFF2-40B4-BE49-F238E27FC236}">
              <a16:creationId xmlns:a16="http://schemas.microsoft.com/office/drawing/2014/main" id="{CF1A7543-879D-4D14-9F5C-1AA0C9AD00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8" name="AutoShape 1" descr="Vista previa de toda la pantalla">
          <a:extLst>
            <a:ext uri="{FF2B5EF4-FFF2-40B4-BE49-F238E27FC236}">
              <a16:creationId xmlns:a16="http://schemas.microsoft.com/office/drawing/2014/main" id="{E11CC4D9-0384-4FD9-967C-FAD8A9F32C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09" name="AutoShape 1" descr="Vista previa de toda la pantalla">
          <a:extLst>
            <a:ext uri="{FF2B5EF4-FFF2-40B4-BE49-F238E27FC236}">
              <a16:creationId xmlns:a16="http://schemas.microsoft.com/office/drawing/2014/main" id="{D83B82DB-C3A2-458C-8F65-8E16E7AEF0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0" name="AutoShape 1" descr="Vista previa de toda la pantalla">
          <a:extLst>
            <a:ext uri="{FF2B5EF4-FFF2-40B4-BE49-F238E27FC236}">
              <a16:creationId xmlns:a16="http://schemas.microsoft.com/office/drawing/2014/main" id="{22DE9029-A131-4617-85BD-3ECB9C0D9D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1" name="AutoShape 1" descr="Vista previa de toda la pantalla">
          <a:extLst>
            <a:ext uri="{FF2B5EF4-FFF2-40B4-BE49-F238E27FC236}">
              <a16:creationId xmlns:a16="http://schemas.microsoft.com/office/drawing/2014/main" id="{973F4701-01F7-4211-8D40-98A7040D83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2" name="AutoShape 1" descr="Vista previa de toda la pantalla">
          <a:extLst>
            <a:ext uri="{FF2B5EF4-FFF2-40B4-BE49-F238E27FC236}">
              <a16:creationId xmlns:a16="http://schemas.microsoft.com/office/drawing/2014/main" id="{5FE2D381-B5A8-4476-9646-9786F24793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3" name="AutoShape 1" descr="Vista previa de toda la pantalla">
          <a:extLst>
            <a:ext uri="{FF2B5EF4-FFF2-40B4-BE49-F238E27FC236}">
              <a16:creationId xmlns:a16="http://schemas.microsoft.com/office/drawing/2014/main" id="{DFDA3931-6826-4258-A69B-3EE6101D86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4" name="AutoShape 1" descr="Vista previa de toda la pantalla">
          <a:extLst>
            <a:ext uri="{FF2B5EF4-FFF2-40B4-BE49-F238E27FC236}">
              <a16:creationId xmlns:a16="http://schemas.microsoft.com/office/drawing/2014/main" id="{5028F0F2-3B1B-437C-B428-959EF7AB32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5" name="AutoShape 1" descr="Vista previa de toda la pantalla">
          <a:extLst>
            <a:ext uri="{FF2B5EF4-FFF2-40B4-BE49-F238E27FC236}">
              <a16:creationId xmlns:a16="http://schemas.microsoft.com/office/drawing/2014/main" id="{09A79328-08F3-42DE-A2E5-505B281891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6" name="AutoShape 1" descr="Vista previa de toda la pantalla">
          <a:extLst>
            <a:ext uri="{FF2B5EF4-FFF2-40B4-BE49-F238E27FC236}">
              <a16:creationId xmlns:a16="http://schemas.microsoft.com/office/drawing/2014/main" id="{D087B4C1-0165-4CDD-8D52-5FC853ACBF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7" name="AutoShape 1" descr="Vista previa de toda la pantalla">
          <a:extLst>
            <a:ext uri="{FF2B5EF4-FFF2-40B4-BE49-F238E27FC236}">
              <a16:creationId xmlns:a16="http://schemas.microsoft.com/office/drawing/2014/main" id="{7AB49385-71AB-4949-BE3D-82F448EB92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8" name="AutoShape 1" descr="Vista previa de toda la pantalla">
          <a:extLst>
            <a:ext uri="{FF2B5EF4-FFF2-40B4-BE49-F238E27FC236}">
              <a16:creationId xmlns:a16="http://schemas.microsoft.com/office/drawing/2014/main" id="{5EC721F6-8E07-4DCA-ACF1-59B5F1467E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19" name="AutoShape 1" descr="Vista previa de toda la pantalla">
          <a:extLst>
            <a:ext uri="{FF2B5EF4-FFF2-40B4-BE49-F238E27FC236}">
              <a16:creationId xmlns:a16="http://schemas.microsoft.com/office/drawing/2014/main" id="{0CB40B2D-CDA6-4A7F-A868-810106DDA9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0" name="AutoShape 1" descr="Vista previa de toda la pantalla">
          <a:extLst>
            <a:ext uri="{FF2B5EF4-FFF2-40B4-BE49-F238E27FC236}">
              <a16:creationId xmlns:a16="http://schemas.microsoft.com/office/drawing/2014/main" id="{62855081-35BF-4D99-985C-849B8091B8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1" name="AutoShape 1" descr="Vista previa de toda la pantalla">
          <a:extLst>
            <a:ext uri="{FF2B5EF4-FFF2-40B4-BE49-F238E27FC236}">
              <a16:creationId xmlns:a16="http://schemas.microsoft.com/office/drawing/2014/main" id="{90FD5CA1-7BED-4767-8680-F79B209476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2" name="AutoShape 1" descr="Vista previa de toda la pantalla">
          <a:extLst>
            <a:ext uri="{FF2B5EF4-FFF2-40B4-BE49-F238E27FC236}">
              <a16:creationId xmlns:a16="http://schemas.microsoft.com/office/drawing/2014/main" id="{2CA49807-9EF3-44B9-B7A2-F3D79B9BA8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3" name="AutoShape 1" descr="Vista previa de toda la pantalla">
          <a:extLst>
            <a:ext uri="{FF2B5EF4-FFF2-40B4-BE49-F238E27FC236}">
              <a16:creationId xmlns:a16="http://schemas.microsoft.com/office/drawing/2014/main" id="{DECA2A83-C2C0-402B-A8C6-2E8DBE8ACC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4" name="AutoShape 1" descr="Vista previa de toda la pantalla">
          <a:extLst>
            <a:ext uri="{FF2B5EF4-FFF2-40B4-BE49-F238E27FC236}">
              <a16:creationId xmlns:a16="http://schemas.microsoft.com/office/drawing/2014/main" id="{9B8C7A86-9E3F-499A-A9AC-2FFC76CA97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5" name="AutoShape 1" descr="Vista previa de toda la pantalla">
          <a:extLst>
            <a:ext uri="{FF2B5EF4-FFF2-40B4-BE49-F238E27FC236}">
              <a16:creationId xmlns:a16="http://schemas.microsoft.com/office/drawing/2014/main" id="{B95E0A3E-E7E2-40F6-B244-FB0A08A455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6" name="AutoShape 1" descr="Vista previa de toda la pantalla">
          <a:extLst>
            <a:ext uri="{FF2B5EF4-FFF2-40B4-BE49-F238E27FC236}">
              <a16:creationId xmlns:a16="http://schemas.microsoft.com/office/drawing/2014/main" id="{3C5C359A-9DF2-4511-8553-33131175DB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7" name="AutoShape 1" descr="Vista previa de toda la pantalla">
          <a:extLst>
            <a:ext uri="{FF2B5EF4-FFF2-40B4-BE49-F238E27FC236}">
              <a16:creationId xmlns:a16="http://schemas.microsoft.com/office/drawing/2014/main" id="{C5D6CEEC-9BAE-4B82-B715-3662466048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8" name="AutoShape 1" descr="Vista previa de toda la pantalla">
          <a:extLst>
            <a:ext uri="{FF2B5EF4-FFF2-40B4-BE49-F238E27FC236}">
              <a16:creationId xmlns:a16="http://schemas.microsoft.com/office/drawing/2014/main" id="{4385F822-A849-4F27-BB80-14D02B43F9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29" name="AutoShape 1" descr="Vista previa de toda la pantalla">
          <a:extLst>
            <a:ext uri="{FF2B5EF4-FFF2-40B4-BE49-F238E27FC236}">
              <a16:creationId xmlns:a16="http://schemas.microsoft.com/office/drawing/2014/main" id="{74A932A3-22C8-4047-9EA8-F692FB0FC2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30" name="AutoShape 1" descr="Vista previa de toda la pantalla">
          <a:extLst>
            <a:ext uri="{FF2B5EF4-FFF2-40B4-BE49-F238E27FC236}">
              <a16:creationId xmlns:a16="http://schemas.microsoft.com/office/drawing/2014/main" id="{4144221D-05B3-4EF1-9088-9239426AAF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31" name="AutoShape 1" descr="Vista previa de toda la pantalla">
          <a:extLst>
            <a:ext uri="{FF2B5EF4-FFF2-40B4-BE49-F238E27FC236}">
              <a16:creationId xmlns:a16="http://schemas.microsoft.com/office/drawing/2014/main" id="{6E11FC91-3B78-48C7-9DC8-957AE25932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4232" name="AutoShape 1" descr="Vista previa de toda la pantalla">
          <a:extLst>
            <a:ext uri="{FF2B5EF4-FFF2-40B4-BE49-F238E27FC236}">
              <a16:creationId xmlns:a16="http://schemas.microsoft.com/office/drawing/2014/main" id="{8D023FEF-6BA0-4467-AD79-A671874FF2E3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33" name="AutoShape 1" descr="Vista previa de toda la pantalla">
          <a:extLst>
            <a:ext uri="{FF2B5EF4-FFF2-40B4-BE49-F238E27FC236}">
              <a16:creationId xmlns:a16="http://schemas.microsoft.com/office/drawing/2014/main" id="{04E9A98F-5D6D-402F-8E8A-3D8625A0FF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34" name="AutoShape 1" descr="Vista previa de toda la pantalla">
          <a:extLst>
            <a:ext uri="{FF2B5EF4-FFF2-40B4-BE49-F238E27FC236}">
              <a16:creationId xmlns:a16="http://schemas.microsoft.com/office/drawing/2014/main" id="{9FC47320-5F46-446A-AE9A-9F819A990C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35" name="AutoShape 1" descr="Vista previa de toda la pantalla">
          <a:extLst>
            <a:ext uri="{FF2B5EF4-FFF2-40B4-BE49-F238E27FC236}">
              <a16:creationId xmlns:a16="http://schemas.microsoft.com/office/drawing/2014/main" id="{FFAE5452-BAE4-43A7-B618-AE1A50B621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36" name="AutoShape 1" descr="Vista previa de toda la pantalla">
          <a:extLst>
            <a:ext uri="{FF2B5EF4-FFF2-40B4-BE49-F238E27FC236}">
              <a16:creationId xmlns:a16="http://schemas.microsoft.com/office/drawing/2014/main" id="{65437572-9F5C-4465-89E0-84991FE0ED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37" name="AutoShape 1" descr="Vista previa de toda la pantalla">
          <a:extLst>
            <a:ext uri="{FF2B5EF4-FFF2-40B4-BE49-F238E27FC236}">
              <a16:creationId xmlns:a16="http://schemas.microsoft.com/office/drawing/2014/main" id="{9B4C1013-3080-4775-8486-C1F8E33515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38" name="AutoShape 1" descr="Vista previa de toda la pantalla">
          <a:extLst>
            <a:ext uri="{FF2B5EF4-FFF2-40B4-BE49-F238E27FC236}">
              <a16:creationId xmlns:a16="http://schemas.microsoft.com/office/drawing/2014/main" id="{25CFD758-ECD1-4228-B2DA-E5858B81D2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39" name="AutoShape 1" descr="Vista previa de toda la pantalla">
          <a:extLst>
            <a:ext uri="{FF2B5EF4-FFF2-40B4-BE49-F238E27FC236}">
              <a16:creationId xmlns:a16="http://schemas.microsoft.com/office/drawing/2014/main" id="{148C25EF-3409-4E7D-8DDA-A1D1AAA62F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0" name="AutoShape 1" descr="Vista previa de toda la pantalla">
          <a:extLst>
            <a:ext uri="{FF2B5EF4-FFF2-40B4-BE49-F238E27FC236}">
              <a16:creationId xmlns:a16="http://schemas.microsoft.com/office/drawing/2014/main" id="{184A16AA-9C33-4831-ABA9-E2F6686DC0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1" name="AutoShape 1" descr="Vista previa de toda la pantalla">
          <a:extLst>
            <a:ext uri="{FF2B5EF4-FFF2-40B4-BE49-F238E27FC236}">
              <a16:creationId xmlns:a16="http://schemas.microsoft.com/office/drawing/2014/main" id="{4CE01DBA-25C4-4CEE-8670-418F759D78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2" name="AutoShape 1" descr="Vista previa de toda la pantalla">
          <a:extLst>
            <a:ext uri="{FF2B5EF4-FFF2-40B4-BE49-F238E27FC236}">
              <a16:creationId xmlns:a16="http://schemas.microsoft.com/office/drawing/2014/main" id="{A98C505C-21E1-41A9-A196-0DFF7D1AA9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3" name="AutoShape 1" descr="Vista previa de toda la pantalla">
          <a:extLst>
            <a:ext uri="{FF2B5EF4-FFF2-40B4-BE49-F238E27FC236}">
              <a16:creationId xmlns:a16="http://schemas.microsoft.com/office/drawing/2014/main" id="{D4FA2FE5-4D31-49F4-8D49-2A48A8A999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4" name="AutoShape 1" descr="Vista previa de toda la pantalla">
          <a:extLst>
            <a:ext uri="{FF2B5EF4-FFF2-40B4-BE49-F238E27FC236}">
              <a16:creationId xmlns:a16="http://schemas.microsoft.com/office/drawing/2014/main" id="{B1FBB379-F19C-463A-9CB3-A481E62B74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5" name="AutoShape 1" descr="Vista previa de toda la pantalla">
          <a:extLst>
            <a:ext uri="{FF2B5EF4-FFF2-40B4-BE49-F238E27FC236}">
              <a16:creationId xmlns:a16="http://schemas.microsoft.com/office/drawing/2014/main" id="{B09F1124-9B36-4C9C-81D0-21680B581D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6" name="AutoShape 1" descr="Vista previa de toda la pantalla">
          <a:extLst>
            <a:ext uri="{FF2B5EF4-FFF2-40B4-BE49-F238E27FC236}">
              <a16:creationId xmlns:a16="http://schemas.microsoft.com/office/drawing/2014/main" id="{29509F5E-D1B7-43C7-AE89-244F7C0E2E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7" name="AutoShape 1" descr="Vista previa de toda la pantalla">
          <a:extLst>
            <a:ext uri="{FF2B5EF4-FFF2-40B4-BE49-F238E27FC236}">
              <a16:creationId xmlns:a16="http://schemas.microsoft.com/office/drawing/2014/main" id="{D4494C99-4D98-4FE0-82C4-B42DCB3988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8" name="AutoShape 1" descr="Vista previa de toda la pantalla">
          <a:extLst>
            <a:ext uri="{FF2B5EF4-FFF2-40B4-BE49-F238E27FC236}">
              <a16:creationId xmlns:a16="http://schemas.microsoft.com/office/drawing/2014/main" id="{276FC23B-9CE5-4507-847E-90B106749E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49" name="AutoShape 1" descr="Vista previa de toda la pantalla">
          <a:extLst>
            <a:ext uri="{FF2B5EF4-FFF2-40B4-BE49-F238E27FC236}">
              <a16:creationId xmlns:a16="http://schemas.microsoft.com/office/drawing/2014/main" id="{7420DCDD-669D-4422-99CE-530DCD8FDD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0" name="AutoShape 1" descr="Vista previa de toda la pantalla">
          <a:extLst>
            <a:ext uri="{FF2B5EF4-FFF2-40B4-BE49-F238E27FC236}">
              <a16:creationId xmlns:a16="http://schemas.microsoft.com/office/drawing/2014/main" id="{0422FB1C-4B1E-405B-A2F5-AF99AF3700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1" name="AutoShape 1" descr="Vista previa de toda la pantalla">
          <a:extLst>
            <a:ext uri="{FF2B5EF4-FFF2-40B4-BE49-F238E27FC236}">
              <a16:creationId xmlns:a16="http://schemas.microsoft.com/office/drawing/2014/main" id="{D2E79ECD-F999-45CE-897F-A4DCEB6CD0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2" name="AutoShape 1" descr="Vista previa de toda la pantalla">
          <a:extLst>
            <a:ext uri="{FF2B5EF4-FFF2-40B4-BE49-F238E27FC236}">
              <a16:creationId xmlns:a16="http://schemas.microsoft.com/office/drawing/2014/main" id="{435D353C-09E1-49EC-9011-9BD4A18971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3" name="AutoShape 1" descr="Vista previa de toda la pantalla">
          <a:extLst>
            <a:ext uri="{FF2B5EF4-FFF2-40B4-BE49-F238E27FC236}">
              <a16:creationId xmlns:a16="http://schemas.microsoft.com/office/drawing/2014/main" id="{1C86B5AE-E4A0-48C9-8E96-F2E810524F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4" name="AutoShape 1" descr="Vista previa de toda la pantalla">
          <a:extLst>
            <a:ext uri="{FF2B5EF4-FFF2-40B4-BE49-F238E27FC236}">
              <a16:creationId xmlns:a16="http://schemas.microsoft.com/office/drawing/2014/main" id="{86DA3DEF-2F4D-4A58-911B-A00A8FF967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5" name="AutoShape 1" descr="Vista previa de toda la pantalla">
          <a:extLst>
            <a:ext uri="{FF2B5EF4-FFF2-40B4-BE49-F238E27FC236}">
              <a16:creationId xmlns:a16="http://schemas.microsoft.com/office/drawing/2014/main" id="{366CF3C4-2A67-4979-B33D-08E14B73B7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6" name="AutoShape 1" descr="Vista previa de toda la pantalla">
          <a:extLst>
            <a:ext uri="{FF2B5EF4-FFF2-40B4-BE49-F238E27FC236}">
              <a16:creationId xmlns:a16="http://schemas.microsoft.com/office/drawing/2014/main" id="{42A42096-3DD0-43FE-B3BA-747AAC69A3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7" name="AutoShape 1" descr="Vista previa de toda la pantalla">
          <a:extLst>
            <a:ext uri="{FF2B5EF4-FFF2-40B4-BE49-F238E27FC236}">
              <a16:creationId xmlns:a16="http://schemas.microsoft.com/office/drawing/2014/main" id="{BAAAF1C6-B370-458D-BBDB-FF8524CBC4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8" name="AutoShape 1" descr="Vista previa de toda la pantalla">
          <a:extLst>
            <a:ext uri="{FF2B5EF4-FFF2-40B4-BE49-F238E27FC236}">
              <a16:creationId xmlns:a16="http://schemas.microsoft.com/office/drawing/2014/main" id="{BAAB875B-71DE-4F3C-AAFB-9F730CFFAF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59" name="AutoShape 1" descr="Vista previa de toda la pantalla">
          <a:extLst>
            <a:ext uri="{FF2B5EF4-FFF2-40B4-BE49-F238E27FC236}">
              <a16:creationId xmlns:a16="http://schemas.microsoft.com/office/drawing/2014/main" id="{A5C9E71A-4395-41C4-91CD-152ED136E0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0" name="AutoShape 1" descr="Vista previa de toda la pantalla">
          <a:extLst>
            <a:ext uri="{FF2B5EF4-FFF2-40B4-BE49-F238E27FC236}">
              <a16:creationId xmlns:a16="http://schemas.microsoft.com/office/drawing/2014/main" id="{4288EDEA-7B51-40EB-BD59-4E358BCB9D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1" name="AutoShape 1" descr="Vista previa de toda la pantalla">
          <a:extLst>
            <a:ext uri="{FF2B5EF4-FFF2-40B4-BE49-F238E27FC236}">
              <a16:creationId xmlns:a16="http://schemas.microsoft.com/office/drawing/2014/main" id="{41EDE332-50C1-4BB1-B941-EF654D0822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2" name="AutoShape 1" descr="Vista previa de toda la pantalla">
          <a:extLst>
            <a:ext uri="{FF2B5EF4-FFF2-40B4-BE49-F238E27FC236}">
              <a16:creationId xmlns:a16="http://schemas.microsoft.com/office/drawing/2014/main" id="{14F0FE99-1156-413E-A621-7A92B18498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3" name="AutoShape 1" descr="Vista previa de toda la pantalla">
          <a:extLst>
            <a:ext uri="{FF2B5EF4-FFF2-40B4-BE49-F238E27FC236}">
              <a16:creationId xmlns:a16="http://schemas.microsoft.com/office/drawing/2014/main" id="{A678BF49-63BB-4C53-ADCD-D737615EB2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4" name="AutoShape 1" descr="Vista previa de toda la pantalla">
          <a:extLst>
            <a:ext uri="{FF2B5EF4-FFF2-40B4-BE49-F238E27FC236}">
              <a16:creationId xmlns:a16="http://schemas.microsoft.com/office/drawing/2014/main" id="{5A4EFA8D-7A37-4D0E-8C0C-329DF7BD82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5" name="AutoShape 1" descr="Vista previa de toda la pantalla">
          <a:extLst>
            <a:ext uri="{FF2B5EF4-FFF2-40B4-BE49-F238E27FC236}">
              <a16:creationId xmlns:a16="http://schemas.microsoft.com/office/drawing/2014/main" id="{7BA84051-8CE7-406E-B178-BDBE64F0C4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6" name="AutoShape 1" descr="Vista previa de toda la pantalla">
          <a:extLst>
            <a:ext uri="{FF2B5EF4-FFF2-40B4-BE49-F238E27FC236}">
              <a16:creationId xmlns:a16="http://schemas.microsoft.com/office/drawing/2014/main" id="{EDE951C5-2EAB-47ED-9261-5039A45176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7" name="AutoShape 1" descr="Vista previa de toda la pantalla">
          <a:extLst>
            <a:ext uri="{FF2B5EF4-FFF2-40B4-BE49-F238E27FC236}">
              <a16:creationId xmlns:a16="http://schemas.microsoft.com/office/drawing/2014/main" id="{56180CBB-DD05-48E6-83DB-D63F9C48FE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8" name="AutoShape 1" descr="Vista previa de toda la pantalla">
          <a:extLst>
            <a:ext uri="{FF2B5EF4-FFF2-40B4-BE49-F238E27FC236}">
              <a16:creationId xmlns:a16="http://schemas.microsoft.com/office/drawing/2014/main" id="{CA75470D-377B-461E-ACED-20556CD294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69" name="AutoShape 1" descr="Vista previa de toda la pantalla">
          <a:extLst>
            <a:ext uri="{FF2B5EF4-FFF2-40B4-BE49-F238E27FC236}">
              <a16:creationId xmlns:a16="http://schemas.microsoft.com/office/drawing/2014/main" id="{DF4F524C-DE31-4EC1-B9CE-B3935CF1D9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0" name="AutoShape 1" descr="Vista previa de toda la pantalla">
          <a:extLst>
            <a:ext uri="{FF2B5EF4-FFF2-40B4-BE49-F238E27FC236}">
              <a16:creationId xmlns:a16="http://schemas.microsoft.com/office/drawing/2014/main" id="{07AF7B19-B2DD-4203-9322-D74493E25C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1" name="AutoShape 1" descr="Vista previa de toda la pantalla">
          <a:extLst>
            <a:ext uri="{FF2B5EF4-FFF2-40B4-BE49-F238E27FC236}">
              <a16:creationId xmlns:a16="http://schemas.microsoft.com/office/drawing/2014/main" id="{1574C28A-D7F0-412B-9C5B-25B66B1C1C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2" name="AutoShape 1" descr="Vista previa de toda la pantalla">
          <a:extLst>
            <a:ext uri="{FF2B5EF4-FFF2-40B4-BE49-F238E27FC236}">
              <a16:creationId xmlns:a16="http://schemas.microsoft.com/office/drawing/2014/main" id="{5EA2D8D3-907C-4D37-9F9F-4A66CDD729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3" name="AutoShape 1" descr="Vista previa de toda la pantalla">
          <a:extLst>
            <a:ext uri="{FF2B5EF4-FFF2-40B4-BE49-F238E27FC236}">
              <a16:creationId xmlns:a16="http://schemas.microsoft.com/office/drawing/2014/main" id="{CD92A5C6-3E50-4424-8940-931BC572F7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4" name="AutoShape 1" descr="Vista previa de toda la pantalla">
          <a:extLst>
            <a:ext uri="{FF2B5EF4-FFF2-40B4-BE49-F238E27FC236}">
              <a16:creationId xmlns:a16="http://schemas.microsoft.com/office/drawing/2014/main" id="{6155D569-8EE7-4EA4-B7FF-FC8144A709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5" name="AutoShape 1" descr="Vista previa de toda la pantalla">
          <a:extLst>
            <a:ext uri="{FF2B5EF4-FFF2-40B4-BE49-F238E27FC236}">
              <a16:creationId xmlns:a16="http://schemas.microsoft.com/office/drawing/2014/main" id="{B18646F9-148C-4908-9281-ABD22805CF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6" name="AutoShape 1" descr="Vista previa de toda la pantalla">
          <a:extLst>
            <a:ext uri="{FF2B5EF4-FFF2-40B4-BE49-F238E27FC236}">
              <a16:creationId xmlns:a16="http://schemas.microsoft.com/office/drawing/2014/main" id="{F1487F8C-37AB-4EDE-9E12-836C2ECAAF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7" name="AutoShape 1" descr="Vista previa de toda la pantalla">
          <a:extLst>
            <a:ext uri="{FF2B5EF4-FFF2-40B4-BE49-F238E27FC236}">
              <a16:creationId xmlns:a16="http://schemas.microsoft.com/office/drawing/2014/main" id="{3841F2E9-B2BC-4778-B8D2-61C1DB6573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8" name="AutoShape 1" descr="Vista previa de toda la pantalla">
          <a:extLst>
            <a:ext uri="{FF2B5EF4-FFF2-40B4-BE49-F238E27FC236}">
              <a16:creationId xmlns:a16="http://schemas.microsoft.com/office/drawing/2014/main" id="{A66E8AC7-D146-4D37-8C40-18896E975C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79" name="AutoShape 1" descr="Vista previa de toda la pantalla">
          <a:extLst>
            <a:ext uri="{FF2B5EF4-FFF2-40B4-BE49-F238E27FC236}">
              <a16:creationId xmlns:a16="http://schemas.microsoft.com/office/drawing/2014/main" id="{B829E07D-58C2-435F-8A10-D20892B3E0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0" name="AutoShape 1" descr="Vista previa de toda la pantalla">
          <a:extLst>
            <a:ext uri="{FF2B5EF4-FFF2-40B4-BE49-F238E27FC236}">
              <a16:creationId xmlns:a16="http://schemas.microsoft.com/office/drawing/2014/main" id="{E1632D79-6829-4853-8F5B-01CD5C2499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1" name="AutoShape 1" descr="Vista previa de toda la pantalla">
          <a:extLst>
            <a:ext uri="{FF2B5EF4-FFF2-40B4-BE49-F238E27FC236}">
              <a16:creationId xmlns:a16="http://schemas.microsoft.com/office/drawing/2014/main" id="{27C6722F-741E-4BDF-A5D9-AD063C7088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2" name="AutoShape 1" descr="Vista previa de toda la pantalla">
          <a:extLst>
            <a:ext uri="{FF2B5EF4-FFF2-40B4-BE49-F238E27FC236}">
              <a16:creationId xmlns:a16="http://schemas.microsoft.com/office/drawing/2014/main" id="{4C035819-D151-4AD6-BE4C-1DD9CFA264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3" name="AutoShape 1" descr="Vista previa de toda la pantalla">
          <a:extLst>
            <a:ext uri="{FF2B5EF4-FFF2-40B4-BE49-F238E27FC236}">
              <a16:creationId xmlns:a16="http://schemas.microsoft.com/office/drawing/2014/main" id="{CBDF5CAC-E645-4590-BDB2-BD03B61E72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4" name="AutoShape 1" descr="Vista previa de toda la pantalla">
          <a:extLst>
            <a:ext uri="{FF2B5EF4-FFF2-40B4-BE49-F238E27FC236}">
              <a16:creationId xmlns:a16="http://schemas.microsoft.com/office/drawing/2014/main" id="{CB750465-0B74-48EC-BB66-D9866EFB93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5" name="AutoShape 1" descr="Vista previa de toda la pantalla">
          <a:extLst>
            <a:ext uri="{FF2B5EF4-FFF2-40B4-BE49-F238E27FC236}">
              <a16:creationId xmlns:a16="http://schemas.microsoft.com/office/drawing/2014/main" id="{190637F8-624E-487C-BFAD-6AA666E222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6" name="AutoShape 1" descr="Vista previa de toda la pantalla">
          <a:extLst>
            <a:ext uri="{FF2B5EF4-FFF2-40B4-BE49-F238E27FC236}">
              <a16:creationId xmlns:a16="http://schemas.microsoft.com/office/drawing/2014/main" id="{719CD3E7-A885-4FA5-BE06-D7120B80BF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7" name="AutoShape 1" descr="Vista previa de toda la pantalla">
          <a:extLst>
            <a:ext uri="{FF2B5EF4-FFF2-40B4-BE49-F238E27FC236}">
              <a16:creationId xmlns:a16="http://schemas.microsoft.com/office/drawing/2014/main" id="{DC763E2C-D83D-4261-B12A-C332151760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8" name="AutoShape 1" descr="Vista previa de toda la pantalla">
          <a:extLst>
            <a:ext uri="{FF2B5EF4-FFF2-40B4-BE49-F238E27FC236}">
              <a16:creationId xmlns:a16="http://schemas.microsoft.com/office/drawing/2014/main" id="{A123E621-8ABB-432F-8EB0-A253BA33DC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89" name="AutoShape 1" descr="Vista previa de toda la pantalla">
          <a:extLst>
            <a:ext uri="{FF2B5EF4-FFF2-40B4-BE49-F238E27FC236}">
              <a16:creationId xmlns:a16="http://schemas.microsoft.com/office/drawing/2014/main" id="{682F405E-A66C-42D1-A290-DFA73BB34C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0" name="AutoShape 1" descr="Vista previa de toda la pantalla">
          <a:extLst>
            <a:ext uri="{FF2B5EF4-FFF2-40B4-BE49-F238E27FC236}">
              <a16:creationId xmlns:a16="http://schemas.microsoft.com/office/drawing/2014/main" id="{6C9EC42E-64A7-43F0-984A-3BCCC7C085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1" name="AutoShape 1" descr="Vista previa de toda la pantalla">
          <a:extLst>
            <a:ext uri="{FF2B5EF4-FFF2-40B4-BE49-F238E27FC236}">
              <a16:creationId xmlns:a16="http://schemas.microsoft.com/office/drawing/2014/main" id="{03C4EE62-A652-4999-8E1C-814D302904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2" name="AutoShape 1" descr="Vista previa de toda la pantalla">
          <a:extLst>
            <a:ext uri="{FF2B5EF4-FFF2-40B4-BE49-F238E27FC236}">
              <a16:creationId xmlns:a16="http://schemas.microsoft.com/office/drawing/2014/main" id="{9DD9AEA0-21E0-4BB9-BCA5-14D8FAD280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3" name="AutoShape 1" descr="Vista previa de toda la pantalla">
          <a:extLst>
            <a:ext uri="{FF2B5EF4-FFF2-40B4-BE49-F238E27FC236}">
              <a16:creationId xmlns:a16="http://schemas.microsoft.com/office/drawing/2014/main" id="{ACA56C52-B9A0-4958-A5BF-CC4F9280C9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4" name="AutoShape 1" descr="Vista previa de toda la pantalla">
          <a:extLst>
            <a:ext uri="{FF2B5EF4-FFF2-40B4-BE49-F238E27FC236}">
              <a16:creationId xmlns:a16="http://schemas.microsoft.com/office/drawing/2014/main" id="{9EAF887C-B29C-4BAE-9B0B-DE83800C67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5" name="AutoShape 1" descr="Vista previa de toda la pantalla">
          <a:extLst>
            <a:ext uri="{FF2B5EF4-FFF2-40B4-BE49-F238E27FC236}">
              <a16:creationId xmlns:a16="http://schemas.microsoft.com/office/drawing/2014/main" id="{5DEF2870-BBBA-491F-B88A-0C6F1F8727B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6" name="AutoShape 1" descr="Vista previa de toda la pantalla">
          <a:extLst>
            <a:ext uri="{FF2B5EF4-FFF2-40B4-BE49-F238E27FC236}">
              <a16:creationId xmlns:a16="http://schemas.microsoft.com/office/drawing/2014/main" id="{FE29C5CE-A693-470A-B996-32FA18307D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7" name="AutoShape 1" descr="Vista previa de toda la pantalla">
          <a:extLst>
            <a:ext uri="{FF2B5EF4-FFF2-40B4-BE49-F238E27FC236}">
              <a16:creationId xmlns:a16="http://schemas.microsoft.com/office/drawing/2014/main" id="{5D5FC190-095C-44D7-A608-87987FCE7F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8" name="AutoShape 1" descr="Vista previa de toda la pantalla">
          <a:extLst>
            <a:ext uri="{FF2B5EF4-FFF2-40B4-BE49-F238E27FC236}">
              <a16:creationId xmlns:a16="http://schemas.microsoft.com/office/drawing/2014/main" id="{D41695F6-3269-44CB-8463-56E02A66FD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299" name="AutoShape 1" descr="Vista previa de toda la pantalla">
          <a:extLst>
            <a:ext uri="{FF2B5EF4-FFF2-40B4-BE49-F238E27FC236}">
              <a16:creationId xmlns:a16="http://schemas.microsoft.com/office/drawing/2014/main" id="{2D876E05-C76D-4EFB-9D27-DA58662A77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0" name="AutoShape 1" descr="Vista previa de toda la pantalla">
          <a:extLst>
            <a:ext uri="{FF2B5EF4-FFF2-40B4-BE49-F238E27FC236}">
              <a16:creationId xmlns:a16="http://schemas.microsoft.com/office/drawing/2014/main" id="{881D21D2-A07C-424E-9EB1-642E1BBB31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1" name="AutoShape 1" descr="Vista previa de toda la pantalla">
          <a:extLst>
            <a:ext uri="{FF2B5EF4-FFF2-40B4-BE49-F238E27FC236}">
              <a16:creationId xmlns:a16="http://schemas.microsoft.com/office/drawing/2014/main" id="{B6E82ECE-28CF-4E97-8217-FE0AE6B6B3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2" name="AutoShape 1" descr="Vista previa de toda la pantalla">
          <a:extLst>
            <a:ext uri="{FF2B5EF4-FFF2-40B4-BE49-F238E27FC236}">
              <a16:creationId xmlns:a16="http://schemas.microsoft.com/office/drawing/2014/main" id="{61A21319-01B6-4A82-81A6-6E29E1AE16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3" name="AutoShape 1" descr="Vista previa de toda la pantalla">
          <a:extLst>
            <a:ext uri="{FF2B5EF4-FFF2-40B4-BE49-F238E27FC236}">
              <a16:creationId xmlns:a16="http://schemas.microsoft.com/office/drawing/2014/main" id="{7CDF964F-7532-4324-B7E2-B9D91BB89B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4" name="AutoShape 1" descr="Vista previa de toda la pantalla">
          <a:extLst>
            <a:ext uri="{FF2B5EF4-FFF2-40B4-BE49-F238E27FC236}">
              <a16:creationId xmlns:a16="http://schemas.microsoft.com/office/drawing/2014/main" id="{44C8040C-F296-47CA-B9C5-93933485DC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5" name="AutoShape 1" descr="Vista previa de toda la pantalla">
          <a:extLst>
            <a:ext uri="{FF2B5EF4-FFF2-40B4-BE49-F238E27FC236}">
              <a16:creationId xmlns:a16="http://schemas.microsoft.com/office/drawing/2014/main" id="{7303E31E-7B27-44BC-9BC1-3E75885B09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6" name="AutoShape 1" descr="Vista previa de toda la pantalla">
          <a:extLst>
            <a:ext uri="{FF2B5EF4-FFF2-40B4-BE49-F238E27FC236}">
              <a16:creationId xmlns:a16="http://schemas.microsoft.com/office/drawing/2014/main" id="{71548AB9-C650-4E74-A6D9-0B488DD7C4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7" name="AutoShape 1" descr="Vista previa de toda la pantalla">
          <a:extLst>
            <a:ext uri="{FF2B5EF4-FFF2-40B4-BE49-F238E27FC236}">
              <a16:creationId xmlns:a16="http://schemas.microsoft.com/office/drawing/2014/main" id="{74D3D276-F946-4CA2-A962-443EE24654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8" name="AutoShape 1" descr="Vista previa de toda la pantalla">
          <a:extLst>
            <a:ext uri="{FF2B5EF4-FFF2-40B4-BE49-F238E27FC236}">
              <a16:creationId xmlns:a16="http://schemas.microsoft.com/office/drawing/2014/main" id="{66DFBF8C-A55F-46F4-BB36-21A779C230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09" name="AutoShape 1" descr="Vista previa de toda la pantalla">
          <a:extLst>
            <a:ext uri="{FF2B5EF4-FFF2-40B4-BE49-F238E27FC236}">
              <a16:creationId xmlns:a16="http://schemas.microsoft.com/office/drawing/2014/main" id="{4BCC9B04-732E-44C4-8780-502C132091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0" name="AutoShape 1" descr="Vista previa de toda la pantalla">
          <a:extLst>
            <a:ext uri="{FF2B5EF4-FFF2-40B4-BE49-F238E27FC236}">
              <a16:creationId xmlns:a16="http://schemas.microsoft.com/office/drawing/2014/main" id="{D4D7628A-05D5-4411-8789-C1A39675DF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1" name="AutoShape 1" descr="Vista previa de toda la pantalla">
          <a:extLst>
            <a:ext uri="{FF2B5EF4-FFF2-40B4-BE49-F238E27FC236}">
              <a16:creationId xmlns:a16="http://schemas.microsoft.com/office/drawing/2014/main" id="{19D43D9E-0CC9-40E2-8F9F-7A1708865F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2" name="AutoShape 1" descr="Vista previa de toda la pantalla">
          <a:extLst>
            <a:ext uri="{FF2B5EF4-FFF2-40B4-BE49-F238E27FC236}">
              <a16:creationId xmlns:a16="http://schemas.microsoft.com/office/drawing/2014/main" id="{1313EE0B-1EC8-427B-97D1-9153F33311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3" name="AutoShape 1" descr="Vista previa de toda la pantalla">
          <a:extLst>
            <a:ext uri="{FF2B5EF4-FFF2-40B4-BE49-F238E27FC236}">
              <a16:creationId xmlns:a16="http://schemas.microsoft.com/office/drawing/2014/main" id="{67F3D7D4-B158-4631-88D7-4AEAA5DD3E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4" name="AutoShape 1" descr="Vista previa de toda la pantalla">
          <a:extLst>
            <a:ext uri="{FF2B5EF4-FFF2-40B4-BE49-F238E27FC236}">
              <a16:creationId xmlns:a16="http://schemas.microsoft.com/office/drawing/2014/main" id="{BD40EA52-CD43-4EC8-956A-893370816B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5" name="AutoShape 1" descr="Vista previa de toda la pantalla">
          <a:extLst>
            <a:ext uri="{FF2B5EF4-FFF2-40B4-BE49-F238E27FC236}">
              <a16:creationId xmlns:a16="http://schemas.microsoft.com/office/drawing/2014/main" id="{6801EA90-5BB8-4631-A72D-B69B7405F9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6" name="AutoShape 1" descr="Vista previa de toda la pantalla">
          <a:extLst>
            <a:ext uri="{FF2B5EF4-FFF2-40B4-BE49-F238E27FC236}">
              <a16:creationId xmlns:a16="http://schemas.microsoft.com/office/drawing/2014/main" id="{88B12528-9B76-4C03-BA31-69443993DC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7" name="AutoShape 1" descr="Vista previa de toda la pantalla">
          <a:extLst>
            <a:ext uri="{FF2B5EF4-FFF2-40B4-BE49-F238E27FC236}">
              <a16:creationId xmlns:a16="http://schemas.microsoft.com/office/drawing/2014/main" id="{AEE474FD-C490-4070-B053-1AB30C8779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8" name="AutoShape 1" descr="Vista previa de toda la pantalla">
          <a:extLst>
            <a:ext uri="{FF2B5EF4-FFF2-40B4-BE49-F238E27FC236}">
              <a16:creationId xmlns:a16="http://schemas.microsoft.com/office/drawing/2014/main" id="{76D29B8F-E3E4-460C-BB7F-B06BB3946F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19" name="AutoShape 1" descr="Vista previa de toda la pantalla">
          <a:extLst>
            <a:ext uri="{FF2B5EF4-FFF2-40B4-BE49-F238E27FC236}">
              <a16:creationId xmlns:a16="http://schemas.microsoft.com/office/drawing/2014/main" id="{63BCA60C-44B8-4660-9447-EF3EFBE684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0" name="AutoShape 1" descr="Vista previa de toda la pantalla">
          <a:extLst>
            <a:ext uri="{FF2B5EF4-FFF2-40B4-BE49-F238E27FC236}">
              <a16:creationId xmlns:a16="http://schemas.microsoft.com/office/drawing/2014/main" id="{E1F6ED35-192A-47C7-AD09-CA74D6F86A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1" name="AutoShape 1" descr="Vista previa de toda la pantalla">
          <a:extLst>
            <a:ext uri="{FF2B5EF4-FFF2-40B4-BE49-F238E27FC236}">
              <a16:creationId xmlns:a16="http://schemas.microsoft.com/office/drawing/2014/main" id="{F23B2D23-74C6-4382-9A44-B0349FE3BB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2" name="AutoShape 1" descr="Vista previa de toda la pantalla">
          <a:extLst>
            <a:ext uri="{FF2B5EF4-FFF2-40B4-BE49-F238E27FC236}">
              <a16:creationId xmlns:a16="http://schemas.microsoft.com/office/drawing/2014/main" id="{6E012870-BFBE-4509-9367-3D547E307F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3" name="AutoShape 1" descr="Vista previa de toda la pantalla">
          <a:extLst>
            <a:ext uri="{FF2B5EF4-FFF2-40B4-BE49-F238E27FC236}">
              <a16:creationId xmlns:a16="http://schemas.microsoft.com/office/drawing/2014/main" id="{19EF71B7-5FC8-444A-8746-4EF0B55EB3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4" name="AutoShape 1" descr="Vista previa de toda la pantalla">
          <a:extLst>
            <a:ext uri="{FF2B5EF4-FFF2-40B4-BE49-F238E27FC236}">
              <a16:creationId xmlns:a16="http://schemas.microsoft.com/office/drawing/2014/main" id="{6A61BAD8-4298-49BF-8036-95578520C8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5" name="AutoShape 1" descr="Vista previa de toda la pantalla">
          <a:extLst>
            <a:ext uri="{FF2B5EF4-FFF2-40B4-BE49-F238E27FC236}">
              <a16:creationId xmlns:a16="http://schemas.microsoft.com/office/drawing/2014/main" id="{FC63D38B-2FC3-45DA-9E68-CCB24BB742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6" name="AutoShape 1" descr="Vista previa de toda la pantalla">
          <a:extLst>
            <a:ext uri="{FF2B5EF4-FFF2-40B4-BE49-F238E27FC236}">
              <a16:creationId xmlns:a16="http://schemas.microsoft.com/office/drawing/2014/main" id="{E61EDB71-0EA2-4A47-B27B-E2B8A26127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7" name="AutoShape 1" descr="Vista previa de toda la pantalla">
          <a:extLst>
            <a:ext uri="{FF2B5EF4-FFF2-40B4-BE49-F238E27FC236}">
              <a16:creationId xmlns:a16="http://schemas.microsoft.com/office/drawing/2014/main" id="{963EA1C0-7FEB-40DD-BAA2-3F6AFF1D39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8" name="AutoShape 1" descr="Vista previa de toda la pantalla">
          <a:extLst>
            <a:ext uri="{FF2B5EF4-FFF2-40B4-BE49-F238E27FC236}">
              <a16:creationId xmlns:a16="http://schemas.microsoft.com/office/drawing/2014/main" id="{01D698A7-45D7-4BB6-96F1-DD6D206320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29" name="AutoShape 1" descr="Vista previa de toda la pantalla">
          <a:extLst>
            <a:ext uri="{FF2B5EF4-FFF2-40B4-BE49-F238E27FC236}">
              <a16:creationId xmlns:a16="http://schemas.microsoft.com/office/drawing/2014/main" id="{6F6E3700-BD25-4AA5-8F2D-61A75B2587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0" name="AutoShape 1" descr="Vista previa de toda la pantalla">
          <a:extLst>
            <a:ext uri="{FF2B5EF4-FFF2-40B4-BE49-F238E27FC236}">
              <a16:creationId xmlns:a16="http://schemas.microsoft.com/office/drawing/2014/main" id="{BA1B1993-E473-495C-B8AD-6C6858E11D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1" name="AutoShape 1" descr="Vista previa de toda la pantalla">
          <a:extLst>
            <a:ext uri="{FF2B5EF4-FFF2-40B4-BE49-F238E27FC236}">
              <a16:creationId xmlns:a16="http://schemas.microsoft.com/office/drawing/2014/main" id="{D330D0AC-01FB-4E7D-B9B3-EA98B9A841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2" name="AutoShape 1" descr="Vista previa de toda la pantalla">
          <a:extLst>
            <a:ext uri="{FF2B5EF4-FFF2-40B4-BE49-F238E27FC236}">
              <a16:creationId xmlns:a16="http://schemas.microsoft.com/office/drawing/2014/main" id="{0D79C2E0-A32C-4EC5-91F8-38B7B1AF60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3" name="AutoShape 1" descr="Vista previa de toda la pantalla">
          <a:extLst>
            <a:ext uri="{FF2B5EF4-FFF2-40B4-BE49-F238E27FC236}">
              <a16:creationId xmlns:a16="http://schemas.microsoft.com/office/drawing/2014/main" id="{7043F9C2-7043-45BF-927B-EB26B08AFE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4" name="AutoShape 1" descr="Vista previa de toda la pantalla">
          <a:extLst>
            <a:ext uri="{FF2B5EF4-FFF2-40B4-BE49-F238E27FC236}">
              <a16:creationId xmlns:a16="http://schemas.microsoft.com/office/drawing/2014/main" id="{DEC22D20-FCAC-41FD-BD8F-07CCECC7EF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5" name="AutoShape 1" descr="Vista previa de toda la pantalla">
          <a:extLst>
            <a:ext uri="{FF2B5EF4-FFF2-40B4-BE49-F238E27FC236}">
              <a16:creationId xmlns:a16="http://schemas.microsoft.com/office/drawing/2014/main" id="{2F298F82-0456-4CB6-8C77-BD7D4EAF22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6" name="AutoShape 1" descr="Vista previa de toda la pantalla">
          <a:extLst>
            <a:ext uri="{FF2B5EF4-FFF2-40B4-BE49-F238E27FC236}">
              <a16:creationId xmlns:a16="http://schemas.microsoft.com/office/drawing/2014/main" id="{49FB0448-D423-4797-8757-3ADC2DB2DD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7" name="AutoShape 1" descr="Vista previa de toda la pantalla">
          <a:extLst>
            <a:ext uri="{FF2B5EF4-FFF2-40B4-BE49-F238E27FC236}">
              <a16:creationId xmlns:a16="http://schemas.microsoft.com/office/drawing/2014/main" id="{04C6F17F-E489-43CE-8E40-17F458E204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8" name="AutoShape 1" descr="Vista previa de toda la pantalla">
          <a:extLst>
            <a:ext uri="{FF2B5EF4-FFF2-40B4-BE49-F238E27FC236}">
              <a16:creationId xmlns:a16="http://schemas.microsoft.com/office/drawing/2014/main" id="{D7CF8E70-23E5-46EE-B3D2-160FCA92CC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39" name="AutoShape 1" descr="Vista previa de toda la pantalla">
          <a:extLst>
            <a:ext uri="{FF2B5EF4-FFF2-40B4-BE49-F238E27FC236}">
              <a16:creationId xmlns:a16="http://schemas.microsoft.com/office/drawing/2014/main" id="{3EBC9AEE-D8BD-4399-85FB-6B643559FC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0" name="AutoShape 1" descr="Vista previa de toda la pantalla">
          <a:extLst>
            <a:ext uri="{FF2B5EF4-FFF2-40B4-BE49-F238E27FC236}">
              <a16:creationId xmlns:a16="http://schemas.microsoft.com/office/drawing/2014/main" id="{33E3B9BA-75BF-45F4-B421-1E80CE0BC8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1" name="AutoShape 1" descr="Vista previa de toda la pantalla">
          <a:extLst>
            <a:ext uri="{FF2B5EF4-FFF2-40B4-BE49-F238E27FC236}">
              <a16:creationId xmlns:a16="http://schemas.microsoft.com/office/drawing/2014/main" id="{EBCD6410-349A-47B8-8914-BF8613BA8D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2" name="AutoShape 1" descr="Vista previa de toda la pantalla">
          <a:extLst>
            <a:ext uri="{FF2B5EF4-FFF2-40B4-BE49-F238E27FC236}">
              <a16:creationId xmlns:a16="http://schemas.microsoft.com/office/drawing/2014/main" id="{F76AF1C8-2B61-42D2-9AA2-6C45B806C0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3" name="AutoShape 1" descr="Vista previa de toda la pantalla">
          <a:extLst>
            <a:ext uri="{FF2B5EF4-FFF2-40B4-BE49-F238E27FC236}">
              <a16:creationId xmlns:a16="http://schemas.microsoft.com/office/drawing/2014/main" id="{A1B3FC2A-049D-48F4-8560-6131BB66A6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4" name="AutoShape 1" descr="Vista previa de toda la pantalla">
          <a:extLst>
            <a:ext uri="{FF2B5EF4-FFF2-40B4-BE49-F238E27FC236}">
              <a16:creationId xmlns:a16="http://schemas.microsoft.com/office/drawing/2014/main" id="{4AC2B8D7-5A4A-4860-A632-258FBB6424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5" name="AutoShape 1" descr="Vista previa de toda la pantalla">
          <a:extLst>
            <a:ext uri="{FF2B5EF4-FFF2-40B4-BE49-F238E27FC236}">
              <a16:creationId xmlns:a16="http://schemas.microsoft.com/office/drawing/2014/main" id="{EE5A490A-927D-4FBC-A855-32990A3506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6" name="AutoShape 1" descr="Vista previa de toda la pantalla">
          <a:extLst>
            <a:ext uri="{FF2B5EF4-FFF2-40B4-BE49-F238E27FC236}">
              <a16:creationId xmlns:a16="http://schemas.microsoft.com/office/drawing/2014/main" id="{E7ECAA8A-AD1F-4F1B-8B3A-490AF372D9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7" name="AutoShape 1" descr="Vista previa de toda la pantalla">
          <a:extLst>
            <a:ext uri="{FF2B5EF4-FFF2-40B4-BE49-F238E27FC236}">
              <a16:creationId xmlns:a16="http://schemas.microsoft.com/office/drawing/2014/main" id="{EEC2B41E-4049-4245-8078-3500752EB2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8" name="AutoShape 1" descr="Vista previa de toda la pantalla">
          <a:extLst>
            <a:ext uri="{FF2B5EF4-FFF2-40B4-BE49-F238E27FC236}">
              <a16:creationId xmlns:a16="http://schemas.microsoft.com/office/drawing/2014/main" id="{DDB9994F-3921-4904-BDA9-0C82BEBE70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49" name="AutoShape 1" descr="Vista previa de toda la pantalla">
          <a:extLst>
            <a:ext uri="{FF2B5EF4-FFF2-40B4-BE49-F238E27FC236}">
              <a16:creationId xmlns:a16="http://schemas.microsoft.com/office/drawing/2014/main" id="{5F6841A7-CBE9-4017-9CAB-F00822FA7F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0" name="AutoShape 1" descr="Vista previa de toda la pantalla">
          <a:extLst>
            <a:ext uri="{FF2B5EF4-FFF2-40B4-BE49-F238E27FC236}">
              <a16:creationId xmlns:a16="http://schemas.microsoft.com/office/drawing/2014/main" id="{5C57B056-F826-453B-BD54-E6EB8F02FE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1" name="AutoShape 1" descr="Vista previa de toda la pantalla">
          <a:extLst>
            <a:ext uri="{FF2B5EF4-FFF2-40B4-BE49-F238E27FC236}">
              <a16:creationId xmlns:a16="http://schemas.microsoft.com/office/drawing/2014/main" id="{C55617AA-D015-4D66-BB75-EB69F0D18B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2" name="AutoShape 1" descr="Vista previa de toda la pantalla">
          <a:extLst>
            <a:ext uri="{FF2B5EF4-FFF2-40B4-BE49-F238E27FC236}">
              <a16:creationId xmlns:a16="http://schemas.microsoft.com/office/drawing/2014/main" id="{96371158-8970-4ADA-B159-27E8E35D94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3" name="AutoShape 1" descr="Vista previa de toda la pantalla">
          <a:extLst>
            <a:ext uri="{FF2B5EF4-FFF2-40B4-BE49-F238E27FC236}">
              <a16:creationId xmlns:a16="http://schemas.microsoft.com/office/drawing/2014/main" id="{07350A6D-68E4-4F64-B575-B2B8FBA9F9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4" name="AutoShape 1" descr="Vista previa de toda la pantalla">
          <a:extLst>
            <a:ext uri="{FF2B5EF4-FFF2-40B4-BE49-F238E27FC236}">
              <a16:creationId xmlns:a16="http://schemas.microsoft.com/office/drawing/2014/main" id="{5F11A7D6-244C-47DC-B9DF-EED4D706B8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5" name="AutoShape 1" descr="Vista previa de toda la pantalla">
          <a:extLst>
            <a:ext uri="{FF2B5EF4-FFF2-40B4-BE49-F238E27FC236}">
              <a16:creationId xmlns:a16="http://schemas.microsoft.com/office/drawing/2014/main" id="{DE242962-2825-42C4-A5D6-47BD4A3622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6" name="AutoShape 1" descr="Vista previa de toda la pantalla">
          <a:extLst>
            <a:ext uri="{FF2B5EF4-FFF2-40B4-BE49-F238E27FC236}">
              <a16:creationId xmlns:a16="http://schemas.microsoft.com/office/drawing/2014/main" id="{5E1E1A1F-7CC3-4F3B-B81A-54E7F11382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7" name="AutoShape 1" descr="Vista previa de toda la pantalla">
          <a:extLst>
            <a:ext uri="{FF2B5EF4-FFF2-40B4-BE49-F238E27FC236}">
              <a16:creationId xmlns:a16="http://schemas.microsoft.com/office/drawing/2014/main" id="{F35BB1B1-80B2-4C89-AA87-201E8C35EF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8" name="AutoShape 1" descr="Vista previa de toda la pantalla">
          <a:extLst>
            <a:ext uri="{FF2B5EF4-FFF2-40B4-BE49-F238E27FC236}">
              <a16:creationId xmlns:a16="http://schemas.microsoft.com/office/drawing/2014/main" id="{EB5435E0-AD5B-45AF-A1A1-01FBB2D3E4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59" name="AutoShape 1" descr="Vista previa de toda la pantalla">
          <a:extLst>
            <a:ext uri="{FF2B5EF4-FFF2-40B4-BE49-F238E27FC236}">
              <a16:creationId xmlns:a16="http://schemas.microsoft.com/office/drawing/2014/main" id="{778DB7C9-6039-49C2-9159-BD5FB2F304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0" name="AutoShape 1" descr="Vista previa de toda la pantalla">
          <a:extLst>
            <a:ext uri="{FF2B5EF4-FFF2-40B4-BE49-F238E27FC236}">
              <a16:creationId xmlns:a16="http://schemas.microsoft.com/office/drawing/2014/main" id="{DF744064-75AF-4A51-9519-BB8B400C63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1" name="AutoShape 1" descr="Vista previa de toda la pantalla">
          <a:extLst>
            <a:ext uri="{FF2B5EF4-FFF2-40B4-BE49-F238E27FC236}">
              <a16:creationId xmlns:a16="http://schemas.microsoft.com/office/drawing/2014/main" id="{94C24493-5D27-40C9-BC26-C2864550BA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2" name="AutoShape 1" descr="Vista previa de toda la pantalla">
          <a:extLst>
            <a:ext uri="{FF2B5EF4-FFF2-40B4-BE49-F238E27FC236}">
              <a16:creationId xmlns:a16="http://schemas.microsoft.com/office/drawing/2014/main" id="{633A615A-DE8D-440B-BE24-7869187DCD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3" name="AutoShape 1" descr="Vista previa de toda la pantalla">
          <a:extLst>
            <a:ext uri="{FF2B5EF4-FFF2-40B4-BE49-F238E27FC236}">
              <a16:creationId xmlns:a16="http://schemas.microsoft.com/office/drawing/2014/main" id="{6AAC9AC0-7FA7-4BF5-BF47-9982D9A321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4" name="AutoShape 1" descr="Vista previa de toda la pantalla">
          <a:extLst>
            <a:ext uri="{FF2B5EF4-FFF2-40B4-BE49-F238E27FC236}">
              <a16:creationId xmlns:a16="http://schemas.microsoft.com/office/drawing/2014/main" id="{96DF9F2D-3BE3-4F0E-9379-2AC131DD26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5" name="AutoShape 1" descr="Vista previa de toda la pantalla">
          <a:extLst>
            <a:ext uri="{FF2B5EF4-FFF2-40B4-BE49-F238E27FC236}">
              <a16:creationId xmlns:a16="http://schemas.microsoft.com/office/drawing/2014/main" id="{9DCBBD14-A663-41DC-9731-F2E59B33B0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6" name="AutoShape 1" descr="Vista previa de toda la pantalla">
          <a:extLst>
            <a:ext uri="{FF2B5EF4-FFF2-40B4-BE49-F238E27FC236}">
              <a16:creationId xmlns:a16="http://schemas.microsoft.com/office/drawing/2014/main" id="{C2563F7E-B03C-4148-89A2-DCC0878766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7" name="AutoShape 1" descr="Vista previa de toda la pantalla">
          <a:extLst>
            <a:ext uri="{FF2B5EF4-FFF2-40B4-BE49-F238E27FC236}">
              <a16:creationId xmlns:a16="http://schemas.microsoft.com/office/drawing/2014/main" id="{9F478C9B-6B04-4AAD-B0D3-21C90293E4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8" name="AutoShape 1" descr="Vista previa de toda la pantalla">
          <a:extLst>
            <a:ext uri="{FF2B5EF4-FFF2-40B4-BE49-F238E27FC236}">
              <a16:creationId xmlns:a16="http://schemas.microsoft.com/office/drawing/2014/main" id="{18B824E8-5BC3-4ED7-A700-084B3D0CF5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69" name="AutoShape 1" descr="Vista previa de toda la pantalla">
          <a:extLst>
            <a:ext uri="{FF2B5EF4-FFF2-40B4-BE49-F238E27FC236}">
              <a16:creationId xmlns:a16="http://schemas.microsoft.com/office/drawing/2014/main" id="{6C710816-C8B9-4F4E-9151-909ACC72C3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0" name="AutoShape 1" descr="Vista previa de toda la pantalla">
          <a:extLst>
            <a:ext uri="{FF2B5EF4-FFF2-40B4-BE49-F238E27FC236}">
              <a16:creationId xmlns:a16="http://schemas.microsoft.com/office/drawing/2014/main" id="{170FF70F-3F14-470D-A931-CE29078B98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1" name="AutoShape 1" descr="Vista previa de toda la pantalla">
          <a:extLst>
            <a:ext uri="{FF2B5EF4-FFF2-40B4-BE49-F238E27FC236}">
              <a16:creationId xmlns:a16="http://schemas.microsoft.com/office/drawing/2014/main" id="{79E06119-8582-463C-BF6E-6F73B1337B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2" name="AutoShape 1" descr="Vista previa de toda la pantalla">
          <a:extLst>
            <a:ext uri="{FF2B5EF4-FFF2-40B4-BE49-F238E27FC236}">
              <a16:creationId xmlns:a16="http://schemas.microsoft.com/office/drawing/2014/main" id="{FEA06BCC-50AA-4A1C-A758-1FC024FD8F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3" name="AutoShape 1" descr="Vista previa de toda la pantalla">
          <a:extLst>
            <a:ext uri="{FF2B5EF4-FFF2-40B4-BE49-F238E27FC236}">
              <a16:creationId xmlns:a16="http://schemas.microsoft.com/office/drawing/2014/main" id="{A5A59245-120B-4DA6-88A9-2FABB02899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4" name="AutoShape 1" descr="Vista previa de toda la pantalla">
          <a:extLst>
            <a:ext uri="{FF2B5EF4-FFF2-40B4-BE49-F238E27FC236}">
              <a16:creationId xmlns:a16="http://schemas.microsoft.com/office/drawing/2014/main" id="{C4055B98-32DF-445B-B7FE-D6BEA17214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5" name="AutoShape 1" descr="Vista previa de toda la pantalla">
          <a:extLst>
            <a:ext uri="{FF2B5EF4-FFF2-40B4-BE49-F238E27FC236}">
              <a16:creationId xmlns:a16="http://schemas.microsoft.com/office/drawing/2014/main" id="{0A14FF26-AF49-4E4C-8C5E-9D0E151457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6" name="AutoShape 1" descr="Vista previa de toda la pantalla">
          <a:extLst>
            <a:ext uri="{FF2B5EF4-FFF2-40B4-BE49-F238E27FC236}">
              <a16:creationId xmlns:a16="http://schemas.microsoft.com/office/drawing/2014/main" id="{4FE313F9-5E76-49C9-A3E7-2078949832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7" name="AutoShape 1" descr="Vista previa de toda la pantalla">
          <a:extLst>
            <a:ext uri="{FF2B5EF4-FFF2-40B4-BE49-F238E27FC236}">
              <a16:creationId xmlns:a16="http://schemas.microsoft.com/office/drawing/2014/main" id="{3F0D0AFB-44CB-4601-8B08-898E61A917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8" name="AutoShape 1" descr="Vista previa de toda la pantalla">
          <a:extLst>
            <a:ext uri="{FF2B5EF4-FFF2-40B4-BE49-F238E27FC236}">
              <a16:creationId xmlns:a16="http://schemas.microsoft.com/office/drawing/2014/main" id="{72F3DC1B-303D-40ED-B16F-6F96DEE875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79" name="AutoShape 1" descr="Vista previa de toda la pantalla">
          <a:extLst>
            <a:ext uri="{FF2B5EF4-FFF2-40B4-BE49-F238E27FC236}">
              <a16:creationId xmlns:a16="http://schemas.microsoft.com/office/drawing/2014/main" id="{667E13E3-35FC-4B12-80DD-8AC569F5ED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0" name="AutoShape 1" descr="Vista previa de toda la pantalla">
          <a:extLst>
            <a:ext uri="{FF2B5EF4-FFF2-40B4-BE49-F238E27FC236}">
              <a16:creationId xmlns:a16="http://schemas.microsoft.com/office/drawing/2014/main" id="{C9B71FE3-115B-4997-807E-D71DEC5CEE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1" name="AutoShape 1" descr="Vista previa de toda la pantalla">
          <a:extLst>
            <a:ext uri="{FF2B5EF4-FFF2-40B4-BE49-F238E27FC236}">
              <a16:creationId xmlns:a16="http://schemas.microsoft.com/office/drawing/2014/main" id="{ECC1C531-6EAC-41CC-B672-17DFBFC3FA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2" name="AutoShape 1" descr="Vista previa de toda la pantalla">
          <a:extLst>
            <a:ext uri="{FF2B5EF4-FFF2-40B4-BE49-F238E27FC236}">
              <a16:creationId xmlns:a16="http://schemas.microsoft.com/office/drawing/2014/main" id="{57FC6FCD-D143-4C30-B4AA-E2DEFD43C7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3" name="AutoShape 1" descr="Vista previa de toda la pantalla">
          <a:extLst>
            <a:ext uri="{FF2B5EF4-FFF2-40B4-BE49-F238E27FC236}">
              <a16:creationId xmlns:a16="http://schemas.microsoft.com/office/drawing/2014/main" id="{1D812B76-F136-4527-B332-D2084CC154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4" name="AutoShape 1" descr="Vista previa de toda la pantalla">
          <a:extLst>
            <a:ext uri="{FF2B5EF4-FFF2-40B4-BE49-F238E27FC236}">
              <a16:creationId xmlns:a16="http://schemas.microsoft.com/office/drawing/2014/main" id="{B0B98524-1991-44C7-974C-63EAC7172B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5" name="AutoShape 1" descr="Vista previa de toda la pantalla">
          <a:extLst>
            <a:ext uri="{FF2B5EF4-FFF2-40B4-BE49-F238E27FC236}">
              <a16:creationId xmlns:a16="http://schemas.microsoft.com/office/drawing/2014/main" id="{02E25FC4-8882-4BDC-988A-62431F217D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6" name="AutoShape 1" descr="Vista previa de toda la pantalla">
          <a:extLst>
            <a:ext uri="{FF2B5EF4-FFF2-40B4-BE49-F238E27FC236}">
              <a16:creationId xmlns:a16="http://schemas.microsoft.com/office/drawing/2014/main" id="{6F509EBB-784B-4B0D-B648-056A6B777D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7" name="AutoShape 1" descr="Vista previa de toda la pantalla">
          <a:extLst>
            <a:ext uri="{FF2B5EF4-FFF2-40B4-BE49-F238E27FC236}">
              <a16:creationId xmlns:a16="http://schemas.microsoft.com/office/drawing/2014/main" id="{7648690A-8839-41AF-B9DA-38213DDA19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8" name="AutoShape 1" descr="Vista previa de toda la pantalla">
          <a:extLst>
            <a:ext uri="{FF2B5EF4-FFF2-40B4-BE49-F238E27FC236}">
              <a16:creationId xmlns:a16="http://schemas.microsoft.com/office/drawing/2014/main" id="{D1117408-3E05-423C-8C31-42FDD4A96E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89" name="AutoShape 1" descr="Vista previa de toda la pantalla">
          <a:extLst>
            <a:ext uri="{FF2B5EF4-FFF2-40B4-BE49-F238E27FC236}">
              <a16:creationId xmlns:a16="http://schemas.microsoft.com/office/drawing/2014/main" id="{2BEC6780-7FAB-4628-922C-1BC7A3A026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0" name="AutoShape 1" descr="Vista previa de toda la pantalla">
          <a:extLst>
            <a:ext uri="{FF2B5EF4-FFF2-40B4-BE49-F238E27FC236}">
              <a16:creationId xmlns:a16="http://schemas.microsoft.com/office/drawing/2014/main" id="{901CD290-D232-449C-8CD2-0E01B5B05E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1" name="AutoShape 1" descr="Vista previa de toda la pantalla">
          <a:extLst>
            <a:ext uri="{FF2B5EF4-FFF2-40B4-BE49-F238E27FC236}">
              <a16:creationId xmlns:a16="http://schemas.microsoft.com/office/drawing/2014/main" id="{BDA34254-A21B-4F71-89DE-8140A3DA2C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2" name="AutoShape 1" descr="Vista previa de toda la pantalla">
          <a:extLst>
            <a:ext uri="{FF2B5EF4-FFF2-40B4-BE49-F238E27FC236}">
              <a16:creationId xmlns:a16="http://schemas.microsoft.com/office/drawing/2014/main" id="{2621AA2D-8519-46F8-B032-16E45A7F93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3" name="AutoShape 1" descr="Vista previa de toda la pantalla">
          <a:extLst>
            <a:ext uri="{FF2B5EF4-FFF2-40B4-BE49-F238E27FC236}">
              <a16:creationId xmlns:a16="http://schemas.microsoft.com/office/drawing/2014/main" id="{2377873F-029F-4D4F-9152-656B54AEE0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4" name="AutoShape 1" descr="Vista previa de toda la pantalla">
          <a:extLst>
            <a:ext uri="{FF2B5EF4-FFF2-40B4-BE49-F238E27FC236}">
              <a16:creationId xmlns:a16="http://schemas.microsoft.com/office/drawing/2014/main" id="{E8A29A85-DDFD-4A7A-8C53-FFAA8E192F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5" name="AutoShape 1" descr="Vista previa de toda la pantalla">
          <a:extLst>
            <a:ext uri="{FF2B5EF4-FFF2-40B4-BE49-F238E27FC236}">
              <a16:creationId xmlns:a16="http://schemas.microsoft.com/office/drawing/2014/main" id="{DE18CC36-D473-4658-A0D8-825A3951D3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6" name="AutoShape 1" descr="Vista previa de toda la pantalla">
          <a:extLst>
            <a:ext uri="{FF2B5EF4-FFF2-40B4-BE49-F238E27FC236}">
              <a16:creationId xmlns:a16="http://schemas.microsoft.com/office/drawing/2014/main" id="{49D98EDB-41A8-499A-A0B7-9E1231F7ED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7" name="AutoShape 1" descr="Vista previa de toda la pantalla">
          <a:extLst>
            <a:ext uri="{FF2B5EF4-FFF2-40B4-BE49-F238E27FC236}">
              <a16:creationId xmlns:a16="http://schemas.microsoft.com/office/drawing/2014/main" id="{B1FE27DA-7B60-431E-B671-73FFEE79B0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8" name="AutoShape 1" descr="Vista previa de toda la pantalla">
          <a:extLst>
            <a:ext uri="{FF2B5EF4-FFF2-40B4-BE49-F238E27FC236}">
              <a16:creationId xmlns:a16="http://schemas.microsoft.com/office/drawing/2014/main" id="{2DB75C33-9D6B-4607-A8AE-E8A2E0FEEB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399" name="AutoShape 1" descr="Vista previa de toda la pantalla">
          <a:extLst>
            <a:ext uri="{FF2B5EF4-FFF2-40B4-BE49-F238E27FC236}">
              <a16:creationId xmlns:a16="http://schemas.microsoft.com/office/drawing/2014/main" id="{83AEA717-9356-41D8-874C-DB23BA4731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00" name="AutoShape 1" descr="Vista previa de toda la pantalla">
          <a:extLst>
            <a:ext uri="{FF2B5EF4-FFF2-40B4-BE49-F238E27FC236}">
              <a16:creationId xmlns:a16="http://schemas.microsoft.com/office/drawing/2014/main" id="{50F04464-3400-4EBE-A5AA-9E149B542B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4401" name="AutoShape 1" descr="Vista previa de toda la pantalla">
          <a:extLst>
            <a:ext uri="{FF2B5EF4-FFF2-40B4-BE49-F238E27FC236}">
              <a16:creationId xmlns:a16="http://schemas.microsoft.com/office/drawing/2014/main" id="{DE6D5CE0-5210-41EB-96C3-86C741AF1A75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02" name="AutoShape 1" descr="Vista previa de toda la pantalla">
          <a:extLst>
            <a:ext uri="{FF2B5EF4-FFF2-40B4-BE49-F238E27FC236}">
              <a16:creationId xmlns:a16="http://schemas.microsoft.com/office/drawing/2014/main" id="{A7020C16-703D-4515-BEBA-298F1D275A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03" name="AutoShape 1" descr="Vista previa de toda la pantalla">
          <a:extLst>
            <a:ext uri="{FF2B5EF4-FFF2-40B4-BE49-F238E27FC236}">
              <a16:creationId xmlns:a16="http://schemas.microsoft.com/office/drawing/2014/main" id="{E859B881-FDE8-4CA7-ABE0-BD1583E0CA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04" name="AutoShape 1" descr="Vista previa de toda la pantalla">
          <a:extLst>
            <a:ext uri="{FF2B5EF4-FFF2-40B4-BE49-F238E27FC236}">
              <a16:creationId xmlns:a16="http://schemas.microsoft.com/office/drawing/2014/main" id="{43ED92B5-41FC-42DE-BD4F-568C41E748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05" name="AutoShape 1" descr="Vista previa de toda la pantalla">
          <a:extLst>
            <a:ext uri="{FF2B5EF4-FFF2-40B4-BE49-F238E27FC236}">
              <a16:creationId xmlns:a16="http://schemas.microsoft.com/office/drawing/2014/main" id="{3B613AB9-113A-4E00-9213-D27418A88F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06" name="AutoShape 1" descr="Vista previa de toda la pantalla">
          <a:extLst>
            <a:ext uri="{FF2B5EF4-FFF2-40B4-BE49-F238E27FC236}">
              <a16:creationId xmlns:a16="http://schemas.microsoft.com/office/drawing/2014/main" id="{5B6967E0-2F70-4CE3-99D3-603CA97714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07" name="AutoShape 1" descr="Vista previa de toda la pantalla">
          <a:extLst>
            <a:ext uri="{FF2B5EF4-FFF2-40B4-BE49-F238E27FC236}">
              <a16:creationId xmlns:a16="http://schemas.microsoft.com/office/drawing/2014/main" id="{DD0323AD-B1D9-425A-9A5E-3CEB1098E7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08" name="AutoShape 1" descr="Vista previa de toda la pantalla">
          <a:extLst>
            <a:ext uri="{FF2B5EF4-FFF2-40B4-BE49-F238E27FC236}">
              <a16:creationId xmlns:a16="http://schemas.microsoft.com/office/drawing/2014/main" id="{5DA06A06-7193-4198-BDE3-DA49E4AD88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09" name="AutoShape 1" descr="Vista previa de toda la pantalla">
          <a:extLst>
            <a:ext uri="{FF2B5EF4-FFF2-40B4-BE49-F238E27FC236}">
              <a16:creationId xmlns:a16="http://schemas.microsoft.com/office/drawing/2014/main" id="{9E37883B-33FF-45C4-A042-99AAAE83B7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0" name="AutoShape 1" descr="Vista previa de toda la pantalla">
          <a:extLst>
            <a:ext uri="{FF2B5EF4-FFF2-40B4-BE49-F238E27FC236}">
              <a16:creationId xmlns:a16="http://schemas.microsoft.com/office/drawing/2014/main" id="{813155C5-E842-4F21-A56E-5EDD80AF24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1" name="AutoShape 1" descr="Vista previa de toda la pantalla">
          <a:extLst>
            <a:ext uri="{FF2B5EF4-FFF2-40B4-BE49-F238E27FC236}">
              <a16:creationId xmlns:a16="http://schemas.microsoft.com/office/drawing/2014/main" id="{5E248415-92E0-4EEA-AB21-D0655D4040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2" name="AutoShape 1" descr="Vista previa de toda la pantalla">
          <a:extLst>
            <a:ext uri="{FF2B5EF4-FFF2-40B4-BE49-F238E27FC236}">
              <a16:creationId xmlns:a16="http://schemas.microsoft.com/office/drawing/2014/main" id="{D4B3E346-500F-4FB4-8CA1-7080E32DC8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3" name="AutoShape 1" descr="Vista previa de toda la pantalla">
          <a:extLst>
            <a:ext uri="{FF2B5EF4-FFF2-40B4-BE49-F238E27FC236}">
              <a16:creationId xmlns:a16="http://schemas.microsoft.com/office/drawing/2014/main" id="{A4F34A37-B853-4283-8FA1-E44A9BAD04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4" name="AutoShape 1" descr="Vista previa de toda la pantalla">
          <a:extLst>
            <a:ext uri="{FF2B5EF4-FFF2-40B4-BE49-F238E27FC236}">
              <a16:creationId xmlns:a16="http://schemas.microsoft.com/office/drawing/2014/main" id="{6544EF59-6976-4DA3-B113-7C44DDF104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5" name="AutoShape 1" descr="Vista previa de toda la pantalla">
          <a:extLst>
            <a:ext uri="{FF2B5EF4-FFF2-40B4-BE49-F238E27FC236}">
              <a16:creationId xmlns:a16="http://schemas.microsoft.com/office/drawing/2014/main" id="{D351DA9E-00BB-43E5-82AE-FD66DFA9C7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6" name="AutoShape 1" descr="Vista previa de toda la pantalla">
          <a:extLst>
            <a:ext uri="{FF2B5EF4-FFF2-40B4-BE49-F238E27FC236}">
              <a16:creationId xmlns:a16="http://schemas.microsoft.com/office/drawing/2014/main" id="{7121147D-45D4-46F4-834B-2723132BF6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7" name="AutoShape 1" descr="Vista previa de toda la pantalla">
          <a:extLst>
            <a:ext uri="{FF2B5EF4-FFF2-40B4-BE49-F238E27FC236}">
              <a16:creationId xmlns:a16="http://schemas.microsoft.com/office/drawing/2014/main" id="{BED67680-48FE-4021-9B85-C6F071A835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8" name="AutoShape 1" descr="Vista previa de toda la pantalla">
          <a:extLst>
            <a:ext uri="{FF2B5EF4-FFF2-40B4-BE49-F238E27FC236}">
              <a16:creationId xmlns:a16="http://schemas.microsoft.com/office/drawing/2014/main" id="{0D3F868E-F511-4BF0-A764-EEA0B0B425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19" name="AutoShape 1" descr="Vista previa de toda la pantalla">
          <a:extLst>
            <a:ext uri="{FF2B5EF4-FFF2-40B4-BE49-F238E27FC236}">
              <a16:creationId xmlns:a16="http://schemas.microsoft.com/office/drawing/2014/main" id="{D8130DA4-0D7E-4121-B7BC-2AEAA6BA8F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0" name="AutoShape 1" descr="Vista previa de toda la pantalla">
          <a:extLst>
            <a:ext uri="{FF2B5EF4-FFF2-40B4-BE49-F238E27FC236}">
              <a16:creationId xmlns:a16="http://schemas.microsoft.com/office/drawing/2014/main" id="{915875D5-26D3-4159-A66A-46AAF25E5E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1" name="AutoShape 1" descr="Vista previa de toda la pantalla">
          <a:extLst>
            <a:ext uri="{FF2B5EF4-FFF2-40B4-BE49-F238E27FC236}">
              <a16:creationId xmlns:a16="http://schemas.microsoft.com/office/drawing/2014/main" id="{4A9DAA09-4BFE-41E7-8577-197EF2E7A2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2" name="AutoShape 1" descr="Vista previa de toda la pantalla">
          <a:extLst>
            <a:ext uri="{FF2B5EF4-FFF2-40B4-BE49-F238E27FC236}">
              <a16:creationId xmlns:a16="http://schemas.microsoft.com/office/drawing/2014/main" id="{2AF55045-69D9-4298-A9E3-48CA159DCB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3" name="AutoShape 1" descr="Vista previa de toda la pantalla">
          <a:extLst>
            <a:ext uri="{FF2B5EF4-FFF2-40B4-BE49-F238E27FC236}">
              <a16:creationId xmlns:a16="http://schemas.microsoft.com/office/drawing/2014/main" id="{7AF94AED-D74E-446F-B052-8D43E3BDFA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4" name="AutoShape 1" descr="Vista previa de toda la pantalla">
          <a:extLst>
            <a:ext uri="{FF2B5EF4-FFF2-40B4-BE49-F238E27FC236}">
              <a16:creationId xmlns:a16="http://schemas.microsoft.com/office/drawing/2014/main" id="{EC91290D-E3F4-4D59-BA29-31555CDCAA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5" name="AutoShape 1" descr="Vista previa de toda la pantalla">
          <a:extLst>
            <a:ext uri="{FF2B5EF4-FFF2-40B4-BE49-F238E27FC236}">
              <a16:creationId xmlns:a16="http://schemas.microsoft.com/office/drawing/2014/main" id="{037058C0-5C96-4D40-A2D2-BDE2D99A9A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6" name="AutoShape 1" descr="Vista previa de toda la pantalla">
          <a:extLst>
            <a:ext uri="{FF2B5EF4-FFF2-40B4-BE49-F238E27FC236}">
              <a16:creationId xmlns:a16="http://schemas.microsoft.com/office/drawing/2014/main" id="{4184E1DB-93DB-4649-AB13-7ACDA0EDD7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7" name="AutoShape 1" descr="Vista previa de toda la pantalla">
          <a:extLst>
            <a:ext uri="{FF2B5EF4-FFF2-40B4-BE49-F238E27FC236}">
              <a16:creationId xmlns:a16="http://schemas.microsoft.com/office/drawing/2014/main" id="{87CAAECD-A1C5-4DE4-A0F0-631EF708D5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8" name="AutoShape 1" descr="Vista previa de toda la pantalla">
          <a:extLst>
            <a:ext uri="{FF2B5EF4-FFF2-40B4-BE49-F238E27FC236}">
              <a16:creationId xmlns:a16="http://schemas.microsoft.com/office/drawing/2014/main" id="{0D47CCC0-93F3-4539-B92D-457ECB2D0B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29" name="AutoShape 1" descr="Vista previa de toda la pantalla">
          <a:extLst>
            <a:ext uri="{FF2B5EF4-FFF2-40B4-BE49-F238E27FC236}">
              <a16:creationId xmlns:a16="http://schemas.microsoft.com/office/drawing/2014/main" id="{094E5AD9-95AC-4E71-AF85-2DF0EC4BAD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0" name="AutoShape 1" descr="Vista previa de toda la pantalla">
          <a:extLst>
            <a:ext uri="{FF2B5EF4-FFF2-40B4-BE49-F238E27FC236}">
              <a16:creationId xmlns:a16="http://schemas.microsoft.com/office/drawing/2014/main" id="{DCD2E4E6-61BC-4289-8F91-FAC33A887B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1" name="AutoShape 1" descr="Vista previa de toda la pantalla">
          <a:extLst>
            <a:ext uri="{FF2B5EF4-FFF2-40B4-BE49-F238E27FC236}">
              <a16:creationId xmlns:a16="http://schemas.microsoft.com/office/drawing/2014/main" id="{C479D463-B3A3-4D5E-BD72-7CAEBA5B5A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2" name="AutoShape 1" descr="Vista previa de toda la pantalla">
          <a:extLst>
            <a:ext uri="{FF2B5EF4-FFF2-40B4-BE49-F238E27FC236}">
              <a16:creationId xmlns:a16="http://schemas.microsoft.com/office/drawing/2014/main" id="{AB09D315-8007-4C22-A406-F4E0178472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3" name="AutoShape 1" descr="Vista previa de toda la pantalla">
          <a:extLst>
            <a:ext uri="{FF2B5EF4-FFF2-40B4-BE49-F238E27FC236}">
              <a16:creationId xmlns:a16="http://schemas.microsoft.com/office/drawing/2014/main" id="{21900D8F-BC48-4BAD-AA21-A79381D478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4" name="AutoShape 1" descr="Vista previa de toda la pantalla">
          <a:extLst>
            <a:ext uri="{FF2B5EF4-FFF2-40B4-BE49-F238E27FC236}">
              <a16:creationId xmlns:a16="http://schemas.microsoft.com/office/drawing/2014/main" id="{E71937C8-C68B-4E8F-9756-DCAB3D9E01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5" name="AutoShape 1" descr="Vista previa de toda la pantalla">
          <a:extLst>
            <a:ext uri="{FF2B5EF4-FFF2-40B4-BE49-F238E27FC236}">
              <a16:creationId xmlns:a16="http://schemas.microsoft.com/office/drawing/2014/main" id="{A0013228-5B0D-4A30-868E-5594930A9F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6" name="AutoShape 1" descr="Vista previa de toda la pantalla">
          <a:extLst>
            <a:ext uri="{FF2B5EF4-FFF2-40B4-BE49-F238E27FC236}">
              <a16:creationId xmlns:a16="http://schemas.microsoft.com/office/drawing/2014/main" id="{7C6F5D40-AF70-4C33-BCD2-55495156D0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7" name="AutoShape 1" descr="Vista previa de toda la pantalla">
          <a:extLst>
            <a:ext uri="{FF2B5EF4-FFF2-40B4-BE49-F238E27FC236}">
              <a16:creationId xmlns:a16="http://schemas.microsoft.com/office/drawing/2014/main" id="{294E2F4C-96EF-4EB0-B302-528554E244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8" name="AutoShape 1" descr="Vista previa de toda la pantalla">
          <a:extLst>
            <a:ext uri="{FF2B5EF4-FFF2-40B4-BE49-F238E27FC236}">
              <a16:creationId xmlns:a16="http://schemas.microsoft.com/office/drawing/2014/main" id="{FD4F26FC-AF3D-4C1E-B232-FF54AB8E62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39" name="AutoShape 1" descr="Vista previa de toda la pantalla">
          <a:extLst>
            <a:ext uri="{FF2B5EF4-FFF2-40B4-BE49-F238E27FC236}">
              <a16:creationId xmlns:a16="http://schemas.microsoft.com/office/drawing/2014/main" id="{6E8CB766-E12D-4C1C-9514-C84E900C91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0" name="AutoShape 1" descr="Vista previa de toda la pantalla">
          <a:extLst>
            <a:ext uri="{FF2B5EF4-FFF2-40B4-BE49-F238E27FC236}">
              <a16:creationId xmlns:a16="http://schemas.microsoft.com/office/drawing/2014/main" id="{83462C94-7DB8-480E-864A-EF5D86BD8F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1" name="AutoShape 1" descr="Vista previa de toda la pantalla">
          <a:extLst>
            <a:ext uri="{FF2B5EF4-FFF2-40B4-BE49-F238E27FC236}">
              <a16:creationId xmlns:a16="http://schemas.microsoft.com/office/drawing/2014/main" id="{48B9B61C-0BE3-48F9-9DAE-061B72BD18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2" name="AutoShape 1" descr="Vista previa de toda la pantalla">
          <a:extLst>
            <a:ext uri="{FF2B5EF4-FFF2-40B4-BE49-F238E27FC236}">
              <a16:creationId xmlns:a16="http://schemas.microsoft.com/office/drawing/2014/main" id="{C8BF6A82-486F-4DCD-9AAE-75AE9E7515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3" name="AutoShape 1" descr="Vista previa de toda la pantalla">
          <a:extLst>
            <a:ext uri="{FF2B5EF4-FFF2-40B4-BE49-F238E27FC236}">
              <a16:creationId xmlns:a16="http://schemas.microsoft.com/office/drawing/2014/main" id="{FE6C6DC4-B185-4656-8841-FD64EABF86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4" name="AutoShape 1" descr="Vista previa de toda la pantalla">
          <a:extLst>
            <a:ext uri="{FF2B5EF4-FFF2-40B4-BE49-F238E27FC236}">
              <a16:creationId xmlns:a16="http://schemas.microsoft.com/office/drawing/2014/main" id="{0052C0E6-16D8-47E0-BC41-ED0E40988F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5" name="AutoShape 1" descr="Vista previa de toda la pantalla">
          <a:extLst>
            <a:ext uri="{FF2B5EF4-FFF2-40B4-BE49-F238E27FC236}">
              <a16:creationId xmlns:a16="http://schemas.microsoft.com/office/drawing/2014/main" id="{18C9AF0E-239D-4446-9B6D-1CBA11E4D9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6" name="AutoShape 1" descr="Vista previa de toda la pantalla">
          <a:extLst>
            <a:ext uri="{FF2B5EF4-FFF2-40B4-BE49-F238E27FC236}">
              <a16:creationId xmlns:a16="http://schemas.microsoft.com/office/drawing/2014/main" id="{A6B21C8E-FA03-4875-B01E-247013373C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7" name="AutoShape 1" descr="Vista previa de toda la pantalla">
          <a:extLst>
            <a:ext uri="{FF2B5EF4-FFF2-40B4-BE49-F238E27FC236}">
              <a16:creationId xmlns:a16="http://schemas.microsoft.com/office/drawing/2014/main" id="{F1BC95A4-202A-43EE-A4E9-D2529D4AB4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8" name="AutoShape 1" descr="Vista previa de toda la pantalla">
          <a:extLst>
            <a:ext uri="{FF2B5EF4-FFF2-40B4-BE49-F238E27FC236}">
              <a16:creationId xmlns:a16="http://schemas.microsoft.com/office/drawing/2014/main" id="{ABE6955A-059D-4FC1-856B-25FB3AEC49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49" name="AutoShape 1" descr="Vista previa de toda la pantalla">
          <a:extLst>
            <a:ext uri="{FF2B5EF4-FFF2-40B4-BE49-F238E27FC236}">
              <a16:creationId xmlns:a16="http://schemas.microsoft.com/office/drawing/2014/main" id="{C00BD3A6-AF52-4FBC-AB40-F8ADD7DC8E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0" name="AutoShape 1" descr="Vista previa de toda la pantalla">
          <a:extLst>
            <a:ext uri="{FF2B5EF4-FFF2-40B4-BE49-F238E27FC236}">
              <a16:creationId xmlns:a16="http://schemas.microsoft.com/office/drawing/2014/main" id="{7A7A8B21-6CF3-4AA2-9A51-C69D9877E3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1" name="AutoShape 1" descr="Vista previa de toda la pantalla">
          <a:extLst>
            <a:ext uri="{FF2B5EF4-FFF2-40B4-BE49-F238E27FC236}">
              <a16:creationId xmlns:a16="http://schemas.microsoft.com/office/drawing/2014/main" id="{B913F02E-EEAA-426E-82E6-B5855CBE21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2" name="AutoShape 1" descr="Vista previa de toda la pantalla">
          <a:extLst>
            <a:ext uri="{FF2B5EF4-FFF2-40B4-BE49-F238E27FC236}">
              <a16:creationId xmlns:a16="http://schemas.microsoft.com/office/drawing/2014/main" id="{87745A40-BD8F-4F79-AAED-7536D29949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3" name="AutoShape 1" descr="Vista previa de toda la pantalla">
          <a:extLst>
            <a:ext uri="{FF2B5EF4-FFF2-40B4-BE49-F238E27FC236}">
              <a16:creationId xmlns:a16="http://schemas.microsoft.com/office/drawing/2014/main" id="{B671BEDC-3445-42CB-9012-BFBDCCDBA3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4" name="AutoShape 1" descr="Vista previa de toda la pantalla">
          <a:extLst>
            <a:ext uri="{FF2B5EF4-FFF2-40B4-BE49-F238E27FC236}">
              <a16:creationId xmlns:a16="http://schemas.microsoft.com/office/drawing/2014/main" id="{6AB266E9-BCC5-4467-A837-36D1EDD61F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5" name="AutoShape 1" descr="Vista previa de toda la pantalla">
          <a:extLst>
            <a:ext uri="{FF2B5EF4-FFF2-40B4-BE49-F238E27FC236}">
              <a16:creationId xmlns:a16="http://schemas.microsoft.com/office/drawing/2014/main" id="{30B3C532-1DD1-4355-811D-5E624AB5BE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6" name="AutoShape 1" descr="Vista previa de toda la pantalla">
          <a:extLst>
            <a:ext uri="{FF2B5EF4-FFF2-40B4-BE49-F238E27FC236}">
              <a16:creationId xmlns:a16="http://schemas.microsoft.com/office/drawing/2014/main" id="{A97CD036-E92C-4132-82D1-BD9945D2ED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7" name="AutoShape 1" descr="Vista previa de toda la pantalla">
          <a:extLst>
            <a:ext uri="{FF2B5EF4-FFF2-40B4-BE49-F238E27FC236}">
              <a16:creationId xmlns:a16="http://schemas.microsoft.com/office/drawing/2014/main" id="{23E9FC18-C3D0-4B0B-AAD4-2EA713B57B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8" name="AutoShape 1" descr="Vista previa de toda la pantalla">
          <a:extLst>
            <a:ext uri="{FF2B5EF4-FFF2-40B4-BE49-F238E27FC236}">
              <a16:creationId xmlns:a16="http://schemas.microsoft.com/office/drawing/2014/main" id="{7F6992B1-8E49-4E97-9CE7-2D135C4E71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59" name="AutoShape 1" descr="Vista previa de toda la pantalla">
          <a:extLst>
            <a:ext uri="{FF2B5EF4-FFF2-40B4-BE49-F238E27FC236}">
              <a16:creationId xmlns:a16="http://schemas.microsoft.com/office/drawing/2014/main" id="{BC9AFFE1-F948-40A7-BFEC-A5CD047490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0" name="AutoShape 1" descr="Vista previa de toda la pantalla">
          <a:extLst>
            <a:ext uri="{FF2B5EF4-FFF2-40B4-BE49-F238E27FC236}">
              <a16:creationId xmlns:a16="http://schemas.microsoft.com/office/drawing/2014/main" id="{86182BBD-E917-4CE7-AA08-DCE9A80208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1" name="AutoShape 1" descr="Vista previa de toda la pantalla">
          <a:extLst>
            <a:ext uri="{FF2B5EF4-FFF2-40B4-BE49-F238E27FC236}">
              <a16:creationId xmlns:a16="http://schemas.microsoft.com/office/drawing/2014/main" id="{B7FFBA5E-49DD-4C9A-A4D8-9860C6D9B1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2" name="AutoShape 1" descr="Vista previa de toda la pantalla">
          <a:extLst>
            <a:ext uri="{FF2B5EF4-FFF2-40B4-BE49-F238E27FC236}">
              <a16:creationId xmlns:a16="http://schemas.microsoft.com/office/drawing/2014/main" id="{FD6F0234-4948-4454-86FD-E2F1E0E2F2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3" name="AutoShape 1" descr="Vista previa de toda la pantalla">
          <a:extLst>
            <a:ext uri="{FF2B5EF4-FFF2-40B4-BE49-F238E27FC236}">
              <a16:creationId xmlns:a16="http://schemas.microsoft.com/office/drawing/2014/main" id="{00E93C6A-FE53-40AC-8BA5-BB09181D9B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4" name="AutoShape 1" descr="Vista previa de toda la pantalla">
          <a:extLst>
            <a:ext uri="{FF2B5EF4-FFF2-40B4-BE49-F238E27FC236}">
              <a16:creationId xmlns:a16="http://schemas.microsoft.com/office/drawing/2014/main" id="{60FA8754-C760-453B-A5A6-82DB9876E0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5" name="AutoShape 1" descr="Vista previa de toda la pantalla">
          <a:extLst>
            <a:ext uri="{FF2B5EF4-FFF2-40B4-BE49-F238E27FC236}">
              <a16:creationId xmlns:a16="http://schemas.microsoft.com/office/drawing/2014/main" id="{6EDDD329-4619-40D0-8EEB-42D94BFEC9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6" name="AutoShape 1" descr="Vista previa de toda la pantalla">
          <a:extLst>
            <a:ext uri="{FF2B5EF4-FFF2-40B4-BE49-F238E27FC236}">
              <a16:creationId xmlns:a16="http://schemas.microsoft.com/office/drawing/2014/main" id="{31FDEEAC-4F1E-46CB-9036-9226DA5408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7" name="AutoShape 1" descr="Vista previa de toda la pantalla">
          <a:extLst>
            <a:ext uri="{FF2B5EF4-FFF2-40B4-BE49-F238E27FC236}">
              <a16:creationId xmlns:a16="http://schemas.microsoft.com/office/drawing/2014/main" id="{3D409787-CC37-4064-B28E-42836A148E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8" name="AutoShape 1" descr="Vista previa de toda la pantalla">
          <a:extLst>
            <a:ext uri="{FF2B5EF4-FFF2-40B4-BE49-F238E27FC236}">
              <a16:creationId xmlns:a16="http://schemas.microsoft.com/office/drawing/2014/main" id="{918F608D-BA34-458C-8018-D57C7EF5BF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69" name="AutoShape 1" descr="Vista previa de toda la pantalla">
          <a:extLst>
            <a:ext uri="{FF2B5EF4-FFF2-40B4-BE49-F238E27FC236}">
              <a16:creationId xmlns:a16="http://schemas.microsoft.com/office/drawing/2014/main" id="{4F3AF3E8-E166-4D60-BA12-80E64E448A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0" name="AutoShape 1" descr="Vista previa de toda la pantalla">
          <a:extLst>
            <a:ext uri="{FF2B5EF4-FFF2-40B4-BE49-F238E27FC236}">
              <a16:creationId xmlns:a16="http://schemas.microsoft.com/office/drawing/2014/main" id="{61B2D6DF-82ED-47A4-A506-6C45371C4E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1" name="AutoShape 1" descr="Vista previa de toda la pantalla">
          <a:extLst>
            <a:ext uri="{FF2B5EF4-FFF2-40B4-BE49-F238E27FC236}">
              <a16:creationId xmlns:a16="http://schemas.microsoft.com/office/drawing/2014/main" id="{CC89F6CB-EE97-45FC-94AE-E4B4E2E3F7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2" name="AutoShape 1" descr="Vista previa de toda la pantalla">
          <a:extLst>
            <a:ext uri="{FF2B5EF4-FFF2-40B4-BE49-F238E27FC236}">
              <a16:creationId xmlns:a16="http://schemas.microsoft.com/office/drawing/2014/main" id="{8D92D7EB-C777-45FB-BB4F-CCD043BF5C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3" name="AutoShape 1" descr="Vista previa de toda la pantalla">
          <a:extLst>
            <a:ext uri="{FF2B5EF4-FFF2-40B4-BE49-F238E27FC236}">
              <a16:creationId xmlns:a16="http://schemas.microsoft.com/office/drawing/2014/main" id="{BEDE6BCE-3B69-416B-A85E-4FDBD26ACC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4" name="AutoShape 1" descr="Vista previa de toda la pantalla">
          <a:extLst>
            <a:ext uri="{FF2B5EF4-FFF2-40B4-BE49-F238E27FC236}">
              <a16:creationId xmlns:a16="http://schemas.microsoft.com/office/drawing/2014/main" id="{9E93C06B-4E2C-4217-8D42-FD5B47AA41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5" name="AutoShape 1" descr="Vista previa de toda la pantalla">
          <a:extLst>
            <a:ext uri="{FF2B5EF4-FFF2-40B4-BE49-F238E27FC236}">
              <a16:creationId xmlns:a16="http://schemas.microsoft.com/office/drawing/2014/main" id="{7A49D31B-F50B-488F-8E94-FB638AEB92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6" name="AutoShape 1" descr="Vista previa de toda la pantalla">
          <a:extLst>
            <a:ext uri="{FF2B5EF4-FFF2-40B4-BE49-F238E27FC236}">
              <a16:creationId xmlns:a16="http://schemas.microsoft.com/office/drawing/2014/main" id="{21274A3C-1605-4211-8D2A-A610FFFCE2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7" name="AutoShape 1" descr="Vista previa de toda la pantalla">
          <a:extLst>
            <a:ext uri="{FF2B5EF4-FFF2-40B4-BE49-F238E27FC236}">
              <a16:creationId xmlns:a16="http://schemas.microsoft.com/office/drawing/2014/main" id="{C9FED0E2-5AC1-4236-B907-CCE7AF25CF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8" name="AutoShape 1" descr="Vista previa de toda la pantalla">
          <a:extLst>
            <a:ext uri="{FF2B5EF4-FFF2-40B4-BE49-F238E27FC236}">
              <a16:creationId xmlns:a16="http://schemas.microsoft.com/office/drawing/2014/main" id="{E78E7F7C-587C-4A05-953B-51FF44715E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79" name="AutoShape 1" descr="Vista previa de toda la pantalla">
          <a:extLst>
            <a:ext uri="{FF2B5EF4-FFF2-40B4-BE49-F238E27FC236}">
              <a16:creationId xmlns:a16="http://schemas.microsoft.com/office/drawing/2014/main" id="{C2064E2A-1219-4FD9-997E-6E8FB87F4F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0" name="AutoShape 1" descr="Vista previa de toda la pantalla">
          <a:extLst>
            <a:ext uri="{FF2B5EF4-FFF2-40B4-BE49-F238E27FC236}">
              <a16:creationId xmlns:a16="http://schemas.microsoft.com/office/drawing/2014/main" id="{1C203357-C48D-451C-8DC0-93D893AF64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1" name="AutoShape 1" descr="Vista previa de toda la pantalla">
          <a:extLst>
            <a:ext uri="{FF2B5EF4-FFF2-40B4-BE49-F238E27FC236}">
              <a16:creationId xmlns:a16="http://schemas.microsoft.com/office/drawing/2014/main" id="{FF59A5CA-20AC-44FA-9A75-DA3BB6CBBB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2" name="AutoShape 1" descr="Vista previa de toda la pantalla">
          <a:extLst>
            <a:ext uri="{FF2B5EF4-FFF2-40B4-BE49-F238E27FC236}">
              <a16:creationId xmlns:a16="http://schemas.microsoft.com/office/drawing/2014/main" id="{C07EC813-7394-4385-8A17-7A18B82D0A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3" name="AutoShape 1" descr="Vista previa de toda la pantalla">
          <a:extLst>
            <a:ext uri="{FF2B5EF4-FFF2-40B4-BE49-F238E27FC236}">
              <a16:creationId xmlns:a16="http://schemas.microsoft.com/office/drawing/2014/main" id="{754422EF-5DCA-4608-A291-C47FE8B09F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4" name="AutoShape 1" descr="Vista previa de toda la pantalla">
          <a:extLst>
            <a:ext uri="{FF2B5EF4-FFF2-40B4-BE49-F238E27FC236}">
              <a16:creationId xmlns:a16="http://schemas.microsoft.com/office/drawing/2014/main" id="{15FAF77D-280D-46A7-B94B-221BD508A2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5" name="AutoShape 1" descr="Vista previa de toda la pantalla">
          <a:extLst>
            <a:ext uri="{FF2B5EF4-FFF2-40B4-BE49-F238E27FC236}">
              <a16:creationId xmlns:a16="http://schemas.microsoft.com/office/drawing/2014/main" id="{78B6B2E7-F655-486B-8B21-778E85000B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6" name="AutoShape 1" descr="Vista previa de toda la pantalla">
          <a:extLst>
            <a:ext uri="{FF2B5EF4-FFF2-40B4-BE49-F238E27FC236}">
              <a16:creationId xmlns:a16="http://schemas.microsoft.com/office/drawing/2014/main" id="{890CEBBE-F4E1-4CB7-B790-F44EA0FA603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7" name="AutoShape 1" descr="Vista previa de toda la pantalla">
          <a:extLst>
            <a:ext uri="{FF2B5EF4-FFF2-40B4-BE49-F238E27FC236}">
              <a16:creationId xmlns:a16="http://schemas.microsoft.com/office/drawing/2014/main" id="{5DC60F39-1AD2-4CD4-9165-B98B857DF9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8" name="AutoShape 1" descr="Vista previa de toda la pantalla">
          <a:extLst>
            <a:ext uri="{FF2B5EF4-FFF2-40B4-BE49-F238E27FC236}">
              <a16:creationId xmlns:a16="http://schemas.microsoft.com/office/drawing/2014/main" id="{F66A2D55-ED85-410A-BB55-F05F254D50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89" name="AutoShape 1" descr="Vista previa de toda la pantalla">
          <a:extLst>
            <a:ext uri="{FF2B5EF4-FFF2-40B4-BE49-F238E27FC236}">
              <a16:creationId xmlns:a16="http://schemas.microsoft.com/office/drawing/2014/main" id="{088F125D-B44E-45FA-8146-BE8CD2CC81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0" name="AutoShape 1" descr="Vista previa de toda la pantalla">
          <a:extLst>
            <a:ext uri="{FF2B5EF4-FFF2-40B4-BE49-F238E27FC236}">
              <a16:creationId xmlns:a16="http://schemas.microsoft.com/office/drawing/2014/main" id="{175F0844-2B37-492D-85B2-BDC6025D6E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1" name="AutoShape 1" descr="Vista previa de toda la pantalla">
          <a:extLst>
            <a:ext uri="{FF2B5EF4-FFF2-40B4-BE49-F238E27FC236}">
              <a16:creationId xmlns:a16="http://schemas.microsoft.com/office/drawing/2014/main" id="{AE8E6AD6-0A22-4870-A72B-4C2B36BB26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2" name="AutoShape 1" descr="Vista previa de toda la pantalla">
          <a:extLst>
            <a:ext uri="{FF2B5EF4-FFF2-40B4-BE49-F238E27FC236}">
              <a16:creationId xmlns:a16="http://schemas.microsoft.com/office/drawing/2014/main" id="{716C64CD-5D02-4EC1-903B-84CA40F55A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3" name="AutoShape 1" descr="Vista previa de toda la pantalla">
          <a:extLst>
            <a:ext uri="{FF2B5EF4-FFF2-40B4-BE49-F238E27FC236}">
              <a16:creationId xmlns:a16="http://schemas.microsoft.com/office/drawing/2014/main" id="{5720E91A-172E-446C-9E76-B5C87D88CD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4" name="AutoShape 1" descr="Vista previa de toda la pantalla">
          <a:extLst>
            <a:ext uri="{FF2B5EF4-FFF2-40B4-BE49-F238E27FC236}">
              <a16:creationId xmlns:a16="http://schemas.microsoft.com/office/drawing/2014/main" id="{FF93A0AF-3F3A-4031-8268-8FDC8224B8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5" name="AutoShape 1" descr="Vista previa de toda la pantalla">
          <a:extLst>
            <a:ext uri="{FF2B5EF4-FFF2-40B4-BE49-F238E27FC236}">
              <a16:creationId xmlns:a16="http://schemas.microsoft.com/office/drawing/2014/main" id="{06C24E83-26A6-4D77-97EA-2EB0F35141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6" name="AutoShape 1" descr="Vista previa de toda la pantalla">
          <a:extLst>
            <a:ext uri="{FF2B5EF4-FFF2-40B4-BE49-F238E27FC236}">
              <a16:creationId xmlns:a16="http://schemas.microsoft.com/office/drawing/2014/main" id="{6296E6B2-0C1F-4865-9061-97101195A3A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7" name="AutoShape 1" descr="Vista previa de toda la pantalla">
          <a:extLst>
            <a:ext uri="{FF2B5EF4-FFF2-40B4-BE49-F238E27FC236}">
              <a16:creationId xmlns:a16="http://schemas.microsoft.com/office/drawing/2014/main" id="{0F368373-FDAF-4291-A81C-BB32D628C2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8" name="AutoShape 1" descr="Vista previa de toda la pantalla">
          <a:extLst>
            <a:ext uri="{FF2B5EF4-FFF2-40B4-BE49-F238E27FC236}">
              <a16:creationId xmlns:a16="http://schemas.microsoft.com/office/drawing/2014/main" id="{4D64795B-057C-402D-AF9D-C64A87D100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499" name="AutoShape 1" descr="Vista previa de toda la pantalla">
          <a:extLst>
            <a:ext uri="{FF2B5EF4-FFF2-40B4-BE49-F238E27FC236}">
              <a16:creationId xmlns:a16="http://schemas.microsoft.com/office/drawing/2014/main" id="{910FF6AA-DD97-47DB-B81B-62E30FEB85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0" name="AutoShape 1" descr="Vista previa de toda la pantalla">
          <a:extLst>
            <a:ext uri="{FF2B5EF4-FFF2-40B4-BE49-F238E27FC236}">
              <a16:creationId xmlns:a16="http://schemas.microsoft.com/office/drawing/2014/main" id="{0AC27DC7-3AF7-4317-BFF8-A6386F843D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1" name="AutoShape 1" descr="Vista previa de toda la pantalla">
          <a:extLst>
            <a:ext uri="{FF2B5EF4-FFF2-40B4-BE49-F238E27FC236}">
              <a16:creationId xmlns:a16="http://schemas.microsoft.com/office/drawing/2014/main" id="{35246F2F-6EE3-4F13-9D29-F82B67D193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2" name="AutoShape 1" descr="Vista previa de toda la pantalla">
          <a:extLst>
            <a:ext uri="{FF2B5EF4-FFF2-40B4-BE49-F238E27FC236}">
              <a16:creationId xmlns:a16="http://schemas.microsoft.com/office/drawing/2014/main" id="{6E559DB3-98ED-4DA2-8A2B-5D6C8126038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3" name="AutoShape 1" descr="Vista previa de toda la pantalla">
          <a:extLst>
            <a:ext uri="{FF2B5EF4-FFF2-40B4-BE49-F238E27FC236}">
              <a16:creationId xmlns:a16="http://schemas.microsoft.com/office/drawing/2014/main" id="{869DC8E3-3175-413A-8168-9612AB4546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4" name="AutoShape 1" descr="Vista previa de toda la pantalla">
          <a:extLst>
            <a:ext uri="{FF2B5EF4-FFF2-40B4-BE49-F238E27FC236}">
              <a16:creationId xmlns:a16="http://schemas.microsoft.com/office/drawing/2014/main" id="{CA41C69F-B53B-4646-BAD6-D2C622702D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5" name="AutoShape 1" descr="Vista previa de toda la pantalla">
          <a:extLst>
            <a:ext uri="{FF2B5EF4-FFF2-40B4-BE49-F238E27FC236}">
              <a16:creationId xmlns:a16="http://schemas.microsoft.com/office/drawing/2014/main" id="{BF6BBEDF-C247-464A-BFAB-781BEDA995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6" name="AutoShape 1" descr="Vista previa de toda la pantalla">
          <a:extLst>
            <a:ext uri="{FF2B5EF4-FFF2-40B4-BE49-F238E27FC236}">
              <a16:creationId xmlns:a16="http://schemas.microsoft.com/office/drawing/2014/main" id="{4F971F9E-359A-4CCD-9534-A3700BEDC1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7" name="AutoShape 1" descr="Vista previa de toda la pantalla">
          <a:extLst>
            <a:ext uri="{FF2B5EF4-FFF2-40B4-BE49-F238E27FC236}">
              <a16:creationId xmlns:a16="http://schemas.microsoft.com/office/drawing/2014/main" id="{CD4F98E5-8A86-40E9-B7FA-5982181ED3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8" name="AutoShape 1" descr="Vista previa de toda la pantalla">
          <a:extLst>
            <a:ext uri="{FF2B5EF4-FFF2-40B4-BE49-F238E27FC236}">
              <a16:creationId xmlns:a16="http://schemas.microsoft.com/office/drawing/2014/main" id="{E88454F2-C753-44DD-9D17-2785BB6D47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09" name="AutoShape 1" descr="Vista previa de toda la pantalla">
          <a:extLst>
            <a:ext uri="{FF2B5EF4-FFF2-40B4-BE49-F238E27FC236}">
              <a16:creationId xmlns:a16="http://schemas.microsoft.com/office/drawing/2014/main" id="{368859C3-F5A3-45DB-A131-A3E23E076E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0" name="AutoShape 1" descr="Vista previa de toda la pantalla">
          <a:extLst>
            <a:ext uri="{FF2B5EF4-FFF2-40B4-BE49-F238E27FC236}">
              <a16:creationId xmlns:a16="http://schemas.microsoft.com/office/drawing/2014/main" id="{39F0604F-6A81-44D2-999F-827A701564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1" name="AutoShape 1" descr="Vista previa de toda la pantalla">
          <a:extLst>
            <a:ext uri="{FF2B5EF4-FFF2-40B4-BE49-F238E27FC236}">
              <a16:creationId xmlns:a16="http://schemas.microsoft.com/office/drawing/2014/main" id="{EE7AD430-BE1A-4DF6-83FE-20E9650FD0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2" name="AutoShape 1" descr="Vista previa de toda la pantalla">
          <a:extLst>
            <a:ext uri="{FF2B5EF4-FFF2-40B4-BE49-F238E27FC236}">
              <a16:creationId xmlns:a16="http://schemas.microsoft.com/office/drawing/2014/main" id="{D9753033-14C8-4821-BE5E-6759EC9368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3" name="AutoShape 1" descr="Vista previa de toda la pantalla">
          <a:extLst>
            <a:ext uri="{FF2B5EF4-FFF2-40B4-BE49-F238E27FC236}">
              <a16:creationId xmlns:a16="http://schemas.microsoft.com/office/drawing/2014/main" id="{ACC74268-1404-4D6F-B41B-8EA6091054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4" name="AutoShape 1" descr="Vista previa de toda la pantalla">
          <a:extLst>
            <a:ext uri="{FF2B5EF4-FFF2-40B4-BE49-F238E27FC236}">
              <a16:creationId xmlns:a16="http://schemas.microsoft.com/office/drawing/2014/main" id="{71B1195B-4333-44F3-BBC8-BF8C33A565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5" name="AutoShape 1" descr="Vista previa de toda la pantalla">
          <a:extLst>
            <a:ext uri="{FF2B5EF4-FFF2-40B4-BE49-F238E27FC236}">
              <a16:creationId xmlns:a16="http://schemas.microsoft.com/office/drawing/2014/main" id="{05FCA9E3-332B-4761-9514-80EF01279D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6" name="AutoShape 1" descr="Vista previa de toda la pantalla">
          <a:extLst>
            <a:ext uri="{FF2B5EF4-FFF2-40B4-BE49-F238E27FC236}">
              <a16:creationId xmlns:a16="http://schemas.microsoft.com/office/drawing/2014/main" id="{FBB6238D-088C-48F4-9252-08FD378EA6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7" name="AutoShape 1" descr="Vista previa de toda la pantalla">
          <a:extLst>
            <a:ext uri="{FF2B5EF4-FFF2-40B4-BE49-F238E27FC236}">
              <a16:creationId xmlns:a16="http://schemas.microsoft.com/office/drawing/2014/main" id="{5E9D8AC3-7C05-41A8-B6B3-35043ECAA1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8" name="AutoShape 1" descr="Vista previa de toda la pantalla">
          <a:extLst>
            <a:ext uri="{FF2B5EF4-FFF2-40B4-BE49-F238E27FC236}">
              <a16:creationId xmlns:a16="http://schemas.microsoft.com/office/drawing/2014/main" id="{937766F0-5C65-4BB4-BCE2-ACBAF111D6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19" name="AutoShape 1" descr="Vista previa de toda la pantalla">
          <a:extLst>
            <a:ext uri="{FF2B5EF4-FFF2-40B4-BE49-F238E27FC236}">
              <a16:creationId xmlns:a16="http://schemas.microsoft.com/office/drawing/2014/main" id="{94CA0E05-C52A-4E64-A1C2-166A08ACC2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0" name="AutoShape 1" descr="Vista previa de toda la pantalla">
          <a:extLst>
            <a:ext uri="{FF2B5EF4-FFF2-40B4-BE49-F238E27FC236}">
              <a16:creationId xmlns:a16="http://schemas.microsoft.com/office/drawing/2014/main" id="{C465F72D-E07B-42D2-A61E-BA1345CE38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1" name="AutoShape 1" descr="Vista previa de toda la pantalla">
          <a:extLst>
            <a:ext uri="{FF2B5EF4-FFF2-40B4-BE49-F238E27FC236}">
              <a16:creationId xmlns:a16="http://schemas.microsoft.com/office/drawing/2014/main" id="{147A430D-66DE-47AE-9FF7-CBDDF4A6F3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2" name="AutoShape 1" descr="Vista previa de toda la pantalla">
          <a:extLst>
            <a:ext uri="{FF2B5EF4-FFF2-40B4-BE49-F238E27FC236}">
              <a16:creationId xmlns:a16="http://schemas.microsoft.com/office/drawing/2014/main" id="{6FDA1FAE-DAC2-4D1D-AB2B-1862074547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3" name="AutoShape 1" descr="Vista previa de toda la pantalla">
          <a:extLst>
            <a:ext uri="{FF2B5EF4-FFF2-40B4-BE49-F238E27FC236}">
              <a16:creationId xmlns:a16="http://schemas.microsoft.com/office/drawing/2014/main" id="{C4CCC4A4-D5FD-45EE-9B9B-34143AA63EE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4" name="AutoShape 1" descr="Vista previa de toda la pantalla">
          <a:extLst>
            <a:ext uri="{FF2B5EF4-FFF2-40B4-BE49-F238E27FC236}">
              <a16:creationId xmlns:a16="http://schemas.microsoft.com/office/drawing/2014/main" id="{67F1344D-5E40-4DDF-9024-CC56BBBC7C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5" name="AutoShape 1" descr="Vista previa de toda la pantalla">
          <a:extLst>
            <a:ext uri="{FF2B5EF4-FFF2-40B4-BE49-F238E27FC236}">
              <a16:creationId xmlns:a16="http://schemas.microsoft.com/office/drawing/2014/main" id="{4B8FFF35-3F49-4590-BDB0-11C2005617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6" name="AutoShape 1" descr="Vista previa de toda la pantalla">
          <a:extLst>
            <a:ext uri="{FF2B5EF4-FFF2-40B4-BE49-F238E27FC236}">
              <a16:creationId xmlns:a16="http://schemas.microsoft.com/office/drawing/2014/main" id="{980DFA66-1289-4AD8-A5DD-25EDDA77D8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7" name="AutoShape 1" descr="Vista previa de toda la pantalla">
          <a:extLst>
            <a:ext uri="{FF2B5EF4-FFF2-40B4-BE49-F238E27FC236}">
              <a16:creationId xmlns:a16="http://schemas.microsoft.com/office/drawing/2014/main" id="{D5005A69-4CD9-47A8-B696-75E5E35577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8" name="AutoShape 1" descr="Vista previa de toda la pantalla">
          <a:extLst>
            <a:ext uri="{FF2B5EF4-FFF2-40B4-BE49-F238E27FC236}">
              <a16:creationId xmlns:a16="http://schemas.microsoft.com/office/drawing/2014/main" id="{64D2C7AD-5039-4387-BE44-9278F3A4D0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29" name="AutoShape 1" descr="Vista previa de toda la pantalla">
          <a:extLst>
            <a:ext uri="{FF2B5EF4-FFF2-40B4-BE49-F238E27FC236}">
              <a16:creationId xmlns:a16="http://schemas.microsoft.com/office/drawing/2014/main" id="{1A6963E3-1195-428B-AE3D-50D46A768D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0" name="AutoShape 1" descr="Vista previa de toda la pantalla">
          <a:extLst>
            <a:ext uri="{FF2B5EF4-FFF2-40B4-BE49-F238E27FC236}">
              <a16:creationId xmlns:a16="http://schemas.microsoft.com/office/drawing/2014/main" id="{CB9C186F-CDB7-463B-941C-36D3F13878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1" name="AutoShape 1" descr="Vista previa de toda la pantalla">
          <a:extLst>
            <a:ext uri="{FF2B5EF4-FFF2-40B4-BE49-F238E27FC236}">
              <a16:creationId xmlns:a16="http://schemas.microsoft.com/office/drawing/2014/main" id="{D5751485-29FC-4446-9D4D-187920226A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2" name="AutoShape 1" descr="Vista previa de toda la pantalla">
          <a:extLst>
            <a:ext uri="{FF2B5EF4-FFF2-40B4-BE49-F238E27FC236}">
              <a16:creationId xmlns:a16="http://schemas.microsoft.com/office/drawing/2014/main" id="{840BF574-EC7F-48DC-9F63-D757C49821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3" name="AutoShape 1" descr="Vista previa de toda la pantalla">
          <a:extLst>
            <a:ext uri="{FF2B5EF4-FFF2-40B4-BE49-F238E27FC236}">
              <a16:creationId xmlns:a16="http://schemas.microsoft.com/office/drawing/2014/main" id="{F383B20A-9567-4D1D-A8A3-17204C4718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4" name="AutoShape 1" descr="Vista previa de toda la pantalla">
          <a:extLst>
            <a:ext uri="{FF2B5EF4-FFF2-40B4-BE49-F238E27FC236}">
              <a16:creationId xmlns:a16="http://schemas.microsoft.com/office/drawing/2014/main" id="{1D06A205-9249-4B33-9D3F-410B615C0FB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5" name="AutoShape 1" descr="Vista previa de toda la pantalla">
          <a:extLst>
            <a:ext uri="{FF2B5EF4-FFF2-40B4-BE49-F238E27FC236}">
              <a16:creationId xmlns:a16="http://schemas.microsoft.com/office/drawing/2014/main" id="{41A08FCF-807F-46E6-BA2B-E550430ADB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6" name="AutoShape 1" descr="Vista previa de toda la pantalla">
          <a:extLst>
            <a:ext uri="{FF2B5EF4-FFF2-40B4-BE49-F238E27FC236}">
              <a16:creationId xmlns:a16="http://schemas.microsoft.com/office/drawing/2014/main" id="{59AD4F90-52CE-4096-86CF-90B75D8E54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7" name="AutoShape 1" descr="Vista previa de toda la pantalla">
          <a:extLst>
            <a:ext uri="{FF2B5EF4-FFF2-40B4-BE49-F238E27FC236}">
              <a16:creationId xmlns:a16="http://schemas.microsoft.com/office/drawing/2014/main" id="{CB4832EA-4F98-4290-B030-E10692FC42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8" name="AutoShape 1" descr="Vista previa de toda la pantalla">
          <a:extLst>
            <a:ext uri="{FF2B5EF4-FFF2-40B4-BE49-F238E27FC236}">
              <a16:creationId xmlns:a16="http://schemas.microsoft.com/office/drawing/2014/main" id="{8D94B340-85D2-4926-9F9D-88D9ACBD10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39" name="AutoShape 1" descr="Vista previa de toda la pantalla">
          <a:extLst>
            <a:ext uri="{FF2B5EF4-FFF2-40B4-BE49-F238E27FC236}">
              <a16:creationId xmlns:a16="http://schemas.microsoft.com/office/drawing/2014/main" id="{9F1059FB-A07E-4867-A078-6AD2C7EB45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0" name="AutoShape 1" descr="Vista previa de toda la pantalla">
          <a:extLst>
            <a:ext uri="{FF2B5EF4-FFF2-40B4-BE49-F238E27FC236}">
              <a16:creationId xmlns:a16="http://schemas.microsoft.com/office/drawing/2014/main" id="{14D694B2-906E-45D8-8B93-BADA6BB4CF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1" name="AutoShape 1" descr="Vista previa de toda la pantalla">
          <a:extLst>
            <a:ext uri="{FF2B5EF4-FFF2-40B4-BE49-F238E27FC236}">
              <a16:creationId xmlns:a16="http://schemas.microsoft.com/office/drawing/2014/main" id="{82EEBD64-6480-4D97-A0E9-D7901D0EB5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2" name="AutoShape 1" descr="Vista previa de toda la pantalla">
          <a:extLst>
            <a:ext uri="{FF2B5EF4-FFF2-40B4-BE49-F238E27FC236}">
              <a16:creationId xmlns:a16="http://schemas.microsoft.com/office/drawing/2014/main" id="{5FE3123B-C918-4AD3-8220-5FFA494C59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3" name="AutoShape 1" descr="Vista previa de toda la pantalla">
          <a:extLst>
            <a:ext uri="{FF2B5EF4-FFF2-40B4-BE49-F238E27FC236}">
              <a16:creationId xmlns:a16="http://schemas.microsoft.com/office/drawing/2014/main" id="{BB572B24-5B39-445F-958E-9451F8BAE2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4" name="AutoShape 1" descr="Vista previa de toda la pantalla">
          <a:extLst>
            <a:ext uri="{FF2B5EF4-FFF2-40B4-BE49-F238E27FC236}">
              <a16:creationId xmlns:a16="http://schemas.microsoft.com/office/drawing/2014/main" id="{2D7D06E1-12BF-4A40-AC84-7645EF0F9B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5" name="AutoShape 1" descr="Vista previa de toda la pantalla">
          <a:extLst>
            <a:ext uri="{FF2B5EF4-FFF2-40B4-BE49-F238E27FC236}">
              <a16:creationId xmlns:a16="http://schemas.microsoft.com/office/drawing/2014/main" id="{EAE467FA-B3A8-44BA-885E-A7D7A8AA1E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6" name="AutoShape 1" descr="Vista previa de toda la pantalla">
          <a:extLst>
            <a:ext uri="{FF2B5EF4-FFF2-40B4-BE49-F238E27FC236}">
              <a16:creationId xmlns:a16="http://schemas.microsoft.com/office/drawing/2014/main" id="{2324E206-6939-44AA-A766-D1E94CC91A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7" name="AutoShape 1" descr="Vista previa de toda la pantalla">
          <a:extLst>
            <a:ext uri="{FF2B5EF4-FFF2-40B4-BE49-F238E27FC236}">
              <a16:creationId xmlns:a16="http://schemas.microsoft.com/office/drawing/2014/main" id="{079A3EA3-2362-4849-8354-5043B83D8B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8" name="AutoShape 1" descr="Vista previa de toda la pantalla">
          <a:extLst>
            <a:ext uri="{FF2B5EF4-FFF2-40B4-BE49-F238E27FC236}">
              <a16:creationId xmlns:a16="http://schemas.microsoft.com/office/drawing/2014/main" id="{1437F4F5-6F1E-4159-B056-CA2C72C7BD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49" name="AutoShape 1" descr="Vista previa de toda la pantalla">
          <a:extLst>
            <a:ext uri="{FF2B5EF4-FFF2-40B4-BE49-F238E27FC236}">
              <a16:creationId xmlns:a16="http://schemas.microsoft.com/office/drawing/2014/main" id="{7FFEA438-EB84-4C90-8260-9F999E13B8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0" name="AutoShape 1" descr="Vista previa de toda la pantalla">
          <a:extLst>
            <a:ext uri="{FF2B5EF4-FFF2-40B4-BE49-F238E27FC236}">
              <a16:creationId xmlns:a16="http://schemas.microsoft.com/office/drawing/2014/main" id="{87A3B3E4-82B1-42F8-A706-FA66460894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1" name="AutoShape 1" descr="Vista previa de toda la pantalla">
          <a:extLst>
            <a:ext uri="{FF2B5EF4-FFF2-40B4-BE49-F238E27FC236}">
              <a16:creationId xmlns:a16="http://schemas.microsoft.com/office/drawing/2014/main" id="{29BBF4D7-9BEC-4F10-8A2C-50B3BFCA55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2" name="AutoShape 1" descr="Vista previa de toda la pantalla">
          <a:extLst>
            <a:ext uri="{FF2B5EF4-FFF2-40B4-BE49-F238E27FC236}">
              <a16:creationId xmlns:a16="http://schemas.microsoft.com/office/drawing/2014/main" id="{6063F554-89E3-48FD-ACBC-CE6E904A06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3" name="AutoShape 1" descr="Vista previa de toda la pantalla">
          <a:extLst>
            <a:ext uri="{FF2B5EF4-FFF2-40B4-BE49-F238E27FC236}">
              <a16:creationId xmlns:a16="http://schemas.microsoft.com/office/drawing/2014/main" id="{681187F2-0965-4D14-966D-507CE76BA2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4" name="AutoShape 1" descr="Vista previa de toda la pantalla">
          <a:extLst>
            <a:ext uri="{FF2B5EF4-FFF2-40B4-BE49-F238E27FC236}">
              <a16:creationId xmlns:a16="http://schemas.microsoft.com/office/drawing/2014/main" id="{85654CF1-ECFD-47E0-A65B-64B301407C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5" name="AutoShape 1" descr="Vista previa de toda la pantalla">
          <a:extLst>
            <a:ext uri="{FF2B5EF4-FFF2-40B4-BE49-F238E27FC236}">
              <a16:creationId xmlns:a16="http://schemas.microsoft.com/office/drawing/2014/main" id="{7EFE3859-0997-4D7F-9EBA-C0F6392838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6" name="AutoShape 1" descr="Vista previa de toda la pantalla">
          <a:extLst>
            <a:ext uri="{FF2B5EF4-FFF2-40B4-BE49-F238E27FC236}">
              <a16:creationId xmlns:a16="http://schemas.microsoft.com/office/drawing/2014/main" id="{684B93BF-744E-4E32-9993-08505824D6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7" name="AutoShape 1" descr="Vista previa de toda la pantalla">
          <a:extLst>
            <a:ext uri="{FF2B5EF4-FFF2-40B4-BE49-F238E27FC236}">
              <a16:creationId xmlns:a16="http://schemas.microsoft.com/office/drawing/2014/main" id="{0F85D864-DC1E-4DD7-B0CC-144E00D047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8" name="AutoShape 1" descr="Vista previa de toda la pantalla">
          <a:extLst>
            <a:ext uri="{FF2B5EF4-FFF2-40B4-BE49-F238E27FC236}">
              <a16:creationId xmlns:a16="http://schemas.microsoft.com/office/drawing/2014/main" id="{8790E33A-1C66-46C4-8226-1490365229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59" name="AutoShape 1" descr="Vista previa de toda la pantalla">
          <a:extLst>
            <a:ext uri="{FF2B5EF4-FFF2-40B4-BE49-F238E27FC236}">
              <a16:creationId xmlns:a16="http://schemas.microsoft.com/office/drawing/2014/main" id="{29C36EC2-FF89-457C-AF67-A80217FAC5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0" name="AutoShape 1" descr="Vista previa de toda la pantalla">
          <a:extLst>
            <a:ext uri="{FF2B5EF4-FFF2-40B4-BE49-F238E27FC236}">
              <a16:creationId xmlns:a16="http://schemas.microsoft.com/office/drawing/2014/main" id="{DE4DE194-D166-4910-A53B-6232C814E1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1" name="AutoShape 1" descr="Vista previa de toda la pantalla">
          <a:extLst>
            <a:ext uri="{FF2B5EF4-FFF2-40B4-BE49-F238E27FC236}">
              <a16:creationId xmlns:a16="http://schemas.microsoft.com/office/drawing/2014/main" id="{4487A133-7819-4D3A-9126-999C6ED939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2" name="AutoShape 1" descr="Vista previa de toda la pantalla">
          <a:extLst>
            <a:ext uri="{FF2B5EF4-FFF2-40B4-BE49-F238E27FC236}">
              <a16:creationId xmlns:a16="http://schemas.microsoft.com/office/drawing/2014/main" id="{952E9C9E-387E-4932-AC82-8E3CDED6C1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3" name="AutoShape 1" descr="Vista previa de toda la pantalla">
          <a:extLst>
            <a:ext uri="{FF2B5EF4-FFF2-40B4-BE49-F238E27FC236}">
              <a16:creationId xmlns:a16="http://schemas.microsoft.com/office/drawing/2014/main" id="{F2C7FE8B-5F52-4F74-B75E-E3BB2A0DB9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4" name="AutoShape 1" descr="Vista previa de toda la pantalla">
          <a:extLst>
            <a:ext uri="{FF2B5EF4-FFF2-40B4-BE49-F238E27FC236}">
              <a16:creationId xmlns:a16="http://schemas.microsoft.com/office/drawing/2014/main" id="{51BFE6F5-183D-41CF-A947-7F9E5370B4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5" name="AutoShape 1" descr="Vista previa de toda la pantalla">
          <a:extLst>
            <a:ext uri="{FF2B5EF4-FFF2-40B4-BE49-F238E27FC236}">
              <a16:creationId xmlns:a16="http://schemas.microsoft.com/office/drawing/2014/main" id="{F25F5A4B-14D8-47ED-91F9-21FADCB29A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6" name="AutoShape 1" descr="Vista previa de toda la pantalla">
          <a:extLst>
            <a:ext uri="{FF2B5EF4-FFF2-40B4-BE49-F238E27FC236}">
              <a16:creationId xmlns:a16="http://schemas.microsoft.com/office/drawing/2014/main" id="{6BEFF7CA-0BAC-47E4-B66A-C149B346D1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7" name="AutoShape 1" descr="Vista previa de toda la pantalla">
          <a:extLst>
            <a:ext uri="{FF2B5EF4-FFF2-40B4-BE49-F238E27FC236}">
              <a16:creationId xmlns:a16="http://schemas.microsoft.com/office/drawing/2014/main" id="{7B40F31C-16E8-4DC0-AD5C-D731D1A3B8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8" name="AutoShape 1" descr="Vista previa de toda la pantalla">
          <a:extLst>
            <a:ext uri="{FF2B5EF4-FFF2-40B4-BE49-F238E27FC236}">
              <a16:creationId xmlns:a16="http://schemas.microsoft.com/office/drawing/2014/main" id="{C03A4E7C-CA86-4A9A-B970-E8D92769FD0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69" name="AutoShape 1" descr="Vista previa de toda la pantalla">
          <a:extLst>
            <a:ext uri="{FF2B5EF4-FFF2-40B4-BE49-F238E27FC236}">
              <a16:creationId xmlns:a16="http://schemas.microsoft.com/office/drawing/2014/main" id="{8C0691FA-C918-401E-B846-B87C20585C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0" name="AutoShape 1" descr="Vista previa de toda la pantalla">
          <a:extLst>
            <a:ext uri="{FF2B5EF4-FFF2-40B4-BE49-F238E27FC236}">
              <a16:creationId xmlns:a16="http://schemas.microsoft.com/office/drawing/2014/main" id="{0C100350-A882-4AAE-89BF-FF0BD3FF25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1" name="AutoShape 1" descr="Vista previa de toda la pantalla">
          <a:extLst>
            <a:ext uri="{FF2B5EF4-FFF2-40B4-BE49-F238E27FC236}">
              <a16:creationId xmlns:a16="http://schemas.microsoft.com/office/drawing/2014/main" id="{4C5802AF-841E-4A27-9B6E-20151DA5CB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2" name="AutoShape 1" descr="Vista previa de toda la pantalla">
          <a:extLst>
            <a:ext uri="{FF2B5EF4-FFF2-40B4-BE49-F238E27FC236}">
              <a16:creationId xmlns:a16="http://schemas.microsoft.com/office/drawing/2014/main" id="{E829127E-FFB5-4925-B173-16D524F706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3" name="AutoShape 1" descr="Vista previa de toda la pantalla">
          <a:extLst>
            <a:ext uri="{FF2B5EF4-FFF2-40B4-BE49-F238E27FC236}">
              <a16:creationId xmlns:a16="http://schemas.microsoft.com/office/drawing/2014/main" id="{AB13425F-C82D-451F-9177-467118E86A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4" name="AutoShape 1" descr="Vista previa de toda la pantalla">
          <a:extLst>
            <a:ext uri="{FF2B5EF4-FFF2-40B4-BE49-F238E27FC236}">
              <a16:creationId xmlns:a16="http://schemas.microsoft.com/office/drawing/2014/main" id="{EBDF8B77-C092-41D1-B245-CEB2913264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5" name="AutoShape 1" descr="Vista previa de toda la pantalla">
          <a:extLst>
            <a:ext uri="{FF2B5EF4-FFF2-40B4-BE49-F238E27FC236}">
              <a16:creationId xmlns:a16="http://schemas.microsoft.com/office/drawing/2014/main" id="{9B724808-A745-419B-84DC-9F1556AD12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6" name="AutoShape 1" descr="Vista previa de toda la pantalla">
          <a:extLst>
            <a:ext uri="{FF2B5EF4-FFF2-40B4-BE49-F238E27FC236}">
              <a16:creationId xmlns:a16="http://schemas.microsoft.com/office/drawing/2014/main" id="{03D0F5FA-B33B-4F4E-A883-A9E5B664CA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7" name="AutoShape 1" descr="Vista previa de toda la pantalla">
          <a:extLst>
            <a:ext uri="{FF2B5EF4-FFF2-40B4-BE49-F238E27FC236}">
              <a16:creationId xmlns:a16="http://schemas.microsoft.com/office/drawing/2014/main" id="{7F861178-C3C2-46B1-9105-756A69A4E2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8" name="AutoShape 1" descr="Vista previa de toda la pantalla">
          <a:extLst>
            <a:ext uri="{FF2B5EF4-FFF2-40B4-BE49-F238E27FC236}">
              <a16:creationId xmlns:a16="http://schemas.microsoft.com/office/drawing/2014/main" id="{7C84E835-09CF-458A-BFDF-FBDFE1CE86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79" name="AutoShape 1" descr="Vista previa de toda la pantalla">
          <a:extLst>
            <a:ext uri="{FF2B5EF4-FFF2-40B4-BE49-F238E27FC236}">
              <a16:creationId xmlns:a16="http://schemas.microsoft.com/office/drawing/2014/main" id="{924DEF9E-1ACF-4398-A1A9-30EE67E939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0" name="AutoShape 1" descr="Vista previa de toda la pantalla">
          <a:extLst>
            <a:ext uri="{FF2B5EF4-FFF2-40B4-BE49-F238E27FC236}">
              <a16:creationId xmlns:a16="http://schemas.microsoft.com/office/drawing/2014/main" id="{3391AA78-DCFA-4428-9B21-B13631184B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1" name="AutoShape 1" descr="Vista previa de toda la pantalla">
          <a:extLst>
            <a:ext uri="{FF2B5EF4-FFF2-40B4-BE49-F238E27FC236}">
              <a16:creationId xmlns:a16="http://schemas.microsoft.com/office/drawing/2014/main" id="{DA37122C-27A9-492F-982C-ACE8348A45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2" name="AutoShape 1" descr="Vista previa de toda la pantalla">
          <a:extLst>
            <a:ext uri="{FF2B5EF4-FFF2-40B4-BE49-F238E27FC236}">
              <a16:creationId xmlns:a16="http://schemas.microsoft.com/office/drawing/2014/main" id="{FFEA14C6-8629-4E83-B226-D73E5C5B42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3" name="AutoShape 1" descr="Vista previa de toda la pantalla">
          <a:extLst>
            <a:ext uri="{FF2B5EF4-FFF2-40B4-BE49-F238E27FC236}">
              <a16:creationId xmlns:a16="http://schemas.microsoft.com/office/drawing/2014/main" id="{74E39C8F-B42C-4038-9548-7AEAC4F7BE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4" name="AutoShape 1" descr="Vista previa de toda la pantalla">
          <a:extLst>
            <a:ext uri="{FF2B5EF4-FFF2-40B4-BE49-F238E27FC236}">
              <a16:creationId xmlns:a16="http://schemas.microsoft.com/office/drawing/2014/main" id="{BCDD00E2-87E3-4A7A-B18F-B7035E79B4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5" name="AutoShape 1" descr="Vista previa de toda la pantalla">
          <a:extLst>
            <a:ext uri="{FF2B5EF4-FFF2-40B4-BE49-F238E27FC236}">
              <a16:creationId xmlns:a16="http://schemas.microsoft.com/office/drawing/2014/main" id="{88689BC6-60D3-4F00-9A3A-DB1F52F103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6" name="AutoShape 1" descr="Vista previa de toda la pantalla">
          <a:extLst>
            <a:ext uri="{FF2B5EF4-FFF2-40B4-BE49-F238E27FC236}">
              <a16:creationId xmlns:a16="http://schemas.microsoft.com/office/drawing/2014/main" id="{909F5671-7CA8-4EED-BF12-0087784DF1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7" name="AutoShape 1" descr="Vista previa de toda la pantalla">
          <a:extLst>
            <a:ext uri="{FF2B5EF4-FFF2-40B4-BE49-F238E27FC236}">
              <a16:creationId xmlns:a16="http://schemas.microsoft.com/office/drawing/2014/main" id="{86D781C4-6D2D-4F5D-84E6-6FC87C76F9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8" name="AutoShape 1" descr="Vista previa de toda la pantalla">
          <a:extLst>
            <a:ext uri="{FF2B5EF4-FFF2-40B4-BE49-F238E27FC236}">
              <a16:creationId xmlns:a16="http://schemas.microsoft.com/office/drawing/2014/main" id="{7AEC7E36-692F-497F-AE7B-6649F843B3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89" name="AutoShape 1" descr="Vista previa de toda la pantalla">
          <a:extLst>
            <a:ext uri="{FF2B5EF4-FFF2-40B4-BE49-F238E27FC236}">
              <a16:creationId xmlns:a16="http://schemas.microsoft.com/office/drawing/2014/main" id="{483C27AD-7B50-4305-9B69-1F0C4F4AAE4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0" name="AutoShape 1" descr="Vista previa de toda la pantalla">
          <a:extLst>
            <a:ext uri="{FF2B5EF4-FFF2-40B4-BE49-F238E27FC236}">
              <a16:creationId xmlns:a16="http://schemas.microsoft.com/office/drawing/2014/main" id="{3585DB75-86E4-45C7-BA11-C35DD141A3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1" name="AutoShape 1" descr="Vista previa de toda la pantalla">
          <a:extLst>
            <a:ext uri="{FF2B5EF4-FFF2-40B4-BE49-F238E27FC236}">
              <a16:creationId xmlns:a16="http://schemas.microsoft.com/office/drawing/2014/main" id="{F0CD9881-28C1-4B9C-B5B4-A4E3712362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2" name="AutoShape 1" descr="Vista previa de toda la pantalla">
          <a:extLst>
            <a:ext uri="{FF2B5EF4-FFF2-40B4-BE49-F238E27FC236}">
              <a16:creationId xmlns:a16="http://schemas.microsoft.com/office/drawing/2014/main" id="{3BDAF63B-4CB6-479C-86B3-998B43AD05A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3" name="AutoShape 1" descr="Vista previa de toda la pantalla">
          <a:extLst>
            <a:ext uri="{FF2B5EF4-FFF2-40B4-BE49-F238E27FC236}">
              <a16:creationId xmlns:a16="http://schemas.microsoft.com/office/drawing/2014/main" id="{08373CB9-0890-4998-914D-6678969EB75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4" name="AutoShape 1" descr="Vista previa de toda la pantalla">
          <a:extLst>
            <a:ext uri="{FF2B5EF4-FFF2-40B4-BE49-F238E27FC236}">
              <a16:creationId xmlns:a16="http://schemas.microsoft.com/office/drawing/2014/main" id="{AC5EBCFF-4DC3-497A-AECA-F15190EA78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5" name="AutoShape 1" descr="Vista previa de toda la pantalla">
          <a:extLst>
            <a:ext uri="{FF2B5EF4-FFF2-40B4-BE49-F238E27FC236}">
              <a16:creationId xmlns:a16="http://schemas.microsoft.com/office/drawing/2014/main" id="{595164DC-AC57-4DA6-A24D-44F0001341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6" name="AutoShape 1" descr="Vista previa de toda la pantalla">
          <a:extLst>
            <a:ext uri="{FF2B5EF4-FFF2-40B4-BE49-F238E27FC236}">
              <a16:creationId xmlns:a16="http://schemas.microsoft.com/office/drawing/2014/main" id="{798DA541-071C-4F11-AE95-17C92CC888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7" name="AutoShape 1" descr="Vista previa de toda la pantalla">
          <a:extLst>
            <a:ext uri="{FF2B5EF4-FFF2-40B4-BE49-F238E27FC236}">
              <a16:creationId xmlns:a16="http://schemas.microsoft.com/office/drawing/2014/main" id="{652ED6DF-3A0B-41D7-98DB-F6464CDF11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8" name="AutoShape 1" descr="Vista previa de toda la pantalla">
          <a:extLst>
            <a:ext uri="{FF2B5EF4-FFF2-40B4-BE49-F238E27FC236}">
              <a16:creationId xmlns:a16="http://schemas.microsoft.com/office/drawing/2014/main" id="{256A9F1B-4944-4D89-80AE-99F78EDF11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599" name="AutoShape 1" descr="Vista previa de toda la pantalla">
          <a:extLst>
            <a:ext uri="{FF2B5EF4-FFF2-40B4-BE49-F238E27FC236}">
              <a16:creationId xmlns:a16="http://schemas.microsoft.com/office/drawing/2014/main" id="{D2C700DA-DDFE-4240-A214-823FF734B0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0" name="AutoShape 1" descr="Vista previa de toda la pantalla">
          <a:extLst>
            <a:ext uri="{FF2B5EF4-FFF2-40B4-BE49-F238E27FC236}">
              <a16:creationId xmlns:a16="http://schemas.microsoft.com/office/drawing/2014/main" id="{657B5D57-7D14-43F2-A688-900D5365FB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1" name="AutoShape 1" descr="Vista previa de toda la pantalla">
          <a:extLst>
            <a:ext uri="{FF2B5EF4-FFF2-40B4-BE49-F238E27FC236}">
              <a16:creationId xmlns:a16="http://schemas.microsoft.com/office/drawing/2014/main" id="{0538CFBF-9C48-4F2B-9BA6-13E4C363D8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2" name="AutoShape 1" descr="Vista previa de toda la pantalla">
          <a:extLst>
            <a:ext uri="{FF2B5EF4-FFF2-40B4-BE49-F238E27FC236}">
              <a16:creationId xmlns:a16="http://schemas.microsoft.com/office/drawing/2014/main" id="{F6D5B7D6-6F1D-43EC-AF35-CEA16BABDC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3" name="AutoShape 1" descr="Vista previa de toda la pantalla">
          <a:extLst>
            <a:ext uri="{FF2B5EF4-FFF2-40B4-BE49-F238E27FC236}">
              <a16:creationId xmlns:a16="http://schemas.microsoft.com/office/drawing/2014/main" id="{906E8C79-6BE0-43E9-994B-0230447776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4" name="AutoShape 1" descr="Vista previa de toda la pantalla">
          <a:extLst>
            <a:ext uri="{FF2B5EF4-FFF2-40B4-BE49-F238E27FC236}">
              <a16:creationId xmlns:a16="http://schemas.microsoft.com/office/drawing/2014/main" id="{1866A2FD-EED6-49A3-9AF0-060335AFAA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5" name="AutoShape 1" descr="Vista previa de toda la pantalla">
          <a:extLst>
            <a:ext uri="{FF2B5EF4-FFF2-40B4-BE49-F238E27FC236}">
              <a16:creationId xmlns:a16="http://schemas.microsoft.com/office/drawing/2014/main" id="{BD4F0BAA-A88B-4672-A97E-3679652755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6" name="AutoShape 1" descr="Vista previa de toda la pantalla">
          <a:extLst>
            <a:ext uri="{FF2B5EF4-FFF2-40B4-BE49-F238E27FC236}">
              <a16:creationId xmlns:a16="http://schemas.microsoft.com/office/drawing/2014/main" id="{37085544-4842-49B0-A9BB-93DB003EB9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7" name="AutoShape 1" descr="Vista previa de toda la pantalla">
          <a:extLst>
            <a:ext uri="{FF2B5EF4-FFF2-40B4-BE49-F238E27FC236}">
              <a16:creationId xmlns:a16="http://schemas.microsoft.com/office/drawing/2014/main" id="{1B1DFB28-97E1-4329-8DCE-DC12261FF5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8" name="AutoShape 1" descr="Vista previa de toda la pantalla">
          <a:extLst>
            <a:ext uri="{FF2B5EF4-FFF2-40B4-BE49-F238E27FC236}">
              <a16:creationId xmlns:a16="http://schemas.microsoft.com/office/drawing/2014/main" id="{23B0143C-8DD2-498F-B830-669315E990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09" name="AutoShape 1" descr="Vista previa de toda la pantalla">
          <a:extLst>
            <a:ext uri="{FF2B5EF4-FFF2-40B4-BE49-F238E27FC236}">
              <a16:creationId xmlns:a16="http://schemas.microsoft.com/office/drawing/2014/main" id="{8D16C4C3-54D3-4AF2-A4DF-29FB9C0602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0" name="AutoShape 1" descr="Vista previa de toda la pantalla">
          <a:extLst>
            <a:ext uri="{FF2B5EF4-FFF2-40B4-BE49-F238E27FC236}">
              <a16:creationId xmlns:a16="http://schemas.microsoft.com/office/drawing/2014/main" id="{DD8B1543-B2A3-4300-A903-A59560C7E5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1" name="AutoShape 1" descr="Vista previa de toda la pantalla">
          <a:extLst>
            <a:ext uri="{FF2B5EF4-FFF2-40B4-BE49-F238E27FC236}">
              <a16:creationId xmlns:a16="http://schemas.microsoft.com/office/drawing/2014/main" id="{7B1FA4C6-4E9A-40E1-9B20-83072F1DF5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2" name="AutoShape 1" descr="Vista previa de toda la pantalla">
          <a:extLst>
            <a:ext uri="{FF2B5EF4-FFF2-40B4-BE49-F238E27FC236}">
              <a16:creationId xmlns:a16="http://schemas.microsoft.com/office/drawing/2014/main" id="{42CC6BA8-F340-4AD1-B2B5-5470AD3351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3" name="AutoShape 1" descr="Vista previa de toda la pantalla">
          <a:extLst>
            <a:ext uri="{FF2B5EF4-FFF2-40B4-BE49-F238E27FC236}">
              <a16:creationId xmlns:a16="http://schemas.microsoft.com/office/drawing/2014/main" id="{4C886797-07A3-499C-9C58-86F9E41548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4" name="AutoShape 1" descr="Vista previa de toda la pantalla">
          <a:extLst>
            <a:ext uri="{FF2B5EF4-FFF2-40B4-BE49-F238E27FC236}">
              <a16:creationId xmlns:a16="http://schemas.microsoft.com/office/drawing/2014/main" id="{84A2FCD5-5270-4CEC-827F-CAB2CE5003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5" name="AutoShape 1" descr="Vista previa de toda la pantalla">
          <a:extLst>
            <a:ext uri="{FF2B5EF4-FFF2-40B4-BE49-F238E27FC236}">
              <a16:creationId xmlns:a16="http://schemas.microsoft.com/office/drawing/2014/main" id="{C9C23A72-9B7B-4CD6-9845-8136077DD2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6" name="AutoShape 1" descr="Vista previa de toda la pantalla">
          <a:extLst>
            <a:ext uri="{FF2B5EF4-FFF2-40B4-BE49-F238E27FC236}">
              <a16:creationId xmlns:a16="http://schemas.microsoft.com/office/drawing/2014/main" id="{CE252F33-BF44-4DC6-AFAD-1DC9E0D790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7" name="AutoShape 1" descr="Vista previa de toda la pantalla">
          <a:extLst>
            <a:ext uri="{FF2B5EF4-FFF2-40B4-BE49-F238E27FC236}">
              <a16:creationId xmlns:a16="http://schemas.microsoft.com/office/drawing/2014/main" id="{6E204C79-8DF3-4AFC-BCE8-565BB3430E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8" name="AutoShape 1" descr="Vista previa de toda la pantalla">
          <a:extLst>
            <a:ext uri="{FF2B5EF4-FFF2-40B4-BE49-F238E27FC236}">
              <a16:creationId xmlns:a16="http://schemas.microsoft.com/office/drawing/2014/main" id="{C6576BC8-D6EF-4BE0-BCFF-272E49E2D7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19" name="AutoShape 1" descr="Vista previa de toda la pantalla">
          <a:extLst>
            <a:ext uri="{FF2B5EF4-FFF2-40B4-BE49-F238E27FC236}">
              <a16:creationId xmlns:a16="http://schemas.microsoft.com/office/drawing/2014/main" id="{60CE24C3-DFB6-401D-9893-40048B403A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0" name="AutoShape 1" descr="Vista previa de toda la pantalla">
          <a:extLst>
            <a:ext uri="{FF2B5EF4-FFF2-40B4-BE49-F238E27FC236}">
              <a16:creationId xmlns:a16="http://schemas.microsoft.com/office/drawing/2014/main" id="{7D8ED872-1BD0-4E2A-8393-1399D5FAF9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1" name="AutoShape 1" descr="Vista previa de toda la pantalla">
          <a:extLst>
            <a:ext uri="{FF2B5EF4-FFF2-40B4-BE49-F238E27FC236}">
              <a16:creationId xmlns:a16="http://schemas.microsoft.com/office/drawing/2014/main" id="{8C6DF679-5112-409A-BCFC-A24F33C909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2" name="AutoShape 1" descr="Vista previa de toda la pantalla">
          <a:extLst>
            <a:ext uri="{FF2B5EF4-FFF2-40B4-BE49-F238E27FC236}">
              <a16:creationId xmlns:a16="http://schemas.microsoft.com/office/drawing/2014/main" id="{C585A62C-8FDE-43E1-BFF6-4044E5D1F6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3" name="AutoShape 1" descr="Vista previa de toda la pantalla">
          <a:extLst>
            <a:ext uri="{FF2B5EF4-FFF2-40B4-BE49-F238E27FC236}">
              <a16:creationId xmlns:a16="http://schemas.microsoft.com/office/drawing/2014/main" id="{B28B4176-722E-443C-BB79-3A288BD2DA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4" name="AutoShape 1" descr="Vista previa de toda la pantalla">
          <a:extLst>
            <a:ext uri="{FF2B5EF4-FFF2-40B4-BE49-F238E27FC236}">
              <a16:creationId xmlns:a16="http://schemas.microsoft.com/office/drawing/2014/main" id="{F38458DC-FF51-4C78-82C9-3A8FA8652F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5" name="AutoShape 1" descr="Vista previa de toda la pantalla">
          <a:extLst>
            <a:ext uri="{FF2B5EF4-FFF2-40B4-BE49-F238E27FC236}">
              <a16:creationId xmlns:a16="http://schemas.microsoft.com/office/drawing/2014/main" id="{CE60D2CC-D8A7-4855-9456-27D70FBC76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6" name="AutoShape 1" descr="Vista previa de toda la pantalla">
          <a:extLst>
            <a:ext uri="{FF2B5EF4-FFF2-40B4-BE49-F238E27FC236}">
              <a16:creationId xmlns:a16="http://schemas.microsoft.com/office/drawing/2014/main" id="{1A02AF60-ABD6-4BEE-B834-7D3476098A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7" name="AutoShape 1" descr="Vista previa de toda la pantalla">
          <a:extLst>
            <a:ext uri="{FF2B5EF4-FFF2-40B4-BE49-F238E27FC236}">
              <a16:creationId xmlns:a16="http://schemas.microsoft.com/office/drawing/2014/main" id="{EB139B40-0FE2-4160-A036-3AF68ED5F5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8" name="AutoShape 1" descr="Vista previa de toda la pantalla">
          <a:extLst>
            <a:ext uri="{FF2B5EF4-FFF2-40B4-BE49-F238E27FC236}">
              <a16:creationId xmlns:a16="http://schemas.microsoft.com/office/drawing/2014/main" id="{3D307105-C6DE-4FB1-9399-3ECF744DB6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29" name="AutoShape 1" descr="Vista previa de toda la pantalla">
          <a:extLst>
            <a:ext uri="{FF2B5EF4-FFF2-40B4-BE49-F238E27FC236}">
              <a16:creationId xmlns:a16="http://schemas.microsoft.com/office/drawing/2014/main" id="{286EA4A7-0248-42EF-95E8-33E1509DF4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0" name="AutoShape 1" descr="Vista previa de toda la pantalla">
          <a:extLst>
            <a:ext uri="{FF2B5EF4-FFF2-40B4-BE49-F238E27FC236}">
              <a16:creationId xmlns:a16="http://schemas.microsoft.com/office/drawing/2014/main" id="{C8E34062-9287-45F8-B5F3-106C4E87D8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1" name="AutoShape 1" descr="Vista previa de toda la pantalla">
          <a:extLst>
            <a:ext uri="{FF2B5EF4-FFF2-40B4-BE49-F238E27FC236}">
              <a16:creationId xmlns:a16="http://schemas.microsoft.com/office/drawing/2014/main" id="{3989134F-CC17-47F7-A9A2-A69BB314C9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2" name="AutoShape 1" descr="Vista previa de toda la pantalla">
          <a:extLst>
            <a:ext uri="{FF2B5EF4-FFF2-40B4-BE49-F238E27FC236}">
              <a16:creationId xmlns:a16="http://schemas.microsoft.com/office/drawing/2014/main" id="{C92F496E-3767-4AD6-8B72-B511ECF83E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3" name="AutoShape 1" descr="Vista previa de toda la pantalla">
          <a:extLst>
            <a:ext uri="{FF2B5EF4-FFF2-40B4-BE49-F238E27FC236}">
              <a16:creationId xmlns:a16="http://schemas.microsoft.com/office/drawing/2014/main" id="{C581F2FE-39DE-4623-8B4D-14C31B307C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4" name="AutoShape 1" descr="Vista previa de toda la pantalla">
          <a:extLst>
            <a:ext uri="{FF2B5EF4-FFF2-40B4-BE49-F238E27FC236}">
              <a16:creationId xmlns:a16="http://schemas.microsoft.com/office/drawing/2014/main" id="{892D5A8E-9790-460E-8615-C28F982128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5" name="AutoShape 1" descr="Vista previa de toda la pantalla">
          <a:extLst>
            <a:ext uri="{FF2B5EF4-FFF2-40B4-BE49-F238E27FC236}">
              <a16:creationId xmlns:a16="http://schemas.microsoft.com/office/drawing/2014/main" id="{402BE5BD-67EA-4C38-BD1E-0A6BB9D819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6" name="AutoShape 1" descr="Vista previa de toda la pantalla">
          <a:extLst>
            <a:ext uri="{FF2B5EF4-FFF2-40B4-BE49-F238E27FC236}">
              <a16:creationId xmlns:a16="http://schemas.microsoft.com/office/drawing/2014/main" id="{EF466895-D0D7-45A1-99D1-3E0D151572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7" name="AutoShape 1" descr="Vista previa de toda la pantalla">
          <a:extLst>
            <a:ext uri="{FF2B5EF4-FFF2-40B4-BE49-F238E27FC236}">
              <a16:creationId xmlns:a16="http://schemas.microsoft.com/office/drawing/2014/main" id="{B440BD1E-39E2-4436-9D5B-16EF4F513C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8" name="AutoShape 1" descr="Vista previa de toda la pantalla">
          <a:extLst>
            <a:ext uri="{FF2B5EF4-FFF2-40B4-BE49-F238E27FC236}">
              <a16:creationId xmlns:a16="http://schemas.microsoft.com/office/drawing/2014/main" id="{8AE14C09-92B9-4378-A74A-6F05DEEE00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39" name="AutoShape 1" descr="Vista previa de toda la pantalla">
          <a:extLst>
            <a:ext uri="{FF2B5EF4-FFF2-40B4-BE49-F238E27FC236}">
              <a16:creationId xmlns:a16="http://schemas.microsoft.com/office/drawing/2014/main" id="{3BD74FBA-03D0-47A2-88DC-5C7FD5670D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0" name="AutoShape 1" descr="Vista previa de toda la pantalla">
          <a:extLst>
            <a:ext uri="{FF2B5EF4-FFF2-40B4-BE49-F238E27FC236}">
              <a16:creationId xmlns:a16="http://schemas.microsoft.com/office/drawing/2014/main" id="{847CC6FE-DE87-4170-B5F1-900899E613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1" name="AutoShape 1" descr="Vista previa de toda la pantalla">
          <a:extLst>
            <a:ext uri="{FF2B5EF4-FFF2-40B4-BE49-F238E27FC236}">
              <a16:creationId xmlns:a16="http://schemas.microsoft.com/office/drawing/2014/main" id="{0BF6293A-032D-45CE-B9D5-74A0B6EA00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2" name="AutoShape 1" descr="Vista previa de toda la pantalla">
          <a:extLst>
            <a:ext uri="{FF2B5EF4-FFF2-40B4-BE49-F238E27FC236}">
              <a16:creationId xmlns:a16="http://schemas.microsoft.com/office/drawing/2014/main" id="{485E2828-15E7-40DE-8EB3-21CF6DCD4B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3" name="AutoShape 1" descr="Vista previa de toda la pantalla">
          <a:extLst>
            <a:ext uri="{FF2B5EF4-FFF2-40B4-BE49-F238E27FC236}">
              <a16:creationId xmlns:a16="http://schemas.microsoft.com/office/drawing/2014/main" id="{4D991558-2F18-4959-B433-68E032C9C0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4" name="AutoShape 1" descr="Vista previa de toda la pantalla">
          <a:extLst>
            <a:ext uri="{FF2B5EF4-FFF2-40B4-BE49-F238E27FC236}">
              <a16:creationId xmlns:a16="http://schemas.microsoft.com/office/drawing/2014/main" id="{719F1FE0-4574-4BEE-93E2-B3410F0683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5" name="AutoShape 1" descr="Vista previa de toda la pantalla">
          <a:extLst>
            <a:ext uri="{FF2B5EF4-FFF2-40B4-BE49-F238E27FC236}">
              <a16:creationId xmlns:a16="http://schemas.microsoft.com/office/drawing/2014/main" id="{8D6E21C1-2F52-4151-874E-79B5B3989D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6" name="AutoShape 1" descr="Vista previa de toda la pantalla">
          <a:extLst>
            <a:ext uri="{FF2B5EF4-FFF2-40B4-BE49-F238E27FC236}">
              <a16:creationId xmlns:a16="http://schemas.microsoft.com/office/drawing/2014/main" id="{CB3D62E0-38AA-45BD-853F-C25BC1C701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7" name="AutoShape 1" descr="Vista previa de toda la pantalla">
          <a:extLst>
            <a:ext uri="{FF2B5EF4-FFF2-40B4-BE49-F238E27FC236}">
              <a16:creationId xmlns:a16="http://schemas.microsoft.com/office/drawing/2014/main" id="{DF4F7A77-8607-4DC8-A2C3-7866FCF289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8" name="AutoShape 1" descr="Vista previa de toda la pantalla">
          <a:extLst>
            <a:ext uri="{FF2B5EF4-FFF2-40B4-BE49-F238E27FC236}">
              <a16:creationId xmlns:a16="http://schemas.microsoft.com/office/drawing/2014/main" id="{7DF4CEEA-8A0A-4576-9C91-D22E869892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49" name="AutoShape 1" descr="Vista previa de toda la pantalla">
          <a:extLst>
            <a:ext uri="{FF2B5EF4-FFF2-40B4-BE49-F238E27FC236}">
              <a16:creationId xmlns:a16="http://schemas.microsoft.com/office/drawing/2014/main" id="{1217C93B-5B3A-4EB0-9747-951203A2C1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0" name="AutoShape 1" descr="Vista previa de toda la pantalla">
          <a:extLst>
            <a:ext uri="{FF2B5EF4-FFF2-40B4-BE49-F238E27FC236}">
              <a16:creationId xmlns:a16="http://schemas.microsoft.com/office/drawing/2014/main" id="{5E3CB9A8-B851-451E-9AC2-D25C9B69A0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1" name="AutoShape 1" descr="Vista previa de toda la pantalla">
          <a:extLst>
            <a:ext uri="{FF2B5EF4-FFF2-40B4-BE49-F238E27FC236}">
              <a16:creationId xmlns:a16="http://schemas.microsoft.com/office/drawing/2014/main" id="{1DFED2B7-A1A9-4F71-9534-A96EBF42A0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2" name="AutoShape 1" descr="Vista previa de toda la pantalla">
          <a:extLst>
            <a:ext uri="{FF2B5EF4-FFF2-40B4-BE49-F238E27FC236}">
              <a16:creationId xmlns:a16="http://schemas.microsoft.com/office/drawing/2014/main" id="{7F8390D2-07E5-486F-B923-2DA718872C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3" name="AutoShape 1" descr="Vista previa de toda la pantalla">
          <a:extLst>
            <a:ext uri="{FF2B5EF4-FFF2-40B4-BE49-F238E27FC236}">
              <a16:creationId xmlns:a16="http://schemas.microsoft.com/office/drawing/2014/main" id="{09F98CDF-CE9D-46D1-9184-88F69BF545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4" name="AutoShape 1" descr="Vista previa de toda la pantalla">
          <a:extLst>
            <a:ext uri="{FF2B5EF4-FFF2-40B4-BE49-F238E27FC236}">
              <a16:creationId xmlns:a16="http://schemas.microsoft.com/office/drawing/2014/main" id="{9998FB89-AA01-42DE-9C66-321D03A33B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5" name="AutoShape 1" descr="Vista previa de toda la pantalla">
          <a:extLst>
            <a:ext uri="{FF2B5EF4-FFF2-40B4-BE49-F238E27FC236}">
              <a16:creationId xmlns:a16="http://schemas.microsoft.com/office/drawing/2014/main" id="{2F15C32D-9C63-49BA-BDF2-16B3AE4B3B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6" name="AutoShape 1" descr="Vista previa de toda la pantalla">
          <a:extLst>
            <a:ext uri="{FF2B5EF4-FFF2-40B4-BE49-F238E27FC236}">
              <a16:creationId xmlns:a16="http://schemas.microsoft.com/office/drawing/2014/main" id="{B3BC1534-8E58-41DF-A924-025E75A9BD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7" name="AutoShape 1" descr="Vista previa de toda la pantalla">
          <a:extLst>
            <a:ext uri="{FF2B5EF4-FFF2-40B4-BE49-F238E27FC236}">
              <a16:creationId xmlns:a16="http://schemas.microsoft.com/office/drawing/2014/main" id="{8BF0E7ED-B0E2-4BE6-A173-9F866EDF8C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8" name="AutoShape 1" descr="Vista previa de toda la pantalla">
          <a:extLst>
            <a:ext uri="{FF2B5EF4-FFF2-40B4-BE49-F238E27FC236}">
              <a16:creationId xmlns:a16="http://schemas.microsoft.com/office/drawing/2014/main" id="{179E26B3-CF39-4EEC-B680-EB9A584FBA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59" name="AutoShape 1" descr="Vista previa de toda la pantalla">
          <a:extLst>
            <a:ext uri="{FF2B5EF4-FFF2-40B4-BE49-F238E27FC236}">
              <a16:creationId xmlns:a16="http://schemas.microsoft.com/office/drawing/2014/main" id="{151B3B81-0640-49F0-B883-9A70643A5C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0" name="AutoShape 1" descr="Vista previa de toda la pantalla">
          <a:extLst>
            <a:ext uri="{FF2B5EF4-FFF2-40B4-BE49-F238E27FC236}">
              <a16:creationId xmlns:a16="http://schemas.microsoft.com/office/drawing/2014/main" id="{3F229249-05DB-439E-8B98-C2267D84D9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1" name="AutoShape 1" descr="Vista previa de toda la pantalla">
          <a:extLst>
            <a:ext uri="{FF2B5EF4-FFF2-40B4-BE49-F238E27FC236}">
              <a16:creationId xmlns:a16="http://schemas.microsoft.com/office/drawing/2014/main" id="{71347AE2-9607-4895-B5D5-467C85F55D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2" name="AutoShape 1" descr="Vista previa de toda la pantalla">
          <a:extLst>
            <a:ext uri="{FF2B5EF4-FFF2-40B4-BE49-F238E27FC236}">
              <a16:creationId xmlns:a16="http://schemas.microsoft.com/office/drawing/2014/main" id="{A4ADD88D-8FAE-41F8-A39A-59D316886B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3" name="AutoShape 1" descr="Vista previa de toda la pantalla">
          <a:extLst>
            <a:ext uri="{FF2B5EF4-FFF2-40B4-BE49-F238E27FC236}">
              <a16:creationId xmlns:a16="http://schemas.microsoft.com/office/drawing/2014/main" id="{AD301791-5CFF-4C74-BA14-1320AB46CD7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4" name="AutoShape 1" descr="Vista previa de toda la pantalla">
          <a:extLst>
            <a:ext uri="{FF2B5EF4-FFF2-40B4-BE49-F238E27FC236}">
              <a16:creationId xmlns:a16="http://schemas.microsoft.com/office/drawing/2014/main" id="{0AB7CA8C-3C3A-44B9-AD54-7658D36C86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5" name="AutoShape 1" descr="Vista previa de toda la pantalla">
          <a:extLst>
            <a:ext uri="{FF2B5EF4-FFF2-40B4-BE49-F238E27FC236}">
              <a16:creationId xmlns:a16="http://schemas.microsoft.com/office/drawing/2014/main" id="{21E316A4-0D97-4ACA-BE7A-B3BF9040DB5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6" name="AutoShape 1" descr="Vista previa de toda la pantalla">
          <a:extLst>
            <a:ext uri="{FF2B5EF4-FFF2-40B4-BE49-F238E27FC236}">
              <a16:creationId xmlns:a16="http://schemas.microsoft.com/office/drawing/2014/main" id="{60103F96-B5D1-4369-8A3D-3A1B0DE1C8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7" name="AutoShape 1" descr="Vista previa de toda la pantalla">
          <a:extLst>
            <a:ext uri="{FF2B5EF4-FFF2-40B4-BE49-F238E27FC236}">
              <a16:creationId xmlns:a16="http://schemas.microsoft.com/office/drawing/2014/main" id="{123069AF-C8BC-4F7D-9347-C2220672F3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8" name="AutoShape 1" descr="Vista previa de toda la pantalla">
          <a:extLst>
            <a:ext uri="{FF2B5EF4-FFF2-40B4-BE49-F238E27FC236}">
              <a16:creationId xmlns:a16="http://schemas.microsoft.com/office/drawing/2014/main" id="{99EEAE0C-D5F5-4483-A37C-F122B1CF584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69" name="AutoShape 1" descr="Vista previa de toda la pantalla">
          <a:extLst>
            <a:ext uri="{FF2B5EF4-FFF2-40B4-BE49-F238E27FC236}">
              <a16:creationId xmlns:a16="http://schemas.microsoft.com/office/drawing/2014/main" id="{36A092D1-1421-488D-8298-EC34718863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0" name="AutoShape 1" descr="Vista previa de toda la pantalla">
          <a:extLst>
            <a:ext uri="{FF2B5EF4-FFF2-40B4-BE49-F238E27FC236}">
              <a16:creationId xmlns:a16="http://schemas.microsoft.com/office/drawing/2014/main" id="{F126FFCE-E7C2-46A3-AD99-68A1A82DFE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1" name="AutoShape 1" descr="Vista previa de toda la pantalla">
          <a:extLst>
            <a:ext uri="{FF2B5EF4-FFF2-40B4-BE49-F238E27FC236}">
              <a16:creationId xmlns:a16="http://schemas.microsoft.com/office/drawing/2014/main" id="{EA523DE9-CDF3-48C9-9CB5-B25941B9109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2" name="AutoShape 1" descr="Vista previa de toda la pantalla">
          <a:extLst>
            <a:ext uri="{FF2B5EF4-FFF2-40B4-BE49-F238E27FC236}">
              <a16:creationId xmlns:a16="http://schemas.microsoft.com/office/drawing/2014/main" id="{7CEF43AA-6816-474B-B3C7-31683C5141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3" name="AutoShape 1" descr="Vista previa de toda la pantalla">
          <a:extLst>
            <a:ext uri="{FF2B5EF4-FFF2-40B4-BE49-F238E27FC236}">
              <a16:creationId xmlns:a16="http://schemas.microsoft.com/office/drawing/2014/main" id="{8B53EFAA-34DB-4D50-B925-2B1E083CA1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4" name="AutoShape 1" descr="Vista previa de toda la pantalla">
          <a:extLst>
            <a:ext uri="{FF2B5EF4-FFF2-40B4-BE49-F238E27FC236}">
              <a16:creationId xmlns:a16="http://schemas.microsoft.com/office/drawing/2014/main" id="{890DDA58-E578-44D1-AB43-F2FAC5B34F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5" name="AutoShape 1" descr="Vista previa de toda la pantalla">
          <a:extLst>
            <a:ext uri="{FF2B5EF4-FFF2-40B4-BE49-F238E27FC236}">
              <a16:creationId xmlns:a16="http://schemas.microsoft.com/office/drawing/2014/main" id="{B5C0BAF8-640C-46B0-A8A7-CD5EFDD1FC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6" name="AutoShape 1" descr="Vista previa de toda la pantalla">
          <a:extLst>
            <a:ext uri="{FF2B5EF4-FFF2-40B4-BE49-F238E27FC236}">
              <a16:creationId xmlns:a16="http://schemas.microsoft.com/office/drawing/2014/main" id="{82EE3196-62A4-4012-A732-3AEF9C0AD7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7" name="AutoShape 1" descr="Vista previa de toda la pantalla">
          <a:extLst>
            <a:ext uri="{FF2B5EF4-FFF2-40B4-BE49-F238E27FC236}">
              <a16:creationId xmlns:a16="http://schemas.microsoft.com/office/drawing/2014/main" id="{402E45DF-B9B7-4127-BE25-6ADE308114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8" name="AutoShape 1" descr="Vista previa de toda la pantalla">
          <a:extLst>
            <a:ext uri="{FF2B5EF4-FFF2-40B4-BE49-F238E27FC236}">
              <a16:creationId xmlns:a16="http://schemas.microsoft.com/office/drawing/2014/main" id="{1B3FE731-D161-4D30-BA5E-C8454952B0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79" name="AutoShape 1" descr="Vista previa de toda la pantalla">
          <a:extLst>
            <a:ext uri="{FF2B5EF4-FFF2-40B4-BE49-F238E27FC236}">
              <a16:creationId xmlns:a16="http://schemas.microsoft.com/office/drawing/2014/main" id="{DDA3202A-55DA-49B6-B0E4-05C39CCF00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0" name="AutoShape 1" descr="Vista previa de toda la pantalla">
          <a:extLst>
            <a:ext uri="{FF2B5EF4-FFF2-40B4-BE49-F238E27FC236}">
              <a16:creationId xmlns:a16="http://schemas.microsoft.com/office/drawing/2014/main" id="{9E0065D9-8E84-4580-8D39-6D1255E591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1" name="AutoShape 1" descr="Vista previa de toda la pantalla">
          <a:extLst>
            <a:ext uri="{FF2B5EF4-FFF2-40B4-BE49-F238E27FC236}">
              <a16:creationId xmlns:a16="http://schemas.microsoft.com/office/drawing/2014/main" id="{C7D6E746-80E6-4C67-82A2-CA8E6C1C41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2" name="AutoShape 1" descr="Vista previa de toda la pantalla">
          <a:extLst>
            <a:ext uri="{FF2B5EF4-FFF2-40B4-BE49-F238E27FC236}">
              <a16:creationId xmlns:a16="http://schemas.microsoft.com/office/drawing/2014/main" id="{E0FB6C9B-4F41-41BD-B6D9-416A3D1E80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3" name="AutoShape 1" descr="Vista previa de toda la pantalla">
          <a:extLst>
            <a:ext uri="{FF2B5EF4-FFF2-40B4-BE49-F238E27FC236}">
              <a16:creationId xmlns:a16="http://schemas.microsoft.com/office/drawing/2014/main" id="{FBAF689A-EF6E-4A56-A8E7-A83B8A5F40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4" name="AutoShape 1" descr="Vista previa de toda la pantalla">
          <a:extLst>
            <a:ext uri="{FF2B5EF4-FFF2-40B4-BE49-F238E27FC236}">
              <a16:creationId xmlns:a16="http://schemas.microsoft.com/office/drawing/2014/main" id="{4C0BA441-1C14-44F0-915B-50AFB7AA6B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5" name="AutoShape 1" descr="Vista previa de toda la pantalla">
          <a:extLst>
            <a:ext uri="{FF2B5EF4-FFF2-40B4-BE49-F238E27FC236}">
              <a16:creationId xmlns:a16="http://schemas.microsoft.com/office/drawing/2014/main" id="{CE1062B4-4A75-4E19-AC53-467D035F70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6" name="AutoShape 1" descr="Vista previa de toda la pantalla">
          <a:extLst>
            <a:ext uri="{FF2B5EF4-FFF2-40B4-BE49-F238E27FC236}">
              <a16:creationId xmlns:a16="http://schemas.microsoft.com/office/drawing/2014/main" id="{102D5C0B-9964-4006-9748-00CA424B09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7" name="AutoShape 1" descr="Vista previa de toda la pantalla">
          <a:extLst>
            <a:ext uri="{FF2B5EF4-FFF2-40B4-BE49-F238E27FC236}">
              <a16:creationId xmlns:a16="http://schemas.microsoft.com/office/drawing/2014/main" id="{AA0C1E75-DE1A-4B36-8549-0D5C819819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8" name="AutoShape 1" descr="Vista previa de toda la pantalla">
          <a:extLst>
            <a:ext uri="{FF2B5EF4-FFF2-40B4-BE49-F238E27FC236}">
              <a16:creationId xmlns:a16="http://schemas.microsoft.com/office/drawing/2014/main" id="{92C98954-12E3-49E1-8E85-FCB851B575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89" name="AutoShape 1" descr="Vista previa de toda la pantalla">
          <a:extLst>
            <a:ext uri="{FF2B5EF4-FFF2-40B4-BE49-F238E27FC236}">
              <a16:creationId xmlns:a16="http://schemas.microsoft.com/office/drawing/2014/main" id="{60F9B5D6-2E9B-45CD-8C76-B5275C910A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0" name="AutoShape 1" descr="Vista previa de toda la pantalla">
          <a:extLst>
            <a:ext uri="{FF2B5EF4-FFF2-40B4-BE49-F238E27FC236}">
              <a16:creationId xmlns:a16="http://schemas.microsoft.com/office/drawing/2014/main" id="{071BCCB4-F219-47CA-B0A8-15D7E7C405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1" name="AutoShape 1" descr="Vista previa de toda la pantalla">
          <a:extLst>
            <a:ext uri="{FF2B5EF4-FFF2-40B4-BE49-F238E27FC236}">
              <a16:creationId xmlns:a16="http://schemas.microsoft.com/office/drawing/2014/main" id="{6410DA7C-B11D-4659-8B1A-C363D62153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2" name="AutoShape 1" descr="Vista previa de toda la pantalla">
          <a:extLst>
            <a:ext uri="{FF2B5EF4-FFF2-40B4-BE49-F238E27FC236}">
              <a16:creationId xmlns:a16="http://schemas.microsoft.com/office/drawing/2014/main" id="{F3D24592-D3B9-4819-95D9-E2A6B80A68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3" name="AutoShape 1" descr="Vista previa de toda la pantalla">
          <a:extLst>
            <a:ext uri="{FF2B5EF4-FFF2-40B4-BE49-F238E27FC236}">
              <a16:creationId xmlns:a16="http://schemas.microsoft.com/office/drawing/2014/main" id="{E30F4E02-8BC5-40D7-949D-539C820EC5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4" name="AutoShape 1" descr="Vista previa de toda la pantalla">
          <a:extLst>
            <a:ext uri="{FF2B5EF4-FFF2-40B4-BE49-F238E27FC236}">
              <a16:creationId xmlns:a16="http://schemas.microsoft.com/office/drawing/2014/main" id="{43A690E2-8858-4BFB-B78C-F19EE1F02E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5" name="AutoShape 1" descr="Vista previa de toda la pantalla">
          <a:extLst>
            <a:ext uri="{FF2B5EF4-FFF2-40B4-BE49-F238E27FC236}">
              <a16:creationId xmlns:a16="http://schemas.microsoft.com/office/drawing/2014/main" id="{718B84AE-CCFF-4A2F-8975-E06BF0250C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6" name="AutoShape 1" descr="Vista previa de toda la pantalla">
          <a:extLst>
            <a:ext uri="{FF2B5EF4-FFF2-40B4-BE49-F238E27FC236}">
              <a16:creationId xmlns:a16="http://schemas.microsoft.com/office/drawing/2014/main" id="{C238305B-4364-4814-8614-C6A7C53AFE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7" name="AutoShape 1" descr="Vista previa de toda la pantalla">
          <a:extLst>
            <a:ext uri="{FF2B5EF4-FFF2-40B4-BE49-F238E27FC236}">
              <a16:creationId xmlns:a16="http://schemas.microsoft.com/office/drawing/2014/main" id="{258EF643-02E2-40FC-81D8-73EB3C29FB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8" name="AutoShape 1" descr="Vista previa de toda la pantalla">
          <a:extLst>
            <a:ext uri="{FF2B5EF4-FFF2-40B4-BE49-F238E27FC236}">
              <a16:creationId xmlns:a16="http://schemas.microsoft.com/office/drawing/2014/main" id="{9DCF841C-E91C-4003-ADE8-9D547F92CC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699" name="AutoShape 1" descr="Vista previa de toda la pantalla">
          <a:extLst>
            <a:ext uri="{FF2B5EF4-FFF2-40B4-BE49-F238E27FC236}">
              <a16:creationId xmlns:a16="http://schemas.microsoft.com/office/drawing/2014/main" id="{0C7B647D-9530-4F08-9212-372F506AB7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0" name="AutoShape 1" descr="Vista previa de toda la pantalla">
          <a:extLst>
            <a:ext uri="{FF2B5EF4-FFF2-40B4-BE49-F238E27FC236}">
              <a16:creationId xmlns:a16="http://schemas.microsoft.com/office/drawing/2014/main" id="{A57AC818-EBC9-4F04-9D86-FCB90A3067E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1" name="AutoShape 1" descr="Vista previa de toda la pantalla">
          <a:extLst>
            <a:ext uri="{FF2B5EF4-FFF2-40B4-BE49-F238E27FC236}">
              <a16:creationId xmlns:a16="http://schemas.microsoft.com/office/drawing/2014/main" id="{BFFF22FD-C896-473C-A0A4-7260C6620A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2" name="AutoShape 1" descr="Vista previa de toda la pantalla">
          <a:extLst>
            <a:ext uri="{FF2B5EF4-FFF2-40B4-BE49-F238E27FC236}">
              <a16:creationId xmlns:a16="http://schemas.microsoft.com/office/drawing/2014/main" id="{67CDCC70-1762-444E-99BC-156F511017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3" name="AutoShape 1" descr="Vista previa de toda la pantalla">
          <a:extLst>
            <a:ext uri="{FF2B5EF4-FFF2-40B4-BE49-F238E27FC236}">
              <a16:creationId xmlns:a16="http://schemas.microsoft.com/office/drawing/2014/main" id="{1AC50F3F-A94F-4BE9-97BE-944B8963DC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4" name="AutoShape 1" descr="Vista previa de toda la pantalla">
          <a:extLst>
            <a:ext uri="{FF2B5EF4-FFF2-40B4-BE49-F238E27FC236}">
              <a16:creationId xmlns:a16="http://schemas.microsoft.com/office/drawing/2014/main" id="{254AEF90-6811-4E10-A3A9-164FC8548E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5" name="AutoShape 1" descr="Vista previa de toda la pantalla">
          <a:extLst>
            <a:ext uri="{FF2B5EF4-FFF2-40B4-BE49-F238E27FC236}">
              <a16:creationId xmlns:a16="http://schemas.microsoft.com/office/drawing/2014/main" id="{59A316A0-A2B2-4FF3-92D6-D21B63A1CF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6" name="AutoShape 1" descr="Vista previa de toda la pantalla">
          <a:extLst>
            <a:ext uri="{FF2B5EF4-FFF2-40B4-BE49-F238E27FC236}">
              <a16:creationId xmlns:a16="http://schemas.microsoft.com/office/drawing/2014/main" id="{5944CDB0-0592-4367-89F1-3076FD52B0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7" name="AutoShape 1" descr="Vista previa de toda la pantalla">
          <a:extLst>
            <a:ext uri="{FF2B5EF4-FFF2-40B4-BE49-F238E27FC236}">
              <a16:creationId xmlns:a16="http://schemas.microsoft.com/office/drawing/2014/main" id="{A28A0058-98EB-419B-8C8C-5E02A836B8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8" name="AutoShape 1" descr="Vista previa de toda la pantalla">
          <a:extLst>
            <a:ext uri="{FF2B5EF4-FFF2-40B4-BE49-F238E27FC236}">
              <a16:creationId xmlns:a16="http://schemas.microsoft.com/office/drawing/2014/main" id="{26856EEE-512B-4C22-8B8C-A45C9E8D2D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09" name="AutoShape 1" descr="Vista previa de toda la pantalla">
          <a:extLst>
            <a:ext uri="{FF2B5EF4-FFF2-40B4-BE49-F238E27FC236}">
              <a16:creationId xmlns:a16="http://schemas.microsoft.com/office/drawing/2014/main" id="{DE50F89A-7BD8-472C-835C-EB052FE540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0" name="AutoShape 1" descr="Vista previa de toda la pantalla">
          <a:extLst>
            <a:ext uri="{FF2B5EF4-FFF2-40B4-BE49-F238E27FC236}">
              <a16:creationId xmlns:a16="http://schemas.microsoft.com/office/drawing/2014/main" id="{D1812702-B6E5-4F2A-BBFD-98F4AFABDD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1" name="AutoShape 1" descr="Vista previa de toda la pantalla">
          <a:extLst>
            <a:ext uri="{FF2B5EF4-FFF2-40B4-BE49-F238E27FC236}">
              <a16:creationId xmlns:a16="http://schemas.microsoft.com/office/drawing/2014/main" id="{084E60A7-B23D-44C7-834E-4316FA2B40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2" name="AutoShape 1" descr="Vista previa de toda la pantalla">
          <a:extLst>
            <a:ext uri="{FF2B5EF4-FFF2-40B4-BE49-F238E27FC236}">
              <a16:creationId xmlns:a16="http://schemas.microsoft.com/office/drawing/2014/main" id="{0BC4A24F-C2B7-4502-89FC-F5816ABE2C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3" name="AutoShape 1" descr="Vista previa de toda la pantalla">
          <a:extLst>
            <a:ext uri="{FF2B5EF4-FFF2-40B4-BE49-F238E27FC236}">
              <a16:creationId xmlns:a16="http://schemas.microsoft.com/office/drawing/2014/main" id="{74DFAFBE-487C-4B7A-B7F6-A97485599B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4" name="AutoShape 1" descr="Vista previa de toda la pantalla">
          <a:extLst>
            <a:ext uri="{FF2B5EF4-FFF2-40B4-BE49-F238E27FC236}">
              <a16:creationId xmlns:a16="http://schemas.microsoft.com/office/drawing/2014/main" id="{46C6370E-8D99-4259-B879-5B23AE9845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5" name="AutoShape 1" descr="Vista previa de toda la pantalla">
          <a:extLst>
            <a:ext uri="{FF2B5EF4-FFF2-40B4-BE49-F238E27FC236}">
              <a16:creationId xmlns:a16="http://schemas.microsoft.com/office/drawing/2014/main" id="{658CF3E3-59BF-4751-B679-7265F5975E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6" name="AutoShape 1" descr="Vista previa de toda la pantalla">
          <a:extLst>
            <a:ext uri="{FF2B5EF4-FFF2-40B4-BE49-F238E27FC236}">
              <a16:creationId xmlns:a16="http://schemas.microsoft.com/office/drawing/2014/main" id="{0CFC31A7-0FB4-4796-BDE5-C01A2FA5C2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7" name="AutoShape 1" descr="Vista previa de toda la pantalla">
          <a:extLst>
            <a:ext uri="{FF2B5EF4-FFF2-40B4-BE49-F238E27FC236}">
              <a16:creationId xmlns:a16="http://schemas.microsoft.com/office/drawing/2014/main" id="{5C027F17-CF2E-43EF-85E1-343A6564C0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8" name="AutoShape 1" descr="Vista previa de toda la pantalla">
          <a:extLst>
            <a:ext uri="{FF2B5EF4-FFF2-40B4-BE49-F238E27FC236}">
              <a16:creationId xmlns:a16="http://schemas.microsoft.com/office/drawing/2014/main" id="{61AF0681-C025-4FC5-9DFE-D37E22B328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19" name="AutoShape 1" descr="Vista previa de toda la pantalla">
          <a:extLst>
            <a:ext uri="{FF2B5EF4-FFF2-40B4-BE49-F238E27FC236}">
              <a16:creationId xmlns:a16="http://schemas.microsoft.com/office/drawing/2014/main" id="{C810B50A-79D2-4D29-A431-77D3FEC3EA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0" name="AutoShape 1" descr="Vista previa de toda la pantalla">
          <a:extLst>
            <a:ext uri="{FF2B5EF4-FFF2-40B4-BE49-F238E27FC236}">
              <a16:creationId xmlns:a16="http://schemas.microsoft.com/office/drawing/2014/main" id="{F7FAE00C-0E7F-4C6F-95F9-D12249435F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1" name="AutoShape 1" descr="Vista previa de toda la pantalla">
          <a:extLst>
            <a:ext uri="{FF2B5EF4-FFF2-40B4-BE49-F238E27FC236}">
              <a16:creationId xmlns:a16="http://schemas.microsoft.com/office/drawing/2014/main" id="{79C73702-0035-4B05-9226-13ED63740E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2" name="AutoShape 1" descr="Vista previa de toda la pantalla">
          <a:extLst>
            <a:ext uri="{FF2B5EF4-FFF2-40B4-BE49-F238E27FC236}">
              <a16:creationId xmlns:a16="http://schemas.microsoft.com/office/drawing/2014/main" id="{11EBAC36-BC99-43F8-8D3D-368A9099F2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3" name="AutoShape 1" descr="Vista previa de toda la pantalla">
          <a:extLst>
            <a:ext uri="{FF2B5EF4-FFF2-40B4-BE49-F238E27FC236}">
              <a16:creationId xmlns:a16="http://schemas.microsoft.com/office/drawing/2014/main" id="{24FC77DC-4B34-4B16-9486-D21FF05AA9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4" name="AutoShape 1" descr="Vista previa de toda la pantalla">
          <a:extLst>
            <a:ext uri="{FF2B5EF4-FFF2-40B4-BE49-F238E27FC236}">
              <a16:creationId xmlns:a16="http://schemas.microsoft.com/office/drawing/2014/main" id="{6102F4D9-7B88-401E-AAC4-85083DA394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5" name="AutoShape 1" descr="Vista previa de toda la pantalla">
          <a:extLst>
            <a:ext uri="{FF2B5EF4-FFF2-40B4-BE49-F238E27FC236}">
              <a16:creationId xmlns:a16="http://schemas.microsoft.com/office/drawing/2014/main" id="{507DE9D1-9FA2-4944-AD97-9306306389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6" name="AutoShape 1" descr="Vista previa de toda la pantalla">
          <a:extLst>
            <a:ext uri="{FF2B5EF4-FFF2-40B4-BE49-F238E27FC236}">
              <a16:creationId xmlns:a16="http://schemas.microsoft.com/office/drawing/2014/main" id="{8B2E76F5-943D-4785-B8AE-6C85B0535B7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7" name="AutoShape 1" descr="Vista previa de toda la pantalla">
          <a:extLst>
            <a:ext uri="{FF2B5EF4-FFF2-40B4-BE49-F238E27FC236}">
              <a16:creationId xmlns:a16="http://schemas.microsoft.com/office/drawing/2014/main" id="{16862FE9-F47F-4821-8B3D-F35BD14A54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8" name="AutoShape 1" descr="Vista previa de toda la pantalla">
          <a:extLst>
            <a:ext uri="{FF2B5EF4-FFF2-40B4-BE49-F238E27FC236}">
              <a16:creationId xmlns:a16="http://schemas.microsoft.com/office/drawing/2014/main" id="{233521D5-7EA7-43D4-A04F-506936E7EFD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29" name="AutoShape 1" descr="Vista previa de toda la pantalla">
          <a:extLst>
            <a:ext uri="{FF2B5EF4-FFF2-40B4-BE49-F238E27FC236}">
              <a16:creationId xmlns:a16="http://schemas.microsoft.com/office/drawing/2014/main" id="{0401E21C-5962-4928-945D-46086A9CEF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30" name="AutoShape 1" descr="Vista previa de toda la pantalla">
          <a:extLst>
            <a:ext uri="{FF2B5EF4-FFF2-40B4-BE49-F238E27FC236}">
              <a16:creationId xmlns:a16="http://schemas.microsoft.com/office/drawing/2014/main" id="{D9AE295E-C074-40C7-BFBB-4618894024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31" name="AutoShape 1" descr="Vista previa de toda la pantalla">
          <a:extLst>
            <a:ext uri="{FF2B5EF4-FFF2-40B4-BE49-F238E27FC236}">
              <a16:creationId xmlns:a16="http://schemas.microsoft.com/office/drawing/2014/main" id="{18CBC530-E206-4589-9729-36A53D99ADE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32" name="AutoShape 1" descr="Vista previa de toda la pantalla">
          <a:extLst>
            <a:ext uri="{FF2B5EF4-FFF2-40B4-BE49-F238E27FC236}">
              <a16:creationId xmlns:a16="http://schemas.microsoft.com/office/drawing/2014/main" id="{01E4057E-E62C-4A86-9274-76F382F615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33" name="AutoShape 1" descr="Vista previa de toda la pantalla">
          <a:extLst>
            <a:ext uri="{FF2B5EF4-FFF2-40B4-BE49-F238E27FC236}">
              <a16:creationId xmlns:a16="http://schemas.microsoft.com/office/drawing/2014/main" id="{37216D04-C153-4136-A077-1CA52CCE02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34" name="AutoShape 1" descr="Vista previa de toda la pantalla">
          <a:extLst>
            <a:ext uri="{FF2B5EF4-FFF2-40B4-BE49-F238E27FC236}">
              <a16:creationId xmlns:a16="http://schemas.microsoft.com/office/drawing/2014/main" id="{CCFCDB73-EC47-494D-B4CE-DDDF41D94C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35" name="AutoShape 1" descr="Vista previa de toda la pantalla">
          <a:extLst>
            <a:ext uri="{FF2B5EF4-FFF2-40B4-BE49-F238E27FC236}">
              <a16:creationId xmlns:a16="http://schemas.microsoft.com/office/drawing/2014/main" id="{B4EB6241-5DF9-4942-BE2B-4176AE4DC8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36" name="AutoShape 1" descr="Vista previa de toda la pantalla">
          <a:extLst>
            <a:ext uri="{FF2B5EF4-FFF2-40B4-BE49-F238E27FC236}">
              <a16:creationId xmlns:a16="http://schemas.microsoft.com/office/drawing/2014/main" id="{60F2BAEC-5CD1-4EAD-BDDF-B7A896A53E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37" name="AutoShape 1" descr="Vista previa de toda la pantalla">
          <a:extLst>
            <a:ext uri="{FF2B5EF4-FFF2-40B4-BE49-F238E27FC236}">
              <a16:creationId xmlns:a16="http://schemas.microsoft.com/office/drawing/2014/main" id="{E338603C-A0DA-4EA4-B3F9-EED5AF90AC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4738" name="AutoShape 1" descr="Vista previa de toda la pantalla">
          <a:extLst>
            <a:ext uri="{FF2B5EF4-FFF2-40B4-BE49-F238E27FC236}">
              <a16:creationId xmlns:a16="http://schemas.microsoft.com/office/drawing/2014/main" id="{008143AB-7EEA-4E3D-9C3C-937C5554C554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39" name="AutoShape 1" descr="Vista previa de toda la pantalla">
          <a:extLst>
            <a:ext uri="{FF2B5EF4-FFF2-40B4-BE49-F238E27FC236}">
              <a16:creationId xmlns:a16="http://schemas.microsoft.com/office/drawing/2014/main" id="{6F2526EC-6F76-47B0-8142-FE2F58ABD5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0" name="AutoShape 1" descr="Vista previa de toda la pantalla">
          <a:extLst>
            <a:ext uri="{FF2B5EF4-FFF2-40B4-BE49-F238E27FC236}">
              <a16:creationId xmlns:a16="http://schemas.microsoft.com/office/drawing/2014/main" id="{55614626-E425-4181-904D-0230D0EE7B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1" name="AutoShape 1" descr="Vista previa de toda la pantalla">
          <a:extLst>
            <a:ext uri="{FF2B5EF4-FFF2-40B4-BE49-F238E27FC236}">
              <a16:creationId xmlns:a16="http://schemas.microsoft.com/office/drawing/2014/main" id="{4E3D4C11-04BE-4D02-A6E2-C53ADCC54D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2" name="AutoShape 1" descr="Vista previa de toda la pantalla">
          <a:extLst>
            <a:ext uri="{FF2B5EF4-FFF2-40B4-BE49-F238E27FC236}">
              <a16:creationId xmlns:a16="http://schemas.microsoft.com/office/drawing/2014/main" id="{8B0D73B8-49BF-4832-9014-9E27BEEAB3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3" name="AutoShape 1" descr="Vista previa de toda la pantalla">
          <a:extLst>
            <a:ext uri="{FF2B5EF4-FFF2-40B4-BE49-F238E27FC236}">
              <a16:creationId xmlns:a16="http://schemas.microsoft.com/office/drawing/2014/main" id="{8963233C-F4B1-495D-B9D9-EC8FFC1A3E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4" name="AutoShape 1" descr="Vista previa de toda la pantalla">
          <a:extLst>
            <a:ext uri="{FF2B5EF4-FFF2-40B4-BE49-F238E27FC236}">
              <a16:creationId xmlns:a16="http://schemas.microsoft.com/office/drawing/2014/main" id="{D21A0845-848F-43EA-BD85-D40A1C168C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5" name="AutoShape 1" descr="Vista previa de toda la pantalla">
          <a:extLst>
            <a:ext uri="{FF2B5EF4-FFF2-40B4-BE49-F238E27FC236}">
              <a16:creationId xmlns:a16="http://schemas.microsoft.com/office/drawing/2014/main" id="{FF269227-48DC-4648-BB3A-9624EA2149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6" name="AutoShape 1" descr="Vista previa de toda la pantalla">
          <a:extLst>
            <a:ext uri="{FF2B5EF4-FFF2-40B4-BE49-F238E27FC236}">
              <a16:creationId xmlns:a16="http://schemas.microsoft.com/office/drawing/2014/main" id="{BAD7D47D-39A7-41CF-95B3-568510F5C4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7" name="AutoShape 1" descr="Vista previa de toda la pantalla">
          <a:extLst>
            <a:ext uri="{FF2B5EF4-FFF2-40B4-BE49-F238E27FC236}">
              <a16:creationId xmlns:a16="http://schemas.microsoft.com/office/drawing/2014/main" id="{67AB8AD4-78E6-45FB-B53A-52BC91EB8C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8" name="AutoShape 1" descr="Vista previa de toda la pantalla">
          <a:extLst>
            <a:ext uri="{FF2B5EF4-FFF2-40B4-BE49-F238E27FC236}">
              <a16:creationId xmlns:a16="http://schemas.microsoft.com/office/drawing/2014/main" id="{9E2374EF-BB2A-4317-80D7-935DA5D7C2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49" name="AutoShape 1" descr="Vista previa de toda la pantalla">
          <a:extLst>
            <a:ext uri="{FF2B5EF4-FFF2-40B4-BE49-F238E27FC236}">
              <a16:creationId xmlns:a16="http://schemas.microsoft.com/office/drawing/2014/main" id="{4D3A10E7-F07E-454B-BBE9-88CA189E51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0" name="AutoShape 1" descr="Vista previa de toda la pantalla">
          <a:extLst>
            <a:ext uri="{FF2B5EF4-FFF2-40B4-BE49-F238E27FC236}">
              <a16:creationId xmlns:a16="http://schemas.microsoft.com/office/drawing/2014/main" id="{3FE9B18E-B0E6-4041-A5A0-100655A9CB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1" name="AutoShape 1" descr="Vista previa de toda la pantalla">
          <a:extLst>
            <a:ext uri="{FF2B5EF4-FFF2-40B4-BE49-F238E27FC236}">
              <a16:creationId xmlns:a16="http://schemas.microsoft.com/office/drawing/2014/main" id="{05299A1F-1C73-4F42-9212-9EF50FDD6F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2" name="AutoShape 1" descr="Vista previa de toda la pantalla">
          <a:extLst>
            <a:ext uri="{FF2B5EF4-FFF2-40B4-BE49-F238E27FC236}">
              <a16:creationId xmlns:a16="http://schemas.microsoft.com/office/drawing/2014/main" id="{74A5C502-075F-40B2-8BDC-50FA902E27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3" name="AutoShape 1" descr="Vista previa de toda la pantalla">
          <a:extLst>
            <a:ext uri="{FF2B5EF4-FFF2-40B4-BE49-F238E27FC236}">
              <a16:creationId xmlns:a16="http://schemas.microsoft.com/office/drawing/2014/main" id="{71392299-F242-4BFF-8E98-0CB8D2C3E7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4" name="AutoShape 1" descr="Vista previa de toda la pantalla">
          <a:extLst>
            <a:ext uri="{FF2B5EF4-FFF2-40B4-BE49-F238E27FC236}">
              <a16:creationId xmlns:a16="http://schemas.microsoft.com/office/drawing/2014/main" id="{F097D66B-CEE0-4D59-88AC-A6E88F1806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5" name="AutoShape 1" descr="Vista previa de toda la pantalla">
          <a:extLst>
            <a:ext uri="{FF2B5EF4-FFF2-40B4-BE49-F238E27FC236}">
              <a16:creationId xmlns:a16="http://schemas.microsoft.com/office/drawing/2014/main" id="{AD7C473B-BD29-46DE-A0E9-8E638DF6B7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6" name="AutoShape 1" descr="Vista previa de toda la pantalla">
          <a:extLst>
            <a:ext uri="{FF2B5EF4-FFF2-40B4-BE49-F238E27FC236}">
              <a16:creationId xmlns:a16="http://schemas.microsoft.com/office/drawing/2014/main" id="{C6697C2D-7B14-4CDD-B4CC-0C8A19F121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7" name="AutoShape 1" descr="Vista previa de toda la pantalla">
          <a:extLst>
            <a:ext uri="{FF2B5EF4-FFF2-40B4-BE49-F238E27FC236}">
              <a16:creationId xmlns:a16="http://schemas.microsoft.com/office/drawing/2014/main" id="{7A35D99F-77E0-4DE0-A149-0C1F1A3393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8" name="AutoShape 1" descr="Vista previa de toda la pantalla">
          <a:extLst>
            <a:ext uri="{FF2B5EF4-FFF2-40B4-BE49-F238E27FC236}">
              <a16:creationId xmlns:a16="http://schemas.microsoft.com/office/drawing/2014/main" id="{5300347E-F151-43BD-A8D7-D4A750DC1F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59" name="AutoShape 1" descr="Vista previa de toda la pantalla">
          <a:extLst>
            <a:ext uri="{FF2B5EF4-FFF2-40B4-BE49-F238E27FC236}">
              <a16:creationId xmlns:a16="http://schemas.microsoft.com/office/drawing/2014/main" id="{373F59CF-B50C-413A-8AE8-9744F0DDE1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0" name="AutoShape 1" descr="Vista previa de toda la pantalla">
          <a:extLst>
            <a:ext uri="{FF2B5EF4-FFF2-40B4-BE49-F238E27FC236}">
              <a16:creationId xmlns:a16="http://schemas.microsoft.com/office/drawing/2014/main" id="{1988320C-11AB-4BC2-B1E6-F50C7B723C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1" name="AutoShape 1" descr="Vista previa de toda la pantalla">
          <a:extLst>
            <a:ext uri="{FF2B5EF4-FFF2-40B4-BE49-F238E27FC236}">
              <a16:creationId xmlns:a16="http://schemas.microsoft.com/office/drawing/2014/main" id="{2B269ED9-2C0F-4943-B1FD-10E0E67D46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2" name="AutoShape 1" descr="Vista previa de toda la pantalla">
          <a:extLst>
            <a:ext uri="{FF2B5EF4-FFF2-40B4-BE49-F238E27FC236}">
              <a16:creationId xmlns:a16="http://schemas.microsoft.com/office/drawing/2014/main" id="{DD673218-281F-4A9C-8AAC-69E816DB32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3" name="AutoShape 1" descr="Vista previa de toda la pantalla">
          <a:extLst>
            <a:ext uri="{FF2B5EF4-FFF2-40B4-BE49-F238E27FC236}">
              <a16:creationId xmlns:a16="http://schemas.microsoft.com/office/drawing/2014/main" id="{B1D5C150-7C33-4C06-A82C-D03900476A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4" name="AutoShape 1" descr="Vista previa de toda la pantalla">
          <a:extLst>
            <a:ext uri="{FF2B5EF4-FFF2-40B4-BE49-F238E27FC236}">
              <a16:creationId xmlns:a16="http://schemas.microsoft.com/office/drawing/2014/main" id="{8066AD89-0465-49B1-85FE-9CCEEDE317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5" name="AutoShape 1" descr="Vista previa de toda la pantalla">
          <a:extLst>
            <a:ext uri="{FF2B5EF4-FFF2-40B4-BE49-F238E27FC236}">
              <a16:creationId xmlns:a16="http://schemas.microsoft.com/office/drawing/2014/main" id="{992ABC68-78FF-496E-9AA4-4CE2E174FD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6" name="AutoShape 1" descr="Vista previa de toda la pantalla">
          <a:extLst>
            <a:ext uri="{FF2B5EF4-FFF2-40B4-BE49-F238E27FC236}">
              <a16:creationId xmlns:a16="http://schemas.microsoft.com/office/drawing/2014/main" id="{EF3CC50F-1F18-4973-98C1-0737101939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7" name="AutoShape 1" descr="Vista previa de toda la pantalla">
          <a:extLst>
            <a:ext uri="{FF2B5EF4-FFF2-40B4-BE49-F238E27FC236}">
              <a16:creationId xmlns:a16="http://schemas.microsoft.com/office/drawing/2014/main" id="{151AD8FE-728C-4CFE-A9C3-D624EC0BDB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8" name="AutoShape 1" descr="Vista previa de toda la pantalla">
          <a:extLst>
            <a:ext uri="{FF2B5EF4-FFF2-40B4-BE49-F238E27FC236}">
              <a16:creationId xmlns:a16="http://schemas.microsoft.com/office/drawing/2014/main" id="{FE55BDA3-E93B-48E3-90F1-F4018D3182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69" name="AutoShape 1" descr="Vista previa de toda la pantalla">
          <a:extLst>
            <a:ext uri="{FF2B5EF4-FFF2-40B4-BE49-F238E27FC236}">
              <a16:creationId xmlns:a16="http://schemas.microsoft.com/office/drawing/2014/main" id="{CBE7876E-11AD-4285-B931-7E5F7F3206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0" name="AutoShape 1" descr="Vista previa de toda la pantalla">
          <a:extLst>
            <a:ext uri="{FF2B5EF4-FFF2-40B4-BE49-F238E27FC236}">
              <a16:creationId xmlns:a16="http://schemas.microsoft.com/office/drawing/2014/main" id="{B63AD899-2E37-4DB7-939A-E3FCE9EA5C7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1" name="AutoShape 1" descr="Vista previa de toda la pantalla">
          <a:extLst>
            <a:ext uri="{FF2B5EF4-FFF2-40B4-BE49-F238E27FC236}">
              <a16:creationId xmlns:a16="http://schemas.microsoft.com/office/drawing/2014/main" id="{286965AD-3BE1-4F8F-A5EA-072B821E87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2" name="AutoShape 1" descr="Vista previa de toda la pantalla">
          <a:extLst>
            <a:ext uri="{FF2B5EF4-FFF2-40B4-BE49-F238E27FC236}">
              <a16:creationId xmlns:a16="http://schemas.microsoft.com/office/drawing/2014/main" id="{2EC1AD68-48BE-4555-8A7D-0C154ACD71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3" name="AutoShape 1" descr="Vista previa de toda la pantalla">
          <a:extLst>
            <a:ext uri="{FF2B5EF4-FFF2-40B4-BE49-F238E27FC236}">
              <a16:creationId xmlns:a16="http://schemas.microsoft.com/office/drawing/2014/main" id="{CFF4ABD7-55F3-4B6B-A2F7-10CEE77CBF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4" name="AutoShape 1" descr="Vista previa de toda la pantalla">
          <a:extLst>
            <a:ext uri="{FF2B5EF4-FFF2-40B4-BE49-F238E27FC236}">
              <a16:creationId xmlns:a16="http://schemas.microsoft.com/office/drawing/2014/main" id="{C5490AE6-8ABF-4BC0-96D4-7553BF71AA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5" name="AutoShape 1" descr="Vista previa de toda la pantalla">
          <a:extLst>
            <a:ext uri="{FF2B5EF4-FFF2-40B4-BE49-F238E27FC236}">
              <a16:creationId xmlns:a16="http://schemas.microsoft.com/office/drawing/2014/main" id="{16F1B823-2635-4E7A-B06C-AAF3748419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6" name="AutoShape 1" descr="Vista previa de toda la pantalla">
          <a:extLst>
            <a:ext uri="{FF2B5EF4-FFF2-40B4-BE49-F238E27FC236}">
              <a16:creationId xmlns:a16="http://schemas.microsoft.com/office/drawing/2014/main" id="{F8AFF985-3E12-4310-BB46-D015C2C55A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7" name="AutoShape 1" descr="Vista previa de toda la pantalla">
          <a:extLst>
            <a:ext uri="{FF2B5EF4-FFF2-40B4-BE49-F238E27FC236}">
              <a16:creationId xmlns:a16="http://schemas.microsoft.com/office/drawing/2014/main" id="{D6D48F5D-C5F2-4EA3-914A-3F7F7D44D9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8" name="AutoShape 1" descr="Vista previa de toda la pantalla">
          <a:extLst>
            <a:ext uri="{FF2B5EF4-FFF2-40B4-BE49-F238E27FC236}">
              <a16:creationId xmlns:a16="http://schemas.microsoft.com/office/drawing/2014/main" id="{56F1FDC1-B790-4591-9D84-DDB9926B85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79" name="AutoShape 1" descr="Vista previa de toda la pantalla">
          <a:extLst>
            <a:ext uri="{FF2B5EF4-FFF2-40B4-BE49-F238E27FC236}">
              <a16:creationId xmlns:a16="http://schemas.microsoft.com/office/drawing/2014/main" id="{DEF504EB-9B50-4D1D-976E-8ECD306257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0" name="AutoShape 1" descr="Vista previa de toda la pantalla">
          <a:extLst>
            <a:ext uri="{FF2B5EF4-FFF2-40B4-BE49-F238E27FC236}">
              <a16:creationId xmlns:a16="http://schemas.microsoft.com/office/drawing/2014/main" id="{43AE18D1-EE85-447B-969A-A3BCE836089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1" name="AutoShape 1" descr="Vista previa de toda la pantalla">
          <a:extLst>
            <a:ext uri="{FF2B5EF4-FFF2-40B4-BE49-F238E27FC236}">
              <a16:creationId xmlns:a16="http://schemas.microsoft.com/office/drawing/2014/main" id="{910E73FA-6361-429F-8690-A4EE1AA984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2" name="AutoShape 1" descr="Vista previa de toda la pantalla">
          <a:extLst>
            <a:ext uri="{FF2B5EF4-FFF2-40B4-BE49-F238E27FC236}">
              <a16:creationId xmlns:a16="http://schemas.microsoft.com/office/drawing/2014/main" id="{69E093D7-37F0-42D0-88D7-9A702486A4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3" name="AutoShape 1" descr="Vista previa de toda la pantalla">
          <a:extLst>
            <a:ext uri="{FF2B5EF4-FFF2-40B4-BE49-F238E27FC236}">
              <a16:creationId xmlns:a16="http://schemas.microsoft.com/office/drawing/2014/main" id="{E79D7EAB-F548-4204-8DCE-7D9D35698F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4" name="AutoShape 1" descr="Vista previa de toda la pantalla">
          <a:extLst>
            <a:ext uri="{FF2B5EF4-FFF2-40B4-BE49-F238E27FC236}">
              <a16:creationId xmlns:a16="http://schemas.microsoft.com/office/drawing/2014/main" id="{9CAC9DA6-3A30-4237-98FB-8B1326F163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5" name="AutoShape 1" descr="Vista previa de toda la pantalla">
          <a:extLst>
            <a:ext uri="{FF2B5EF4-FFF2-40B4-BE49-F238E27FC236}">
              <a16:creationId xmlns:a16="http://schemas.microsoft.com/office/drawing/2014/main" id="{C3565425-0BE3-47E3-841E-D6A38325E84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6" name="AutoShape 1" descr="Vista previa de toda la pantalla">
          <a:extLst>
            <a:ext uri="{FF2B5EF4-FFF2-40B4-BE49-F238E27FC236}">
              <a16:creationId xmlns:a16="http://schemas.microsoft.com/office/drawing/2014/main" id="{BBF6C335-3B8C-4EAA-8C81-AD54189A14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7" name="AutoShape 1" descr="Vista previa de toda la pantalla">
          <a:extLst>
            <a:ext uri="{FF2B5EF4-FFF2-40B4-BE49-F238E27FC236}">
              <a16:creationId xmlns:a16="http://schemas.microsoft.com/office/drawing/2014/main" id="{462CB12F-7413-4836-AC3B-A583B9A37C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8" name="AutoShape 1" descr="Vista previa de toda la pantalla">
          <a:extLst>
            <a:ext uri="{FF2B5EF4-FFF2-40B4-BE49-F238E27FC236}">
              <a16:creationId xmlns:a16="http://schemas.microsoft.com/office/drawing/2014/main" id="{99E73899-EF9D-4FFE-BAC3-9939E6B657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89" name="AutoShape 1" descr="Vista previa de toda la pantalla">
          <a:extLst>
            <a:ext uri="{FF2B5EF4-FFF2-40B4-BE49-F238E27FC236}">
              <a16:creationId xmlns:a16="http://schemas.microsoft.com/office/drawing/2014/main" id="{126641F6-720F-44D5-8595-1F5298FEB4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0" name="AutoShape 1" descr="Vista previa de toda la pantalla">
          <a:extLst>
            <a:ext uri="{FF2B5EF4-FFF2-40B4-BE49-F238E27FC236}">
              <a16:creationId xmlns:a16="http://schemas.microsoft.com/office/drawing/2014/main" id="{34CC9F39-26C6-4B38-BFD8-7F13141ACA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1" name="AutoShape 1" descr="Vista previa de toda la pantalla">
          <a:extLst>
            <a:ext uri="{FF2B5EF4-FFF2-40B4-BE49-F238E27FC236}">
              <a16:creationId xmlns:a16="http://schemas.microsoft.com/office/drawing/2014/main" id="{23487113-1425-4302-A556-394DF3EB72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2" name="AutoShape 1" descr="Vista previa de toda la pantalla">
          <a:extLst>
            <a:ext uri="{FF2B5EF4-FFF2-40B4-BE49-F238E27FC236}">
              <a16:creationId xmlns:a16="http://schemas.microsoft.com/office/drawing/2014/main" id="{FDF2C626-8EB2-48F6-8C5D-00FF6E83A2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3" name="AutoShape 1" descr="Vista previa de toda la pantalla">
          <a:extLst>
            <a:ext uri="{FF2B5EF4-FFF2-40B4-BE49-F238E27FC236}">
              <a16:creationId xmlns:a16="http://schemas.microsoft.com/office/drawing/2014/main" id="{6CCD7DC0-4152-42D2-BF89-F2DF37D0DA1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4" name="AutoShape 1" descr="Vista previa de toda la pantalla">
          <a:extLst>
            <a:ext uri="{FF2B5EF4-FFF2-40B4-BE49-F238E27FC236}">
              <a16:creationId xmlns:a16="http://schemas.microsoft.com/office/drawing/2014/main" id="{5604FC15-F83B-4B0D-A400-9A368B1FC59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5" name="AutoShape 1" descr="Vista previa de toda la pantalla">
          <a:extLst>
            <a:ext uri="{FF2B5EF4-FFF2-40B4-BE49-F238E27FC236}">
              <a16:creationId xmlns:a16="http://schemas.microsoft.com/office/drawing/2014/main" id="{2D24F0C4-E9A4-45D2-B545-9E3A35AE8A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6" name="AutoShape 1" descr="Vista previa de toda la pantalla">
          <a:extLst>
            <a:ext uri="{FF2B5EF4-FFF2-40B4-BE49-F238E27FC236}">
              <a16:creationId xmlns:a16="http://schemas.microsoft.com/office/drawing/2014/main" id="{BA12BE2B-8084-4ECF-8A5B-35DE617656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7" name="AutoShape 1" descr="Vista previa de toda la pantalla">
          <a:extLst>
            <a:ext uri="{FF2B5EF4-FFF2-40B4-BE49-F238E27FC236}">
              <a16:creationId xmlns:a16="http://schemas.microsoft.com/office/drawing/2014/main" id="{EB50B4ED-67E1-4C79-85B4-B49CE1F384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8" name="AutoShape 1" descr="Vista previa de toda la pantalla">
          <a:extLst>
            <a:ext uri="{FF2B5EF4-FFF2-40B4-BE49-F238E27FC236}">
              <a16:creationId xmlns:a16="http://schemas.microsoft.com/office/drawing/2014/main" id="{0130D83C-E494-4150-A62B-BB8FABF6EC6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799" name="AutoShape 1" descr="Vista previa de toda la pantalla">
          <a:extLst>
            <a:ext uri="{FF2B5EF4-FFF2-40B4-BE49-F238E27FC236}">
              <a16:creationId xmlns:a16="http://schemas.microsoft.com/office/drawing/2014/main" id="{461A95D1-0C6D-472A-A4CF-70C224159AE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0" name="AutoShape 1" descr="Vista previa de toda la pantalla">
          <a:extLst>
            <a:ext uri="{FF2B5EF4-FFF2-40B4-BE49-F238E27FC236}">
              <a16:creationId xmlns:a16="http://schemas.microsoft.com/office/drawing/2014/main" id="{20DA38A0-283F-43E9-8F11-E9FB0D2E81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1" name="AutoShape 1" descr="Vista previa de toda la pantalla">
          <a:extLst>
            <a:ext uri="{FF2B5EF4-FFF2-40B4-BE49-F238E27FC236}">
              <a16:creationId xmlns:a16="http://schemas.microsoft.com/office/drawing/2014/main" id="{CA356BBC-EC19-4F53-86DA-3589F7CA33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2" name="AutoShape 1" descr="Vista previa de toda la pantalla">
          <a:extLst>
            <a:ext uri="{FF2B5EF4-FFF2-40B4-BE49-F238E27FC236}">
              <a16:creationId xmlns:a16="http://schemas.microsoft.com/office/drawing/2014/main" id="{54F76956-4BF6-41CE-9791-819AFAD251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3" name="AutoShape 1" descr="Vista previa de toda la pantalla">
          <a:extLst>
            <a:ext uri="{FF2B5EF4-FFF2-40B4-BE49-F238E27FC236}">
              <a16:creationId xmlns:a16="http://schemas.microsoft.com/office/drawing/2014/main" id="{825FAFAC-05AE-4755-BA65-713B95333E3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4" name="AutoShape 1" descr="Vista previa de toda la pantalla">
          <a:extLst>
            <a:ext uri="{FF2B5EF4-FFF2-40B4-BE49-F238E27FC236}">
              <a16:creationId xmlns:a16="http://schemas.microsoft.com/office/drawing/2014/main" id="{2E50AF9E-8E81-446F-9401-45944E780E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5" name="AutoShape 1" descr="Vista previa de toda la pantalla">
          <a:extLst>
            <a:ext uri="{FF2B5EF4-FFF2-40B4-BE49-F238E27FC236}">
              <a16:creationId xmlns:a16="http://schemas.microsoft.com/office/drawing/2014/main" id="{1F231406-C776-4700-B075-9C4D3137DAF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6" name="AutoShape 1" descr="Vista previa de toda la pantalla">
          <a:extLst>
            <a:ext uri="{FF2B5EF4-FFF2-40B4-BE49-F238E27FC236}">
              <a16:creationId xmlns:a16="http://schemas.microsoft.com/office/drawing/2014/main" id="{B3117D45-B22B-4E1E-A186-D43653C8FF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7" name="AutoShape 1" descr="Vista previa de toda la pantalla">
          <a:extLst>
            <a:ext uri="{FF2B5EF4-FFF2-40B4-BE49-F238E27FC236}">
              <a16:creationId xmlns:a16="http://schemas.microsoft.com/office/drawing/2014/main" id="{3EBB32DA-2E39-412A-9A73-50D5CD05F3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8" name="AutoShape 1" descr="Vista previa de toda la pantalla">
          <a:extLst>
            <a:ext uri="{FF2B5EF4-FFF2-40B4-BE49-F238E27FC236}">
              <a16:creationId xmlns:a16="http://schemas.microsoft.com/office/drawing/2014/main" id="{9D9A695A-7A21-4D24-897E-C77FE97D72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09" name="AutoShape 1" descr="Vista previa de toda la pantalla">
          <a:extLst>
            <a:ext uri="{FF2B5EF4-FFF2-40B4-BE49-F238E27FC236}">
              <a16:creationId xmlns:a16="http://schemas.microsoft.com/office/drawing/2014/main" id="{44B575E9-5BC6-4AA8-A947-553B593A6E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0" name="AutoShape 1" descr="Vista previa de toda la pantalla">
          <a:extLst>
            <a:ext uri="{FF2B5EF4-FFF2-40B4-BE49-F238E27FC236}">
              <a16:creationId xmlns:a16="http://schemas.microsoft.com/office/drawing/2014/main" id="{E00FCBE7-EEA2-414C-B4DC-440990CFA8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1" name="AutoShape 1" descr="Vista previa de toda la pantalla">
          <a:extLst>
            <a:ext uri="{FF2B5EF4-FFF2-40B4-BE49-F238E27FC236}">
              <a16:creationId xmlns:a16="http://schemas.microsoft.com/office/drawing/2014/main" id="{97F674A7-43B7-4D0F-B0C4-811E0360583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2" name="AutoShape 1" descr="Vista previa de toda la pantalla">
          <a:extLst>
            <a:ext uri="{FF2B5EF4-FFF2-40B4-BE49-F238E27FC236}">
              <a16:creationId xmlns:a16="http://schemas.microsoft.com/office/drawing/2014/main" id="{6133D1F0-7477-4E20-B203-6EEC5F2178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3" name="AutoShape 1" descr="Vista previa de toda la pantalla">
          <a:extLst>
            <a:ext uri="{FF2B5EF4-FFF2-40B4-BE49-F238E27FC236}">
              <a16:creationId xmlns:a16="http://schemas.microsoft.com/office/drawing/2014/main" id="{96A9D130-27C9-4BD0-BD77-4FE479CDFA6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4" name="AutoShape 1" descr="Vista previa de toda la pantalla">
          <a:extLst>
            <a:ext uri="{FF2B5EF4-FFF2-40B4-BE49-F238E27FC236}">
              <a16:creationId xmlns:a16="http://schemas.microsoft.com/office/drawing/2014/main" id="{7577B854-189F-411F-8E45-34E9A75FF5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5" name="AutoShape 1" descr="Vista previa de toda la pantalla">
          <a:extLst>
            <a:ext uri="{FF2B5EF4-FFF2-40B4-BE49-F238E27FC236}">
              <a16:creationId xmlns:a16="http://schemas.microsoft.com/office/drawing/2014/main" id="{466CD6A5-48D4-4897-922F-11D1EBB002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6" name="AutoShape 1" descr="Vista previa de toda la pantalla">
          <a:extLst>
            <a:ext uri="{FF2B5EF4-FFF2-40B4-BE49-F238E27FC236}">
              <a16:creationId xmlns:a16="http://schemas.microsoft.com/office/drawing/2014/main" id="{2BF7D995-4BF3-4369-8B53-0B7D49F9E8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7" name="AutoShape 1" descr="Vista previa de toda la pantalla">
          <a:extLst>
            <a:ext uri="{FF2B5EF4-FFF2-40B4-BE49-F238E27FC236}">
              <a16:creationId xmlns:a16="http://schemas.microsoft.com/office/drawing/2014/main" id="{E779C23E-AE47-45FE-88A3-C27A66764E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8" name="AutoShape 1" descr="Vista previa de toda la pantalla">
          <a:extLst>
            <a:ext uri="{FF2B5EF4-FFF2-40B4-BE49-F238E27FC236}">
              <a16:creationId xmlns:a16="http://schemas.microsoft.com/office/drawing/2014/main" id="{C15D8F43-DEFB-4435-9EB3-2C3F0A782C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19" name="AutoShape 1" descr="Vista previa de toda la pantalla">
          <a:extLst>
            <a:ext uri="{FF2B5EF4-FFF2-40B4-BE49-F238E27FC236}">
              <a16:creationId xmlns:a16="http://schemas.microsoft.com/office/drawing/2014/main" id="{E9E4769C-FB18-4697-BCE3-E2F6D46A6F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20" name="AutoShape 1" descr="Vista previa de toda la pantalla">
          <a:extLst>
            <a:ext uri="{FF2B5EF4-FFF2-40B4-BE49-F238E27FC236}">
              <a16:creationId xmlns:a16="http://schemas.microsoft.com/office/drawing/2014/main" id="{50F3C44A-5258-457A-BADF-12B0B77C04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21" name="AutoShape 1" descr="Vista previa de toda la pantalla">
          <a:extLst>
            <a:ext uri="{FF2B5EF4-FFF2-40B4-BE49-F238E27FC236}">
              <a16:creationId xmlns:a16="http://schemas.microsoft.com/office/drawing/2014/main" id="{3B321014-2CE4-43E1-A775-6C09AC9C87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22" name="AutoShape 1" descr="Vista previa de toda la pantalla">
          <a:extLst>
            <a:ext uri="{FF2B5EF4-FFF2-40B4-BE49-F238E27FC236}">
              <a16:creationId xmlns:a16="http://schemas.microsoft.com/office/drawing/2014/main" id="{47F939E5-3DC4-4778-9246-BBCC55CDF9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23" name="AutoShape 1" descr="Vista previa de toda la pantalla">
          <a:extLst>
            <a:ext uri="{FF2B5EF4-FFF2-40B4-BE49-F238E27FC236}">
              <a16:creationId xmlns:a16="http://schemas.microsoft.com/office/drawing/2014/main" id="{8039BEFB-09FF-465D-A0C6-ADA833BF59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24" name="AutoShape 1" descr="Vista previa de toda la pantalla">
          <a:extLst>
            <a:ext uri="{FF2B5EF4-FFF2-40B4-BE49-F238E27FC236}">
              <a16:creationId xmlns:a16="http://schemas.microsoft.com/office/drawing/2014/main" id="{A68DD455-D32A-4947-A38C-8D7931B1C0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25" name="AutoShape 1" descr="Vista previa de toda la pantalla">
          <a:extLst>
            <a:ext uri="{FF2B5EF4-FFF2-40B4-BE49-F238E27FC236}">
              <a16:creationId xmlns:a16="http://schemas.microsoft.com/office/drawing/2014/main" id="{C5D41CED-98B9-46A2-8EDD-614C08E24F2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26" name="AutoShape 1" descr="Vista previa de toda la pantalla">
          <a:extLst>
            <a:ext uri="{FF2B5EF4-FFF2-40B4-BE49-F238E27FC236}">
              <a16:creationId xmlns:a16="http://schemas.microsoft.com/office/drawing/2014/main" id="{94265017-9B27-435C-BA05-3071CD7683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27" name="AutoShape 1" descr="Vista previa de toda la pantalla">
          <a:extLst>
            <a:ext uri="{FF2B5EF4-FFF2-40B4-BE49-F238E27FC236}">
              <a16:creationId xmlns:a16="http://schemas.microsoft.com/office/drawing/2014/main" id="{D40954E5-CF2C-4B13-A1C8-DF12F8C746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28" name="AutoShape 1" descr="Vista previa de toda la pantalla">
          <a:extLst>
            <a:ext uri="{FF2B5EF4-FFF2-40B4-BE49-F238E27FC236}">
              <a16:creationId xmlns:a16="http://schemas.microsoft.com/office/drawing/2014/main" id="{65C1D772-1152-46EB-90F7-A5B0AEA7D7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29" name="AutoShape 1" descr="Vista previa de toda la pantalla">
          <a:extLst>
            <a:ext uri="{FF2B5EF4-FFF2-40B4-BE49-F238E27FC236}">
              <a16:creationId xmlns:a16="http://schemas.microsoft.com/office/drawing/2014/main" id="{EC5C2B2B-E2D8-49A3-AE88-3939C780B4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30" name="AutoShape 1" descr="Vista previa de toda la pantalla">
          <a:extLst>
            <a:ext uri="{FF2B5EF4-FFF2-40B4-BE49-F238E27FC236}">
              <a16:creationId xmlns:a16="http://schemas.microsoft.com/office/drawing/2014/main" id="{17781680-5834-41D6-976B-0A6C8480D6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31" name="AutoShape 1" descr="Vista previa de toda la pantalla">
          <a:extLst>
            <a:ext uri="{FF2B5EF4-FFF2-40B4-BE49-F238E27FC236}">
              <a16:creationId xmlns:a16="http://schemas.microsoft.com/office/drawing/2014/main" id="{18F8CDB8-8ACD-4423-8B20-9C33DA81FA1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32" name="AutoShape 1" descr="Vista previa de toda la pantalla">
          <a:extLst>
            <a:ext uri="{FF2B5EF4-FFF2-40B4-BE49-F238E27FC236}">
              <a16:creationId xmlns:a16="http://schemas.microsoft.com/office/drawing/2014/main" id="{5F27FB10-BDFA-49C0-AD59-D11A88F320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33" name="AutoShape 1" descr="Vista previa de toda la pantalla">
          <a:extLst>
            <a:ext uri="{FF2B5EF4-FFF2-40B4-BE49-F238E27FC236}">
              <a16:creationId xmlns:a16="http://schemas.microsoft.com/office/drawing/2014/main" id="{A4D28739-FE6E-4D0B-A273-F151A8B94E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34" name="AutoShape 1" descr="Vista previa de toda la pantalla">
          <a:extLst>
            <a:ext uri="{FF2B5EF4-FFF2-40B4-BE49-F238E27FC236}">
              <a16:creationId xmlns:a16="http://schemas.microsoft.com/office/drawing/2014/main" id="{135D34E2-1DC2-4487-B642-F39DB62DB9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35" name="AutoShape 1" descr="Vista previa de toda la pantalla">
          <a:extLst>
            <a:ext uri="{FF2B5EF4-FFF2-40B4-BE49-F238E27FC236}">
              <a16:creationId xmlns:a16="http://schemas.microsoft.com/office/drawing/2014/main" id="{A74981C9-DF61-4B1A-8315-136EBB8FD5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36" name="AutoShape 1" descr="Vista previa de toda la pantalla">
          <a:extLst>
            <a:ext uri="{FF2B5EF4-FFF2-40B4-BE49-F238E27FC236}">
              <a16:creationId xmlns:a16="http://schemas.microsoft.com/office/drawing/2014/main" id="{0B72EC13-8A7C-460B-8DDC-E1D75327D3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37" name="AutoShape 1" descr="Vista previa de toda la pantalla">
          <a:extLst>
            <a:ext uri="{FF2B5EF4-FFF2-40B4-BE49-F238E27FC236}">
              <a16:creationId xmlns:a16="http://schemas.microsoft.com/office/drawing/2014/main" id="{14CEF4E0-A87A-4F73-A6EE-5852CC1E84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38" name="AutoShape 1" descr="Vista previa de toda la pantalla">
          <a:extLst>
            <a:ext uri="{FF2B5EF4-FFF2-40B4-BE49-F238E27FC236}">
              <a16:creationId xmlns:a16="http://schemas.microsoft.com/office/drawing/2014/main" id="{97068A10-0ED7-4AAC-849E-2F71F6A70B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39" name="AutoShape 1" descr="Vista previa de toda la pantalla">
          <a:extLst>
            <a:ext uri="{FF2B5EF4-FFF2-40B4-BE49-F238E27FC236}">
              <a16:creationId xmlns:a16="http://schemas.microsoft.com/office/drawing/2014/main" id="{53EED685-CE84-4F53-9A59-0D009A22E7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40" name="AutoShape 1" descr="Vista previa de toda la pantalla">
          <a:extLst>
            <a:ext uri="{FF2B5EF4-FFF2-40B4-BE49-F238E27FC236}">
              <a16:creationId xmlns:a16="http://schemas.microsoft.com/office/drawing/2014/main" id="{A36CC17D-CDD8-4A0A-B3ED-911F310DB0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41" name="AutoShape 1" descr="Vista previa de toda la pantalla">
          <a:extLst>
            <a:ext uri="{FF2B5EF4-FFF2-40B4-BE49-F238E27FC236}">
              <a16:creationId xmlns:a16="http://schemas.microsoft.com/office/drawing/2014/main" id="{948D8355-94C6-4543-A621-942B9F3C14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42" name="AutoShape 1" descr="Vista previa de toda la pantalla">
          <a:extLst>
            <a:ext uri="{FF2B5EF4-FFF2-40B4-BE49-F238E27FC236}">
              <a16:creationId xmlns:a16="http://schemas.microsoft.com/office/drawing/2014/main" id="{1E925DB5-D066-4EC1-B8E5-FE9BF4E71B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43" name="AutoShape 1" descr="Vista previa de toda la pantalla">
          <a:extLst>
            <a:ext uri="{FF2B5EF4-FFF2-40B4-BE49-F238E27FC236}">
              <a16:creationId xmlns:a16="http://schemas.microsoft.com/office/drawing/2014/main" id="{606F313B-04EE-47B6-B9F9-41F531FCFE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44" name="AutoShape 1" descr="Vista previa de toda la pantalla">
          <a:extLst>
            <a:ext uri="{FF2B5EF4-FFF2-40B4-BE49-F238E27FC236}">
              <a16:creationId xmlns:a16="http://schemas.microsoft.com/office/drawing/2014/main" id="{4C55B0AF-8A9C-4C89-8E42-39AC4FA6FB2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45" name="AutoShape 1" descr="Vista previa de toda la pantalla">
          <a:extLst>
            <a:ext uri="{FF2B5EF4-FFF2-40B4-BE49-F238E27FC236}">
              <a16:creationId xmlns:a16="http://schemas.microsoft.com/office/drawing/2014/main" id="{05579D91-69CC-4E9A-B758-4D1085554B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46" name="AutoShape 1" descr="Vista previa de toda la pantalla">
          <a:extLst>
            <a:ext uri="{FF2B5EF4-FFF2-40B4-BE49-F238E27FC236}">
              <a16:creationId xmlns:a16="http://schemas.microsoft.com/office/drawing/2014/main" id="{815F599E-79EB-4F2A-B58D-F669C1775A0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47" name="AutoShape 1" descr="Vista previa de toda la pantalla">
          <a:extLst>
            <a:ext uri="{FF2B5EF4-FFF2-40B4-BE49-F238E27FC236}">
              <a16:creationId xmlns:a16="http://schemas.microsoft.com/office/drawing/2014/main" id="{FDC80D45-9B06-4DB5-A44A-0896BE421A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48" name="AutoShape 1" descr="Vista previa de toda la pantalla">
          <a:extLst>
            <a:ext uri="{FF2B5EF4-FFF2-40B4-BE49-F238E27FC236}">
              <a16:creationId xmlns:a16="http://schemas.microsoft.com/office/drawing/2014/main" id="{8F77A2FE-CA09-4B69-AF8E-3DD4E7E72FC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49" name="AutoShape 1" descr="Vista previa de toda la pantalla">
          <a:extLst>
            <a:ext uri="{FF2B5EF4-FFF2-40B4-BE49-F238E27FC236}">
              <a16:creationId xmlns:a16="http://schemas.microsoft.com/office/drawing/2014/main" id="{6E6DFBBF-DB23-4D15-A0FB-D9714F8DAA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50" name="AutoShape 1" descr="Vista previa de toda la pantalla">
          <a:extLst>
            <a:ext uri="{FF2B5EF4-FFF2-40B4-BE49-F238E27FC236}">
              <a16:creationId xmlns:a16="http://schemas.microsoft.com/office/drawing/2014/main" id="{8D9D22AD-D481-4710-8B46-F0F20DF178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51" name="AutoShape 1" descr="Vista previa de toda la pantalla">
          <a:extLst>
            <a:ext uri="{FF2B5EF4-FFF2-40B4-BE49-F238E27FC236}">
              <a16:creationId xmlns:a16="http://schemas.microsoft.com/office/drawing/2014/main" id="{D3613BA4-8D37-46FD-AD34-4710D9D433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52" name="AutoShape 1" descr="Vista previa de toda la pantalla">
          <a:extLst>
            <a:ext uri="{FF2B5EF4-FFF2-40B4-BE49-F238E27FC236}">
              <a16:creationId xmlns:a16="http://schemas.microsoft.com/office/drawing/2014/main" id="{E336DF9A-7E7D-4435-B235-387699A6E4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53" name="AutoShape 1" descr="Vista previa de toda la pantalla">
          <a:extLst>
            <a:ext uri="{FF2B5EF4-FFF2-40B4-BE49-F238E27FC236}">
              <a16:creationId xmlns:a16="http://schemas.microsoft.com/office/drawing/2014/main" id="{D3B47966-C193-47E6-A44F-BE6C8E58625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54" name="AutoShape 1" descr="Vista previa de toda la pantalla">
          <a:extLst>
            <a:ext uri="{FF2B5EF4-FFF2-40B4-BE49-F238E27FC236}">
              <a16:creationId xmlns:a16="http://schemas.microsoft.com/office/drawing/2014/main" id="{91D84973-AB97-4AFE-9668-4A3B59098E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55" name="AutoShape 1" descr="Vista previa de toda la pantalla">
          <a:extLst>
            <a:ext uri="{FF2B5EF4-FFF2-40B4-BE49-F238E27FC236}">
              <a16:creationId xmlns:a16="http://schemas.microsoft.com/office/drawing/2014/main" id="{293815FA-1EB0-4C87-99B8-51B1BD138B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56" name="AutoShape 1" descr="Vista previa de toda la pantalla">
          <a:extLst>
            <a:ext uri="{FF2B5EF4-FFF2-40B4-BE49-F238E27FC236}">
              <a16:creationId xmlns:a16="http://schemas.microsoft.com/office/drawing/2014/main" id="{86588F64-CEBA-430A-B00A-3BD637AE8BE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57" name="AutoShape 1" descr="Vista previa de toda la pantalla">
          <a:extLst>
            <a:ext uri="{FF2B5EF4-FFF2-40B4-BE49-F238E27FC236}">
              <a16:creationId xmlns:a16="http://schemas.microsoft.com/office/drawing/2014/main" id="{AD9D75AC-83DF-481E-8091-D410856AE3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58" name="AutoShape 1" descr="Vista previa de toda la pantalla">
          <a:extLst>
            <a:ext uri="{FF2B5EF4-FFF2-40B4-BE49-F238E27FC236}">
              <a16:creationId xmlns:a16="http://schemas.microsoft.com/office/drawing/2014/main" id="{2F1F3591-CE13-4398-9D0C-69FB1D29FD6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59" name="AutoShape 1" descr="Vista previa de toda la pantalla">
          <a:extLst>
            <a:ext uri="{FF2B5EF4-FFF2-40B4-BE49-F238E27FC236}">
              <a16:creationId xmlns:a16="http://schemas.microsoft.com/office/drawing/2014/main" id="{A35267E9-B278-4101-8B29-60F05C87FFB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60" name="AutoShape 1" descr="Vista previa de toda la pantalla">
          <a:extLst>
            <a:ext uri="{FF2B5EF4-FFF2-40B4-BE49-F238E27FC236}">
              <a16:creationId xmlns:a16="http://schemas.microsoft.com/office/drawing/2014/main" id="{F740C1A1-F0A7-4C7A-BE95-1AB122E2C0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61" name="AutoShape 1" descr="Vista previa de toda la pantalla">
          <a:extLst>
            <a:ext uri="{FF2B5EF4-FFF2-40B4-BE49-F238E27FC236}">
              <a16:creationId xmlns:a16="http://schemas.microsoft.com/office/drawing/2014/main" id="{1CEB3AB7-AFBC-4CA5-B9D0-06192AA842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62" name="AutoShape 1" descr="Vista previa de toda la pantalla">
          <a:extLst>
            <a:ext uri="{FF2B5EF4-FFF2-40B4-BE49-F238E27FC236}">
              <a16:creationId xmlns:a16="http://schemas.microsoft.com/office/drawing/2014/main" id="{5F850AEF-6F50-4CB4-A862-862399029C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63" name="AutoShape 1" descr="Vista previa de toda la pantalla">
          <a:extLst>
            <a:ext uri="{FF2B5EF4-FFF2-40B4-BE49-F238E27FC236}">
              <a16:creationId xmlns:a16="http://schemas.microsoft.com/office/drawing/2014/main" id="{C4A72D24-E343-42ED-93BE-16B5A33830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64" name="AutoShape 1" descr="Vista previa de toda la pantalla">
          <a:extLst>
            <a:ext uri="{FF2B5EF4-FFF2-40B4-BE49-F238E27FC236}">
              <a16:creationId xmlns:a16="http://schemas.microsoft.com/office/drawing/2014/main" id="{8C58EF1B-0D92-4B88-BA65-39A2784C24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65" name="AutoShape 1" descr="Vista previa de toda la pantalla">
          <a:extLst>
            <a:ext uri="{FF2B5EF4-FFF2-40B4-BE49-F238E27FC236}">
              <a16:creationId xmlns:a16="http://schemas.microsoft.com/office/drawing/2014/main" id="{B7DE7FA6-7F2E-46DB-9ECA-1873D0D052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66" name="AutoShape 1" descr="Vista previa de toda la pantalla">
          <a:extLst>
            <a:ext uri="{FF2B5EF4-FFF2-40B4-BE49-F238E27FC236}">
              <a16:creationId xmlns:a16="http://schemas.microsoft.com/office/drawing/2014/main" id="{1EC74DF1-F6FB-400E-A2F7-3A8A982E637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67" name="AutoShape 1" descr="Vista previa de toda la pantalla">
          <a:extLst>
            <a:ext uri="{FF2B5EF4-FFF2-40B4-BE49-F238E27FC236}">
              <a16:creationId xmlns:a16="http://schemas.microsoft.com/office/drawing/2014/main" id="{6635CC10-B3F4-480A-B728-EA0A2FFE65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68" name="AutoShape 1" descr="Vista previa de toda la pantalla">
          <a:extLst>
            <a:ext uri="{FF2B5EF4-FFF2-40B4-BE49-F238E27FC236}">
              <a16:creationId xmlns:a16="http://schemas.microsoft.com/office/drawing/2014/main" id="{3FA349F1-E1C9-4738-BAC6-17AC8EA533D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69" name="AutoShape 1" descr="Vista previa de toda la pantalla">
          <a:extLst>
            <a:ext uri="{FF2B5EF4-FFF2-40B4-BE49-F238E27FC236}">
              <a16:creationId xmlns:a16="http://schemas.microsoft.com/office/drawing/2014/main" id="{68E11B7F-920D-4F68-BE31-AE1158DAA9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70" name="AutoShape 1" descr="Vista previa de toda la pantalla">
          <a:extLst>
            <a:ext uri="{FF2B5EF4-FFF2-40B4-BE49-F238E27FC236}">
              <a16:creationId xmlns:a16="http://schemas.microsoft.com/office/drawing/2014/main" id="{D505E8BE-58F3-4A16-A942-A9BF0A48243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71" name="AutoShape 1" descr="Vista previa de toda la pantalla">
          <a:extLst>
            <a:ext uri="{FF2B5EF4-FFF2-40B4-BE49-F238E27FC236}">
              <a16:creationId xmlns:a16="http://schemas.microsoft.com/office/drawing/2014/main" id="{72B03BF0-450B-4011-A17D-6C181D755A7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72" name="AutoShape 1" descr="Vista previa de toda la pantalla">
          <a:extLst>
            <a:ext uri="{FF2B5EF4-FFF2-40B4-BE49-F238E27FC236}">
              <a16:creationId xmlns:a16="http://schemas.microsoft.com/office/drawing/2014/main" id="{2F2D58EF-058A-4BEA-92BB-3A9562B8EA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73" name="AutoShape 1" descr="Vista previa de toda la pantalla">
          <a:extLst>
            <a:ext uri="{FF2B5EF4-FFF2-40B4-BE49-F238E27FC236}">
              <a16:creationId xmlns:a16="http://schemas.microsoft.com/office/drawing/2014/main" id="{CE56EC9F-B9DE-4A37-B7A9-B4DA3D5A0F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74" name="AutoShape 1" descr="Vista previa de toda la pantalla">
          <a:extLst>
            <a:ext uri="{FF2B5EF4-FFF2-40B4-BE49-F238E27FC236}">
              <a16:creationId xmlns:a16="http://schemas.microsoft.com/office/drawing/2014/main" id="{AABAD37A-659B-4CA4-9F32-763724AE89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75" name="AutoShape 1" descr="Vista previa de toda la pantalla">
          <a:extLst>
            <a:ext uri="{FF2B5EF4-FFF2-40B4-BE49-F238E27FC236}">
              <a16:creationId xmlns:a16="http://schemas.microsoft.com/office/drawing/2014/main" id="{CE293275-6E10-47D2-B0E0-B5C1BD8755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76" name="AutoShape 1" descr="Vista previa de toda la pantalla">
          <a:extLst>
            <a:ext uri="{FF2B5EF4-FFF2-40B4-BE49-F238E27FC236}">
              <a16:creationId xmlns:a16="http://schemas.microsoft.com/office/drawing/2014/main" id="{E1CA7F53-6C16-482A-97B7-0A109A4794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77" name="AutoShape 1" descr="Vista previa de toda la pantalla">
          <a:extLst>
            <a:ext uri="{FF2B5EF4-FFF2-40B4-BE49-F238E27FC236}">
              <a16:creationId xmlns:a16="http://schemas.microsoft.com/office/drawing/2014/main" id="{F002AF22-FBE8-4E7E-8DDA-B1909F0637A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78" name="AutoShape 1" descr="Vista previa de toda la pantalla">
          <a:extLst>
            <a:ext uri="{FF2B5EF4-FFF2-40B4-BE49-F238E27FC236}">
              <a16:creationId xmlns:a16="http://schemas.microsoft.com/office/drawing/2014/main" id="{56FB25D6-A1DE-4F5F-BE65-F8F1808671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79" name="AutoShape 1" descr="Vista previa de toda la pantalla">
          <a:extLst>
            <a:ext uri="{FF2B5EF4-FFF2-40B4-BE49-F238E27FC236}">
              <a16:creationId xmlns:a16="http://schemas.microsoft.com/office/drawing/2014/main" id="{7395E4AC-234A-4C2C-B606-488D5034ED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80" name="AutoShape 1" descr="Vista previa de toda la pantalla">
          <a:extLst>
            <a:ext uri="{FF2B5EF4-FFF2-40B4-BE49-F238E27FC236}">
              <a16:creationId xmlns:a16="http://schemas.microsoft.com/office/drawing/2014/main" id="{77BDC722-190A-4414-824E-254BB328FB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81" name="AutoShape 1" descr="Vista previa de toda la pantalla">
          <a:extLst>
            <a:ext uri="{FF2B5EF4-FFF2-40B4-BE49-F238E27FC236}">
              <a16:creationId xmlns:a16="http://schemas.microsoft.com/office/drawing/2014/main" id="{5EBC157C-6171-42F5-A41D-D251F0A510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82" name="AutoShape 1" descr="Vista previa de toda la pantalla">
          <a:extLst>
            <a:ext uri="{FF2B5EF4-FFF2-40B4-BE49-F238E27FC236}">
              <a16:creationId xmlns:a16="http://schemas.microsoft.com/office/drawing/2014/main" id="{58CBC4B2-3DBD-4BC9-8529-E1C012BD3A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83" name="AutoShape 1" descr="Vista previa de toda la pantalla">
          <a:extLst>
            <a:ext uri="{FF2B5EF4-FFF2-40B4-BE49-F238E27FC236}">
              <a16:creationId xmlns:a16="http://schemas.microsoft.com/office/drawing/2014/main" id="{1528E112-E378-4BDC-B2E5-76BFE54AF5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84" name="AutoShape 1" descr="Vista previa de toda la pantalla">
          <a:extLst>
            <a:ext uri="{FF2B5EF4-FFF2-40B4-BE49-F238E27FC236}">
              <a16:creationId xmlns:a16="http://schemas.microsoft.com/office/drawing/2014/main" id="{60EF27F7-F0F9-4EE1-835B-7EFA46E52D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85" name="AutoShape 1" descr="Vista previa de toda la pantalla">
          <a:extLst>
            <a:ext uri="{FF2B5EF4-FFF2-40B4-BE49-F238E27FC236}">
              <a16:creationId xmlns:a16="http://schemas.microsoft.com/office/drawing/2014/main" id="{0A71A44E-272A-411E-AB2E-597E0F6486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86" name="AutoShape 1" descr="Vista previa de toda la pantalla">
          <a:extLst>
            <a:ext uri="{FF2B5EF4-FFF2-40B4-BE49-F238E27FC236}">
              <a16:creationId xmlns:a16="http://schemas.microsoft.com/office/drawing/2014/main" id="{3E2AB05A-C056-4B22-999B-F46A38365E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87" name="AutoShape 1" descr="Vista previa de toda la pantalla">
          <a:extLst>
            <a:ext uri="{FF2B5EF4-FFF2-40B4-BE49-F238E27FC236}">
              <a16:creationId xmlns:a16="http://schemas.microsoft.com/office/drawing/2014/main" id="{4D5741EC-6E20-412D-A5F7-705AF25FAB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88" name="AutoShape 1" descr="Vista previa de toda la pantalla">
          <a:extLst>
            <a:ext uri="{FF2B5EF4-FFF2-40B4-BE49-F238E27FC236}">
              <a16:creationId xmlns:a16="http://schemas.microsoft.com/office/drawing/2014/main" id="{4424CF71-E8A2-4FB9-885D-77DA872DBA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89" name="AutoShape 1" descr="Vista previa de toda la pantalla">
          <a:extLst>
            <a:ext uri="{FF2B5EF4-FFF2-40B4-BE49-F238E27FC236}">
              <a16:creationId xmlns:a16="http://schemas.microsoft.com/office/drawing/2014/main" id="{E4B864DE-85B9-458F-9D3E-A796BF53EC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90" name="AutoShape 1" descr="Vista previa de toda la pantalla">
          <a:extLst>
            <a:ext uri="{FF2B5EF4-FFF2-40B4-BE49-F238E27FC236}">
              <a16:creationId xmlns:a16="http://schemas.microsoft.com/office/drawing/2014/main" id="{A374E90B-5A43-4F4C-86F4-9FDAE71B5E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91" name="AutoShape 1" descr="Vista previa de toda la pantalla">
          <a:extLst>
            <a:ext uri="{FF2B5EF4-FFF2-40B4-BE49-F238E27FC236}">
              <a16:creationId xmlns:a16="http://schemas.microsoft.com/office/drawing/2014/main" id="{0ED4F4D1-1876-448E-8207-A4C3C3728C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92" name="AutoShape 1" descr="Vista previa de toda la pantalla">
          <a:extLst>
            <a:ext uri="{FF2B5EF4-FFF2-40B4-BE49-F238E27FC236}">
              <a16:creationId xmlns:a16="http://schemas.microsoft.com/office/drawing/2014/main" id="{5C791437-C87F-4779-99C0-90A13C4F3E8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93" name="AutoShape 1" descr="Vista previa de toda la pantalla">
          <a:extLst>
            <a:ext uri="{FF2B5EF4-FFF2-40B4-BE49-F238E27FC236}">
              <a16:creationId xmlns:a16="http://schemas.microsoft.com/office/drawing/2014/main" id="{E73E9E98-2438-4C72-9145-2A73A144AB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94" name="AutoShape 1" descr="Vista previa de toda la pantalla">
          <a:extLst>
            <a:ext uri="{FF2B5EF4-FFF2-40B4-BE49-F238E27FC236}">
              <a16:creationId xmlns:a16="http://schemas.microsoft.com/office/drawing/2014/main" id="{A39F3A06-FC9E-4B81-9287-137F9498EF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95" name="AutoShape 1" descr="Vista previa de toda la pantalla">
          <a:extLst>
            <a:ext uri="{FF2B5EF4-FFF2-40B4-BE49-F238E27FC236}">
              <a16:creationId xmlns:a16="http://schemas.microsoft.com/office/drawing/2014/main" id="{04CB1843-27C5-4468-BDEB-9ADBB357F8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96" name="AutoShape 1" descr="Vista previa de toda la pantalla">
          <a:extLst>
            <a:ext uri="{FF2B5EF4-FFF2-40B4-BE49-F238E27FC236}">
              <a16:creationId xmlns:a16="http://schemas.microsoft.com/office/drawing/2014/main" id="{D8774C1D-C3EB-4C6B-8997-548D42F91E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97" name="AutoShape 1" descr="Vista previa de toda la pantalla">
          <a:extLst>
            <a:ext uri="{FF2B5EF4-FFF2-40B4-BE49-F238E27FC236}">
              <a16:creationId xmlns:a16="http://schemas.microsoft.com/office/drawing/2014/main" id="{8E17CF16-989E-4C8C-A0D0-049FE5582D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98" name="AutoShape 1" descr="Vista previa de toda la pantalla">
          <a:extLst>
            <a:ext uri="{FF2B5EF4-FFF2-40B4-BE49-F238E27FC236}">
              <a16:creationId xmlns:a16="http://schemas.microsoft.com/office/drawing/2014/main" id="{1A3873AF-E716-4F46-9BE7-9F79135E5A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899" name="AutoShape 1" descr="Vista previa de toda la pantalla">
          <a:extLst>
            <a:ext uri="{FF2B5EF4-FFF2-40B4-BE49-F238E27FC236}">
              <a16:creationId xmlns:a16="http://schemas.microsoft.com/office/drawing/2014/main" id="{DB630A15-F45B-4655-88C5-90A934FE66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00" name="AutoShape 1" descr="Vista previa de toda la pantalla">
          <a:extLst>
            <a:ext uri="{FF2B5EF4-FFF2-40B4-BE49-F238E27FC236}">
              <a16:creationId xmlns:a16="http://schemas.microsoft.com/office/drawing/2014/main" id="{DFA0A1B7-BB84-4C20-8ACE-CA5B2147AD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01" name="AutoShape 1" descr="Vista previa de toda la pantalla">
          <a:extLst>
            <a:ext uri="{FF2B5EF4-FFF2-40B4-BE49-F238E27FC236}">
              <a16:creationId xmlns:a16="http://schemas.microsoft.com/office/drawing/2014/main" id="{5995EFBD-91B5-42A9-B5C2-39B46103DB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02" name="AutoShape 1" descr="Vista previa de toda la pantalla">
          <a:extLst>
            <a:ext uri="{FF2B5EF4-FFF2-40B4-BE49-F238E27FC236}">
              <a16:creationId xmlns:a16="http://schemas.microsoft.com/office/drawing/2014/main" id="{4B5C299F-3968-4764-AE5A-CA53FC540B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03" name="AutoShape 1" descr="Vista previa de toda la pantalla">
          <a:extLst>
            <a:ext uri="{FF2B5EF4-FFF2-40B4-BE49-F238E27FC236}">
              <a16:creationId xmlns:a16="http://schemas.microsoft.com/office/drawing/2014/main" id="{B4453A00-484F-4632-96E2-220E10D852B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04" name="AutoShape 1" descr="Vista previa de toda la pantalla">
          <a:extLst>
            <a:ext uri="{FF2B5EF4-FFF2-40B4-BE49-F238E27FC236}">
              <a16:creationId xmlns:a16="http://schemas.microsoft.com/office/drawing/2014/main" id="{066A1C50-C714-493C-8C12-A00F8571E2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05" name="AutoShape 1" descr="Vista previa de toda la pantalla">
          <a:extLst>
            <a:ext uri="{FF2B5EF4-FFF2-40B4-BE49-F238E27FC236}">
              <a16:creationId xmlns:a16="http://schemas.microsoft.com/office/drawing/2014/main" id="{47BFFE9D-A818-47BB-9C2D-57397BF244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06" name="AutoShape 1" descr="Vista previa de toda la pantalla">
          <a:extLst>
            <a:ext uri="{FF2B5EF4-FFF2-40B4-BE49-F238E27FC236}">
              <a16:creationId xmlns:a16="http://schemas.microsoft.com/office/drawing/2014/main" id="{7CAAE0E1-63E4-4498-8A13-DA43116736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4907" name="AutoShape 1" descr="Vista previa de toda la pantalla">
          <a:extLst>
            <a:ext uri="{FF2B5EF4-FFF2-40B4-BE49-F238E27FC236}">
              <a16:creationId xmlns:a16="http://schemas.microsoft.com/office/drawing/2014/main" id="{491A5C7E-99FF-49E0-AE8B-5C06E629FB54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08" name="AutoShape 1" descr="Vista previa de toda la pantalla">
          <a:extLst>
            <a:ext uri="{FF2B5EF4-FFF2-40B4-BE49-F238E27FC236}">
              <a16:creationId xmlns:a16="http://schemas.microsoft.com/office/drawing/2014/main" id="{4EC55B0B-B3B2-43B8-BA06-68171C7FB1F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09" name="AutoShape 1" descr="Vista previa de toda la pantalla">
          <a:extLst>
            <a:ext uri="{FF2B5EF4-FFF2-40B4-BE49-F238E27FC236}">
              <a16:creationId xmlns:a16="http://schemas.microsoft.com/office/drawing/2014/main" id="{89A15EF0-E706-4180-87A2-5142B50C45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10" name="AutoShape 1" descr="Vista previa de toda la pantalla">
          <a:extLst>
            <a:ext uri="{FF2B5EF4-FFF2-40B4-BE49-F238E27FC236}">
              <a16:creationId xmlns:a16="http://schemas.microsoft.com/office/drawing/2014/main" id="{57D4ED05-BF74-495F-91FC-8BE98B976B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11" name="AutoShape 1" descr="Vista previa de toda la pantalla">
          <a:extLst>
            <a:ext uri="{FF2B5EF4-FFF2-40B4-BE49-F238E27FC236}">
              <a16:creationId xmlns:a16="http://schemas.microsoft.com/office/drawing/2014/main" id="{54B6C206-4A45-4D95-B40B-B81A5952F9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12" name="AutoShape 1" descr="Vista previa de toda la pantalla">
          <a:extLst>
            <a:ext uri="{FF2B5EF4-FFF2-40B4-BE49-F238E27FC236}">
              <a16:creationId xmlns:a16="http://schemas.microsoft.com/office/drawing/2014/main" id="{3F99F6A0-893A-47BA-B837-ED1AA1A856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13" name="AutoShape 1" descr="Vista previa de toda la pantalla">
          <a:extLst>
            <a:ext uri="{FF2B5EF4-FFF2-40B4-BE49-F238E27FC236}">
              <a16:creationId xmlns:a16="http://schemas.microsoft.com/office/drawing/2014/main" id="{27D1E913-6F2B-435A-A1A2-260235194C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14" name="AutoShape 1" descr="Vista previa de toda la pantalla">
          <a:extLst>
            <a:ext uri="{FF2B5EF4-FFF2-40B4-BE49-F238E27FC236}">
              <a16:creationId xmlns:a16="http://schemas.microsoft.com/office/drawing/2014/main" id="{C3F3B781-285D-446E-B633-F684D675D6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15" name="AutoShape 1" descr="Vista previa de toda la pantalla">
          <a:extLst>
            <a:ext uri="{FF2B5EF4-FFF2-40B4-BE49-F238E27FC236}">
              <a16:creationId xmlns:a16="http://schemas.microsoft.com/office/drawing/2014/main" id="{E8E3DEA3-065A-4137-8B20-3234D797F9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16" name="AutoShape 1" descr="Vista previa de toda la pantalla">
          <a:extLst>
            <a:ext uri="{FF2B5EF4-FFF2-40B4-BE49-F238E27FC236}">
              <a16:creationId xmlns:a16="http://schemas.microsoft.com/office/drawing/2014/main" id="{B8BB074B-8438-41FC-974D-88885848EB9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17" name="AutoShape 1" descr="Vista previa de toda la pantalla">
          <a:extLst>
            <a:ext uri="{FF2B5EF4-FFF2-40B4-BE49-F238E27FC236}">
              <a16:creationId xmlns:a16="http://schemas.microsoft.com/office/drawing/2014/main" id="{F3E612BC-091A-43E8-927D-B02AAD9A5E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18" name="AutoShape 1" descr="Vista previa de toda la pantalla">
          <a:extLst>
            <a:ext uri="{FF2B5EF4-FFF2-40B4-BE49-F238E27FC236}">
              <a16:creationId xmlns:a16="http://schemas.microsoft.com/office/drawing/2014/main" id="{00516808-35ED-42A6-83FE-1978F157635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19" name="AutoShape 1" descr="Vista previa de toda la pantalla">
          <a:extLst>
            <a:ext uri="{FF2B5EF4-FFF2-40B4-BE49-F238E27FC236}">
              <a16:creationId xmlns:a16="http://schemas.microsoft.com/office/drawing/2014/main" id="{BEC750F5-ED01-451F-A92E-809B76BE990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20" name="AutoShape 1" descr="Vista previa de toda la pantalla">
          <a:extLst>
            <a:ext uri="{FF2B5EF4-FFF2-40B4-BE49-F238E27FC236}">
              <a16:creationId xmlns:a16="http://schemas.microsoft.com/office/drawing/2014/main" id="{5BB034BA-3034-4452-BBAD-E5C7790ADE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21" name="AutoShape 1" descr="Vista previa de toda la pantalla">
          <a:extLst>
            <a:ext uri="{FF2B5EF4-FFF2-40B4-BE49-F238E27FC236}">
              <a16:creationId xmlns:a16="http://schemas.microsoft.com/office/drawing/2014/main" id="{45ED881F-55F4-47D1-BBF7-A34D213379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22" name="AutoShape 1" descr="Vista previa de toda la pantalla">
          <a:extLst>
            <a:ext uri="{FF2B5EF4-FFF2-40B4-BE49-F238E27FC236}">
              <a16:creationId xmlns:a16="http://schemas.microsoft.com/office/drawing/2014/main" id="{8E4950FA-7B1C-4472-B9C9-3CBA18413E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23" name="AutoShape 1" descr="Vista previa de toda la pantalla">
          <a:extLst>
            <a:ext uri="{FF2B5EF4-FFF2-40B4-BE49-F238E27FC236}">
              <a16:creationId xmlns:a16="http://schemas.microsoft.com/office/drawing/2014/main" id="{F8DBA279-1E77-4FA0-BA81-EDEF3EB946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24" name="AutoShape 1" descr="Vista previa de toda la pantalla">
          <a:extLst>
            <a:ext uri="{FF2B5EF4-FFF2-40B4-BE49-F238E27FC236}">
              <a16:creationId xmlns:a16="http://schemas.microsoft.com/office/drawing/2014/main" id="{080FF638-F8A9-4D8B-98DD-7D3E15A408A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25" name="AutoShape 1" descr="Vista previa de toda la pantalla">
          <a:extLst>
            <a:ext uri="{FF2B5EF4-FFF2-40B4-BE49-F238E27FC236}">
              <a16:creationId xmlns:a16="http://schemas.microsoft.com/office/drawing/2014/main" id="{645A8C90-833B-4A17-AAE0-BE194F0B7E1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26" name="AutoShape 1" descr="Vista previa de toda la pantalla">
          <a:extLst>
            <a:ext uri="{FF2B5EF4-FFF2-40B4-BE49-F238E27FC236}">
              <a16:creationId xmlns:a16="http://schemas.microsoft.com/office/drawing/2014/main" id="{B0022B7F-DC1B-4503-A9AA-D083C750AE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27" name="AutoShape 1" descr="Vista previa de toda la pantalla">
          <a:extLst>
            <a:ext uri="{FF2B5EF4-FFF2-40B4-BE49-F238E27FC236}">
              <a16:creationId xmlns:a16="http://schemas.microsoft.com/office/drawing/2014/main" id="{19EC00F1-690F-4C2F-9966-C486CC982B7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28" name="AutoShape 1" descr="Vista previa de toda la pantalla">
          <a:extLst>
            <a:ext uri="{FF2B5EF4-FFF2-40B4-BE49-F238E27FC236}">
              <a16:creationId xmlns:a16="http://schemas.microsoft.com/office/drawing/2014/main" id="{A2E3DBFB-7853-4A9D-8024-23927719FE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29" name="AutoShape 1" descr="Vista previa de toda la pantalla">
          <a:extLst>
            <a:ext uri="{FF2B5EF4-FFF2-40B4-BE49-F238E27FC236}">
              <a16:creationId xmlns:a16="http://schemas.microsoft.com/office/drawing/2014/main" id="{533A88EA-F324-42AF-90C2-2B92B28032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30" name="AutoShape 1" descr="Vista previa de toda la pantalla">
          <a:extLst>
            <a:ext uri="{FF2B5EF4-FFF2-40B4-BE49-F238E27FC236}">
              <a16:creationId xmlns:a16="http://schemas.microsoft.com/office/drawing/2014/main" id="{34A25606-8CF8-4107-A6CE-DA18BD62BB2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31" name="AutoShape 1" descr="Vista previa de toda la pantalla">
          <a:extLst>
            <a:ext uri="{FF2B5EF4-FFF2-40B4-BE49-F238E27FC236}">
              <a16:creationId xmlns:a16="http://schemas.microsoft.com/office/drawing/2014/main" id="{7D606F08-FCF8-42EA-9552-8502F25037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32" name="AutoShape 1" descr="Vista previa de toda la pantalla">
          <a:extLst>
            <a:ext uri="{FF2B5EF4-FFF2-40B4-BE49-F238E27FC236}">
              <a16:creationId xmlns:a16="http://schemas.microsoft.com/office/drawing/2014/main" id="{C3FC74B9-EED7-4787-A23C-ECB06851EA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33" name="AutoShape 1" descr="Vista previa de toda la pantalla">
          <a:extLst>
            <a:ext uri="{FF2B5EF4-FFF2-40B4-BE49-F238E27FC236}">
              <a16:creationId xmlns:a16="http://schemas.microsoft.com/office/drawing/2014/main" id="{28A87BB6-1BE0-47AD-B72A-17A1D18E16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34" name="AutoShape 1" descr="Vista previa de toda la pantalla">
          <a:extLst>
            <a:ext uri="{FF2B5EF4-FFF2-40B4-BE49-F238E27FC236}">
              <a16:creationId xmlns:a16="http://schemas.microsoft.com/office/drawing/2014/main" id="{71A8F1EB-4E19-4396-8D3E-84FD9F1A83F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35" name="AutoShape 1" descr="Vista previa de toda la pantalla">
          <a:extLst>
            <a:ext uri="{FF2B5EF4-FFF2-40B4-BE49-F238E27FC236}">
              <a16:creationId xmlns:a16="http://schemas.microsoft.com/office/drawing/2014/main" id="{E20AB838-A431-4A1A-85EF-CCAD3E54D6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36" name="AutoShape 1" descr="Vista previa de toda la pantalla">
          <a:extLst>
            <a:ext uri="{FF2B5EF4-FFF2-40B4-BE49-F238E27FC236}">
              <a16:creationId xmlns:a16="http://schemas.microsoft.com/office/drawing/2014/main" id="{F9FC0E44-CFFE-4B38-BF43-50225EC3DE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37" name="AutoShape 1" descr="Vista previa de toda la pantalla">
          <a:extLst>
            <a:ext uri="{FF2B5EF4-FFF2-40B4-BE49-F238E27FC236}">
              <a16:creationId xmlns:a16="http://schemas.microsoft.com/office/drawing/2014/main" id="{03CC7896-4DAC-414B-BE52-4EDD0A8F40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38" name="AutoShape 1" descr="Vista previa de toda la pantalla">
          <a:extLst>
            <a:ext uri="{FF2B5EF4-FFF2-40B4-BE49-F238E27FC236}">
              <a16:creationId xmlns:a16="http://schemas.microsoft.com/office/drawing/2014/main" id="{452BA569-91FA-4B89-8370-83EDFF9C0B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39" name="AutoShape 1" descr="Vista previa de toda la pantalla">
          <a:extLst>
            <a:ext uri="{FF2B5EF4-FFF2-40B4-BE49-F238E27FC236}">
              <a16:creationId xmlns:a16="http://schemas.microsoft.com/office/drawing/2014/main" id="{1D945761-F78F-452C-9234-D411617E2E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40" name="AutoShape 1" descr="Vista previa de toda la pantalla">
          <a:extLst>
            <a:ext uri="{FF2B5EF4-FFF2-40B4-BE49-F238E27FC236}">
              <a16:creationId xmlns:a16="http://schemas.microsoft.com/office/drawing/2014/main" id="{607DB8A6-30B9-47D0-BC40-0E73D2CA28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41" name="AutoShape 1" descr="Vista previa de toda la pantalla">
          <a:extLst>
            <a:ext uri="{FF2B5EF4-FFF2-40B4-BE49-F238E27FC236}">
              <a16:creationId xmlns:a16="http://schemas.microsoft.com/office/drawing/2014/main" id="{2187B53A-71AE-4D05-A220-ABB53665F7E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42" name="AutoShape 1" descr="Vista previa de toda la pantalla">
          <a:extLst>
            <a:ext uri="{FF2B5EF4-FFF2-40B4-BE49-F238E27FC236}">
              <a16:creationId xmlns:a16="http://schemas.microsoft.com/office/drawing/2014/main" id="{C0815406-9765-445E-BFBD-4F08D51ECA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43" name="AutoShape 1" descr="Vista previa de toda la pantalla">
          <a:extLst>
            <a:ext uri="{FF2B5EF4-FFF2-40B4-BE49-F238E27FC236}">
              <a16:creationId xmlns:a16="http://schemas.microsoft.com/office/drawing/2014/main" id="{13BDF7D1-69D5-4A39-9B9C-096D36BE67F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44" name="AutoShape 1" descr="Vista previa de toda la pantalla">
          <a:extLst>
            <a:ext uri="{FF2B5EF4-FFF2-40B4-BE49-F238E27FC236}">
              <a16:creationId xmlns:a16="http://schemas.microsoft.com/office/drawing/2014/main" id="{F40C91A6-9DDA-4EED-92EC-88A18ABEEF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45" name="AutoShape 1" descr="Vista previa de toda la pantalla">
          <a:extLst>
            <a:ext uri="{FF2B5EF4-FFF2-40B4-BE49-F238E27FC236}">
              <a16:creationId xmlns:a16="http://schemas.microsoft.com/office/drawing/2014/main" id="{A6EF661E-9DBC-4B1C-AE41-8872E00C6E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46" name="AutoShape 1" descr="Vista previa de toda la pantalla">
          <a:extLst>
            <a:ext uri="{FF2B5EF4-FFF2-40B4-BE49-F238E27FC236}">
              <a16:creationId xmlns:a16="http://schemas.microsoft.com/office/drawing/2014/main" id="{E05C5617-D2FA-44D2-9C83-FC8FDEC808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47" name="AutoShape 1" descr="Vista previa de toda la pantalla">
          <a:extLst>
            <a:ext uri="{FF2B5EF4-FFF2-40B4-BE49-F238E27FC236}">
              <a16:creationId xmlns:a16="http://schemas.microsoft.com/office/drawing/2014/main" id="{AA44C1C7-010B-4852-9DDC-5BB4FF0CEA2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48" name="AutoShape 1" descr="Vista previa de toda la pantalla">
          <a:extLst>
            <a:ext uri="{FF2B5EF4-FFF2-40B4-BE49-F238E27FC236}">
              <a16:creationId xmlns:a16="http://schemas.microsoft.com/office/drawing/2014/main" id="{A1E08D7F-C68A-4208-B091-7DD12E4049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49" name="AutoShape 1" descr="Vista previa de toda la pantalla">
          <a:extLst>
            <a:ext uri="{FF2B5EF4-FFF2-40B4-BE49-F238E27FC236}">
              <a16:creationId xmlns:a16="http://schemas.microsoft.com/office/drawing/2014/main" id="{D9F30221-EC64-4F7F-82D0-C19DF3452F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50" name="AutoShape 1" descr="Vista previa de toda la pantalla">
          <a:extLst>
            <a:ext uri="{FF2B5EF4-FFF2-40B4-BE49-F238E27FC236}">
              <a16:creationId xmlns:a16="http://schemas.microsoft.com/office/drawing/2014/main" id="{BFF83D2F-5915-4941-9922-BEE25BC07D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51" name="AutoShape 1" descr="Vista previa de toda la pantalla">
          <a:extLst>
            <a:ext uri="{FF2B5EF4-FFF2-40B4-BE49-F238E27FC236}">
              <a16:creationId xmlns:a16="http://schemas.microsoft.com/office/drawing/2014/main" id="{98819AF4-79E9-4F87-896B-CFE20532DA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52" name="AutoShape 1" descr="Vista previa de toda la pantalla">
          <a:extLst>
            <a:ext uri="{FF2B5EF4-FFF2-40B4-BE49-F238E27FC236}">
              <a16:creationId xmlns:a16="http://schemas.microsoft.com/office/drawing/2014/main" id="{4A593A85-F7FF-4A53-9224-C12E81D1F0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53" name="AutoShape 1" descr="Vista previa de toda la pantalla">
          <a:extLst>
            <a:ext uri="{FF2B5EF4-FFF2-40B4-BE49-F238E27FC236}">
              <a16:creationId xmlns:a16="http://schemas.microsoft.com/office/drawing/2014/main" id="{38850EE4-6B17-4067-B91B-1328BD6F015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54" name="AutoShape 1" descr="Vista previa de toda la pantalla">
          <a:extLst>
            <a:ext uri="{FF2B5EF4-FFF2-40B4-BE49-F238E27FC236}">
              <a16:creationId xmlns:a16="http://schemas.microsoft.com/office/drawing/2014/main" id="{4DD0C8C8-2D05-4D20-8306-3B9FAC3575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55" name="AutoShape 1" descr="Vista previa de toda la pantalla">
          <a:extLst>
            <a:ext uri="{FF2B5EF4-FFF2-40B4-BE49-F238E27FC236}">
              <a16:creationId xmlns:a16="http://schemas.microsoft.com/office/drawing/2014/main" id="{F011FE03-8DF7-4FA1-B421-F8B348C929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56" name="AutoShape 1" descr="Vista previa de toda la pantalla">
          <a:extLst>
            <a:ext uri="{FF2B5EF4-FFF2-40B4-BE49-F238E27FC236}">
              <a16:creationId xmlns:a16="http://schemas.microsoft.com/office/drawing/2014/main" id="{5CBB6C6A-1B43-4DAD-AD1B-FDFE878B0F8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57" name="AutoShape 1" descr="Vista previa de toda la pantalla">
          <a:extLst>
            <a:ext uri="{FF2B5EF4-FFF2-40B4-BE49-F238E27FC236}">
              <a16:creationId xmlns:a16="http://schemas.microsoft.com/office/drawing/2014/main" id="{68C40528-DF67-4862-B337-3214180B3D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58" name="AutoShape 1" descr="Vista previa de toda la pantalla">
          <a:extLst>
            <a:ext uri="{FF2B5EF4-FFF2-40B4-BE49-F238E27FC236}">
              <a16:creationId xmlns:a16="http://schemas.microsoft.com/office/drawing/2014/main" id="{009494D5-537C-4419-A2E1-2AA8610B33E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59" name="AutoShape 1" descr="Vista previa de toda la pantalla">
          <a:extLst>
            <a:ext uri="{FF2B5EF4-FFF2-40B4-BE49-F238E27FC236}">
              <a16:creationId xmlns:a16="http://schemas.microsoft.com/office/drawing/2014/main" id="{280BACD9-3FB1-4ECC-A221-975C946BC9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60" name="AutoShape 1" descr="Vista previa de toda la pantalla">
          <a:extLst>
            <a:ext uri="{FF2B5EF4-FFF2-40B4-BE49-F238E27FC236}">
              <a16:creationId xmlns:a16="http://schemas.microsoft.com/office/drawing/2014/main" id="{C0F05680-97AA-4508-B76F-5E35CF7EE2D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61" name="AutoShape 1" descr="Vista previa de toda la pantalla">
          <a:extLst>
            <a:ext uri="{FF2B5EF4-FFF2-40B4-BE49-F238E27FC236}">
              <a16:creationId xmlns:a16="http://schemas.microsoft.com/office/drawing/2014/main" id="{EC722934-62D8-41F9-A5C0-8FC03C44673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62" name="AutoShape 1" descr="Vista previa de toda la pantalla">
          <a:extLst>
            <a:ext uri="{FF2B5EF4-FFF2-40B4-BE49-F238E27FC236}">
              <a16:creationId xmlns:a16="http://schemas.microsoft.com/office/drawing/2014/main" id="{9CBFC538-6FD9-4C27-B472-7B3FA239275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63" name="AutoShape 1" descr="Vista previa de toda la pantalla">
          <a:extLst>
            <a:ext uri="{FF2B5EF4-FFF2-40B4-BE49-F238E27FC236}">
              <a16:creationId xmlns:a16="http://schemas.microsoft.com/office/drawing/2014/main" id="{08537FC0-EBAD-4E31-8EF4-585C453484B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64" name="AutoShape 1" descr="Vista previa de toda la pantalla">
          <a:extLst>
            <a:ext uri="{FF2B5EF4-FFF2-40B4-BE49-F238E27FC236}">
              <a16:creationId xmlns:a16="http://schemas.microsoft.com/office/drawing/2014/main" id="{1FEC974E-70C9-4AF5-96CD-419E5A80AA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65" name="AutoShape 1" descr="Vista previa de toda la pantalla">
          <a:extLst>
            <a:ext uri="{FF2B5EF4-FFF2-40B4-BE49-F238E27FC236}">
              <a16:creationId xmlns:a16="http://schemas.microsoft.com/office/drawing/2014/main" id="{99BDA5F6-3A0D-4927-9B06-62F7611377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66" name="AutoShape 1" descr="Vista previa de toda la pantalla">
          <a:extLst>
            <a:ext uri="{FF2B5EF4-FFF2-40B4-BE49-F238E27FC236}">
              <a16:creationId xmlns:a16="http://schemas.microsoft.com/office/drawing/2014/main" id="{2D8B8858-DE15-4BAD-8036-7AD65C9303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67" name="AutoShape 1" descr="Vista previa de toda la pantalla">
          <a:extLst>
            <a:ext uri="{FF2B5EF4-FFF2-40B4-BE49-F238E27FC236}">
              <a16:creationId xmlns:a16="http://schemas.microsoft.com/office/drawing/2014/main" id="{2FB45356-BF4F-4C02-8580-1C2804E23D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68" name="AutoShape 1" descr="Vista previa de toda la pantalla">
          <a:extLst>
            <a:ext uri="{FF2B5EF4-FFF2-40B4-BE49-F238E27FC236}">
              <a16:creationId xmlns:a16="http://schemas.microsoft.com/office/drawing/2014/main" id="{EE16D631-EA50-47C3-97EC-EA6F12F63A6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69" name="AutoShape 1" descr="Vista previa de toda la pantalla">
          <a:extLst>
            <a:ext uri="{FF2B5EF4-FFF2-40B4-BE49-F238E27FC236}">
              <a16:creationId xmlns:a16="http://schemas.microsoft.com/office/drawing/2014/main" id="{0E2A0709-3B5B-4995-BD9D-B3CBF5FDD00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0" name="AutoShape 1" descr="Vista previa de toda la pantalla">
          <a:extLst>
            <a:ext uri="{FF2B5EF4-FFF2-40B4-BE49-F238E27FC236}">
              <a16:creationId xmlns:a16="http://schemas.microsoft.com/office/drawing/2014/main" id="{B350BAF8-E763-4B39-91EE-16189FFB37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1" name="AutoShape 1" descr="Vista previa de toda la pantalla">
          <a:extLst>
            <a:ext uri="{FF2B5EF4-FFF2-40B4-BE49-F238E27FC236}">
              <a16:creationId xmlns:a16="http://schemas.microsoft.com/office/drawing/2014/main" id="{BAA8EF9C-1AC3-4697-A803-91CCE9D86C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2" name="AutoShape 1" descr="Vista previa de toda la pantalla">
          <a:extLst>
            <a:ext uri="{FF2B5EF4-FFF2-40B4-BE49-F238E27FC236}">
              <a16:creationId xmlns:a16="http://schemas.microsoft.com/office/drawing/2014/main" id="{2EA593F0-FB30-4E4B-BACE-00ABBEFDD2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3" name="AutoShape 1" descr="Vista previa de toda la pantalla">
          <a:extLst>
            <a:ext uri="{FF2B5EF4-FFF2-40B4-BE49-F238E27FC236}">
              <a16:creationId xmlns:a16="http://schemas.microsoft.com/office/drawing/2014/main" id="{9DC344B5-F2F7-4AD9-A96B-C876234CA2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4" name="AutoShape 1" descr="Vista previa de toda la pantalla">
          <a:extLst>
            <a:ext uri="{FF2B5EF4-FFF2-40B4-BE49-F238E27FC236}">
              <a16:creationId xmlns:a16="http://schemas.microsoft.com/office/drawing/2014/main" id="{A211F993-B0FB-497C-B62C-5AC64DF5C9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5" name="AutoShape 1" descr="Vista previa de toda la pantalla">
          <a:extLst>
            <a:ext uri="{FF2B5EF4-FFF2-40B4-BE49-F238E27FC236}">
              <a16:creationId xmlns:a16="http://schemas.microsoft.com/office/drawing/2014/main" id="{5B551939-DD09-446A-B351-296F4D628C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6" name="AutoShape 1" descr="Vista previa de toda la pantalla">
          <a:extLst>
            <a:ext uri="{FF2B5EF4-FFF2-40B4-BE49-F238E27FC236}">
              <a16:creationId xmlns:a16="http://schemas.microsoft.com/office/drawing/2014/main" id="{00065794-1308-4141-9054-9B7FAC0313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7" name="AutoShape 1" descr="Vista previa de toda la pantalla">
          <a:extLst>
            <a:ext uri="{FF2B5EF4-FFF2-40B4-BE49-F238E27FC236}">
              <a16:creationId xmlns:a16="http://schemas.microsoft.com/office/drawing/2014/main" id="{C1E625A8-9E7A-4D7B-B177-D6C410F331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8" name="AutoShape 1" descr="Vista previa de toda la pantalla">
          <a:extLst>
            <a:ext uri="{FF2B5EF4-FFF2-40B4-BE49-F238E27FC236}">
              <a16:creationId xmlns:a16="http://schemas.microsoft.com/office/drawing/2014/main" id="{8FAAD569-9BA2-4ADD-AC46-51CFD4BCFC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79" name="AutoShape 1" descr="Vista previa de toda la pantalla">
          <a:extLst>
            <a:ext uri="{FF2B5EF4-FFF2-40B4-BE49-F238E27FC236}">
              <a16:creationId xmlns:a16="http://schemas.microsoft.com/office/drawing/2014/main" id="{CC5D348F-435E-4364-A7C3-C640B109856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0" name="AutoShape 1" descr="Vista previa de toda la pantalla">
          <a:extLst>
            <a:ext uri="{FF2B5EF4-FFF2-40B4-BE49-F238E27FC236}">
              <a16:creationId xmlns:a16="http://schemas.microsoft.com/office/drawing/2014/main" id="{CBC1B536-5FEB-485C-BE79-11827344E9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1" name="AutoShape 1" descr="Vista previa de toda la pantalla">
          <a:extLst>
            <a:ext uri="{FF2B5EF4-FFF2-40B4-BE49-F238E27FC236}">
              <a16:creationId xmlns:a16="http://schemas.microsoft.com/office/drawing/2014/main" id="{94AE2131-1A35-41EC-B39A-8434C1CF622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2" name="AutoShape 1" descr="Vista previa de toda la pantalla">
          <a:extLst>
            <a:ext uri="{FF2B5EF4-FFF2-40B4-BE49-F238E27FC236}">
              <a16:creationId xmlns:a16="http://schemas.microsoft.com/office/drawing/2014/main" id="{2BBA786A-58C8-4EAC-9B13-FB9CFBB5466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3" name="AutoShape 1" descr="Vista previa de toda la pantalla">
          <a:extLst>
            <a:ext uri="{FF2B5EF4-FFF2-40B4-BE49-F238E27FC236}">
              <a16:creationId xmlns:a16="http://schemas.microsoft.com/office/drawing/2014/main" id="{C8D9E078-D7AC-4428-86CC-F35CC738A2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4" name="AutoShape 1" descr="Vista previa de toda la pantalla">
          <a:extLst>
            <a:ext uri="{FF2B5EF4-FFF2-40B4-BE49-F238E27FC236}">
              <a16:creationId xmlns:a16="http://schemas.microsoft.com/office/drawing/2014/main" id="{D63C35DE-E552-48E9-B398-553DE7B17D8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5" name="AutoShape 1" descr="Vista previa de toda la pantalla">
          <a:extLst>
            <a:ext uri="{FF2B5EF4-FFF2-40B4-BE49-F238E27FC236}">
              <a16:creationId xmlns:a16="http://schemas.microsoft.com/office/drawing/2014/main" id="{6DF100FF-0CC2-40E9-8BA2-E30E66640E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6" name="AutoShape 1" descr="Vista previa de toda la pantalla">
          <a:extLst>
            <a:ext uri="{FF2B5EF4-FFF2-40B4-BE49-F238E27FC236}">
              <a16:creationId xmlns:a16="http://schemas.microsoft.com/office/drawing/2014/main" id="{77FEE9D9-ED9A-4447-BF80-6B3A6D7347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7" name="AutoShape 1" descr="Vista previa de toda la pantalla">
          <a:extLst>
            <a:ext uri="{FF2B5EF4-FFF2-40B4-BE49-F238E27FC236}">
              <a16:creationId xmlns:a16="http://schemas.microsoft.com/office/drawing/2014/main" id="{2233CA1E-DDE9-408E-AE3A-FE1E9A6671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8" name="AutoShape 1" descr="Vista previa de toda la pantalla">
          <a:extLst>
            <a:ext uri="{FF2B5EF4-FFF2-40B4-BE49-F238E27FC236}">
              <a16:creationId xmlns:a16="http://schemas.microsoft.com/office/drawing/2014/main" id="{12A78DA9-EF85-4EE5-9D0A-0ED6EDFC8AF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89" name="AutoShape 1" descr="Vista previa de toda la pantalla">
          <a:extLst>
            <a:ext uri="{FF2B5EF4-FFF2-40B4-BE49-F238E27FC236}">
              <a16:creationId xmlns:a16="http://schemas.microsoft.com/office/drawing/2014/main" id="{42C2B278-E9EA-493C-9FB7-4F970D50614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0" name="AutoShape 1" descr="Vista previa de toda la pantalla">
          <a:extLst>
            <a:ext uri="{FF2B5EF4-FFF2-40B4-BE49-F238E27FC236}">
              <a16:creationId xmlns:a16="http://schemas.microsoft.com/office/drawing/2014/main" id="{20607190-B71A-448A-9A6E-1E0BA1CB15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1" name="AutoShape 1" descr="Vista previa de toda la pantalla">
          <a:extLst>
            <a:ext uri="{FF2B5EF4-FFF2-40B4-BE49-F238E27FC236}">
              <a16:creationId xmlns:a16="http://schemas.microsoft.com/office/drawing/2014/main" id="{46D1E5DC-06B6-4F93-AB08-74F625B14B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2" name="AutoShape 1" descr="Vista previa de toda la pantalla">
          <a:extLst>
            <a:ext uri="{FF2B5EF4-FFF2-40B4-BE49-F238E27FC236}">
              <a16:creationId xmlns:a16="http://schemas.microsoft.com/office/drawing/2014/main" id="{4185AA08-5DD3-46F1-AED8-FEAA3B0324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3" name="AutoShape 1" descr="Vista previa de toda la pantalla">
          <a:extLst>
            <a:ext uri="{FF2B5EF4-FFF2-40B4-BE49-F238E27FC236}">
              <a16:creationId xmlns:a16="http://schemas.microsoft.com/office/drawing/2014/main" id="{3B579804-BF49-4BD1-8D69-5C54675291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4" name="AutoShape 1" descr="Vista previa de toda la pantalla">
          <a:extLst>
            <a:ext uri="{FF2B5EF4-FFF2-40B4-BE49-F238E27FC236}">
              <a16:creationId xmlns:a16="http://schemas.microsoft.com/office/drawing/2014/main" id="{70A72077-0FA9-453C-9C4E-633E205190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5" name="AutoShape 1" descr="Vista previa de toda la pantalla">
          <a:extLst>
            <a:ext uri="{FF2B5EF4-FFF2-40B4-BE49-F238E27FC236}">
              <a16:creationId xmlns:a16="http://schemas.microsoft.com/office/drawing/2014/main" id="{C71678B0-A7B0-4B98-BF4F-9CDFFDE6B93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6" name="AutoShape 1" descr="Vista previa de toda la pantalla">
          <a:extLst>
            <a:ext uri="{FF2B5EF4-FFF2-40B4-BE49-F238E27FC236}">
              <a16:creationId xmlns:a16="http://schemas.microsoft.com/office/drawing/2014/main" id="{05AA58EB-6AA6-45C5-B443-2949B9BBA5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7" name="AutoShape 1" descr="Vista previa de toda la pantalla">
          <a:extLst>
            <a:ext uri="{FF2B5EF4-FFF2-40B4-BE49-F238E27FC236}">
              <a16:creationId xmlns:a16="http://schemas.microsoft.com/office/drawing/2014/main" id="{CA27BE52-1222-429B-81A1-668D575AB1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8" name="AutoShape 1" descr="Vista previa de toda la pantalla">
          <a:extLst>
            <a:ext uri="{FF2B5EF4-FFF2-40B4-BE49-F238E27FC236}">
              <a16:creationId xmlns:a16="http://schemas.microsoft.com/office/drawing/2014/main" id="{4752ED8F-BC77-4F3A-9075-23C3260D0A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4999" name="AutoShape 1" descr="Vista previa de toda la pantalla">
          <a:extLst>
            <a:ext uri="{FF2B5EF4-FFF2-40B4-BE49-F238E27FC236}">
              <a16:creationId xmlns:a16="http://schemas.microsoft.com/office/drawing/2014/main" id="{52108ADC-1756-4208-AB41-522CD96A0A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0" name="AutoShape 1" descr="Vista previa de toda la pantalla">
          <a:extLst>
            <a:ext uri="{FF2B5EF4-FFF2-40B4-BE49-F238E27FC236}">
              <a16:creationId xmlns:a16="http://schemas.microsoft.com/office/drawing/2014/main" id="{5D800690-EB8D-4227-9772-DA0E37B3BA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1" name="AutoShape 1" descr="Vista previa de toda la pantalla">
          <a:extLst>
            <a:ext uri="{FF2B5EF4-FFF2-40B4-BE49-F238E27FC236}">
              <a16:creationId xmlns:a16="http://schemas.microsoft.com/office/drawing/2014/main" id="{A3BF43AF-3F8E-43AA-8F47-4FE9641F9D9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2" name="AutoShape 1" descr="Vista previa de toda la pantalla">
          <a:extLst>
            <a:ext uri="{FF2B5EF4-FFF2-40B4-BE49-F238E27FC236}">
              <a16:creationId xmlns:a16="http://schemas.microsoft.com/office/drawing/2014/main" id="{E242F8F6-419D-4988-A28C-F5E9C93D58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3" name="AutoShape 1" descr="Vista previa de toda la pantalla">
          <a:extLst>
            <a:ext uri="{FF2B5EF4-FFF2-40B4-BE49-F238E27FC236}">
              <a16:creationId xmlns:a16="http://schemas.microsoft.com/office/drawing/2014/main" id="{21130CC6-8DDF-4291-B902-F2A1F4FC62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4" name="AutoShape 1" descr="Vista previa de toda la pantalla">
          <a:extLst>
            <a:ext uri="{FF2B5EF4-FFF2-40B4-BE49-F238E27FC236}">
              <a16:creationId xmlns:a16="http://schemas.microsoft.com/office/drawing/2014/main" id="{6F9F2FFF-3D35-4B7C-B8ED-72D205AAC5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5" name="AutoShape 1" descr="Vista previa de toda la pantalla">
          <a:extLst>
            <a:ext uri="{FF2B5EF4-FFF2-40B4-BE49-F238E27FC236}">
              <a16:creationId xmlns:a16="http://schemas.microsoft.com/office/drawing/2014/main" id="{E1FA86D1-4480-48D3-9E6A-E664BEC4B1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6" name="AutoShape 1" descr="Vista previa de toda la pantalla">
          <a:extLst>
            <a:ext uri="{FF2B5EF4-FFF2-40B4-BE49-F238E27FC236}">
              <a16:creationId xmlns:a16="http://schemas.microsoft.com/office/drawing/2014/main" id="{41DE438C-7AB0-4EFB-88F1-52AE231FFAC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7" name="AutoShape 1" descr="Vista previa de toda la pantalla">
          <a:extLst>
            <a:ext uri="{FF2B5EF4-FFF2-40B4-BE49-F238E27FC236}">
              <a16:creationId xmlns:a16="http://schemas.microsoft.com/office/drawing/2014/main" id="{877F8AC9-9C27-40E6-9BA5-6F8E856D84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8" name="AutoShape 1" descr="Vista previa de toda la pantalla">
          <a:extLst>
            <a:ext uri="{FF2B5EF4-FFF2-40B4-BE49-F238E27FC236}">
              <a16:creationId xmlns:a16="http://schemas.microsoft.com/office/drawing/2014/main" id="{862A4C29-85E4-4AD9-93B6-F54ADBD0B78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09" name="AutoShape 1" descr="Vista previa de toda la pantalla">
          <a:extLst>
            <a:ext uri="{FF2B5EF4-FFF2-40B4-BE49-F238E27FC236}">
              <a16:creationId xmlns:a16="http://schemas.microsoft.com/office/drawing/2014/main" id="{CE0CC047-1A2C-4E7F-A31B-66317D5BA0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0" name="AutoShape 1" descr="Vista previa de toda la pantalla">
          <a:extLst>
            <a:ext uri="{FF2B5EF4-FFF2-40B4-BE49-F238E27FC236}">
              <a16:creationId xmlns:a16="http://schemas.microsoft.com/office/drawing/2014/main" id="{52907674-C0F8-4006-A710-D441D35FB8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1" name="AutoShape 1" descr="Vista previa de toda la pantalla">
          <a:extLst>
            <a:ext uri="{FF2B5EF4-FFF2-40B4-BE49-F238E27FC236}">
              <a16:creationId xmlns:a16="http://schemas.microsoft.com/office/drawing/2014/main" id="{6DECB7DF-781B-4BBF-AAF5-22B61372C05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2" name="AutoShape 1" descr="Vista previa de toda la pantalla">
          <a:extLst>
            <a:ext uri="{FF2B5EF4-FFF2-40B4-BE49-F238E27FC236}">
              <a16:creationId xmlns:a16="http://schemas.microsoft.com/office/drawing/2014/main" id="{01DEEA5D-395E-4CB0-9DCC-C72672C7B1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3" name="AutoShape 1" descr="Vista previa de toda la pantalla">
          <a:extLst>
            <a:ext uri="{FF2B5EF4-FFF2-40B4-BE49-F238E27FC236}">
              <a16:creationId xmlns:a16="http://schemas.microsoft.com/office/drawing/2014/main" id="{5953415E-81D9-4A95-86CE-31882FA7A57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4" name="AutoShape 1" descr="Vista previa de toda la pantalla">
          <a:extLst>
            <a:ext uri="{FF2B5EF4-FFF2-40B4-BE49-F238E27FC236}">
              <a16:creationId xmlns:a16="http://schemas.microsoft.com/office/drawing/2014/main" id="{33EEE6B8-B19D-44B8-ABDC-3A82393B63A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5" name="AutoShape 1" descr="Vista previa de toda la pantalla">
          <a:extLst>
            <a:ext uri="{FF2B5EF4-FFF2-40B4-BE49-F238E27FC236}">
              <a16:creationId xmlns:a16="http://schemas.microsoft.com/office/drawing/2014/main" id="{183BBE3A-5830-449C-ABFF-B99095E0A0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6" name="AutoShape 1" descr="Vista previa de toda la pantalla">
          <a:extLst>
            <a:ext uri="{FF2B5EF4-FFF2-40B4-BE49-F238E27FC236}">
              <a16:creationId xmlns:a16="http://schemas.microsoft.com/office/drawing/2014/main" id="{AC5E0207-1804-491A-94F8-0FA3942508D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7" name="AutoShape 1" descr="Vista previa de toda la pantalla">
          <a:extLst>
            <a:ext uri="{FF2B5EF4-FFF2-40B4-BE49-F238E27FC236}">
              <a16:creationId xmlns:a16="http://schemas.microsoft.com/office/drawing/2014/main" id="{352B83D0-7B99-476A-A265-FCCA4F0B92A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8" name="AutoShape 1" descr="Vista previa de toda la pantalla">
          <a:extLst>
            <a:ext uri="{FF2B5EF4-FFF2-40B4-BE49-F238E27FC236}">
              <a16:creationId xmlns:a16="http://schemas.microsoft.com/office/drawing/2014/main" id="{F63EE6E7-D3A6-4519-AF57-8839BCEA72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19" name="AutoShape 1" descr="Vista previa de toda la pantalla">
          <a:extLst>
            <a:ext uri="{FF2B5EF4-FFF2-40B4-BE49-F238E27FC236}">
              <a16:creationId xmlns:a16="http://schemas.microsoft.com/office/drawing/2014/main" id="{4DBED3EF-D895-4526-9366-A748863D2FE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0" name="AutoShape 1" descr="Vista previa de toda la pantalla">
          <a:extLst>
            <a:ext uri="{FF2B5EF4-FFF2-40B4-BE49-F238E27FC236}">
              <a16:creationId xmlns:a16="http://schemas.microsoft.com/office/drawing/2014/main" id="{1E0CB71D-5193-4F37-A2CC-FC1D1C20E5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1" name="AutoShape 1" descr="Vista previa de toda la pantalla">
          <a:extLst>
            <a:ext uri="{FF2B5EF4-FFF2-40B4-BE49-F238E27FC236}">
              <a16:creationId xmlns:a16="http://schemas.microsoft.com/office/drawing/2014/main" id="{553F2D84-BA96-421F-8C53-06BEC441314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2" name="AutoShape 1" descr="Vista previa de toda la pantalla">
          <a:extLst>
            <a:ext uri="{FF2B5EF4-FFF2-40B4-BE49-F238E27FC236}">
              <a16:creationId xmlns:a16="http://schemas.microsoft.com/office/drawing/2014/main" id="{F5B52CFA-5F64-4B03-BE4F-5C69C526A8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3" name="AutoShape 1" descr="Vista previa de toda la pantalla">
          <a:extLst>
            <a:ext uri="{FF2B5EF4-FFF2-40B4-BE49-F238E27FC236}">
              <a16:creationId xmlns:a16="http://schemas.microsoft.com/office/drawing/2014/main" id="{A33BD9DF-91B7-4D8A-BB8F-D1E899D1ECA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4" name="AutoShape 1" descr="Vista previa de toda la pantalla">
          <a:extLst>
            <a:ext uri="{FF2B5EF4-FFF2-40B4-BE49-F238E27FC236}">
              <a16:creationId xmlns:a16="http://schemas.microsoft.com/office/drawing/2014/main" id="{66413BD0-473B-40FB-A854-8F6DCAC0B63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5" name="AutoShape 1" descr="Vista previa de toda la pantalla">
          <a:extLst>
            <a:ext uri="{FF2B5EF4-FFF2-40B4-BE49-F238E27FC236}">
              <a16:creationId xmlns:a16="http://schemas.microsoft.com/office/drawing/2014/main" id="{7D288DA0-17E4-4E6E-A94E-8850168B0F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6" name="AutoShape 1" descr="Vista previa de toda la pantalla">
          <a:extLst>
            <a:ext uri="{FF2B5EF4-FFF2-40B4-BE49-F238E27FC236}">
              <a16:creationId xmlns:a16="http://schemas.microsoft.com/office/drawing/2014/main" id="{6EBD8A8D-F0A4-4442-B9DC-4EE4C34215D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7" name="AutoShape 1" descr="Vista previa de toda la pantalla">
          <a:extLst>
            <a:ext uri="{FF2B5EF4-FFF2-40B4-BE49-F238E27FC236}">
              <a16:creationId xmlns:a16="http://schemas.microsoft.com/office/drawing/2014/main" id="{2B662F57-174E-43E3-B02F-BE4F1BEB8C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8" name="AutoShape 1" descr="Vista previa de toda la pantalla">
          <a:extLst>
            <a:ext uri="{FF2B5EF4-FFF2-40B4-BE49-F238E27FC236}">
              <a16:creationId xmlns:a16="http://schemas.microsoft.com/office/drawing/2014/main" id="{D68CE1FA-06A7-40D6-8E25-E5305F1463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29" name="AutoShape 1" descr="Vista previa de toda la pantalla">
          <a:extLst>
            <a:ext uri="{FF2B5EF4-FFF2-40B4-BE49-F238E27FC236}">
              <a16:creationId xmlns:a16="http://schemas.microsoft.com/office/drawing/2014/main" id="{FD11A376-9D22-4FFC-9774-1C1E41F1BC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0" name="AutoShape 1" descr="Vista previa de toda la pantalla">
          <a:extLst>
            <a:ext uri="{FF2B5EF4-FFF2-40B4-BE49-F238E27FC236}">
              <a16:creationId xmlns:a16="http://schemas.microsoft.com/office/drawing/2014/main" id="{16DD71F5-D746-4A40-8097-D834983FA6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1" name="AutoShape 1" descr="Vista previa de toda la pantalla">
          <a:extLst>
            <a:ext uri="{FF2B5EF4-FFF2-40B4-BE49-F238E27FC236}">
              <a16:creationId xmlns:a16="http://schemas.microsoft.com/office/drawing/2014/main" id="{0F7E1D36-806C-4BC3-ABBA-6A139FC053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2" name="AutoShape 1" descr="Vista previa de toda la pantalla">
          <a:extLst>
            <a:ext uri="{FF2B5EF4-FFF2-40B4-BE49-F238E27FC236}">
              <a16:creationId xmlns:a16="http://schemas.microsoft.com/office/drawing/2014/main" id="{2ABF5872-9C22-4739-A07A-9A0EF851C0A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3" name="AutoShape 1" descr="Vista previa de toda la pantalla">
          <a:extLst>
            <a:ext uri="{FF2B5EF4-FFF2-40B4-BE49-F238E27FC236}">
              <a16:creationId xmlns:a16="http://schemas.microsoft.com/office/drawing/2014/main" id="{BAE0FF13-BC5B-4182-8B1D-43908F04DD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4" name="AutoShape 1" descr="Vista previa de toda la pantalla">
          <a:extLst>
            <a:ext uri="{FF2B5EF4-FFF2-40B4-BE49-F238E27FC236}">
              <a16:creationId xmlns:a16="http://schemas.microsoft.com/office/drawing/2014/main" id="{5BFDEC0A-25E0-4A87-B75F-894CFCC2637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5" name="AutoShape 1" descr="Vista previa de toda la pantalla">
          <a:extLst>
            <a:ext uri="{FF2B5EF4-FFF2-40B4-BE49-F238E27FC236}">
              <a16:creationId xmlns:a16="http://schemas.microsoft.com/office/drawing/2014/main" id="{58712F37-D74A-4ABF-B78B-DEEAE31AA1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6" name="AutoShape 1" descr="Vista previa de toda la pantalla">
          <a:extLst>
            <a:ext uri="{FF2B5EF4-FFF2-40B4-BE49-F238E27FC236}">
              <a16:creationId xmlns:a16="http://schemas.microsoft.com/office/drawing/2014/main" id="{EAF77725-EF59-4714-90D5-A42BF7AAFB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7" name="AutoShape 1" descr="Vista previa de toda la pantalla">
          <a:extLst>
            <a:ext uri="{FF2B5EF4-FFF2-40B4-BE49-F238E27FC236}">
              <a16:creationId xmlns:a16="http://schemas.microsoft.com/office/drawing/2014/main" id="{77A5F473-B028-4706-B8EF-9B9C1DB162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8" name="AutoShape 1" descr="Vista previa de toda la pantalla">
          <a:extLst>
            <a:ext uri="{FF2B5EF4-FFF2-40B4-BE49-F238E27FC236}">
              <a16:creationId xmlns:a16="http://schemas.microsoft.com/office/drawing/2014/main" id="{CB55BD46-AD23-4A3C-91DF-8B806E85A8C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39" name="AutoShape 1" descr="Vista previa de toda la pantalla">
          <a:extLst>
            <a:ext uri="{FF2B5EF4-FFF2-40B4-BE49-F238E27FC236}">
              <a16:creationId xmlns:a16="http://schemas.microsoft.com/office/drawing/2014/main" id="{03A7F41F-2562-4592-BFBE-B19D1AF2021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0" name="AutoShape 1" descr="Vista previa de toda la pantalla">
          <a:extLst>
            <a:ext uri="{FF2B5EF4-FFF2-40B4-BE49-F238E27FC236}">
              <a16:creationId xmlns:a16="http://schemas.microsoft.com/office/drawing/2014/main" id="{BAFB84F3-2B11-410C-9E7A-4985699883E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1" name="AutoShape 1" descr="Vista previa de toda la pantalla">
          <a:extLst>
            <a:ext uri="{FF2B5EF4-FFF2-40B4-BE49-F238E27FC236}">
              <a16:creationId xmlns:a16="http://schemas.microsoft.com/office/drawing/2014/main" id="{38EEBE9F-ECDF-49BA-82F5-EDADB226EA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2" name="AutoShape 1" descr="Vista previa de toda la pantalla">
          <a:extLst>
            <a:ext uri="{FF2B5EF4-FFF2-40B4-BE49-F238E27FC236}">
              <a16:creationId xmlns:a16="http://schemas.microsoft.com/office/drawing/2014/main" id="{5E8419A2-4E30-44B7-B9AD-108B18FA162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3" name="AutoShape 1" descr="Vista previa de toda la pantalla">
          <a:extLst>
            <a:ext uri="{FF2B5EF4-FFF2-40B4-BE49-F238E27FC236}">
              <a16:creationId xmlns:a16="http://schemas.microsoft.com/office/drawing/2014/main" id="{012A9A63-AFBA-4F53-A5B2-BF2B904E6C9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4" name="AutoShape 1" descr="Vista previa de toda la pantalla">
          <a:extLst>
            <a:ext uri="{FF2B5EF4-FFF2-40B4-BE49-F238E27FC236}">
              <a16:creationId xmlns:a16="http://schemas.microsoft.com/office/drawing/2014/main" id="{F894861F-8FC9-46E9-8814-2494F41C70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5" name="AutoShape 1" descr="Vista previa de toda la pantalla">
          <a:extLst>
            <a:ext uri="{FF2B5EF4-FFF2-40B4-BE49-F238E27FC236}">
              <a16:creationId xmlns:a16="http://schemas.microsoft.com/office/drawing/2014/main" id="{B4FDA1C3-77E0-4AFB-9A3B-8D90998C68C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6" name="AutoShape 1" descr="Vista previa de toda la pantalla">
          <a:extLst>
            <a:ext uri="{FF2B5EF4-FFF2-40B4-BE49-F238E27FC236}">
              <a16:creationId xmlns:a16="http://schemas.microsoft.com/office/drawing/2014/main" id="{AED981AA-0FDC-454A-B2FC-4A17E27990E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7" name="AutoShape 1" descr="Vista previa de toda la pantalla">
          <a:extLst>
            <a:ext uri="{FF2B5EF4-FFF2-40B4-BE49-F238E27FC236}">
              <a16:creationId xmlns:a16="http://schemas.microsoft.com/office/drawing/2014/main" id="{ADFC273F-7DE2-42B0-8F56-61180084A1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8" name="AutoShape 1" descr="Vista previa de toda la pantalla">
          <a:extLst>
            <a:ext uri="{FF2B5EF4-FFF2-40B4-BE49-F238E27FC236}">
              <a16:creationId xmlns:a16="http://schemas.microsoft.com/office/drawing/2014/main" id="{EBAB9137-B903-4F0A-96FA-BD7EC6352EF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49" name="AutoShape 1" descr="Vista previa de toda la pantalla">
          <a:extLst>
            <a:ext uri="{FF2B5EF4-FFF2-40B4-BE49-F238E27FC236}">
              <a16:creationId xmlns:a16="http://schemas.microsoft.com/office/drawing/2014/main" id="{3BEC9AC2-AA59-4387-8EB3-FE47C7A39A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0" name="AutoShape 1" descr="Vista previa de toda la pantalla">
          <a:extLst>
            <a:ext uri="{FF2B5EF4-FFF2-40B4-BE49-F238E27FC236}">
              <a16:creationId xmlns:a16="http://schemas.microsoft.com/office/drawing/2014/main" id="{00FDA3CE-F037-4027-8549-9C416B7FD33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1" name="AutoShape 1" descr="Vista previa de toda la pantalla">
          <a:extLst>
            <a:ext uri="{FF2B5EF4-FFF2-40B4-BE49-F238E27FC236}">
              <a16:creationId xmlns:a16="http://schemas.microsoft.com/office/drawing/2014/main" id="{ECA8F99B-2ED2-4DB8-8056-4C6490F2F7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2" name="AutoShape 1" descr="Vista previa de toda la pantalla">
          <a:extLst>
            <a:ext uri="{FF2B5EF4-FFF2-40B4-BE49-F238E27FC236}">
              <a16:creationId xmlns:a16="http://schemas.microsoft.com/office/drawing/2014/main" id="{7CA6A361-36E9-486C-95AD-4397A9D609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3" name="AutoShape 1" descr="Vista previa de toda la pantalla">
          <a:extLst>
            <a:ext uri="{FF2B5EF4-FFF2-40B4-BE49-F238E27FC236}">
              <a16:creationId xmlns:a16="http://schemas.microsoft.com/office/drawing/2014/main" id="{2895E0D8-CDD7-4F42-90C3-E7D220A6DC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4" name="AutoShape 1" descr="Vista previa de toda la pantalla">
          <a:extLst>
            <a:ext uri="{FF2B5EF4-FFF2-40B4-BE49-F238E27FC236}">
              <a16:creationId xmlns:a16="http://schemas.microsoft.com/office/drawing/2014/main" id="{E1A056CE-7046-48D5-B163-765681203F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5" name="AutoShape 1" descr="Vista previa de toda la pantalla">
          <a:extLst>
            <a:ext uri="{FF2B5EF4-FFF2-40B4-BE49-F238E27FC236}">
              <a16:creationId xmlns:a16="http://schemas.microsoft.com/office/drawing/2014/main" id="{C64CB8FB-82A2-4279-BDF0-5C226DFD48B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6" name="AutoShape 1" descr="Vista previa de toda la pantalla">
          <a:extLst>
            <a:ext uri="{FF2B5EF4-FFF2-40B4-BE49-F238E27FC236}">
              <a16:creationId xmlns:a16="http://schemas.microsoft.com/office/drawing/2014/main" id="{73BAA8D0-9DD3-4511-9E5F-0416751360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7" name="AutoShape 1" descr="Vista previa de toda la pantalla">
          <a:extLst>
            <a:ext uri="{FF2B5EF4-FFF2-40B4-BE49-F238E27FC236}">
              <a16:creationId xmlns:a16="http://schemas.microsoft.com/office/drawing/2014/main" id="{84839776-734C-4DEE-82EF-45D827B994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8" name="AutoShape 1" descr="Vista previa de toda la pantalla">
          <a:extLst>
            <a:ext uri="{FF2B5EF4-FFF2-40B4-BE49-F238E27FC236}">
              <a16:creationId xmlns:a16="http://schemas.microsoft.com/office/drawing/2014/main" id="{B7E4F140-CF18-48CF-AFC2-7EB597C793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59" name="AutoShape 1" descr="Vista previa de toda la pantalla">
          <a:extLst>
            <a:ext uri="{FF2B5EF4-FFF2-40B4-BE49-F238E27FC236}">
              <a16:creationId xmlns:a16="http://schemas.microsoft.com/office/drawing/2014/main" id="{6622E908-CF31-4755-9580-758473A77E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0" name="AutoShape 1" descr="Vista previa de toda la pantalla">
          <a:extLst>
            <a:ext uri="{FF2B5EF4-FFF2-40B4-BE49-F238E27FC236}">
              <a16:creationId xmlns:a16="http://schemas.microsoft.com/office/drawing/2014/main" id="{5D41D07F-A123-4D2D-9121-91B4ABCE2A7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1" name="AutoShape 1" descr="Vista previa de toda la pantalla">
          <a:extLst>
            <a:ext uri="{FF2B5EF4-FFF2-40B4-BE49-F238E27FC236}">
              <a16:creationId xmlns:a16="http://schemas.microsoft.com/office/drawing/2014/main" id="{962D40CD-F919-4412-81A9-2435C9FEDEC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2" name="AutoShape 1" descr="Vista previa de toda la pantalla">
          <a:extLst>
            <a:ext uri="{FF2B5EF4-FFF2-40B4-BE49-F238E27FC236}">
              <a16:creationId xmlns:a16="http://schemas.microsoft.com/office/drawing/2014/main" id="{4FAA2790-7A3F-44A1-9D2D-E53D83B5C4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3" name="AutoShape 1" descr="Vista previa de toda la pantalla">
          <a:extLst>
            <a:ext uri="{FF2B5EF4-FFF2-40B4-BE49-F238E27FC236}">
              <a16:creationId xmlns:a16="http://schemas.microsoft.com/office/drawing/2014/main" id="{7FBF3185-E01B-44D1-A333-5C0AC99464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4" name="AutoShape 1" descr="Vista previa de toda la pantalla">
          <a:extLst>
            <a:ext uri="{FF2B5EF4-FFF2-40B4-BE49-F238E27FC236}">
              <a16:creationId xmlns:a16="http://schemas.microsoft.com/office/drawing/2014/main" id="{EC4FF7E9-EAA1-498D-B1CC-5E73F1A352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5" name="AutoShape 1" descr="Vista previa de toda la pantalla">
          <a:extLst>
            <a:ext uri="{FF2B5EF4-FFF2-40B4-BE49-F238E27FC236}">
              <a16:creationId xmlns:a16="http://schemas.microsoft.com/office/drawing/2014/main" id="{CC1824F0-895A-451C-A5AC-0E73F2F0A0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6" name="AutoShape 1" descr="Vista previa de toda la pantalla">
          <a:extLst>
            <a:ext uri="{FF2B5EF4-FFF2-40B4-BE49-F238E27FC236}">
              <a16:creationId xmlns:a16="http://schemas.microsoft.com/office/drawing/2014/main" id="{54D86B3B-6503-4AB4-95E1-DB3829EB1BA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7" name="AutoShape 1" descr="Vista previa de toda la pantalla">
          <a:extLst>
            <a:ext uri="{FF2B5EF4-FFF2-40B4-BE49-F238E27FC236}">
              <a16:creationId xmlns:a16="http://schemas.microsoft.com/office/drawing/2014/main" id="{C07F415B-2203-4990-8B2D-3B721BBED2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8" name="AutoShape 1" descr="Vista previa de toda la pantalla">
          <a:extLst>
            <a:ext uri="{FF2B5EF4-FFF2-40B4-BE49-F238E27FC236}">
              <a16:creationId xmlns:a16="http://schemas.microsoft.com/office/drawing/2014/main" id="{3827A85F-4032-4B38-B94A-7C28FF4163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69" name="AutoShape 1" descr="Vista previa de toda la pantalla">
          <a:extLst>
            <a:ext uri="{FF2B5EF4-FFF2-40B4-BE49-F238E27FC236}">
              <a16:creationId xmlns:a16="http://schemas.microsoft.com/office/drawing/2014/main" id="{984E0D2A-ABE7-4FDB-8D2C-0C9568E77C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70" name="AutoShape 1" descr="Vista previa de toda la pantalla">
          <a:extLst>
            <a:ext uri="{FF2B5EF4-FFF2-40B4-BE49-F238E27FC236}">
              <a16:creationId xmlns:a16="http://schemas.microsoft.com/office/drawing/2014/main" id="{80F536CF-1DFD-4456-A4B3-6DDBDF0676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71" name="AutoShape 1" descr="Vista previa de toda la pantalla">
          <a:extLst>
            <a:ext uri="{FF2B5EF4-FFF2-40B4-BE49-F238E27FC236}">
              <a16:creationId xmlns:a16="http://schemas.microsoft.com/office/drawing/2014/main" id="{7911B5E0-546E-4A8F-8FAD-FBBE75ADE0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72" name="AutoShape 1" descr="Vista previa de toda la pantalla">
          <a:extLst>
            <a:ext uri="{FF2B5EF4-FFF2-40B4-BE49-F238E27FC236}">
              <a16:creationId xmlns:a16="http://schemas.microsoft.com/office/drawing/2014/main" id="{478D8830-8AB1-4E4E-9F7E-92A9FF1A05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73" name="AutoShape 1" descr="Vista previa de toda la pantalla">
          <a:extLst>
            <a:ext uri="{FF2B5EF4-FFF2-40B4-BE49-F238E27FC236}">
              <a16:creationId xmlns:a16="http://schemas.microsoft.com/office/drawing/2014/main" id="{C64F2578-D9F1-4983-B9F7-7C56406D42C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74" name="AutoShape 1" descr="Vista previa de toda la pantalla">
          <a:extLst>
            <a:ext uri="{FF2B5EF4-FFF2-40B4-BE49-F238E27FC236}">
              <a16:creationId xmlns:a16="http://schemas.microsoft.com/office/drawing/2014/main" id="{04AD1A17-687E-44F7-AEE3-4E11581AB08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75" name="AutoShape 1" descr="Vista previa de toda la pantalla">
          <a:extLst>
            <a:ext uri="{FF2B5EF4-FFF2-40B4-BE49-F238E27FC236}">
              <a16:creationId xmlns:a16="http://schemas.microsoft.com/office/drawing/2014/main" id="{4D920123-E8EC-45AD-A410-53294881FB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30726</xdr:colOff>
      <xdr:row>0</xdr:row>
      <xdr:rowOff>0</xdr:rowOff>
    </xdr:from>
    <xdr:ext cx="304800" cy="302602"/>
    <xdr:sp macro="" textlink="">
      <xdr:nvSpPr>
        <xdr:cNvPr id="15076" name="AutoShape 1" descr="Vista previa de toda la pantalla">
          <a:extLst>
            <a:ext uri="{FF2B5EF4-FFF2-40B4-BE49-F238E27FC236}">
              <a16:creationId xmlns:a16="http://schemas.microsoft.com/office/drawing/2014/main" id="{ECE6F394-56F1-4680-8747-1E0E98983288}"/>
            </a:ext>
          </a:extLst>
        </xdr:cNvPr>
        <xdr:cNvSpPr>
          <a:spLocks noChangeAspect="1" noChangeArrowheads="1"/>
        </xdr:cNvSpPr>
      </xdr:nvSpPr>
      <xdr:spPr bwMode="auto">
        <a:xfrm>
          <a:off x="5517126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77" name="AutoShape 1" descr="Vista previa de toda la pantalla">
          <a:extLst>
            <a:ext uri="{FF2B5EF4-FFF2-40B4-BE49-F238E27FC236}">
              <a16:creationId xmlns:a16="http://schemas.microsoft.com/office/drawing/2014/main" id="{B55AD44D-40AB-4382-B28C-66D38C550CD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78" name="AutoShape 1" descr="Vista previa de toda la pantalla">
          <a:extLst>
            <a:ext uri="{FF2B5EF4-FFF2-40B4-BE49-F238E27FC236}">
              <a16:creationId xmlns:a16="http://schemas.microsoft.com/office/drawing/2014/main" id="{BBFD0F5F-15B5-4061-BF5A-99D749FA7A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79" name="AutoShape 1" descr="Vista previa de toda la pantalla">
          <a:extLst>
            <a:ext uri="{FF2B5EF4-FFF2-40B4-BE49-F238E27FC236}">
              <a16:creationId xmlns:a16="http://schemas.microsoft.com/office/drawing/2014/main" id="{EBC24907-F61E-4266-B39B-8F17FDFAC69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0" name="AutoShape 1" descr="Vista previa de toda la pantalla">
          <a:extLst>
            <a:ext uri="{FF2B5EF4-FFF2-40B4-BE49-F238E27FC236}">
              <a16:creationId xmlns:a16="http://schemas.microsoft.com/office/drawing/2014/main" id="{6F5B76F5-CCAB-4018-8C39-AC76CD903C4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1" name="AutoShape 1" descr="Vista previa de toda la pantalla">
          <a:extLst>
            <a:ext uri="{FF2B5EF4-FFF2-40B4-BE49-F238E27FC236}">
              <a16:creationId xmlns:a16="http://schemas.microsoft.com/office/drawing/2014/main" id="{56B2CE4A-66A3-4856-8294-8A14968F41E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2" name="AutoShape 1" descr="Vista previa de toda la pantalla">
          <a:extLst>
            <a:ext uri="{FF2B5EF4-FFF2-40B4-BE49-F238E27FC236}">
              <a16:creationId xmlns:a16="http://schemas.microsoft.com/office/drawing/2014/main" id="{8097A5C7-762E-456C-A4A4-BEBFC1A994B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3" name="AutoShape 1" descr="Vista previa de toda la pantalla">
          <a:extLst>
            <a:ext uri="{FF2B5EF4-FFF2-40B4-BE49-F238E27FC236}">
              <a16:creationId xmlns:a16="http://schemas.microsoft.com/office/drawing/2014/main" id="{330CF8BA-DB41-4570-895E-B248ABE4EE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4" name="AutoShape 1" descr="Vista previa de toda la pantalla">
          <a:extLst>
            <a:ext uri="{FF2B5EF4-FFF2-40B4-BE49-F238E27FC236}">
              <a16:creationId xmlns:a16="http://schemas.microsoft.com/office/drawing/2014/main" id="{D1B09D09-F5C6-46A9-8296-983734AA027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5" name="AutoShape 1" descr="Vista previa de toda la pantalla">
          <a:extLst>
            <a:ext uri="{FF2B5EF4-FFF2-40B4-BE49-F238E27FC236}">
              <a16:creationId xmlns:a16="http://schemas.microsoft.com/office/drawing/2014/main" id="{17F908A9-265D-4112-86DF-B448E33145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6" name="AutoShape 1" descr="Vista previa de toda la pantalla">
          <a:extLst>
            <a:ext uri="{FF2B5EF4-FFF2-40B4-BE49-F238E27FC236}">
              <a16:creationId xmlns:a16="http://schemas.microsoft.com/office/drawing/2014/main" id="{347ABEE5-C9A1-40E2-B974-1471A9AFF60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7" name="AutoShape 1" descr="Vista previa de toda la pantalla">
          <a:extLst>
            <a:ext uri="{FF2B5EF4-FFF2-40B4-BE49-F238E27FC236}">
              <a16:creationId xmlns:a16="http://schemas.microsoft.com/office/drawing/2014/main" id="{FBA7640C-EA47-459F-A773-DACB7700F20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8" name="AutoShape 1" descr="Vista previa de toda la pantalla">
          <a:extLst>
            <a:ext uri="{FF2B5EF4-FFF2-40B4-BE49-F238E27FC236}">
              <a16:creationId xmlns:a16="http://schemas.microsoft.com/office/drawing/2014/main" id="{DF6BC5EE-445D-457F-B6BD-57F4160FD7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89" name="AutoShape 1" descr="Vista previa de toda la pantalla">
          <a:extLst>
            <a:ext uri="{FF2B5EF4-FFF2-40B4-BE49-F238E27FC236}">
              <a16:creationId xmlns:a16="http://schemas.microsoft.com/office/drawing/2014/main" id="{FD15AF61-ACA9-4D54-BB9D-EA056329ED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0" name="AutoShape 1" descr="Vista previa de toda la pantalla">
          <a:extLst>
            <a:ext uri="{FF2B5EF4-FFF2-40B4-BE49-F238E27FC236}">
              <a16:creationId xmlns:a16="http://schemas.microsoft.com/office/drawing/2014/main" id="{C7106835-2270-42E8-8784-0EF4C66DD9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1" name="AutoShape 1" descr="Vista previa de toda la pantalla">
          <a:extLst>
            <a:ext uri="{FF2B5EF4-FFF2-40B4-BE49-F238E27FC236}">
              <a16:creationId xmlns:a16="http://schemas.microsoft.com/office/drawing/2014/main" id="{DD84A5D4-F069-4CC4-B2A6-9A517F3EBB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2" name="AutoShape 1" descr="Vista previa de toda la pantalla">
          <a:extLst>
            <a:ext uri="{FF2B5EF4-FFF2-40B4-BE49-F238E27FC236}">
              <a16:creationId xmlns:a16="http://schemas.microsoft.com/office/drawing/2014/main" id="{46E1A941-C1D7-4851-9C11-C2A7E00B72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3" name="AutoShape 1" descr="Vista previa de toda la pantalla">
          <a:extLst>
            <a:ext uri="{FF2B5EF4-FFF2-40B4-BE49-F238E27FC236}">
              <a16:creationId xmlns:a16="http://schemas.microsoft.com/office/drawing/2014/main" id="{0953808F-B2AC-4660-80BD-53BD335660E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4" name="AutoShape 1" descr="Vista previa de toda la pantalla">
          <a:extLst>
            <a:ext uri="{FF2B5EF4-FFF2-40B4-BE49-F238E27FC236}">
              <a16:creationId xmlns:a16="http://schemas.microsoft.com/office/drawing/2014/main" id="{BB1DA9B7-B191-4435-8780-005EAA87B5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5" name="AutoShape 1" descr="Vista previa de toda la pantalla">
          <a:extLst>
            <a:ext uri="{FF2B5EF4-FFF2-40B4-BE49-F238E27FC236}">
              <a16:creationId xmlns:a16="http://schemas.microsoft.com/office/drawing/2014/main" id="{871CB2A9-02B3-44FA-92F1-E8C47660521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6" name="AutoShape 1" descr="Vista previa de toda la pantalla">
          <a:extLst>
            <a:ext uri="{FF2B5EF4-FFF2-40B4-BE49-F238E27FC236}">
              <a16:creationId xmlns:a16="http://schemas.microsoft.com/office/drawing/2014/main" id="{7A53EBAF-A1A8-40D0-9882-AC74D6D0EB9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7" name="AutoShape 1" descr="Vista previa de toda la pantalla">
          <a:extLst>
            <a:ext uri="{FF2B5EF4-FFF2-40B4-BE49-F238E27FC236}">
              <a16:creationId xmlns:a16="http://schemas.microsoft.com/office/drawing/2014/main" id="{1A8A20A8-4247-415D-A64D-0FF7212C35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8" name="AutoShape 1" descr="Vista previa de toda la pantalla">
          <a:extLst>
            <a:ext uri="{FF2B5EF4-FFF2-40B4-BE49-F238E27FC236}">
              <a16:creationId xmlns:a16="http://schemas.microsoft.com/office/drawing/2014/main" id="{9D503BE3-1E3A-4AF5-9324-040680E35D0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099" name="AutoShape 1" descr="Vista previa de toda la pantalla">
          <a:extLst>
            <a:ext uri="{FF2B5EF4-FFF2-40B4-BE49-F238E27FC236}">
              <a16:creationId xmlns:a16="http://schemas.microsoft.com/office/drawing/2014/main" id="{399E7E2E-AFCA-44CE-B536-293890545F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0" name="AutoShape 1" descr="Vista previa de toda la pantalla">
          <a:extLst>
            <a:ext uri="{FF2B5EF4-FFF2-40B4-BE49-F238E27FC236}">
              <a16:creationId xmlns:a16="http://schemas.microsoft.com/office/drawing/2014/main" id="{67D7C66B-DCB8-4C6D-8BCD-F7648346B1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1" name="AutoShape 1" descr="Vista previa de toda la pantalla">
          <a:extLst>
            <a:ext uri="{FF2B5EF4-FFF2-40B4-BE49-F238E27FC236}">
              <a16:creationId xmlns:a16="http://schemas.microsoft.com/office/drawing/2014/main" id="{10DD16DD-62B6-4937-93C9-E297B0DA56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2" name="AutoShape 1" descr="Vista previa de toda la pantalla">
          <a:extLst>
            <a:ext uri="{FF2B5EF4-FFF2-40B4-BE49-F238E27FC236}">
              <a16:creationId xmlns:a16="http://schemas.microsoft.com/office/drawing/2014/main" id="{C45A4767-80F5-4D66-A77A-77EC1A07678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3" name="AutoShape 1" descr="Vista previa de toda la pantalla">
          <a:extLst>
            <a:ext uri="{FF2B5EF4-FFF2-40B4-BE49-F238E27FC236}">
              <a16:creationId xmlns:a16="http://schemas.microsoft.com/office/drawing/2014/main" id="{B0D935D7-ACCD-44F4-A782-75190076DA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4" name="AutoShape 1" descr="Vista previa de toda la pantalla">
          <a:extLst>
            <a:ext uri="{FF2B5EF4-FFF2-40B4-BE49-F238E27FC236}">
              <a16:creationId xmlns:a16="http://schemas.microsoft.com/office/drawing/2014/main" id="{20CBFC94-44D8-45E1-A902-B0C3B534A69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5" name="AutoShape 1" descr="Vista previa de toda la pantalla">
          <a:extLst>
            <a:ext uri="{FF2B5EF4-FFF2-40B4-BE49-F238E27FC236}">
              <a16:creationId xmlns:a16="http://schemas.microsoft.com/office/drawing/2014/main" id="{2BB632A4-5443-46B5-BA80-A1A4BF4BFF4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6" name="AutoShape 1" descr="Vista previa de toda la pantalla">
          <a:extLst>
            <a:ext uri="{FF2B5EF4-FFF2-40B4-BE49-F238E27FC236}">
              <a16:creationId xmlns:a16="http://schemas.microsoft.com/office/drawing/2014/main" id="{7CC09881-00B1-45D8-9352-4900FB910C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7" name="AutoShape 1" descr="Vista previa de toda la pantalla">
          <a:extLst>
            <a:ext uri="{FF2B5EF4-FFF2-40B4-BE49-F238E27FC236}">
              <a16:creationId xmlns:a16="http://schemas.microsoft.com/office/drawing/2014/main" id="{C5DE3D9D-5F52-42DA-BB63-F9C13C9FA7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8" name="AutoShape 1" descr="Vista previa de toda la pantalla">
          <a:extLst>
            <a:ext uri="{FF2B5EF4-FFF2-40B4-BE49-F238E27FC236}">
              <a16:creationId xmlns:a16="http://schemas.microsoft.com/office/drawing/2014/main" id="{C87E23C7-7362-4465-9CFB-17BFF9978F3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09" name="AutoShape 1" descr="Vista previa de toda la pantalla">
          <a:extLst>
            <a:ext uri="{FF2B5EF4-FFF2-40B4-BE49-F238E27FC236}">
              <a16:creationId xmlns:a16="http://schemas.microsoft.com/office/drawing/2014/main" id="{CACE4C3F-7425-4403-896F-902CDB7DDB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0" name="AutoShape 1" descr="Vista previa de toda la pantalla">
          <a:extLst>
            <a:ext uri="{FF2B5EF4-FFF2-40B4-BE49-F238E27FC236}">
              <a16:creationId xmlns:a16="http://schemas.microsoft.com/office/drawing/2014/main" id="{56718EB9-46E0-4A20-99F6-017CEF260EF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1" name="AutoShape 1" descr="Vista previa de toda la pantalla">
          <a:extLst>
            <a:ext uri="{FF2B5EF4-FFF2-40B4-BE49-F238E27FC236}">
              <a16:creationId xmlns:a16="http://schemas.microsoft.com/office/drawing/2014/main" id="{D1DC19C8-92D9-4472-9733-5C724FD8BF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2" name="AutoShape 1" descr="Vista previa de toda la pantalla">
          <a:extLst>
            <a:ext uri="{FF2B5EF4-FFF2-40B4-BE49-F238E27FC236}">
              <a16:creationId xmlns:a16="http://schemas.microsoft.com/office/drawing/2014/main" id="{592368A6-3A16-4BD2-9805-3767B512A2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3" name="AutoShape 1" descr="Vista previa de toda la pantalla">
          <a:extLst>
            <a:ext uri="{FF2B5EF4-FFF2-40B4-BE49-F238E27FC236}">
              <a16:creationId xmlns:a16="http://schemas.microsoft.com/office/drawing/2014/main" id="{B6CCE592-9B2A-4C97-AC14-619A2F5735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4" name="AutoShape 1" descr="Vista previa de toda la pantalla">
          <a:extLst>
            <a:ext uri="{FF2B5EF4-FFF2-40B4-BE49-F238E27FC236}">
              <a16:creationId xmlns:a16="http://schemas.microsoft.com/office/drawing/2014/main" id="{299CC292-E5B9-4E1C-9352-A5A06D86825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5" name="AutoShape 1" descr="Vista previa de toda la pantalla">
          <a:extLst>
            <a:ext uri="{FF2B5EF4-FFF2-40B4-BE49-F238E27FC236}">
              <a16:creationId xmlns:a16="http://schemas.microsoft.com/office/drawing/2014/main" id="{787077D6-3071-4114-ADD2-574E58B4A81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6" name="AutoShape 1" descr="Vista previa de toda la pantalla">
          <a:extLst>
            <a:ext uri="{FF2B5EF4-FFF2-40B4-BE49-F238E27FC236}">
              <a16:creationId xmlns:a16="http://schemas.microsoft.com/office/drawing/2014/main" id="{3D8830F5-15A8-4BCD-A5B6-E71F6740E6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7" name="AutoShape 1" descr="Vista previa de toda la pantalla">
          <a:extLst>
            <a:ext uri="{FF2B5EF4-FFF2-40B4-BE49-F238E27FC236}">
              <a16:creationId xmlns:a16="http://schemas.microsoft.com/office/drawing/2014/main" id="{4D7BA370-3880-4C76-9DF6-577E4E69432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8" name="AutoShape 1" descr="Vista previa de toda la pantalla">
          <a:extLst>
            <a:ext uri="{FF2B5EF4-FFF2-40B4-BE49-F238E27FC236}">
              <a16:creationId xmlns:a16="http://schemas.microsoft.com/office/drawing/2014/main" id="{59B87EC3-0B66-4003-9B1C-02ED96A6D5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19" name="AutoShape 1" descr="Vista previa de toda la pantalla">
          <a:extLst>
            <a:ext uri="{FF2B5EF4-FFF2-40B4-BE49-F238E27FC236}">
              <a16:creationId xmlns:a16="http://schemas.microsoft.com/office/drawing/2014/main" id="{9090C9D7-FC9E-4CAB-A6DB-4EE6EC2BB5B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0" name="AutoShape 1" descr="Vista previa de toda la pantalla">
          <a:extLst>
            <a:ext uri="{FF2B5EF4-FFF2-40B4-BE49-F238E27FC236}">
              <a16:creationId xmlns:a16="http://schemas.microsoft.com/office/drawing/2014/main" id="{BC045F2E-1A6E-41FF-ACCA-421C730FAB1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1" name="AutoShape 1" descr="Vista previa de toda la pantalla">
          <a:extLst>
            <a:ext uri="{FF2B5EF4-FFF2-40B4-BE49-F238E27FC236}">
              <a16:creationId xmlns:a16="http://schemas.microsoft.com/office/drawing/2014/main" id="{BB8AEAAA-F247-42AB-AB33-5163D91E33D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2" name="AutoShape 1" descr="Vista previa de toda la pantalla">
          <a:extLst>
            <a:ext uri="{FF2B5EF4-FFF2-40B4-BE49-F238E27FC236}">
              <a16:creationId xmlns:a16="http://schemas.microsoft.com/office/drawing/2014/main" id="{4CB42EB9-B1CA-461E-8871-B1C8DA5F17A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3" name="AutoShape 1" descr="Vista previa de toda la pantalla">
          <a:extLst>
            <a:ext uri="{FF2B5EF4-FFF2-40B4-BE49-F238E27FC236}">
              <a16:creationId xmlns:a16="http://schemas.microsoft.com/office/drawing/2014/main" id="{9162488E-76A5-40A1-9D57-26C8ECF1739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4" name="AutoShape 1" descr="Vista previa de toda la pantalla">
          <a:extLst>
            <a:ext uri="{FF2B5EF4-FFF2-40B4-BE49-F238E27FC236}">
              <a16:creationId xmlns:a16="http://schemas.microsoft.com/office/drawing/2014/main" id="{52E9EB38-FA2F-4552-A08B-E7BC9744DF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5" name="AutoShape 1" descr="Vista previa de toda la pantalla">
          <a:extLst>
            <a:ext uri="{FF2B5EF4-FFF2-40B4-BE49-F238E27FC236}">
              <a16:creationId xmlns:a16="http://schemas.microsoft.com/office/drawing/2014/main" id="{4EE2190D-981E-4BA4-8158-5FF3F5B2522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6" name="AutoShape 1" descr="Vista previa de toda la pantalla">
          <a:extLst>
            <a:ext uri="{FF2B5EF4-FFF2-40B4-BE49-F238E27FC236}">
              <a16:creationId xmlns:a16="http://schemas.microsoft.com/office/drawing/2014/main" id="{87793DF9-C231-48A8-BD00-7FE20F38DF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7" name="AutoShape 1" descr="Vista previa de toda la pantalla">
          <a:extLst>
            <a:ext uri="{FF2B5EF4-FFF2-40B4-BE49-F238E27FC236}">
              <a16:creationId xmlns:a16="http://schemas.microsoft.com/office/drawing/2014/main" id="{A01E680E-BF41-44D2-B840-EBD9CF4FA6C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8" name="AutoShape 1" descr="Vista previa de toda la pantalla">
          <a:extLst>
            <a:ext uri="{FF2B5EF4-FFF2-40B4-BE49-F238E27FC236}">
              <a16:creationId xmlns:a16="http://schemas.microsoft.com/office/drawing/2014/main" id="{C697D1FD-8B08-478B-8E21-8DCEAA394B6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29" name="AutoShape 1" descr="Vista previa de toda la pantalla">
          <a:extLst>
            <a:ext uri="{FF2B5EF4-FFF2-40B4-BE49-F238E27FC236}">
              <a16:creationId xmlns:a16="http://schemas.microsoft.com/office/drawing/2014/main" id="{45D5F20E-DB1B-4490-A859-8A483178DDB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0" name="AutoShape 1" descr="Vista previa de toda la pantalla">
          <a:extLst>
            <a:ext uri="{FF2B5EF4-FFF2-40B4-BE49-F238E27FC236}">
              <a16:creationId xmlns:a16="http://schemas.microsoft.com/office/drawing/2014/main" id="{A24B35A0-B6F6-4597-9E30-1E7334C8C3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1" name="AutoShape 1" descr="Vista previa de toda la pantalla">
          <a:extLst>
            <a:ext uri="{FF2B5EF4-FFF2-40B4-BE49-F238E27FC236}">
              <a16:creationId xmlns:a16="http://schemas.microsoft.com/office/drawing/2014/main" id="{E47AA599-C3DA-41E8-A9E5-A100616EAA5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2" name="AutoShape 1" descr="Vista previa de toda la pantalla">
          <a:extLst>
            <a:ext uri="{FF2B5EF4-FFF2-40B4-BE49-F238E27FC236}">
              <a16:creationId xmlns:a16="http://schemas.microsoft.com/office/drawing/2014/main" id="{EDD81ADE-A561-47B9-BA69-E69CE0CDA58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3" name="AutoShape 1" descr="Vista previa de toda la pantalla">
          <a:extLst>
            <a:ext uri="{FF2B5EF4-FFF2-40B4-BE49-F238E27FC236}">
              <a16:creationId xmlns:a16="http://schemas.microsoft.com/office/drawing/2014/main" id="{EB9030E7-09FB-4E7E-B99E-A9525C5CE0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4" name="AutoShape 1" descr="Vista previa de toda la pantalla">
          <a:extLst>
            <a:ext uri="{FF2B5EF4-FFF2-40B4-BE49-F238E27FC236}">
              <a16:creationId xmlns:a16="http://schemas.microsoft.com/office/drawing/2014/main" id="{F62BD8E5-310F-409D-A241-326294703E2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5" name="AutoShape 1" descr="Vista previa de toda la pantalla">
          <a:extLst>
            <a:ext uri="{FF2B5EF4-FFF2-40B4-BE49-F238E27FC236}">
              <a16:creationId xmlns:a16="http://schemas.microsoft.com/office/drawing/2014/main" id="{2839BA5E-06E5-4EB8-8423-1F06B39980F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6" name="AutoShape 1" descr="Vista previa de toda la pantalla">
          <a:extLst>
            <a:ext uri="{FF2B5EF4-FFF2-40B4-BE49-F238E27FC236}">
              <a16:creationId xmlns:a16="http://schemas.microsoft.com/office/drawing/2014/main" id="{BD67871C-DC44-4640-A7C4-363D7546C44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7" name="AutoShape 1" descr="Vista previa de toda la pantalla">
          <a:extLst>
            <a:ext uri="{FF2B5EF4-FFF2-40B4-BE49-F238E27FC236}">
              <a16:creationId xmlns:a16="http://schemas.microsoft.com/office/drawing/2014/main" id="{E65F7B63-5BB2-4B85-B250-CA48ED5AC2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8" name="AutoShape 1" descr="Vista previa de toda la pantalla">
          <a:extLst>
            <a:ext uri="{FF2B5EF4-FFF2-40B4-BE49-F238E27FC236}">
              <a16:creationId xmlns:a16="http://schemas.microsoft.com/office/drawing/2014/main" id="{4223D594-11B5-4607-A1F6-8585FC0FD20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39" name="AutoShape 1" descr="Vista previa de toda la pantalla">
          <a:extLst>
            <a:ext uri="{FF2B5EF4-FFF2-40B4-BE49-F238E27FC236}">
              <a16:creationId xmlns:a16="http://schemas.microsoft.com/office/drawing/2014/main" id="{44809113-7E6B-4F08-A15A-DC0C9DADA83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0" name="AutoShape 1" descr="Vista previa de toda la pantalla">
          <a:extLst>
            <a:ext uri="{FF2B5EF4-FFF2-40B4-BE49-F238E27FC236}">
              <a16:creationId xmlns:a16="http://schemas.microsoft.com/office/drawing/2014/main" id="{BF303BFF-4DED-4C25-8164-88D428C93EA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1" name="AutoShape 1" descr="Vista previa de toda la pantalla">
          <a:extLst>
            <a:ext uri="{FF2B5EF4-FFF2-40B4-BE49-F238E27FC236}">
              <a16:creationId xmlns:a16="http://schemas.microsoft.com/office/drawing/2014/main" id="{0C12F54D-1B34-410C-AA8C-A21435C8644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2" name="AutoShape 1" descr="Vista previa de toda la pantalla">
          <a:extLst>
            <a:ext uri="{FF2B5EF4-FFF2-40B4-BE49-F238E27FC236}">
              <a16:creationId xmlns:a16="http://schemas.microsoft.com/office/drawing/2014/main" id="{8D2415E6-238B-481A-B0D0-613AD3CDA17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3" name="AutoShape 1" descr="Vista previa de toda la pantalla">
          <a:extLst>
            <a:ext uri="{FF2B5EF4-FFF2-40B4-BE49-F238E27FC236}">
              <a16:creationId xmlns:a16="http://schemas.microsoft.com/office/drawing/2014/main" id="{776D6576-AB12-4C80-897C-825B8E73F7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4" name="AutoShape 1" descr="Vista previa de toda la pantalla">
          <a:extLst>
            <a:ext uri="{FF2B5EF4-FFF2-40B4-BE49-F238E27FC236}">
              <a16:creationId xmlns:a16="http://schemas.microsoft.com/office/drawing/2014/main" id="{DBABCD08-7043-44A2-8625-0D5D94CB1B4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5" name="AutoShape 1" descr="Vista previa de toda la pantalla">
          <a:extLst>
            <a:ext uri="{FF2B5EF4-FFF2-40B4-BE49-F238E27FC236}">
              <a16:creationId xmlns:a16="http://schemas.microsoft.com/office/drawing/2014/main" id="{1E797667-6D26-4C64-B928-A7BBA1CC51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6" name="AutoShape 1" descr="Vista previa de toda la pantalla">
          <a:extLst>
            <a:ext uri="{FF2B5EF4-FFF2-40B4-BE49-F238E27FC236}">
              <a16:creationId xmlns:a16="http://schemas.microsoft.com/office/drawing/2014/main" id="{E73C2AFE-43EC-4EE5-9712-9C8D7B3764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7" name="AutoShape 1" descr="Vista previa de toda la pantalla">
          <a:extLst>
            <a:ext uri="{FF2B5EF4-FFF2-40B4-BE49-F238E27FC236}">
              <a16:creationId xmlns:a16="http://schemas.microsoft.com/office/drawing/2014/main" id="{42A395E3-2992-41C5-8FFF-42763AA95D5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8" name="AutoShape 1" descr="Vista previa de toda la pantalla">
          <a:extLst>
            <a:ext uri="{FF2B5EF4-FFF2-40B4-BE49-F238E27FC236}">
              <a16:creationId xmlns:a16="http://schemas.microsoft.com/office/drawing/2014/main" id="{A3073F08-AEC5-4783-B1B8-2A4BAA0EEB1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49" name="AutoShape 1" descr="Vista previa de toda la pantalla">
          <a:extLst>
            <a:ext uri="{FF2B5EF4-FFF2-40B4-BE49-F238E27FC236}">
              <a16:creationId xmlns:a16="http://schemas.microsoft.com/office/drawing/2014/main" id="{277F531A-DE20-418B-AED5-A6692E4E62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0" name="AutoShape 1" descr="Vista previa de toda la pantalla">
          <a:extLst>
            <a:ext uri="{FF2B5EF4-FFF2-40B4-BE49-F238E27FC236}">
              <a16:creationId xmlns:a16="http://schemas.microsoft.com/office/drawing/2014/main" id="{E08738BC-DAEF-42EB-BCA6-AF8F361A88D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1" name="AutoShape 1" descr="Vista previa de toda la pantalla">
          <a:extLst>
            <a:ext uri="{FF2B5EF4-FFF2-40B4-BE49-F238E27FC236}">
              <a16:creationId xmlns:a16="http://schemas.microsoft.com/office/drawing/2014/main" id="{BF8F0766-E9C4-4E30-A43D-04710B0282C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2" name="AutoShape 1" descr="Vista previa de toda la pantalla">
          <a:extLst>
            <a:ext uri="{FF2B5EF4-FFF2-40B4-BE49-F238E27FC236}">
              <a16:creationId xmlns:a16="http://schemas.microsoft.com/office/drawing/2014/main" id="{E21AD9F5-BDFE-4B6C-860B-29A7008185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3" name="AutoShape 1" descr="Vista previa de toda la pantalla">
          <a:extLst>
            <a:ext uri="{FF2B5EF4-FFF2-40B4-BE49-F238E27FC236}">
              <a16:creationId xmlns:a16="http://schemas.microsoft.com/office/drawing/2014/main" id="{058412C8-E44E-4584-B572-52ECD1C9F1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4" name="AutoShape 1" descr="Vista previa de toda la pantalla">
          <a:extLst>
            <a:ext uri="{FF2B5EF4-FFF2-40B4-BE49-F238E27FC236}">
              <a16:creationId xmlns:a16="http://schemas.microsoft.com/office/drawing/2014/main" id="{F0A891FA-F4E2-4C04-9979-BD3E7B67D5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5" name="AutoShape 1" descr="Vista previa de toda la pantalla">
          <a:extLst>
            <a:ext uri="{FF2B5EF4-FFF2-40B4-BE49-F238E27FC236}">
              <a16:creationId xmlns:a16="http://schemas.microsoft.com/office/drawing/2014/main" id="{DFDB2415-36A2-4787-8DBA-9C33B63188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6" name="AutoShape 1" descr="Vista previa de toda la pantalla">
          <a:extLst>
            <a:ext uri="{FF2B5EF4-FFF2-40B4-BE49-F238E27FC236}">
              <a16:creationId xmlns:a16="http://schemas.microsoft.com/office/drawing/2014/main" id="{71D81572-6EC1-4795-997D-384CEFCF2B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7" name="AutoShape 1" descr="Vista previa de toda la pantalla">
          <a:extLst>
            <a:ext uri="{FF2B5EF4-FFF2-40B4-BE49-F238E27FC236}">
              <a16:creationId xmlns:a16="http://schemas.microsoft.com/office/drawing/2014/main" id="{A24CED25-0265-41FA-B122-A871DCF364C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8" name="AutoShape 1" descr="Vista previa de toda la pantalla">
          <a:extLst>
            <a:ext uri="{FF2B5EF4-FFF2-40B4-BE49-F238E27FC236}">
              <a16:creationId xmlns:a16="http://schemas.microsoft.com/office/drawing/2014/main" id="{A0039982-8153-41DD-B5BC-2204F0AB9E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59" name="AutoShape 1" descr="Vista previa de toda la pantalla">
          <a:extLst>
            <a:ext uri="{FF2B5EF4-FFF2-40B4-BE49-F238E27FC236}">
              <a16:creationId xmlns:a16="http://schemas.microsoft.com/office/drawing/2014/main" id="{41F1DEDF-A3AE-4E58-B1ED-4415DD98A4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0" name="AutoShape 1" descr="Vista previa de toda la pantalla">
          <a:extLst>
            <a:ext uri="{FF2B5EF4-FFF2-40B4-BE49-F238E27FC236}">
              <a16:creationId xmlns:a16="http://schemas.microsoft.com/office/drawing/2014/main" id="{5E400D50-02AC-4E88-B306-0AB0ADBDB4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1" name="AutoShape 1" descr="Vista previa de toda la pantalla">
          <a:extLst>
            <a:ext uri="{FF2B5EF4-FFF2-40B4-BE49-F238E27FC236}">
              <a16:creationId xmlns:a16="http://schemas.microsoft.com/office/drawing/2014/main" id="{01E6B81A-55A7-4B64-99BA-57E29CFFEB4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2" name="AutoShape 1" descr="Vista previa de toda la pantalla">
          <a:extLst>
            <a:ext uri="{FF2B5EF4-FFF2-40B4-BE49-F238E27FC236}">
              <a16:creationId xmlns:a16="http://schemas.microsoft.com/office/drawing/2014/main" id="{EDDFA8F3-1980-4CAE-AD7F-ACFEE8106EB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3" name="AutoShape 1" descr="Vista previa de toda la pantalla">
          <a:extLst>
            <a:ext uri="{FF2B5EF4-FFF2-40B4-BE49-F238E27FC236}">
              <a16:creationId xmlns:a16="http://schemas.microsoft.com/office/drawing/2014/main" id="{27CD449F-61AC-4450-9AAA-FC68737949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4" name="AutoShape 1" descr="Vista previa de toda la pantalla">
          <a:extLst>
            <a:ext uri="{FF2B5EF4-FFF2-40B4-BE49-F238E27FC236}">
              <a16:creationId xmlns:a16="http://schemas.microsoft.com/office/drawing/2014/main" id="{47606150-A0B4-4ECC-881C-B4CCB9F724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5" name="AutoShape 1" descr="Vista previa de toda la pantalla">
          <a:extLst>
            <a:ext uri="{FF2B5EF4-FFF2-40B4-BE49-F238E27FC236}">
              <a16:creationId xmlns:a16="http://schemas.microsoft.com/office/drawing/2014/main" id="{036869EC-D7B5-4227-8E7F-0CEB723835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6" name="AutoShape 1" descr="Vista previa de toda la pantalla">
          <a:extLst>
            <a:ext uri="{FF2B5EF4-FFF2-40B4-BE49-F238E27FC236}">
              <a16:creationId xmlns:a16="http://schemas.microsoft.com/office/drawing/2014/main" id="{A812C8DC-0F9C-4454-8AE4-60619087A87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7" name="AutoShape 1" descr="Vista previa de toda la pantalla">
          <a:extLst>
            <a:ext uri="{FF2B5EF4-FFF2-40B4-BE49-F238E27FC236}">
              <a16:creationId xmlns:a16="http://schemas.microsoft.com/office/drawing/2014/main" id="{BCB723AA-FA3A-4356-B150-2693ABAA1F0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8" name="AutoShape 1" descr="Vista previa de toda la pantalla">
          <a:extLst>
            <a:ext uri="{FF2B5EF4-FFF2-40B4-BE49-F238E27FC236}">
              <a16:creationId xmlns:a16="http://schemas.microsoft.com/office/drawing/2014/main" id="{FB5185AE-3742-4A47-886A-55A58D1081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69" name="AutoShape 1" descr="Vista previa de toda la pantalla">
          <a:extLst>
            <a:ext uri="{FF2B5EF4-FFF2-40B4-BE49-F238E27FC236}">
              <a16:creationId xmlns:a16="http://schemas.microsoft.com/office/drawing/2014/main" id="{C68D06FD-254C-414B-A57B-3170F0DD4B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0" name="AutoShape 1" descr="Vista previa de toda la pantalla">
          <a:extLst>
            <a:ext uri="{FF2B5EF4-FFF2-40B4-BE49-F238E27FC236}">
              <a16:creationId xmlns:a16="http://schemas.microsoft.com/office/drawing/2014/main" id="{8B23AA00-571F-499C-8E89-6E751F2C8B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1" name="AutoShape 1" descr="Vista previa de toda la pantalla">
          <a:extLst>
            <a:ext uri="{FF2B5EF4-FFF2-40B4-BE49-F238E27FC236}">
              <a16:creationId xmlns:a16="http://schemas.microsoft.com/office/drawing/2014/main" id="{68C6C72A-BDD3-4D50-AA01-18B60D7F03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2" name="AutoShape 1" descr="Vista previa de toda la pantalla">
          <a:extLst>
            <a:ext uri="{FF2B5EF4-FFF2-40B4-BE49-F238E27FC236}">
              <a16:creationId xmlns:a16="http://schemas.microsoft.com/office/drawing/2014/main" id="{0B334F42-F7A2-4760-A341-ACFE5011A1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3" name="AutoShape 1" descr="Vista previa de toda la pantalla">
          <a:extLst>
            <a:ext uri="{FF2B5EF4-FFF2-40B4-BE49-F238E27FC236}">
              <a16:creationId xmlns:a16="http://schemas.microsoft.com/office/drawing/2014/main" id="{D843C074-65DD-453E-BC33-578F61C00EE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4" name="AutoShape 1" descr="Vista previa de toda la pantalla">
          <a:extLst>
            <a:ext uri="{FF2B5EF4-FFF2-40B4-BE49-F238E27FC236}">
              <a16:creationId xmlns:a16="http://schemas.microsoft.com/office/drawing/2014/main" id="{73C97D96-074E-4022-BC60-177B3BB574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5" name="AutoShape 1" descr="Vista previa de toda la pantalla">
          <a:extLst>
            <a:ext uri="{FF2B5EF4-FFF2-40B4-BE49-F238E27FC236}">
              <a16:creationId xmlns:a16="http://schemas.microsoft.com/office/drawing/2014/main" id="{462EFA2D-27B4-4013-A8E9-2E7C8557AE2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6" name="AutoShape 1" descr="Vista previa de toda la pantalla">
          <a:extLst>
            <a:ext uri="{FF2B5EF4-FFF2-40B4-BE49-F238E27FC236}">
              <a16:creationId xmlns:a16="http://schemas.microsoft.com/office/drawing/2014/main" id="{A082E6CB-1CAA-4074-9D5E-F63539BCDD5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7" name="AutoShape 1" descr="Vista previa de toda la pantalla">
          <a:extLst>
            <a:ext uri="{FF2B5EF4-FFF2-40B4-BE49-F238E27FC236}">
              <a16:creationId xmlns:a16="http://schemas.microsoft.com/office/drawing/2014/main" id="{D35659CA-F519-465D-8B9E-6EDEE355DC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8" name="AutoShape 1" descr="Vista previa de toda la pantalla">
          <a:extLst>
            <a:ext uri="{FF2B5EF4-FFF2-40B4-BE49-F238E27FC236}">
              <a16:creationId xmlns:a16="http://schemas.microsoft.com/office/drawing/2014/main" id="{D84F6301-4D14-4618-ACF3-1977BB90190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79" name="AutoShape 1" descr="Vista previa de toda la pantalla">
          <a:extLst>
            <a:ext uri="{FF2B5EF4-FFF2-40B4-BE49-F238E27FC236}">
              <a16:creationId xmlns:a16="http://schemas.microsoft.com/office/drawing/2014/main" id="{4654838E-5DDE-4FD2-86CE-B5103F16C2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0" name="AutoShape 1" descr="Vista previa de toda la pantalla">
          <a:extLst>
            <a:ext uri="{FF2B5EF4-FFF2-40B4-BE49-F238E27FC236}">
              <a16:creationId xmlns:a16="http://schemas.microsoft.com/office/drawing/2014/main" id="{F8659AA5-59C8-470F-974B-7F6F332BA0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1" name="AutoShape 1" descr="Vista previa de toda la pantalla">
          <a:extLst>
            <a:ext uri="{FF2B5EF4-FFF2-40B4-BE49-F238E27FC236}">
              <a16:creationId xmlns:a16="http://schemas.microsoft.com/office/drawing/2014/main" id="{FE43964D-099A-4C0A-815F-05CF29AA67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2" name="AutoShape 1" descr="Vista previa de toda la pantalla">
          <a:extLst>
            <a:ext uri="{FF2B5EF4-FFF2-40B4-BE49-F238E27FC236}">
              <a16:creationId xmlns:a16="http://schemas.microsoft.com/office/drawing/2014/main" id="{2AD551C5-9179-487D-8E42-F588AB5AC3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3" name="AutoShape 1" descr="Vista previa de toda la pantalla">
          <a:extLst>
            <a:ext uri="{FF2B5EF4-FFF2-40B4-BE49-F238E27FC236}">
              <a16:creationId xmlns:a16="http://schemas.microsoft.com/office/drawing/2014/main" id="{A625C774-D3E5-4D5A-BF83-33CC4B451D0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4" name="AutoShape 1" descr="Vista previa de toda la pantalla">
          <a:extLst>
            <a:ext uri="{FF2B5EF4-FFF2-40B4-BE49-F238E27FC236}">
              <a16:creationId xmlns:a16="http://schemas.microsoft.com/office/drawing/2014/main" id="{FDF5A82A-6802-45E1-B8AF-0D336995D9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5" name="AutoShape 1" descr="Vista previa de toda la pantalla">
          <a:extLst>
            <a:ext uri="{FF2B5EF4-FFF2-40B4-BE49-F238E27FC236}">
              <a16:creationId xmlns:a16="http://schemas.microsoft.com/office/drawing/2014/main" id="{9DB96FBE-D4E2-4B06-8D7C-94E324AB6C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6" name="AutoShape 1" descr="Vista previa de toda la pantalla">
          <a:extLst>
            <a:ext uri="{FF2B5EF4-FFF2-40B4-BE49-F238E27FC236}">
              <a16:creationId xmlns:a16="http://schemas.microsoft.com/office/drawing/2014/main" id="{215E0F1F-A2F2-44B5-B943-0357A05AFD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7" name="AutoShape 1" descr="Vista previa de toda la pantalla">
          <a:extLst>
            <a:ext uri="{FF2B5EF4-FFF2-40B4-BE49-F238E27FC236}">
              <a16:creationId xmlns:a16="http://schemas.microsoft.com/office/drawing/2014/main" id="{D7FD9325-C453-402D-AD94-930CFD3CFA3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8" name="AutoShape 1" descr="Vista previa de toda la pantalla">
          <a:extLst>
            <a:ext uri="{FF2B5EF4-FFF2-40B4-BE49-F238E27FC236}">
              <a16:creationId xmlns:a16="http://schemas.microsoft.com/office/drawing/2014/main" id="{23C33CC9-1478-49D6-86BD-75A3E19A371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89" name="AutoShape 1" descr="Vista previa de toda la pantalla">
          <a:extLst>
            <a:ext uri="{FF2B5EF4-FFF2-40B4-BE49-F238E27FC236}">
              <a16:creationId xmlns:a16="http://schemas.microsoft.com/office/drawing/2014/main" id="{82639F0C-447C-46EA-AB92-08433B6CA29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0" name="AutoShape 1" descr="Vista previa de toda la pantalla">
          <a:extLst>
            <a:ext uri="{FF2B5EF4-FFF2-40B4-BE49-F238E27FC236}">
              <a16:creationId xmlns:a16="http://schemas.microsoft.com/office/drawing/2014/main" id="{71085BB3-29E5-4E24-82D8-6BF963568D3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1" name="AutoShape 1" descr="Vista previa de toda la pantalla">
          <a:extLst>
            <a:ext uri="{FF2B5EF4-FFF2-40B4-BE49-F238E27FC236}">
              <a16:creationId xmlns:a16="http://schemas.microsoft.com/office/drawing/2014/main" id="{E652193B-8D82-46B9-817D-C4A4A16887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2" name="AutoShape 1" descr="Vista previa de toda la pantalla">
          <a:extLst>
            <a:ext uri="{FF2B5EF4-FFF2-40B4-BE49-F238E27FC236}">
              <a16:creationId xmlns:a16="http://schemas.microsoft.com/office/drawing/2014/main" id="{0F867274-A89E-4059-ABAA-2A9ECCB6B21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3" name="AutoShape 1" descr="Vista previa de toda la pantalla">
          <a:extLst>
            <a:ext uri="{FF2B5EF4-FFF2-40B4-BE49-F238E27FC236}">
              <a16:creationId xmlns:a16="http://schemas.microsoft.com/office/drawing/2014/main" id="{EA6AACF0-C835-459F-8A42-2B81AC53256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4" name="AutoShape 1" descr="Vista previa de toda la pantalla">
          <a:extLst>
            <a:ext uri="{FF2B5EF4-FFF2-40B4-BE49-F238E27FC236}">
              <a16:creationId xmlns:a16="http://schemas.microsoft.com/office/drawing/2014/main" id="{A1146375-D25E-4A2F-BDD3-FCE06A8F185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5" name="AutoShape 1" descr="Vista previa de toda la pantalla">
          <a:extLst>
            <a:ext uri="{FF2B5EF4-FFF2-40B4-BE49-F238E27FC236}">
              <a16:creationId xmlns:a16="http://schemas.microsoft.com/office/drawing/2014/main" id="{E2CD8DB4-CD91-4304-82D5-BC20BD0D953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6" name="AutoShape 1" descr="Vista previa de toda la pantalla">
          <a:extLst>
            <a:ext uri="{FF2B5EF4-FFF2-40B4-BE49-F238E27FC236}">
              <a16:creationId xmlns:a16="http://schemas.microsoft.com/office/drawing/2014/main" id="{F87AA1AA-BE7E-4396-8045-37B891823E8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7" name="AutoShape 1" descr="Vista previa de toda la pantalla">
          <a:extLst>
            <a:ext uri="{FF2B5EF4-FFF2-40B4-BE49-F238E27FC236}">
              <a16:creationId xmlns:a16="http://schemas.microsoft.com/office/drawing/2014/main" id="{F4E9A150-8EDA-417D-A8D9-2764A041D5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8" name="AutoShape 1" descr="Vista previa de toda la pantalla">
          <a:extLst>
            <a:ext uri="{FF2B5EF4-FFF2-40B4-BE49-F238E27FC236}">
              <a16:creationId xmlns:a16="http://schemas.microsoft.com/office/drawing/2014/main" id="{CD0DDE7F-53EC-4231-91AF-A810575567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199" name="AutoShape 1" descr="Vista previa de toda la pantalla">
          <a:extLst>
            <a:ext uri="{FF2B5EF4-FFF2-40B4-BE49-F238E27FC236}">
              <a16:creationId xmlns:a16="http://schemas.microsoft.com/office/drawing/2014/main" id="{BDC77CAD-93E8-4BE9-BBD9-F7C933FB036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0" name="AutoShape 1" descr="Vista previa de toda la pantalla">
          <a:extLst>
            <a:ext uri="{FF2B5EF4-FFF2-40B4-BE49-F238E27FC236}">
              <a16:creationId xmlns:a16="http://schemas.microsoft.com/office/drawing/2014/main" id="{5EA25C16-4F7F-4F43-9BCB-11374547FA3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1" name="AutoShape 1" descr="Vista previa de toda la pantalla">
          <a:extLst>
            <a:ext uri="{FF2B5EF4-FFF2-40B4-BE49-F238E27FC236}">
              <a16:creationId xmlns:a16="http://schemas.microsoft.com/office/drawing/2014/main" id="{66294FE5-6D23-4BA4-AA02-D23AB526F3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2" name="AutoShape 1" descr="Vista previa de toda la pantalla">
          <a:extLst>
            <a:ext uri="{FF2B5EF4-FFF2-40B4-BE49-F238E27FC236}">
              <a16:creationId xmlns:a16="http://schemas.microsoft.com/office/drawing/2014/main" id="{58E58FA4-653E-41BB-B8F2-D842007A9E8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3" name="AutoShape 1" descr="Vista previa de toda la pantalla">
          <a:extLst>
            <a:ext uri="{FF2B5EF4-FFF2-40B4-BE49-F238E27FC236}">
              <a16:creationId xmlns:a16="http://schemas.microsoft.com/office/drawing/2014/main" id="{74D897C0-780F-4FE6-8B45-A81D4D8AB6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4" name="AutoShape 1" descr="Vista previa de toda la pantalla">
          <a:extLst>
            <a:ext uri="{FF2B5EF4-FFF2-40B4-BE49-F238E27FC236}">
              <a16:creationId xmlns:a16="http://schemas.microsoft.com/office/drawing/2014/main" id="{36A8B0BF-D3ED-4922-ABD4-9751AB6658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5" name="AutoShape 1" descr="Vista previa de toda la pantalla">
          <a:extLst>
            <a:ext uri="{FF2B5EF4-FFF2-40B4-BE49-F238E27FC236}">
              <a16:creationId xmlns:a16="http://schemas.microsoft.com/office/drawing/2014/main" id="{93F5CA27-73FD-4BFF-B64F-3C529A0D0E6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6" name="AutoShape 1" descr="Vista previa de toda la pantalla">
          <a:extLst>
            <a:ext uri="{FF2B5EF4-FFF2-40B4-BE49-F238E27FC236}">
              <a16:creationId xmlns:a16="http://schemas.microsoft.com/office/drawing/2014/main" id="{5C80EAA2-D193-4AF9-B914-2689291A7FB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7" name="AutoShape 1" descr="Vista previa de toda la pantalla">
          <a:extLst>
            <a:ext uri="{FF2B5EF4-FFF2-40B4-BE49-F238E27FC236}">
              <a16:creationId xmlns:a16="http://schemas.microsoft.com/office/drawing/2014/main" id="{65D6BA72-9E52-4F09-B1B9-F5E2DEFCF37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8" name="AutoShape 1" descr="Vista previa de toda la pantalla">
          <a:extLst>
            <a:ext uri="{FF2B5EF4-FFF2-40B4-BE49-F238E27FC236}">
              <a16:creationId xmlns:a16="http://schemas.microsoft.com/office/drawing/2014/main" id="{6C450D32-8DD5-4DA9-954C-4E9798C2671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09" name="AutoShape 1" descr="Vista previa de toda la pantalla">
          <a:extLst>
            <a:ext uri="{FF2B5EF4-FFF2-40B4-BE49-F238E27FC236}">
              <a16:creationId xmlns:a16="http://schemas.microsoft.com/office/drawing/2014/main" id="{C309D153-6BE8-4CE7-948E-A97A3E30AD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0" name="AutoShape 1" descr="Vista previa de toda la pantalla">
          <a:extLst>
            <a:ext uri="{FF2B5EF4-FFF2-40B4-BE49-F238E27FC236}">
              <a16:creationId xmlns:a16="http://schemas.microsoft.com/office/drawing/2014/main" id="{CE869BC5-EE3F-43CB-9468-9D40E5C9E7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1" name="AutoShape 1" descr="Vista previa de toda la pantalla">
          <a:extLst>
            <a:ext uri="{FF2B5EF4-FFF2-40B4-BE49-F238E27FC236}">
              <a16:creationId xmlns:a16="http://schemas.microsoft.com/office/drawing/2014/main" id="{295EC8DE-C7D0-479F-A382-1F7C39AAE8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2" name="AutoShape 1" descr="Vista previa de toda la pantalla">
          <a:extLst>
            <a:ext uri="{FF2B5EF4-FFF2-40B4-BE49-F238E27FC236}">
              <a16:creationId xmlns:a16="http://schemas.microsoft.com/office/drawing/2014/main" id="{6C5F90FB-0FCE-4913-BD9C-B1CED3180AA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3" name="AutoShape 1" descr="Vista previa de toda la pantalla">
          <a:extLst>
            <a:ext uri="{FF2B5EF4-FFF2-40B4-BE49-F238E27FC236}">
              <a16:creationId xmlns:a16="http://schemas.microsoft.com/office/drawing/2014/main" id="{E73E792D-748C-442E-8BF8-A0049854F3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4" name="AutoShape 1" descr="Vista previa de toda la pantalla">
          <a:extLst>
            <a:ext uri="{FF2B5EF4-FFF2-40B4-BE49-F238E27FC236}">
              <a16:creationId xmlns:a16="http://schemas.microsoft.com/office/drawing/2014/main" id="{ED86CA4B-4E3A-4287-9330-8ACFEFA1590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5" name="AutoShape 1" descr="Vista previa de toda la pantalla">
          <a:extLst>
            <a:ext uri="{FF2B5EF4-FFF2-40B4-BE49-F238E27FC236}">
              <a16:creationId xmlns:a16="http://schemas.microsoft.com/office/drawing/2014/main" id="{1B90D623-7B52-4004-9346-2C05B751CA2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6" name="AutoShape 1" descr="Vista previa de toda la pantalla">
          <a:extLst>
            <a:ext uri="{FF2B5EF4-FFF2-40B4-BE49-F238E27FC236}">
              <a16:creationId xmlns:a16="http://schemas.microsoft.com/office/drawing/2014/main" id="{FE766356-EFD0-40B5-B001-5462F8B2480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7" name="AutoShape 1" descr="Vista previa de toda la pantalla">
          <a:extLst>
            <a:ext uri="{FF2B5EF4-FFF2-40B4-BE49-F238E27FC236}">
              <a16:creationId xmlns:a16="http://schemas.microsoft.com/office/drawing/2014/main" id="{779F1A33-402C-4BFA-9927-F6296B56D1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8" name="AutoShape 1" descr="Vista previa de toda la pantalla">
          <a:extLst>
            <a:ext uri="{FF2B5EF4-FFF2-40B4-BE49-F238E27FC236}">
              <a16:creationId xmlns:a16="http://schemas.microsoft.com/office/drawing/2014/main" id="{76F4006D-4477-48E2-9306-8E4613CA21F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19" name="AutoShape 1" descr="Vista previa de toda la pantalla">
          <a:extLst>
            <a:ext uri="{FF2B5EF4-FFF2-40B4-BE49-F238E27FC236}">
              <a16:creationId xmlns:a16="http://schemas.microsoft.com/office/drawing/2014/main" id="{76808FB5-FEB9-4D22-8275-4C224CA684B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0" name="AutoShape 1" descr="Vista previa de toda la pantalla">
          <a:extLst>
            <a:ext uri="{FF2B5EF4-FFF2-40B4-BE49-F238E27FC236}">
              <a16:creationId xmlns:a16="http://schemas.microsoft.com/office/drawing/2014/main" id="{AD1916E2-6EA2-41DB-89D1-627A72CACBC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1" name="AutoShape 1" descr="Vista previa de toda la pantalla">
          <a:extLst>
            <a:ext uri="{FF2B5EF4-FFF2-40B4-BE49-F238E27FC236}">
              <a16:creationId xmlns:a16="http://schemas.microsoft.com/office/drawing/2014/main" id="{01869C11-6B20-4940-95E6-88252095D58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2" name="AutoShape 1" descr="Vista previa de toda la pantalla">
          <a:extLst>
            <a:ext uri="{FF2B5EF4-FFF2-40B4-BE49-F238E27FC236}">
              <a16:creationId xmlns:a16="http://schemas.microsoft.com/office/drawing/2014/main" id="{17D4B666-648E-400D-9C56-04B60663D3B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3" name="AutoShape 1" descr="Vista previa de toda la pantalla">
          <a:extLst>
            <a:ext uri="{FF2B5EF4-FFF2-40B4-BE49-F238E27FC236}">
              <a16:creationId xmlns:a16="http://schemas.microsoft.com/office/drawing/2014/main" id="{7B8A5427-95E6-47F5-B00F-921972CEFD0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4" name="AutoShape 1" descr="Vista previa de toda la pantalla">
          <a:extLst>
            <a:ext uri="{FF2B5EF4-FFF2-40B4-BE49-F238E27FC236}">
              <a16:creationId xmlns:a16="http://schemas.microsoft.com/office/drawing/2014/main" id="{B1DD298F-1F4A-4B8E-AD75-39E01CF27E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5" name="AutoShape 1" descr="Vista previa de toda la pantalla">
          <a:extLst>
            <a:ext uri="{FF2B5EF4-FFF2-40B4-BE49-F238E27FC236}">
              <a16:creationId xmlns:a16="http://schemas.microsoft.com/office/drawing/2014/main" id="{D31C0ED2-98D3-4854-A50B-83FD57586E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6" name="AutoShape 1" descr="Vista previa de toda la pantalla">
          <a:extLst>
            <a:ext uri="{FF2B5EF4-FFF2-40B4-BE49-F238E27FC236}">
              <a16:creationId xmlns:a16="http://schemas.microsoft.com/office/drawing/2014/main" id="{47C443B5-3B35-4910-93AC-789F2158894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7" name="AutoShape 1" descr="Vista previa de toda la pantalla">
          <a:extLst>
            <a:ext uri="{FF2B5EF4-FFF2-40B4-BE49-F238E27FC236}">
              <a16:creationId xmlns:a16="http://schemas.microsoft.com/office/drawing/2014/main" id="{12E6FC18-9132-43CD-9EEB-922E6B3559B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8" name="AutoShape 1" descr="Vista previa de toda la pantalla">
          <a:extLst>
            <a:ext uri="{FF2B5EF4-FFF2-40B4-BE49-F238E27FC236}">
              <a16:creationId xmlns:a16="http://schemas.microsoft.com/office/drawing/2014/main" id="{2B3E0321-6122-40DD-AF4D-B55B416A7D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29" name="AutoShape 1" descr="Vista previa de toda la pantalla">
          <a:extLst>
            <a:ext uri="{FF2B5EF4-FFF2-40B4-BE49-F238E27FC236}">
              <a16:creationId xmlns:a16="http://schemas.microsoft.com/office/drawing/2014/main" id="{8C8BD547-929F-4FB2-8966-D471F1F382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0" name="AutoShape 1" descr="Vista previa de toda la pantalla">
          <a:extLst>
            <a:ext uri="{FF2B5EF4-FFF2-40B4-BE49-F238E27FC236}">
              <a16:creationId xmlns:a16="http://schemas.microsoft.com/office/drawing/2014/main" id="{F5960025-313B-4DE2-8AAC-16F6F215BE1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1" name="AutoShape 1" descr="Vista previa de toda la pantalla">
          <a:extLst>
            <a:ext uri="{FF2B5EF4-FFF2-40B4-BE49-F238E27FC236}">
              <a16:creationId xmlns:a16="http://schemas.microsoft.com/office/drawing/2014/main" id="{4139B457-38F3-447F-A151-09A88FC377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2" name="AutoShape 1" descr="Vista previa de toda la pantalla">
          <a:extLst>
            <a:ext uri="{FF2B5EF4-FFF2-40B4-BE49-F238E27FC236}">
              <a16:creationId xmlns:a16="http://schemas.microsoft.com/office/drawing/2014/main" id="{EBBC6CD2-3481-42D9-89D5-05FFE79F829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3" name="AutoShape 1" descr="Vista previa de toda la pantalla">
          <a:extLst>
            <a:ext uri="{FF2B5EF4-FFF2-40B4-BE49-F238E27FC236}">
              <a16:creationId xmlns:a16="http://schemas.microsoft.com/office/drawing/2014/main" id="{E9614774-CDF2-434C-8627-CEB397D3369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4" name="AutoShape 1" descr="Vista previa de toda la pantalla">
          <a:extLst>
            <a:ext uri="{FF2B5EF4-FFF2-40B4-BE49-F238E27FC236}">
              <a16:creationId xmlns:a16="http://schemas.microsoft.com/office/drawing/2014/main" id="{AAB97F26-1C14-4991-AEC8-5C2F621D7AD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5" name="AutoShape 1" descr="Vista previa de toda la pantalla">
          <a:extLst>
            <a:ext uri="{FF2B5EF4-FFF2-40B4-BE49-F238E27FC236}">
              <a16:creationId xmlns:a16="http://schemas.microsoft.com/office/drawing/2014/main" id="{1CC0E9F7-D7F9-45BA-9C78-956AF03770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6" name="AutoShape 1" descr="Vista previa de toda la pantalla">
          <a:extLst>
            <a:ext uri="{FF2B5EF4-FFF2-40B4-BE49-F238E27FC236}">
              <a16:creationId xmlns:a16="http://schemas.microsoft.com/office/drawing/2014/main" id="{D92FB61A-D706-4CD2-A6B8-70FC4F37583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7" name="AutoShape 1" descr="Vista previa de toda la pantalla">
          <a:extLst>
            <a:ext uri="{FF2B5EF4-FFF2-40B4-BE49-F238E27FC236}">
              <a16:creationId xmlns:a16="http://schemas.microsoft.com/office/drawing/2014/main" id="{8CA52088-93A5-460C-8707-BFE5861D62E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8" name="AutoShape 1" descr="Vista previa de toda la pantalla">
          <a:extLst>
            <a:ext uri="{FF2B5EF4-FFF2-40B4-BE49-F238E27FC236}">
              <a16:creationId xmlns:a16="http://schemas.microsoft.com/office/drawing/2014/main" id="{DBFAED14-5A16-465D-90DE-C86A5A29FA7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39" name="AutoShape 1" descr="Vista previa de toda la pantalla">
          <a:extLst>
            <a:ext uri="{FF2B5EF4-FFF2-40B4-BE49-F238E27FC236}">
              <a16:creationId xmlns:a16="http://schemas.microsoft.com/office/drawing/2014/main" id="{0B471BA4-F98B-4977-A0FA-BBA8DC23AC6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0" name="AutoShape 1" descr="Vista previa de toda la pantalla">
          <a:extLst>
            <a:ext uri="{FF2B5EF4-FFF2-40B4-BE49-F238E27FC236}">
              <a16:creationId xmlns:a16="http://schemas.microsoft.com/office/drawing/2014/main" id="{B4D54111-765E-4DBD-A066-2768AC0DED9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1" name="AutoShape 1" descr="Vista previa de toda la pantalla">
          <a:extLst>
            <a:ext uri="{FF2B5EF4-FFF2-40B4-BE49-F238E27FC236}">
              <a16:creationId xmlns:a16="http://schemas.microsoft.com/office/drawing/2014/main" id="{46DBB8FA-7198-4C61-9CD0-E28DCBE9CC2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2" name="AutoShape 1" descr="Vista previa de toda la pantalla">
          <a:extLst>
            <a:ext uri="{FF2B5EF4-FFF2-40B4-BE49-F238E27FC236}">
              <a16:creationId xmlns:a16="http://schemas.microsoft.com/office/drawing/2014/main" id="{5B0791C3-A901-452C-9939-C55DA0AAD2D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3" name="AutoShape 1" descr="Vista previa de toda la pantalla">
          <a:extLst>
            <a:ext uri="{FF2B5EF4-FFF2-40B4-BE49-F238E27FC236}">
              <a16:creationId xmlns:a16="http://schemas.microsoft.com/office/drawing/2014/main" id="{BE632216-F4E4-40C6-901D-1167F73311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4" name="AutoShape 1" descr="Vista previa de toda la pantalla">
          <a:extLst>
            <a:ext uri="{FF2B5EF4-FFF2-40B4-BE49-F238E27FC236}">
              <a16:creationId xmlns:a16="http://schemas.microsoft.com/office/drawing/2014/main" id="{D7849C72-AE91-4B94-9C44-256A7A321BC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5" name="AutoShape 1" descr="Vista previa de toda la pantalla">
          <a:extLst>
            <a:ext uri="{FF2B5EF4-FFF2-40B4-BE49-F238E27FC236}">
              <a16:creationId xmlns:a16="http://schemas.microsoft.com/office/drawing/2014/main" id="{C192B936-E85D-4CDE-ABE0-1DCD645F45B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6" name="AutoShape 1" descr="Vista previa de toda la pantalla">
          <a:extLst>
            <a:ext uri="{FF2B5EF4-FFF2-40B4-BE49-F238E27FC236}">
              <a16:creationId xmlns:a16="http://schemas.microsoft.com/office/drawing/2014/main" id="{D5CF4610-3DDE-403E-ABB3-C9D0D61006D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7" name="AutoShape 1" descr="Vista previa de toda la pantalla">
          <a:extLst>
            <a:ext uri="{FF2B5EF4-FFF2-40B4-BE49-F238E27FC236}">
              <a16:creationId xmlns:a16="http://schemas.microsoft.com/office/drawing/2014/main" id="{7D55A428-D169-4629-948D-02A2F9E89C6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8" name="AutoShape 1" descr="Vista previa de toda la pantalla">
          <a:extLst>
            <a:ext uri="{FF2B5EF4-FFF2-40B4-BE49-F238E27FC236}">
              <a16:creationId xmlns:a16="http://schemas.microsoft.com/office/drawing/2014/main" id="{2F0AA616-5F2D-4D64-B83B-97FDEA2644E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49" name="AutoShape 1" descr="Vista previa de toda la pantalla">
          <a:extLst>
            <a:ext uri="{FF2B5EF4-FFF2-40B4-BE49-F238E27FC236}">
              <a16:creationId xmlns:a16="http://schemas.microsoft.com/office/drawing/2014/main" id="{E567848F-1196-4C86-AC11-DD0BE078F38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50" name="AutoShape 1" descr="Vista previa de toda la pantalla">
          <a:extLst>
            <a:ext uri="{FF2B5EF4-FFF2-40B4-BE49-F238E27FC236}">
              <a16:creationId xmlns:a16="http://schemas.microsoft.com/office/drawing/2014/main" id="{552174BC-FF7E-4476-8148-B1C3D9B266F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51" name="AutoShape 1" descr="Vista previa de toda la pantalla">
          <a:extLst>
            <a:ext uri="{FF2B5EF4-FFF2-40B4-BE49-F238E27FC236}">
              <a16:creationId xmlns:a16="http://schemas.microsoft.com/office/drawing/2014/main" id="{B329B7D6-EAEC-420E-A1AB-56D02EE9F5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501854</xdr:colOff>
      <xdr:row>0</xdr:row>
      <xdr:rowOff>174114</xdr:rowOff>
    </xdr:from>
    <xdr:ext cx="304800" cy="302602"/>
    <xdr:sp macro="" textlink="">
      <xdr:nvSpPr>
        <xdr:cNvPr id="15252" name="AutoShape 1" descr="Vista previa de toda la pantalla">
          <a:extLst>
            <a:ext uri="{FF2B5EF4-FFF2-40B4-BE49-F238E27FC236}">
              <a16:creationId xmlns:a16="http://schemas.microsoft.com/office/drawing/2014/main" id="{4976E570-7ADD-4574-B1E5-FB2424C71410}"/>
            </a:ext>
          </a:extLst>
        </xdr:cNvPr>
        <xdr:cNvSpPr>
          <a:spLocks noChangeAspect="1" noChangeArrowheads="1"/>
        </xdr:cNvSpPr>
      </xdr:nvSpPr>
      <xdr:spPr bwMode="auto">
        <a:xfrm>
          <a:off x="5454854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53" name="AutoShape 1" descr="Vista previa de toda la pantalla">
          <a:extLst>
            <a:ext uri="{FF2B5EF4-FFF2-40B4-BE49-F238E27FC236}">
              <a16:creationId xmlns:a16="http://schemas.microsoft.com/office/drawing/2014/main" id="{FA9A3132-A9B0-403E-A68F-C3D02B863C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54" name="AutoShape 1" descr="Vista previa de toda la pantalla">
          <a:extLst>
            <a:ext uri="{FF2B5EF4-FFF2-40B4-BE49-F238E27FC236}">
              <a16:creationId xmlns:a16="http://schemas.microsoft.com/office/drawing/2014/main" id="{865BFE08-9E25-490D-81DD-E21E8811DA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55" name="AutoShape 1" descr="Vista previa de toda la pantalla">
          <a:extLst>
            <a:ext uri="{FF2B5EF4-FFF2-40B4-BE49-F238E27FC236}">
              <a16:creationId xmlns:a16="http://schemas.microsoft.com/office/drawing/2014/main" id="{1D7881AA-CA07-44DF-95D8-1FEE52183A9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56" name="AutoShape 1" descr="Vista previa de toda la pantalla">
          <a:extLst>
            <a:ext uri="{FF2B5EF4-FFF2-40B4-BE49-F238E27FC236}">
              <a16:creationId xmlns:a16="http://schemas.microsoft.com/office/drawing/2014/main" id="{3DBA3C58-9E27-4DDC-8BBE-24B38F1A71F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57" name="AutoShape 1" descr="Vista previa de toda la pantalla">
          <a:extLst>
            <a:ext uri="{FF2B5EF4-FFF2-40B4-BE49-F238E27FC236}">
              <a16:creationId xmlns:a16="http://schemas.microsoft.com/office/drawing/2014/main" id="{D7F969A2-B8A7-4109-B86F-01C9AC2D20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58" name="AutoShape 1" descr="Vista previa de toda la pantalla">
          <a:extLst>
            <a:ext uri="{FF2B5EF4-FFF2-40B4-BE49-F238E27FC236}">
              <a16:creationId xmlns:a16="http://schemas.microsoft.com/office/drawing/2014/main" id="{CFA5D9EF-68BB-4C4B-B611-EB9C42B4B0C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59" name="AutoShape 1" descr="Vista previa de toda la pantalla">
          <a:extLst>
            <a:ext uri="{FF2B5EF4-FFF2-40B4-BE49-F238E27FC236}">
              <a16:creationId xmlns:a16="http://schemas.microsoft.com/office/drawing/2014/main" id="{3FC727A0-5200-426B-9765-12D4A37A4D6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0" name="AutoShape 1" descr="Vista previa de toda la pantalla">
          <a:extLst>
            <a:ext uri="{FF2B5EF4-FFF2-40B4-BE49-F238E27FC236}">
              <a16:creationId xmlns:a16="http://schemas.microsoft.com/office/drawing/2014/main" id="{2F1149BB-1783-46B2-83A2-871792B2A84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1" name="AutoShape 1" descr="Vista previa de toda la pantalla">
          <a:extLst>
            <a:ext uri="{FF2B5EF4-FFF2-40B4-BE49-F238E27FC236}">
              <a16:creationId xmlns:a16="http://schemas.microsoft.com/office/drawing/2014/main" id="{6190774A-00B8-411E-B3EE-3FE3B082135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2" name="AutoShape 1" descr="Vista previa de toda la pantalla">
          <a:extLst>
            <a:ext uri="{FF2B5EF4-FFF2-40B4-BE49-F238E27FC236}">
              <a16:creationId xmlns:a16="http://schemas.microsoft.com/office/drawing/2014/main" id="{12ACCE84-167A-479D-A25F-C0650DBA51C8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3" name="AutoShape 1" descr="Vista previa de toda la pantalla">
          <a:extLst>
            <a:ext uri="{FF2B5EF4-FFF2-40B4-BE49-F238E27FC236}">
              <a16:creationId xmlns:a16="http://schemas.microsoft.com/office/drawing/2014/main" id="{97EE3645-AB13-4B9D-9D25-377D772D939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4" name="AutoShape 1" descr="Vista previa de toda la pantalla">
          <a:extLst>
            <a:ext uri="{FF2B5EF4-FFF2-40B4-BE49-F238E27FC236}">
              <a16:creationId xmlns:a16="http://schemas.microsoft.com/office/drawing/2014/main" id="{A41EE466-81C0-43BB-9589-0B5C49AC2A6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5" name="AutoShape 1" descr="Vista previa de toda la pantalla">
          <a:extLst>
            <a:ext uri="{FF2B5EF4-FFF2-40B4-BE49-F238E27FC236}">
              <a16:creationId xmlns:a16="http://schemas.microsoft.com/office/drawing/2014/main" id="{BE13C12D-455E-47CC-A2F7-0CF05EFF0F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6" name="AutoShape 1" descr="Vista previa de toda la pantalla">
          <a:extLst>
            <a:ext uri="{FF2B5EF4-FFF2-40B4-BE49-F238E27FC236}">
              <a16:creationId xmlns:a16="http://schemas.microsoft.com/office/drawing/2014/main" id="{F5A6145D-A882-4F81-B687-4870817A36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7" name="AutoShape 1" descr="Vista previa de toda la pantalla">
          <a:extLst>
            <a:ext uri="{FF2B5EF4-FFF2-40B4-BE49-F238E27FC236}">
              <a16:creationId xmlns:a16="http://schemas.microsoft.com/office/drawing/2014/main" id="{E25796DE-802D-46A0-B5AC-CE1651C460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8" name="AutoShape 1" descr="Vista previa de toda la pantalla">
          <a:extLst>
            <a:ext uri="{FF2B5EF4-FFF2-40B4-BE49-F238E27FC236}">
              <a16:creationId xmlns:a16="http://schemas.microsoft.com/office/drawing/2014/main" id="{15E30C9F-6578-4C0D-B8CC-BCAD940C164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69" name="AutoShape 1" descr="Vista previa de toda la pantalla">
          <a:extLst>
            <a:ext uri="{FF2B5EF4-FFF2-40B4-BE49-F238E27FC236}">
              <a16:creationId xmlns:a16="http://schemas.microsoft.com/office/drawing/2014/main" id="{CD9A97D2-7EF5-4322-9676-4463C03F13F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70" name="AutoShape 1" descr="Vista previa de toda la pantalla">
          <a:extLst>
            <a:ext uri="{FF2B5EF4-FFF2-40B4-BE49-F238E27FC236}">
              <a16:creationId xmlns:a16="http://schemas.microsoft.com/office/drawing/2014/main" id="{BE30409C-3A31-4748-BF77-3914A8DDE37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71" name="AutoShape 1" descr="Vista previa de toda la pantalla">
          <a:extLst>
            <a:ext uri="{FF2B5EF4-FFF2-40B4-BE49-F238E27FC236}">
              <a16:creationId xmlns:a16="http://schemas.microsoft.com/office/drawing/2014/main" id="{DD05E073-2A5A-45CA-85A7-276B2634FC3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72" name="AutoShape 1" descr="Vista previa de toda la pantalla">
          <a:extLst>
            <a:ext uri="{FF2B5EF4-FFF2-40B4-BE49-F238E27FC236}">
              <a16:creationId xmlns:a16="http://schemas.microsoft.com/office/drawing/2014/main" id="{36A09F74-52B3-43EC-AF41-F92377894C1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73" name="AutoShape 1" descr="Vista previa de toda la pantalla">
          <a:extLst>
            <a:ext uri="{FF2B5EF4-FFF2-40B4-BE49-F238E27FC236}">
              <a16:creationId xmlns:a16="http://schemas.microsoft.com/office/drawing/2014/main" id="{76FE44FC-8BCF-4A19-B009-CC4AC0C1301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2602"/>
    <xdr:sp macro="" textlink="">
      <xdr:nvSpPr>
        <xdr:cNvPr id="15274" name="AutoShape 1" descr="Vista previa de toda la pantalla">
          <a:extLst>
            <a:ext uri="{FF2B5EF4-FFF2-40B4-BE49-F238E27FC236}">
              <a16:creationId xmlns:a16="http://schemas.microsoft.com/office/drawing/2014/main" id="{8668E4CD-FE0B-452F-AA32-2AB78B344C5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501854</xdr:colOff>
      <xdr:row>0</xdr:row>
      <xdr:rowOff>174114</xdr:rowOff>
    </xdr:from>
    <xdr:ext cx="304800" cy="302602"/>
    <xdr:sp macro="" textlink="">
      <xdr:nvSpPr>
        <xdr:cNvPr id="15275" name="AutoShape 1" descr="Vista previa de toda la pantalla">
          <a:extLst>
            <a:ext uri="{FF2B5EF4-FFF2-40B4-BE49-F238E27FC236}">
              <a16:creationId xmlns:a16="http://schemas.microsoft.com/office/drawing/2014/main" id="{0E0DD6B6-54B3-4B6B-BD51-BF3D337FCD61}"/>
            </a:ext>
          </a:extLst>
        </xdr:cNvPr>
        <xdr:cNvSpPr>
          <a:spLocks noChangeAspect="1" noChangeArrowheads="1"/>
        </xdr:cNvSpPr>
      </xdr:nvSpPr>
      <xdr:spPr bwMode="auto">
        <a:xfrm>
          <a:off x="5454854" y="190500"/>
          <a:ext cx="304800" cy="30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L1038167"/>
  <sheetViews>
    <sheetView tabSelected="1" zoomScaleNormal="100" workbookViewId="0">
      <pane ySplit="1" topLeftCell="A1895" activePane="bottomLeft" state="frozen"/>
      <selection pane="bottomLeft" activeCell="D1" sqref="D1"/>
    </sheetView>
  </sheetViews>
  <sheetFormatPr baseColWidth="10" defaultColWidth="9.140625" defaultRowHeight="15" outlineLevelCol="1" x14ac:dyDescent="0.25"/>
  <cols>
    <col min="1" max="1" width="23.7109375" bestFit="1" customWidth="1"/>
    <col min="2" max="2" width="20.85546875" style="183" bestFit="1" customWidth="1" outlineLevel="1"/>
    <col min="3" max="3" width="17.28515625" style="166" customWidth="1" outlineLevel="1"/>
    <col min="4" max="4" width="10.140625" style="5" customWidth="1"/>
    <col min="5" max="5" width="6.85546875" style="166" customWidth="1"/>
    <col min="6" max="6" width="22.7109375" bestFit="1" customWidth="1" outlineLevel="1"/>
    <col min="7" max="7" width="94.5703125" style="10" bestFit="1" customWidth="1" outlineLevel="1"/>
    <col min="8" max="8" width="34.42578125" bestFit="1" customWidth="1" outlineLevel="1"/>
    <col min="9" max="9" width="78.7109375" bestFit="1" customWidth="1"/>
    <col min="10" max="10" width="18.7109375" style="166" bestFit="1" customWidth="1"/>
    <col min="11" max="11" width="24.42578125" bestFit="1" customWidth="1"/>
    <col min="12" max="12" width="99.42578125" bestFit="1" customWidth="1"/>
    <col min="13" max="13" width="42.42578125" customWidth="1"/>
    <col min="14" max="14" width="28.140625" bestFit="1" customWidth="1"/>
    <col min="15" max="15" width="20.140625" customWidth="1"/>
    <col min="16" max="16" width="63.28515625" bestFit="1" customWidth="1"/>
    <col min="17" max="17" width="99.42578125" bestFit="1" customWidth="1"/>
    <col min="18" max="18" width="30.140625" customWidth="1"/>
    <col min="19" max="19" width="31.5703125" bestFit="1" customWidth="1"/>
  </cols>
  <sheetData>
    <row r="1" spans="1:19" ht="23.25" customHeight="1" x14ac:dyDescent="0.25">
      <c r="A1" s="182" t="s">
        <v>0</v>
      </c>
      <c r="B1" s="182" t="s">
        <v>1</v>
      </c>
      <c r="C1" s="182" t="s">
        <v>2</v>
      </c>
      <c r="D1" s="182" t="s">
        <v>4</v>
      </c>
      <c r="E1" s="182" t="s">
        <v>5</v>
      </c>
      <c r="F1" s="182" t="s">
        <v>6</v>
      </c>
      <c r="G1" s="182" t="s">
        <v>7</v>
      </c>
      <c r="H1" s="182" t="s">
        <v>3</v>
      </c>
      <c r="I1" s="182" t="s">
        <v>8</v>
      </c>
      <c r="J1" s="182" t="s">
        <v>9</v>
      </c>
      <c r="K1" s="182" t="s">
        <v>10</v>
      </c>
      <c r="L1" s="182" t="s">
        <v>11</v>
      </c>
      <c r="M1" s="182" t="s">
        <v>12</v>
      </c>
      <c r="N1" s="182" t="s">
        <v>275</v>
      </c>
      <c r="O1" s="182" t="s">
        <v>2</v>
      </c>
      <c r="P1" s="182" t="s">
        <v>58</v>
      </c>
      <c r="Q1" s="182" t="s">
        <v>13</v>
      </c>
      <c r="R1" s="184" t="s">
        <v>100</v>
      </c>
      <c r="S1" s="182" t="s">
        <v>101</v>
      </c>
    </row>
    <row r="2" spans="1:19" s="20" customFormat="1" ht="21.75" hidden="1" customHeight="1" x14ac:dyDescent="0.2">
      <c r="A2" s="129" t="s">
        <v>177</v>
      </c>
      <c r="B2" s="130"/>
      <c r="C2" s="131" t="s">
        <v>2123</v>
      </c>
      <c r="D2" s="132">
        <v>600</v>
      </c>
      <c r="E2" s="133"/>
      <c r="F2" s="85" t="s">
        <v>156</v>
      </c>
      <c r="G2" s="85" t="s">
        <v>127</v>
      </c>
      <c r="H2" s="130" t="s">
        <v>165</v>
      </c>
      <c r="I2" s="129" t="s">
        <v>180</v>
      </c>
      <c r="J2" s="134">
        <v>20527551154</v>
      </c>
      <c r="K2" s="130"/>
      <c r="L2" s="65"/>
      <c r="M2" s="65"/>
      <c r="N2" s="65"/>
      <c r="O2" s="65"/>
      <c r="P2" s="65"/>
      <c r="Q2" s="65"/>
      <c r="R2" s="65"/>
      <c r="S2" s="65"/>
    </row>
    <row r="3" spans="1:19" s="20" customFormat="1" ht="21.75" hidden="1" customHeight="1" x14ac:dyDescent="0.2">
      <c r="A3" s="53" t="s">
        <v>177</v>
      </c>
      <c r="B3" s="75"/>
      <c r="C3" s="28" t="s">
        <v>2123</v>
      </c>
      <c r="D3" s="55">
        <v>48</v>
      </c>
      <c r="E3" s="54"/>
      <c r="F3" s="84" t="s">
        <v>21</v>
      </c>
      <c r="G3" s="84" t="s">
        <v>115</v>
      </c>
      <c r="H3" s="75" t="s">
        <v>165</v>
      </c>
      <c r="I3" s="53" t="s">
        <v>180</v>
      </c>
      <c r="J3" s="58">
        <v>20527551154</v>
      </c>
      <c r="K3" s="75"/>
      <c r="L3" s="56"/>
      <c r="M3" s="56"/>
      <c r="N3" s="56"/>
      <c r="O3" s="56"/>
      <c r="P3" s="56"/>
      <c r="Q3" s="56"/>
      <c r="R3" s="56"/>
      <c r="S3" s="56"/>
    </row>
    <row r="4" spans="1:19" s="20" customFormat="1" ht="21.75" hidden="1" customHeight="1" x14ac:dyDescent="0.2">
      <c r="A4" s="53" t="s">
        <v>178</v>
      </c>
      <c r="B4" s="75"/>
      <c r="C4" s="28" t="s">
        <v>2123</v>
      </c>
      <c r="D4" s="55">
        <v>300</v>
      </c>
      <c r="E4" s="54"/>
      <c r="F4" s="84" t="s">
        <v>156</v>
      </c>
      <c r="G4" s="84" t="s">
        <v>127</v>
      </c>
      <c r="H4" s="75" t="s">
        <v>165</v>
      </c>
      <c r="I4" s="53" t="s">
        <v>180</v>
      </c>
      <c r="J4" s="58">
        <v>20527551154</v>
      </c>
      <c r="K4" s="75"/>
      <c r="L4" s="56"/>
      <c r="M4" s="56"/>
      <c r="N4" s="56"/>
      <c r="O4" s="56"/>
      <c r="P4" s="56"/>
      <c r="Q4" s="56"/>
      <c r="R4" s="56"/>
      <c r="S4" s="56"/>
    </row>
    <row r="5" spans="1:19" s="20" customFormat="1" ht="21.75" hidden="1" customHeight="1" x14ac:dyDescent="0.2">
      <c r="A5" s="53" t="s">
        <v>178</v>
      </c>
      <c r="B5" s="75"/>
      <c r="C5" s="28" t="s">
        <v>2123</v>
      </c>
      <c r="D5" s="55">
        <v>24</v>
      </c>
      <c r="E5" s="54"/>
      <c r="F5" s="84" t="s">
        <v>21</v>
      </c>
      <c r="G5" s="84" t="s">
        <v>115</v>
      </c>
      <c r="H5" s="75" t="s">
        <v>165</v>
      </c>
      <c r="I5" s="53" t="s">
        <v>180</v>
      </c>
      <c r="J5" s="58">
        <v>20527551154</v>
      </c>
      <c r="K5" s="75"/>
      <c r="L5" s="56"/>
      <c r="M5" s="56"/>
      <c r="N5" s="56"/>
      <c r="O5" s="56"/>
      <c r="P5" s="56"/>
      <c r="Q5" s="56"/>
      <c r="R5" s="56"/>
      <c r="S5" s="56"/>
    </row>
    <row r="6" spans="1:19" s="20" customFormat="1" ht="21.75" hidden="1" customHeight="1" x14ac:dyDescent="0.2">
      <c r="A6" s="84" t="s">
        <v>179</v>
      </c>
      <c r="B6" s="75"/>
      <c r="C6" s="28" t="s">
        <v>2123</v>
      </c>
      <c r="D6" s="55">
        <v>240</v>
      </c>
      <c r="E6" s="54"/>
      <c r="F6" s="84" t="s">
        <v>156</v>
      </c>
      <c r="G6" s="84" t="s">
        <v>127</v>
      </c>
      <c r="H6" s="75" t="s">
        <v>165</v>
      </c>
      <c r="I6" s="84" t="s">
        <v>181</v>
      </c>
      <c r="J6" s="80">
        <v>10427883715</v>
      </c>
      <c r="K6" s="75"/>
      <c r="L6" s="56"/>
      <c r="M6" s="56"/>
      <c r="N6" s="56"/>
      <c r="O6" s="56"/>
      <c r="P6" s="56"/>
      <c r="Q6" s="56"/>
      <c r="R6" s="56"/>
      <c r="S6" s="56"/>
    </row>
    <row r="7" spans="1:19" s="20" customFormat="1" ht="21.75" hidden="1" customHeight="1" x14ac:dyDescent="0.2">
      <c r="A7" s="39" t="s">
        <v>192</v>
      </c>
      <c r="B7" s="110" t="s">
        <v>73</v>
      </c>
      <c r="C7" s="28" t="s">
        <v>2123</v>
      </c>
      <c r="D7" s="111">
        <v>240</v>
      </c>
      <c r="E7" s="109">
        <v>0</v>
      </c>
      <c r="F7" s="39" t="s">
        <v>156</v>
      </c>
      <c r="G7" s="39" t="s">
        <v>127</v>
      </c>
      <c r="H7" s="39" t="s">
        <v>165</v>
      </c>
      <c r="I7" s="39" t="s">
        <v>138</v>
      </c>
      <c r="J7" s="110">
        <v>20604396086</v>
      </c>
      <c r="K7" s="110">
        <v>993944814</v>
      </c>
      <c r="L7" s="39" t="s">
        <v>208</v>
      </c>
      <c r="M7" s="39" t="s">
        <v>75</v>
      </c>
      <c r="N7" s="39"/>
      <c r="O7" s="39"/>
      <c r="P7" s="39" t="s">
        <v>206</v>
      </c>
      <c r="Q7" s="39" t="s">
        <v>209</v>
      </c>
      <c r="R7" s="39" t="s">
        <v>142</v>
      </c>
      <c r="S7" s="112"/>
    </row>
    <row r="8" spans="1:19" s="20" customFormat="1" ht="21.75" hidden="1" customHeight="1" x14ac:dyDescent="0.2">
      <c r="A8" s="39" t="s">
        <v>227</v>
      </c>
      <c r="B8" s="110" t="s">
        <v>73</v>
      </c>
      <c r="C8" s="28" t="s">
        <v>2123</v>
      </c>
      <c r="D8" s="111">
        <v>120</v>
      </c>
      <c r="E8" s="109"/>
      <c r="F8" s="39" t="s">
        <v>156</v>
      </c>
      <c r="G8" s="39" t="s">
        <v>127</v>
      </c>
      <c r="H8" s="112" t="s">
        <v>165</v>
      </c>
      <c r="I8" s="39" t="s">
        <v>82</v>
      </c>
      <c r="J8" s="110">
        <v>20114135951</v>
      </c>
      <c r="K8" s="110">
        <v>947295877</v>
      </c>
      <c r="L8" s="39" t="s">
        <v>237</v>
      </c>
      <c r="M8" s="39" t="s">
        <v>75</v>
      </c>
      <c r="N8" s="39"/>
      <c r="O8" s="39"/>
      <c r="P8" s="39" t="s">
        <v>235</v>
      </c>
      <c r="Q8" s="39" t="s">
        <v>238</v>
      </c>
      <c r="R8" s="39" t="s">
        <v>142</v>
      </c>
      <c r="S8" s="112"/>
    </row>
    <row r="9" spans="1:19" s="20" customFormat="1" ht="21.75" hidden="1" customHeight="1" x14ac:dyDescent="0.2">
      <c r="A9" s="26" t="s">
        <v>270</v>
      </c>
      <c r="B9" s="26" t="s">
        <v>73</v>
      </c>
      <c r="C9" s="28" t="s">
        <v>2123</v>
      </c>
      <c r="D9" s="24">
        <v>120</v>
      </c>
      <c r="E9" s="25">
        <v>10</v>
      </c>
      <c r="F9" s="26" t="s">
        <v>156</v>
      </c>
      <c r="G9" s="26" t="s">
        <v>127</v>
      </c>
      <c r="H9" s="27" t="s">
        <v>129</v>
      </c>
      <c r="I9" s="26" t="s">
        <v>273</v>
      </c>
      <c r="J9" s="23">
        <v>20511849048</v>
      </c>
      <c r="K9" s="23">
        <v>932117308</v>
      </c>
      <c r="L9" s="26" t="s">
        <v>272</v>
      </c>
      <c r="M9" s="26" t="s">
        <v>75</v>
      </c>
      <c r="N9" s="26"/>
      <c r="O9" s="26"/>
      <c r="P9" s="26" t="s">
        <v>205</v>
      </c>
      <c r="Q9" s="26" t="s">
        <v>274</v>
      </c>
      <c r="R9" s="26" t="s">
        <v>142</v>
      </c>
      <c r="S9" s="27"/>
    </row>
    <row r="10" spans="1:19" s="20" customFormat="1" ht="21.75" hidden="1" customHeight="1" x14ac:dyDescent="0.2">
      <c r="A10" s="22" t="s">
        <v>276</v>
      </c>
      <c r="B10" s="22" t="s">
        <v>73</v>
      </c>
      <c r="C10" s="28" t="s">
        <v>2123</v>
      </c>
      <c r="D10" s="21">
        <v>12</v>
      </c>
      <c r="E10" s="19">
        <v>1</v>
      </c>
      <c r="F10" s="16" t="s">
        <v>70</v>
      </c>
      <c r="G10" s="16" t="s">
        <v>105</v>
      </c>
      <c r="H10" s="22" t="s">
        <v>99</v>
      </c>
      <c r="I10" s="22" t="s">
        <v>280</v>
      </c>
      <c r="J10" s="15">
        <v>20454439491</v>
      </c>
      <c r="K10" s="14"/>
      <c r="L10" s="22" t="s">
        <v>278</v>
      </c>
      <c r="M10" s="22" t="s">
        <v>75</v>
      </c>
      <c r="N10" s="11"/>
      <c r="O10" s="11"/>
      <c r="P10" s="22" t="s">
        <v>271</v>
      </c>
      <c r="Q10" s="22" t="s">
        <v>279</v>
      </c>
      <c r="R10" s="22" t="s">
        <v>144</v>
      </c>
      <c r="S10" s="11"/>
    </row>
    <row r="11" spans="1:19" s="20" customFormat="1" ht="21.75" hidden="1" customHeight="1" x14ac:dyDescent="0.2">
      <c r="A11" s="22" t="s">
        <v>276</v>
      </c>
      <c r="B11" s="22" t="s">
        <v>73</v>
      </c>
      <c r="C11" s="28" t="s">
        <v>2123</v>
      </c>
      <c r="D11" s="21">
        <v>24</v>
      </c>
      <c r="E11" s="19">
        <v>2</v>
      </c>
      <c r="F11" s="16" t="s">
        <v>61</v>
      </c>
      <c r="G11" s="16" t="s">
        <v>139</v>
      </c>
      <c r="H11" s="22" t="s">
        <v>99</v>
      </c>
      <c r="I11" s="22" t="s">
        <v>280</v>
      </c>
      <c r="J11" s="15">
        <v>20454439491</v>
      </c>
      <c r="K11" s="14"/>
      <c r="L11" s="22" t="s">
        <v>278</v>
      </c>
      <c r="M11" s="22" t="s">
        <v>75</v>
      </c>
      <c r="N11" s="11"/>
      <c r="O11" s="11"/>
      <c r="P11" s="22" t="s">
        <v>271</v>
      </c>
      <c r="Q11" s="22" t="s">
        <v>279</v>
      </c>
      <c r="R11" s="22" t="s">
        <v>144</v>
      </c>
      <c r="S11" s="11"/>
    </row>
    <row r="12" spans="1:19" s="20" customFormat="1" ht="21.75" hidden="1" customHeight="1" x14ac:dyDescent="0.2">
      <c r="A12" s="22" t="s">
        <v>276</v>
      </c>
      <c r="B12" s="22" t="s">
        <v>73</v>
      </c>
      <c r="C12" s="28" t="s">
        <v>2123</v>
      </c>
      <c r="D12" s="21">
        <v>12</v>
      </c>
      <c r="E12" s="19">
        <v>1</v>
      </c>
      <c r="F12" s="16" t="s">
        <v>68</v>
      </c>
      <c r="G12" s="16" t="s">
        <v>277</v>
      </c>
      <c r="H12" s="22" t="s">
        <v>99</v>
      </c>
      <c r="I12" s="22" t="s">
        <v>280</v>
      </c>
      <c r="J12" s="15">
        <v>20454439491</v>
      </c>
      <c r="K12" s="14"/>
      <c r="L12" s="22" t="s">
        <v>278</v>
      </c>
      <c r="M12" s="22" t="s">
        <v>75</v>
      </c>
      <c r="N12" s="11"/>
      <c r="O12" s="11"/>
      <c r="P12" s="22" t="s">
        <v>271</v>
      </c>
      <c r="Q12" s="22" t="s">
        <v>279</v>
      </c>
      <c r="R12" s="22" t="s">
        <v>144</v>
      </c>
      <c r="S12" s="11"/>
    </row>
    <row r="13" spans="1:19" s="45" customFormat="1" ht="22.5" hidden="1" customHeight="1" x14ac:dyDescent="0.2">
      <c r="A13" s="16" t="s">
        <v>283</v>
      </c>
      <c r="B13" s="21">
        <v>4512228498</v>
      </c>
      <c r="C13" s="18">
        <v>46024</v>
      </c>
      <c r="D13" s="21">
        <v>8</v>
      </c>
      <c r="E13" s="19">
        <v>1</v>
      </c>
      <c r="F13" s="17" t="s">
        <v>31</v>
      </c>
      <c r="G13" s="17" t="s">
        <v>98</v>
      </c>
      <c r="H13" s="14" t="s">
        <v>76</v>
      </c>
      <c r="I13" s="17" t="s">
        <v>284</v>
      </c>
      <c r="J13" s="21">
        <v>20109072177</v>
      </c>
      <c r="K13" s="21" t="s">
        <v>73</v>
      </c>
      <c r="L13" s="17" t="s">
        <v>285</v>
      </c>
      <c r="M13" s="17" t="s">
        <v>286</v>
      </c>
      <c r="N13" s="19"/>
      <c r="O13" s="19"/>
      <c r="P13" s="17" t="s">
        <v>287</v>
      </c>
      <c r="Q13" s="17" t="s">
        <v>288</v>
      </c>
      <c r="R13" s="21" t="s">
        <v>289</v>
      </c>
      <c r="S13" s="19" t="s">
        <v>407</v>
      </c>
    </row>
    <row r="14" spans="1:19" s="45" customFormat="1" ht="22.5" hidden="1" customHeight="1" x14ac:dyDescent="0.2">
      <c r="A14" s="16" t="s">
        <v>290</v>
      </c>
      <c r="B14" s="21">
        <v>4512228676</v>
      </c>
      <c r="C14" s="18">
        <v>46024</v>
      </c>
      <c r="D14" s="21">
        <v>4</v>
      </c>
      <c r="E14" s="19">
        <v>1</v>
      </c>
      <c r="F14" s="17" t="s">
        <v>15</v>
      </c>
      <c r="G14" s="17" t="s">
        <v>96</v>
      </c>
      <c r="H14" s="14" t="s">
        <v>76</v>
      </c>
      <c r="I14" s="17" t="s">
        <v>284</v>
      </c>
      <c r="J14" s="21">
        <v>20109072177</v>
      </c>
      <c r="K14" s="21" t="s">
        <v>73</v>
      </c>
      <c r="L14" s="17" t="s">
        <v>291</v>
      </c>
      <c r="M14" s="17" t="s">
        <v>292</v>
      </c>
      <c r="N14" s="19"/>
      <c r="O14" s="19"/>
      <c r="P14" s="17" t="s">
        <v>293</v>
      </c>
      <c r="Q14" s="17" t="s">
        <v>294</v>
      </c>
      <c r="R14" s="21" t="s">
        <v>289</v>
      </c>
      <c r="S14" s="19" t="s">
        <v>408</v>
      </c>
    </row>
    <row r="15" spans="1:19" s="45" customFormat="1" ht="22.5" hidden="1" customHeight="1" x14ac:dyDescent="0.2">
      <c r="A15" s="16" t="s">
        <v>295</v>
      </c>
      <c r="B15" s="21">
        <v>4512229443</v>
      </c>
      <c r="C15" s="18">
        <v>46024</v>
      </c>
      <c r="D15" s="21">
        <v>6</v>
      </c>
      <c r="E15" s="19">
        <v>3</v>
      </c>
      <c r="F15" s="17" t="s">
        <v>296</v>
      </c>
      <c r="G15" s="17" t="s">
        <v>297</v>
      </c>
      <c r="H15" s="14" t="s">
        <v>76</v>
      </c>
      <c r="I15" s="17" t="s">
        <v>284</v>
      </c>
      <c r="J15" s="21">
        <v>20109072177</v>
      </c>
      <c r="K15" s="21" t="s">
        <v>73</v>
      </c>
      <c r="L15" s="17" t="s">
        <v>298</v>
      </c>
      <c r="M15" s="17" t="s">
        <v>299</v>
      </c>
      <c r="N15" s="19"/>
      <c r="O15" s="19"/>
      <c r="P15" s="17" t="s">
        <v>300</v>
      </c>
      <c r="Q15" s="17" t="s">
        <v>301</v>
      </c>
      <c r="R15" s="21" t="s">
        <v>289</v>
      </c>
      <c r="S15" s="19" t="s">
        <v>409</v>
      </c>
    </row>
    <row r="16" spans="1:19" s="45" customFormat="1" ht="22.5" hidden="1" customHeight="1" x14ac:dyDescent="0.2">
      <c r="A16" s="16" t="s">
        <v>295</v>
      </c>
      <c r="B16" s="21">
        <v>4512229443</v>
      </c>
      <c r="C16" s="18">
        <v>46024</v>
      </c>
      <c r="D16" s="21">
        <v>8</v>
      </c>
      <c r="E16" s="19">
        <v>1</v>
      </c>
      <c r="F16" s="17" t="s">
        <v>31</v>
      </c>
      <c r="G16" s="17" t="s">
        <v>98</v>
      </c>
      <c r="H16" s="14" t="s">
        <v>76</v>
      </c>
      <c r="I16" s="17" t="s">
        <v>284</v>
      </c>
      <c r="J16" s="21">
        <v>20109072177</v>
      </c>
      <c r="K16" s="21" t="s">
        <v>73</v>
      </c>
      <c r="L16" s="17" t="s">
        <v>298</v>
      </c>
      <c r="M16" s="17" t="s">
        <v>299</v>
      </c>
      <c r="N16" s="19"/>
      <c r="O16" s="19"/>
      <c r="P16" s="17" t="s">
        <v>300</v>
      </c>
      <c r="Q16" s="17" t="s">
        <v>301</v>
      </c>
      <c r="R16" s="21" t="s">
        <v>289</v>
      </c>
      <c r="S16" s="19" t="s">
        <v>409</v>
      </c>
    </row>
    <row r="17" spans="1:19" s="45" customFormat="1" ht="22.5" hidden="1" customHeight="1" x14ac:dyDescent="0.2">
      <c r="A17" s="16" t="s">
        <v>295</v>
      </c>
      <c r="B17" s="21">
        <v>4512229443</v>
      </c>
      <c r="C17" s="18">
        <v>46024</v>
      </c>
      <c r="D17" s="21">
        <v>4</v>
      </c>
      <c r="E17" s="19">
        <v>1</v>
      </c>
      <c r="F17" s="17" t="s">
        <v>15</v>
      </c>
      <c r="G17" s="17" t="s">
        <v>96</v>
      </c>
      <c r="H17" s="14" t="s">
        <v>76</v>
      </c>
      <c r="I17" s="17" t="s">
        <v>284</v>
      </c>
      <c r="J17" s="21">
        <v>20109072177</v>
      </c>
      <c r="K17" s="21" t="s">
        <v>73</v>
      </c>
      <c r="L17" s="17" t="s">
        <v>298</v>
      </c>
      <c r="M17" s="17" t="s">
        <v>299</v>
      </c>
      <c r="N17" s="19"/>
      <c r="O17" s="19"/>
      <c r="P17" s="17" t="s">
        <v>300</v>
      </c>
      <c r="Q17" s="17" t="s">
        <v>301</v>
      </c>
      <c r="R17" s="21" t="s">
        <v>289</v>
      </c>
      <c r="S17" s="19" t="s">
        <v>409</v>
      </c>
    </row>
    <row r="18" spans="1:19" s="45" customFormat="1" ht="22.5" hidden="1" customHeight="1" x14ac:dyDescent="0.2">
      <c r="A18" s="16" t="s">
        <v>295</v>
      </c>
      <c r="B18" s="21">
        <v>4512229443</v>
      </c>
      <c r="C18" s="18">
        <v>46024</v>
      </c>
      <c r="D18" s="21">
        <v>4</v>
      </c>
      <c r="E18" s="19">
        <v>1</v>
      </c>
      <c r="F18" s="17" t="s">
        <v>28</v>
      </c>
      <c r="G18" s="17" t="s">
        <v>95</v>
      </c>
      <c r="H18" s="14" t="s">
        <v>76</v>
      </c>
      <c r="I18" s="17" t="s">
        <v>284</v>
      </c>
      <c r="J18" s="21">
        <v>20109072177</v>
      </c>
      <c r="K18" s="21" t="s">
        <v>73</v>
      </c>
      <c r="L18" s="17" t="s">
        <v>298</v>
      </c>
      <c r="M18" s="17" t="s">
        <v>299</v>
      </c>
      <c r="N18" s="19"/>
      <c r="O18" s="19"/>
      <c r="P18" s="17" t="s">
        <v>300</v>
      </c>
      <c r="Q18" s="17" t="s">
        <v>301</v>
      </c>
      <c r="R18" s="21" t="s">
        <v>289</v>
      </c>
      <c r="S18" s="19" t="s">
        <v>409</v>
      </c>
    </row>
    <row r="19" spans="1:19" s="45" customFormat="1" ht="22.5" hidden="1" customHeight="1" x14ac:dyDescent="0.2">
      <c r="A19" s="16" t="s">
        <v>295</v>
      </c>
      <c r="B19" s="21">
        <v>4512229443</v>
      </c>
      <c r="C19" s="18">
        <v>46024</v>
      </c>
      <c r="D19" s="21">
        <v>4</v>
      </c>
      <c r="E19" s="19">
        <v>1</v>
      </c>
      <c r="F19" s="17" t="s">
        <v>302</v>
      </c>
      <c r="G19" s="17" t="s">
        <v>303</v>
      </c>
      <c r="H19" s="14" t="s">
        <v>76</v>
      </c>
      <c r="I19" s="17" t="s">
        <v>284</v>
      </c>
      <c r="J19" s="21">
        <v>20109072177</v>
      </c>
      <c r="K19" s="21" t="s">
        <v>73</v>
      </c>
      <c r="L19" s="17" t="s">
        <v>298</v>
      </c>
      <c r="M19" s="17" t="s">
        <v>299</v>
      </c>
      <c r="N19" s="19"/>
      <c r="O19" s="19"/>
      <c r="P19" s="17" t="s">
        <v>300</v>
      </c>
      <c r="Q19" s="17" t="s">
        <v>301</v>
      </c>
      <c r="R19" s="21" t="s">
        <v>289</v>
      </c>
      <c r="S19" s="19" t="s">
        <v>409</v>
      </c>
    </row>
    <row r="20" spans="1:19" s="45" customFormat="1" ht="22.5" hidden="1" customHeight="1" x14ac:dyDescent="0.2">
      <c r="A20" s="16" t="s">
        <v>304</v>
      </c>
      <c r="B20" s="21">
        <v>4512229862</v>
      </c>
      <c r="C20" s="18">
        <v>46024</v>
      </c>
      <c r="D20" s="21">
        <v>4</v>
      </c>
      <c r="E20" s="19">
        <v>1</v>
      </c>
      <c r="F20" s="17" t="s">
        <v>38</v>
      </c>
      <c r="G20" s="17" t="s">
        <v>97</v>
      </c>
      <c r="H20" s="14" t="s">
        <v>76</v>
      </c>
      <c r="I20" s="17" t="s">
        <v>284</v>
      </c>
      <c r="J20" s="21">
        <v>20109072177</v>
      </c>
      <c r="K20" s="21" t="s">
        <v>73</v>
      </c>
      <c r="L20" s="17" t="s">
        <v>305</v>
      </c>
      <c r="M20" s="17" t="s">
        <v>306</v>
      </c>
      <c r="N20" s="19"/>
      <c r="O20" s="19"/>
      <c r="P20" s="17" t="s">
        <v>60</v>
      </c>
      <c r="Q20" s="17" t="s">
        <v>307</v>
      </c>
      <c r="R20" s="21" t="s">
        <v>289</v>
      </c>
      <c r="S20" s="19" t="s">
        <v>410</v>
      </c>
    </row>
    <row r="21" spans="1:19" s="45" customFormat="1" ht="22.5" hidden="1" customHeight="1" x14ac:dyDescent="0.2">
      <c r="A21" s="16" t="s">
        <v>304</v>
      </c>
      <c r="B21" s="21">
        <v>4512229862</v>
      </c>
      <c r="C21" s="18">
        <v>46024</v>
      </c>
      <c r="D21" s="21">
        <v>4</v>
      </c>
      <c r="E21" s="19">
        <v>1</v>
      </c>
      <c r="F21" s="17" t="s">
        <v>30</v>
      </c>
      <c r="G21" s="17" t="s">
        <v>122</v>
      </c>
      <c r="H21" s="14" t="s">
        <v>76</v>
      </c>
      <c r="I21" s="17" t="s">
        <v>284</v>
      </c>
      <c r="J21" s="21">
        <v>20109072177</v>
      </c>
      <c r="K21" s="21" t="s">
        <v>73</v>
      </c>
      <c r="L21" s="17" t="s">
        <v>305</v>
      </c>
      <c r="M21" s="17" t="s">
        <v>306</v>
      </c>
      <c r="N21" s="19"/>
      <c r="O21" s="19"/>
      <c r="P21" s="17" t="s">
        <v>60</v>
      </c>
      <c r="Q21" s="17" t="s">
        <v>307</v>
      </c>
      <c r="R21" s="21" t="s">
        <v>289</v>
      </c>
      <c r="S21" s="19" t="s">
        <v>410</v>
      </c>
    </row>
    <row r="22" spans="1:19" s="45" customFormat="1" ht="22.5" hidden="1" customHeight="1" x14ac:dyDescent="0.2">
      <c r="A22" s="16" t="s">
        <v>304</v>
      </c>
      <c r="B22" s="21">
        <v>4512229862</v>
      </c>
      <c r="C22" s="18">
        <v>46024</v>
      </c>
      <c r="D22" s="21">
        <v>6</v>
      </c>
      <c r="E22" s="19">
        <v>3</v>
      </c>
      <c r="F22" s="17" t="s">
        <v>308</v>
      </c>
      <c r="G22" s="17" t="s">
        <v>309</v>
      </c>
      <c r="H22" s="14" t="s">
        <v>76</v>
      </c>
      <c r="I22" s="17" t="s">
        <v>284</v>
      </c>
      <c r="J22" s="21">
        <v>20109072177</v>
      </c>
      <c r="K22" s="21" t="s">
        <v>73</v>
      </c>
      <c r="L22" s="17" t="s">
        <v>305</v>
      </c>
      <c r="M22" s="17" t="s">
        <v>306</v>
      </c>
      <c r="N22" s="19"/>
      <c r="O22" s="19"/>
      <c r="P22" s="17" t="s">
        <v>60</v>
      </c>
      <c r="Q22" s="17" t="s">
        <v>307</v>
      </c>
      <c r="R22" s="21" t="s">
        <v>289</v>
      </c>
      <c r="S22" s="19" t="s">
        <v>410</v>
      </c>
    </row>
    <row r="23" spans="1:19" s="45" customFormat="1" ht="22.5" hidden="1" customHeight="1" x14ac:dyDescent="0.2">
      <c r="A23" s="16" t="s">
        <v>310</v>
      </c>
      <c r="B23" s="21">
        <v>4512230087</v>
      </c>
      <c r="C23" s="18">
        <v>46024</v>
      </c>
      <c r="D23" s="21">
        <v>4</v>
      </c>
      <c r="E23" s="19">
        <v>1</v>
      </c>
      <c r="F23" s="17" t="s">
        <v>28</v>
      </c>
      <c r="G23" s="17" t="s">
        <v>95</v>
      </c>
      <c r="H23" s="14" t="s">
        <v>76</v>
      </c>
      <c r="I23" s="17" t="s">
        <v>284</v>
      </c>
      <c r="J23" s="21">
        <v>20109072177</v>
      </c>
      <c r="K23" s="21" t="s">
        <v>73</v>
      </c>
      <c r="L23" s="17" t="s">
        <v>311</v>
      </c>
      <c r="M23" s="17" t="s">
        <v>312</v>
      </c>
      <c r="N23" s="19"/>
      <c r="O23" s="19"/>
      <c r="P23" s="17" t="s">
        <v>259</v>
      </c>
      <c r="Q23" s="17" t="s">
        <v>313</v>
      </c>
      <c r="R23" s="21" t="s">
        <v>289</v>
      </c>
      <c r="S23" s="19" t="s">
        <v>411</v>
      </c>
    </row>
    <row r="24" spans="1:19" s="45" customFormat="1" ht="22.5" hidden="1" customHeight="1" x14ac:dyDescent="0.2">
      <c r="A24" s="16" t="s">
        <v>310</v>
      </c>
      <c r="B24" s="21">
        <v>4512230087</v>
      </c>
      <c r="C24" s="18">
        <v>46024</v>
      </c>
      <c r="D24" s="21">
        <v>4</v>
      </c>
      <c r="E24" s="19">
        <v>1</v>
      </c>
      <c r="F24" s="17" t="s">
        <v>30</v>
      </c>
      <c r="G24" s="17" t="s">
        <v>122</v>
      </c>
      <c r="H24" s="14" t="s">
        <v>76</v>
      </c>
      <c r="I24" s="17" t="s">
        <v>284</v>
      </c>
      <c r="J24" s="21">
        <v>20109072177</v>
      </c>
      <c r="K24" s="21" t="s">
        <v>73</v>
      </c>
      <c r="L24" s="17" t="s">
        <v>311</v>
      </c>
      <c r="M24" s="17" t="s">
        <v>312</v>
      </c>
      <c r="N24" s="19"/>
      <c r="O24" s="19"/>
      <c r="P24" s="17" t="s">
        <v>259</v>
      </c>
      <c r="Q24" s="17" t="s">
        <v>313</v>
      </c>
      <c r="R24" s="21" t="s">
        <v>289</v>
      </c>
      <c r="S24" s="19" t="s">
        <v>411</v>
      </c>
    </row>
    <row r="25" spans="1:19" s="45" customFormat="1" ht="22.5" hidden="1" customHeight="1" x14ac:dyDescent="0.2">
      <c r="A25" s="16" t="s">
        <v>310</v>
      </c>
      <c r="B25" s="21">
        <v>4512230087</v>
      </c>
      <c r="C25" s="18">
        <v>46024</v>
      </c>
      <c r="D25" s="21">
        <v>4</v>
      </c>
      <c r="E25" s="19">
        <v>1</v>
      </c>
      <c r="F25" s="17" t="s">
        <v>15</v>
      </c>
      <c r="G25" s="17" t="s">
        <v>96</v>
      </c>
      <c r="H25" s="14" t="s">
        <v>76</v>
      </c>
      <c r="I25" s="17" t="s">
        <v>284</v>
      </c>
      <c r="J25" s="21">
        <v>20109072177</v>
      </c>
      <c r="K25" s="21" t="s">
        <v>73</v>
      </c>
      <c r="L25" s="17" t="s">
        <v>311</v>
      </c>
      <c r="M25" s="17" t="s">
        <v>312</v>
      </c>
      <c r="N25" s="19"/>
      <c r="O25" s="19"/>
      <c r="P25" s="17" t="s">
        <v>259</v>
      </c>
      <c r="Q25" s="17" t="s">
        <v>313</v>
      </c>
      <c r="R25" s="21" t="s">
        <v>289</v>
      </c>
      <c r="S25" s="19" t="s">
        <v>411</v>
      </c>
    </row>
    <row r="26" spans="1:19" s="20" customFormat="1" ht="21.75" hidden="1" customHeight="1" x14ac:dyDescent="0.2">
      <c r="A26" s="16" t="s">
        <v>281</v>
      </c>
      <c r="B26" s="17">
        <v>13356159</v>
      </c>
      <c r="C26" s="18">
        <v>46025</v>
      </c>
      <c r="D26" s="21">
        <v>360</v>
      </c>
      <c r="E26" s="19">
        <f>360/24</f>
        <v>15</v>
      </c>
      <c r="F26" s="16" t="s">
        <v>18</v>
      </c>
      <c r="G26" s="16" t="s">
        <v>109</v>
      </c>
      <c r="H26" s="11" t="s">
        <v>76</v>
      </c>
      <c r="I26" s="16" t="s">
        <v>134</v>
      </c>
      <c r="J26" s="17">
        <v>20100070970</v>
      </c>
      <c r="K26" s="16" t="s">
        <v>73</v>
      </c>
      <c r="L26" s="16" t="s">
        <v>282</v>
      </c>
      <c r="M26" s="16" t="s">
        <v>77</v>
      </c>
      <c r="N26" s="11"/>
      <c r="O26" s="11"/>
      <c r="P26" s="16" t="s">
        <v>236</v>
      </c>
      <c r="Q26" s="11"/>
      <c r="R26" s="16" t="s">
        <v>143</v>
      </c>
      <c r="S26" s="11" t="s">
        <v>400</v>
      </c>
    </row>
    <row r="27" spans="1:19" s="20" customFormat="1" ht="21.75" hidden="1" customHeight="1" x14ac:dyDescent="0.2">
      <c r="A27" s="16" t="s">
        <v>281</v>
      </c>
      <c r="B27" s="17">
        <v>13356159</v>
      </c>
      <c r="C27" s="18">
        <v>46025</v>
      </c>
      <c r="D27" s="21">
        <v>216</v>
      </c>
      <c r="E27" s="19">
        <f>216/12</f>
        <v>18</v>
      </c>
      <c r="F27" s="16" t="s">
        <v>19</v>
      </c>
      <c r="G27" s="16" t="s">
        <v>120</v>
      </c>
      <c r="H27" s="11" t="s">
        <v>76</v>
      </c>
      <c r="I27" s="16" t="s">
        <v>134</v>
      </c>
      <c r="J27" s="17">
        <v>20100070970</v>
      </c>
      <c r="K27" s="16" t="s">
        <v>73</v>
      </c>
      <c r="L27" s="16" t="s">
        <v>282</v>
      </c>
      <c r="M27" s="16" t="s">
        <v>77</v>
      </c>
      <c r="N27" s="11"/>
      <c r="O27" s="11"/>
      <c r="P27" s="16" t="s">
        <v>236</v>
      </c>
      <c r="Q27" s="11"/>
      <c r="R27" s="16" t="s">
        <v>143</v>
      </c>
      <c r="S27" s="11" t="s">
        <v>400</v>
      </c>
    </row>
    <row r="28" spans="1:19" s="20" customFormat="1" ht="21.75" hidden="1" customHeight="1" x14ac:dyDescent="0.2">
      <c r="A28" s="16" t="s">
        <v>281</v>
      </c>
      <c r="B28" s="17">
        <v>13356159</v>
      </c>
      <c r="C28" s="18">
        <v>46025</v>
      </c>
      <c r="D28" s="21">
        <v>24</v>
      </c>
      <c r="E28" s="19">
        <v>2</v>
      </c>
      <c r="F28" s="16" t="s">
        <v>20</v>
      </c>
      <c r="G28" s="16" t="s">
        <v>113</v>
      </c>
      <c r="H28" s="11" t="s">
        <v>76</v>
      </c>
      <c r="I28" s="16" t="s">
        <v>134</v>
      </c>
      <c r="J28" s="17">
        <v>20100070970</v>
      </c>
      <c r="K28" s="16" t="s">
        <v>73</v>
      </c>
      <c r="L28" s="16" t="s">
        <v>282</v>
      </c>
      <c r="M28" s="16" t="s">
        <v>77</v>
      </c>
      <c r="N28" s="11"/>
      <c r="O28" s="11"/>
      <c r="P28" s="16" t="s">
        <v>236</v>
      </c>
      <c r="Q28" s="11"/>
      <c r="R28" s="16" t="s">
        <v>143</v>
      </c>
      <c r="S28" s="11" t="s">
        <v>400</v>
      </c>
    </row>
    <row r="29" spans="1:19" s="20" customFormat="1" ht="21.75" hidden="1" customHeight="1" x14ac:dyDescent="0.2">
      <c r="A29" s="16" t="s">
        <v>281</v>
      </c>
      <c r="B29" s="17">
        <v>13356159</v>
      </c>
      <c r="C29" s="18">
        <v>46025</v>
      </c>
      <c r="D29" s="21">
        <v>96</v>
      </c>
      <c r="E29" s="19">
        <f>96/12</f>
        <v>8</v>
      </c>
      <c r="F29" s="16" t="s">
        <v>21</v>
      </c>
      <c r="G29" s="16" t="s">
        <v>115</v>
      </c>
      <c r="H29" s="11" t="s">
        <v>76</v>
      </c>
      <c r="I29" s="16" t="s">
        <v>134</v>
      </c>
      <c r="J29" s="17">
        <v>20100070970</v>
      </c>
      <c r="K29" s="16" t="s">
        <v>73</v>
      </c>
      <c r="L29" s="16" t="s">
        <v>282</v>
      </c>
      <c r="M29" s="16" t="s">
        <v>77</v>
      </c>
      <c r="N29" s="11"/>
      <c r="O29" s="11"/>
      <c r="P29" s="16" t="s">
        <v>236</v>
      </c>
      <c r="Q29" s="11"/>
      <c r="R29" s="16" t="s">
        <v>143</v>
      </c>
      <c r="S29" s="11" t="s">
        <v>400</v>
      </c>
    </row>
    <row r="30" spans="1:19" s="20" customFormat="1" ht="21.75" hidden="1" customHeight="1" x14ac:dyDescent="0.2">
      <c r="A30" s="16" t="s">
        <v>281</v>
      </c>
      <c r="B30" s="17">
        <v>13356159</v>
      </c>
      <c r="C30" s="18">
        <v>46025</v>
      </c>
      <c r="D30" s="21">
        <v>528</v>
      </c>
      <c r="E30" s="19">
        <f>528/48</f>
        <v>11</v>
      </c>
      <c r="F30" s="16" t="s">
        <v>22</v>
      </c>
      <c r="G30" s="16" t="s">
        <v>108</v>
      </c>
      <c r="H30" s="11" t="s">
        <v>76</v>
      </c>
      <c r="I30" s="16" t="s">
        <v>134</v>
      </c>
      <c r="J30" s="17">
        <v>20100070970</v>
      </c>
      <c r="K30" s="16" t="s">
        <v>73</v>
      </c>
      <c r="L30" s="16" t="s">
        <v>282</v>
      </c>
      <c r="M30" s="16" t="s">
        <v>77</v>
      </c>
      <c r="N30" s="11"/>
      <c r="O30" s="11"/>
      <c r="P30" s="16" t="s">
        <v>236</v>
      </c>
      <c r="Q30" s="11"/>
      <c r="R30" s="16" t="s">
        <v>143</v>
      </c>
      <c r="S30" s="11" t="s">
        <v>400</v>
      </c>
    </row>
    <row r="31" spans="1:19" s="20" customFormat="1" ht="21.75" hidden="1" customHeight="1" x14ac:dyDescent="0.2">
      <c r="A31" s="16" t="s">
        <v>281</v>
      </c>
      <c r="B31" s="17">
        <v>13356159</v>
      </c>
      <c r="C31" s="18">
        <v>46025</v>
      </c>
      <c r="D31" s="21">
        <v>216</v>
      </c>
      <c r="E31" s="19">
        <v>18</v>
      </c>
      <c r="F31" s="16" t="s">
        <v>23</v>
      </c>
      <c r="G31" s="16" t="s">
        <v>119</v>
      </c>
      <c r="H31" s="11" t="s">
        <v>76</v>
      </c>
      <c r="I31" s="16" t="s">
        <v>134</v>
      </c>
      <c r="J31" s="17">
        <v>20100070970</v>
      </c>
      <c r="K31" s="16" t="s">
        <v>73</v>
      </c>
      <c r="L31" s="16" t="s">
        <v>282</v>
      </c>
      <c r="M31" s="16" t="s">
        <v>77</v>
      </c>
      <c r="N31" s="11"/>
      <c r="O31" s="11"/>
      <c r="P31" s="16" t="s">
        <v>236</v>
      </c>
      <c r="Q31" s="11"/>
      <c r="R31" s="16" t="s">
        <v>143</v>
      </c>
      <c r="S31" s="11" t="s">
        <v>400</v>
      </c>
    </row>
    <row r="32" spans="1:19" s="20" customFormat="1" ht="21.75" hidden="1" customHeight="1" x14ac:dyDescent="0.2">
      <c r="A32" s="16" t="s">
        <v>281</v>
      </c>
      <c r="B32" s="17">
        <v>13356159</v>
      </c>
      <c r="C32" s="18">
        <v>46025</v>
      </c>
      <c r="D32" s="21">
        <v>120</v>
      </c>
      <c r="E32" s="19">
        <v>10</v>
      </c>
      <c r="F32" s="16" t="s">
        <v>24</v>
      </c>
      <c r="G32" s="16" t="s">
        <v>112</v>
      </c>
      <c r="H32" s="11" t="s">
        <v>76</v>
      </c>
      <c r="I32" s="16" t="s">
        <v>134</v>
      </c>
      <c r="J32" s="17">
        <v>20100070970</v>
      </c>
      <c r="K32" s="16" t="s">
        <v>73</v>
      </c>
      <c r="L32" s="16" t="s">
        <v>282</v>
      </c>
      <c r="M32" s="16" t="s">
        <v>77</v>
      </c>
      <c r="N32" s="11"/>
      <c r="O32" s="11"/>
      <c r="P32" s="16" t="s">
        <v>236</v>
      </c>
      <c r="Q32" s="11"/>
      <c r="R32" s="16" t="s">
        <v>143</v>
      </c>
      <c r="S32" s="11" t="s">
        <v>400</v>
      </c>
    </row>
    <row r="33" spans="1:19" s="20" customFormat="1" ht="21.75" hidden="1" customHeight="1" x14ac:dyDescent="0.2">
      <c r="A33" s="16" t="s">
        <v>281</v>
      </c>
      <c r="B33" s="17">
        <v>13356159</v>
      </c>
      <c r="C33" s="18">
        <v>46025</v>
      </c>
      <c r="D33" s="21">
        <v>72</v>
      </c>
      <c r="E33" s="19">
        <v>6</v>
      </c>
      <c r="F33" s="16" t="s">
        <v>25</v>
      </c>
      <c r="G33" s="16" t="s">
        <v>136</v>
      </c>
      <c r="H33" s="11" t="s">
        <v>76</v>
      </c>
      <c r="I33" s="16" t="s">
        <v>134</v>
      </c>
      <c r="J33" s="17">
        <v>20100070970</v>
      </c>
      <c r="K33" s="16" t="s">
        <v>73</v>
      </c>
      <c r="L33" s="16" t="s">
        <v>282</v>
      </c>
      <c r="M33" s="16" t="s">
        <v>77</v>
      </c>
      <c r="N33" s="11"/>
      <c r="O33" s="11"/>
      <c r="P33" s="16" t="s">
        <v>236</v>
      </c>
      <c r="Q33" s="11"/>
      <c r="R33" s="16" t="s">
        <v>143</v>
      </c>
      <c r="S33" s="11" t="s">
        <v>400</v>
      </c>
    </row>
    <row r="34" spans="1:19" s="20" customFormat="1" ht="21.75" hidden="1" customHeight="1" x14ac:dyDescent="0.2">
      <c r="A34" s="16" t="s">
        <v>281</v>
      </c>
      <c r="B34" s="17">
        <v>13356159</v>
      </c>
      <c r="C34" s="18">
        <v>46025</v>
      </c>
      <c r="D34" s="21">
        <v>264</v>
      </c>
      <c r="E34" s="19">
        <f>264/6</f>
        <v>44</v>
      </c>
      <c r="F34" s="16" t="s">
        <v>26</v>
      </c>
      <c r="G34" s="16" t="s">
        <v>111</v>
      </c>
      <c r="H34" s="11" t="s">
        <v>76</v>
      </c>
      <c r="I34" s="16" t="s">
        <v>134</v>
      </c>
      <c r="J34" s="17">
        <v>20100070970</v>
      </c>
      <c r="K34" s="16" t="s">
        <v>73</v>
      </c>
      <c r="L34" s="16" t="s">
        <v>282</v>
      </c>
      <c r="M34" s="16" t="s">
        <v>77</v>
      </c>
      <c r="N34" s="11"/>
      <c r="O34" s="11"/>
      <c r="P34" s="16" t="s">
        <v>236</v>
      </c>
      <c r="Q34" s="11"/>
      <c r="R34" s="16" t="s">
        <v>143</v>
      </c>
      <c r="S34" s="11" t="s">
        <v>400</v>
      </c>
    </row>
    <row r="35" spans="1:19" s="20" customFormat="1" ht="21.75" hidden="1" customHeight="1" x14ac:dyDescent="0.2">
      <c r="A35" s="16" t="s">
        <v>281</v>
      </c>
      <c r="B35" s="17">
        <v>13356159</v>
      </c>
      <c r="C35" s="18">
        <v>46025</v>
      </c>
      <c r="D35" s="21">
        <v>156</v>
      </c>
      <c r="E35" s="19">
        <f>156/12</f>
        <v>13</v>
      </c>
      <c r="F35" s="16" t="s">
        <v>27</v>
      </c>
      <c r="G35" s="16" t="s">
        <v>103</v>
      </c>
      <c r="H35" s="11" t="s">
        <v>76</v>
      </c>
      <c r="I35" s="16" t="s">
        <v>134</v>
      </c>
      <c r="J35" s="17">
        <v>20100070970</v>
      </c>
      <c r="K35" s="16" t="s">
        <v>73</v>
      </c>
      <c r="L35" s="16" t="s">
        <v>282</v>
      </c>
      <c r="M35" s="16" t="s">
        <v>77</v>
      </c>
      <c r="N35" s="11"/>
      <c r="O35" s="11"/>
      <c r="P35" s="16" t="s">
        <v>236</v>
      </c>
      <c r="Q35" s="11"/>
      <c r="R35" s="16" t="s">
        <v>143</v>
      </c>
      <c r="S35" s="11" t="s">
        <v>400</v>
      </c>
    </row>
    <row r="36" spans="1:19" s="20" customFormat="1" ht="21.75" hidden="1" customHeight="1" x14ac:dyDescent="0.2">
      <c r="A36" s="22" t="s">
        <v>314</v>
      </c>
      <c r="B36" s="22" t="s">
        <v>315</v>
      </c>
      <c r="C36" s="18">
        <v>46027</v>
      </c>
      <c r="D36" s="31">
        <v>1</v>
      </c>
      <c r="E36" s="205">
        <v>6</v>
      </c>
      <c r="F36" s="22" t="s">
        <v>316</v>
      </c>
      <c r="G36" s="22" t="s">
        <v>329</v>
      </c>
      <c r="H36" s="11" t="s">
        <v>99</v>
      </c>
      <c r="I36" s="22" t="s">
        <v>343</v>
      </c>
      <c r="J36" s="15">
        <v>20609463695</v>
      </c>
      <c r="K36" s="11"/>
      <c r="L36" s="22" t="s">
        <v>346</v>
      </c>
      <c r="M36" s="22" t="s">
        <v>347</v>
      </c>
      <c r="N36" s="11"/>
      <c r="O36" s="11"/>
      <c r="P36" s="22" t="s">
        <v>344</v>
      </c>
      <c r="Q36" s="22" t="s">
        <v>345</v>
      </c>
      <c r="R36" s="22" t="s">
        <v>342</v>
      </c>
      <c r="S36" s="11" t="s">
        <v>406</v>
      </c>
    </row>
    <row r="37" spans="1:19" s="20" customFormat="1" ht="21.75" hidden="1" customHeight="1" x14ac:dyDescent="0.2">
      <c r="A37" s="22" t="s">
        <v>314</v>
      </c>
      <c r="B37" s="22" t="s">
        <v>315</v>
      </c>
      <c r="C37" s="18">
        <v>46027</v>
      </c>
      <c r="D37" s="31">
        <v>1</v>
      </c>
      <c r="E37" s="206"/>
      <c r="F37" s="22" t="s">
        <v>317</v>
      </c>
      <c r="G37" s="22" t="s">
        <v>330</v>
      </c>
      <c r="H37" s="11" t="s">
        <v>99</v>
      </c>
      <c r="I37" s="22" t="s">
        <v>343</v>
      </c>
      <c r="J37" s="15">
        <v>20609463695</v>
      </c>
      <c r="K37" s="11"/>
      <c r="L37" s="22" t="s">
        <v>346</v>
      </c>
      <c r="M37" s="22" t="s">
        <v>347</v>
      </c>
      <c r="N37" s="11"/>
      <c r="O37" s="11"/>
      <c r="P37" s="22" t="s">
        <v>344</v>
      </c>
      <c r="Q37" s="22" t="s">
        <v>345</v>
      </c>
      <c r="R37" s="22" t="s">
        <v>342</v>
      </c>
      <c r="S37" s="11" t="s">
        <v>406</v>
      </c>
    </row>
    <row r="38" spans="1:19" s="20" customFormat="1" ht="21.75" hidden="1" customHeight="1" x14ac:dyDescent="0.2">
      <c r="A38" s="22" t="s">
        <v>314</v>
      </c>
      <c r="B38" s="22" t="s">
        <v>315</v>
      </c>
      <c r="C38" s="18">
        <v>46027</v>
      </c>
      <c r="D38" s="31">
        <v>1</v>
      </c>
      <c r="E38" s="206"/>
      <c r="F38" s="22" t="s">
        <v>318</v>
      </c>
      <c r="G38" s="22" t="s">
        <v>331</v>
      </c>
      <c r="H38" s="11" t="s">
        <v>99</v>
      </c>
      <c r="I38" s="22" t="s">
        <v>343</v>
      </c>
      <c r="J38" s="15">
        <v>20609463695</v>
      </c>
      <c r="K38" s="11"/>
      <c r="L38" s="22" t="s">
        <v>346</v>
      </c>
      <c r="M38" s="22" t="s">
        <v>347</v>
      </c>
      <c r="N38" s="11"/>
      <c r="O38" s="11"/>
      <c r="P38" s="22" t="s">
        <v>344</v>
      </c>
      <c r="Q38" s="22" t="s">
        <v>345</v>
      </c>
      <c r="R38" s="22" t="s">
        <v>342</v>
      </c>
      <c r="S38" s="11" t="s">
        <v>406</v>
      </c>
    </row>
    <row r="39" spans="1:19" s="20" customFormat="1" ht="21.75" hidden="1" customHeight="1" x14ac:dyDescent="0.2">
      <c r="A39" s="22" t="s">
        <v>314</v>
      </c>
      <c r="B39" s="22" t="s">
        <v>315</v>
      </c>
      <c r="C39" s="18">
        <v>46027</v>
      </c>
      <c r="D39" s="31">
        <v>1</v>
      </c>
      <c r="E39" s="206"/>
      <c r="F39" s="22" t="s">
        <v>319</v>
      </c>
      <c r="G39" s="22" t="s">
        <v>332</v>
      </c>
      <c r="H39" s="11" t="s">
        <v>99</v>
      </c>
      <c r="I39" s="22" t="s">
        <v>343</v>
      </c>
      <c r="J39" s="15">
        <v>20609463695</v>
      </c>
      <c r="K39" s="11"/>
      <c r="L39" s="22" t="s">
        <v>346</v>
      </c>
      <c r="M39" s="22" t="s">
        <v>347</v>
      </c>
      <c r="N39" s="11"/>
      <c r="O39" s="11"/>
      <c r="P39" s="22" t="s">
        <v>344</v>
      </c>
      <c r="Q39" s="22" t="s">
        <v>345</v>
      </c>
      <c r="R39" s="22" t="s">
        <v>342</v>
      </c>
      <c r="S39" s="11" t="s">
        <v>406</v>
      </c>
    </row>
    <row r="40" spans="1:19" s="20" customFormat="1" ht="21.75" hidden="1" customHeight="1" x14ac:dyDescent="0.2">
      <c r="A40" s="22" t="s">
        <v>314</v>
      </c>
      <c r="B40" s="22" t="s">
        <v>315</v>
      </c>
      <c r="C40" s="18">
        <v>46027</v>
      </c>
      <c r="D40" s="31">
        <v>1</v>
      </c>
      <c r="E40" s="206"/>
      <c r="F40" s="22" t="s">
        <v>320</v>
      </c>
      <c r="G40" s="22" t="s">
        <v>333</v>
      </c>
      <c r="H40" s="11" t="s">
        <v>99</v>
      </c>
      <c r="I40" s="22" t="s">
        <v>343</v>
      </c>
      <c r="J40" s="15">
        <v>20609463695</v>
      </c>
      <c r="K40" s="11"/>
      <c r="L40" s="22" t="s">
        <v>346</v>
      </c>
      <c r="M40" s="22" t="s">
        <v>347</v>
      </c>
      <c r="N40" s="11"/>
      <c r="O40" s="11"/>
      <c r="P40" s="22" t="s">
        <v>344</v>
      </c>
      <c r="Q40" s="22" t="s">
        <v>345</v>
      </c>
      <c r="R40" s="22" t="s">
        <v>342</v>
      </c>
      <c r="S40" s="11" t="s">
        <v>406</v>
      </c>
    </row>
    <row r="41" spans="1:19" s="20" customFormat="1" ht="21.75" hidden="1" customHeight="1" x14ac:dyDescent="0.2">
      <c r="A41" s="22" t="s">
        <v>314</v>
      </c>
      <c r="B41" s="22" t="s">
        <v>315</v>
      </c>
      <c r="C41" s="18">
        <v>46027</v>
      </c>
      <c r="D41" s="31">
        <v>1</v>
      </c>
      <c r="E41" s="206"/>
      <c r="F41" s="22" t="s">
        <v>321</v>
      </c>
      <c r="G41" s="22" t="s">
        <v>334</v>
      </c>
      <c r="H41" s="11" t="s">
        <v>99</v>
      </c>
      <c r="I41" s="22" t="s">
        <v>343</v>
      </c>
      <c r="J41" s="15">
        <v>20609463695</v>
      </c>
      <c r="K41" s="11"/>
      <c r="L41" s="22" t="s">
        <v>346</v>
      </c>
      <c r="M41" s="22" t="s">
        <v>347</v>
      </c>
      <c r="N41" s="11"/>
      <c r="O41" s="11"/>
      <c r="P41" s="22" t="s">
        <v>344</v>
      </c>
      <c r="Q41" s="22" t="s">
        <v>345</v>
      </c>
      <c r="R41" s="22" t="s">
        <v>342</v>
      </c>
      <c r="S41" s="11" t="s">
        <v>406</v>
      </c>
    </row>
    <row r="42" spans="1:19" s="20" customFormat="1" ht="21.75" hidden="1" customHeight="1" x14ac:dyDescent="0.2">
      <c r="A42" s="22" t="s">
        <v>314</v>
      </c>
      <c r="B42" s="22" t="s">
        <v>315</v>
      </c>
      <c r="C42" s="18">
        <v>46027</v>
      </c>
      <c r="D42" s="31">
        <v>2</v>
      </c>
      <c r="E42" s="206"/>
      <c r="F42" s="22" t="s">
        <v>38</v>
      </c>
      <c r="G42" s="22" t="s">
        <v>97</v>
      </c>
      <c r="H42" s="11" t="s">
        <v>99</v>
      </c>
      <c r="I42" s="22" t="s">
        <v>343</v>
      </c>
      <c r="J42" s="15">
        <v>20609463695</v>
      </c>
      <c r="K42" s="11"/>
      <c r="L42" s="22" t="s">
        <v>346</v>
      </c>
      <c r="M42" s="22" t="s">
        <v>347</v>
      </c>
      <c r="N42" s="11"/>
      <c r="O42" s="11"/>
      <c r="P42" s="22" t="s">
        <v>344</v>
      </c>
      <c r="Q42" s="22" t="s">
        <v>345</v>
      </c>
      <c r="R42" s="22" t="s">
        <v>342</v>
      </c>
      <c r="S42" s="11" t="s">
        <v>406</v>
      </c>
    </row>
    <row r="43" spans="1:19" s="20" customFormat="1" ht="21.75" hidden="1" customHeight="1" x14ac:dyDescent="0.2">
      <c r="A43" s="22" t="s">
        <v>314</v>
      </c>
      <c r="B43" s="22" t="s">
        <v>315</v>
      </c>
      <c r="C43" s="18">
        <v>46027</v>
      </c>
      <c r="D43" s="31">
        <v>1</v>
      </c>
      <c r="E43" s="206"/>
      <c r="F43" s="22" t="s">
        <v>322</v>
      </c>
      <c r="G43" s="22" t="s">
        <v>335</v>
      </c>
      <c r="H43" s="11" t="s">
        <v>99</v>
      </c>
      <c r="I43" s="22" t="s">
        <v>343</v>
      </c>
      <c r="J43" s="15">
        <v>20609463695</v>
      </c>
      <c r="K43" s="11"/>
      <c r="L43" s="22" t="s">
        <v>346</v>
      </c>
      <c r="M43" s="22" t="s">
        <v>347</v>
      </c>
      <c r="N43" s="11"/>
      <c r="O43" s="11"/>
      <c r="P43" s="22" t="s">
        <v>344</v>
      </c>
      <c r="Q43" s="22" t="s">
        <v>345</v>
      </c>
      <c r="R43" s="22" t="s">
        <v>342</v>
      </c>
      <c r="S43" s="11" t="s">
        <v>406</v>
      </c>
    </row>
    <row r="44" spans="1:19" s="20" customFormat="1" ht="21.75" hidden="1" customHeight="1" x14ac:dyDescent="0.2">
      <c r="A44" s="22" t="s">
        <v>314</v>
      </c>
      <c r="B44" s="22" t="s">
        <v>315</v>
      </c>
      <c r="C44" s="18">
        <v>46027</v>
      </c>
      <c r="D44" s="31">
        <v>1</v>
      </c>
      <c r="E44" s="206"/>
      <c r="F44" s="22" t="s">
        <v>323</v>
      </c>
      <c r="G44" s="22" t="s">
        <v>336</v>
      </c>
      <c r="H44" s="11" t="s">
        <v>99</v>
      </c>
      <c r="I44" s="22" t="s">
        <v>343</v>
      </c>
      <c r="J44" s="15">
        <v>20609463695</v>
      </c>
      <c r="K44" s="11"/>
      <c r="L44" s="22" t="s">
        <v>346</v>
      </c>
      <c r="M44" s="22" t="s">
        <v>347</v>
      </c>
      <c r="N44" s="11"/>
      <c r="O44" s="11"/>
      <c r="P44" s="22" t="s">
        <v>344</v>
      </c>
      <c r="Q44" s="22" t="s">
        <v>345</v>
      </c>
      <c r="R44" s="22" t="s">
        <v>342</v>
      </c>
      <c r="S44" s="11" t="s">
        <v>406</v>
      </c>
    </row>
    <row r="45" spans="1:19" s="20" customFormat="1" ht="21.75" hidden="1" customHeight="1" x14ac:dyDescent="0.2">
      <c r="A45" s="22" t="s">
        <v>314</v>
      </c>
      <c r="B45" s="22" t="s">
        <v>315</v>
      </c>
      <c r="C45" s="18">
        <v>46027</v>
      </c>
      <c r="D45" s="31">
        <v>2</v>
      </c>
      <c r="E45" s="206"/>
      <c r="F45" s="22" t="s">
        <v>324</v>
      </c>
      <c r="G45" s="22" t="s">
        <v>337</v>
      </c>
      <c r="H45" s="11" t="s">
        <v>99</v>
      </c>
      <c r="I45" s="22" t="s">
        <v>343</v>
      </c>
      <c r="J45" s="15">
        <v>20609463695</v>
      </c>
      <c r="K45" s="11"/>
      <c r="L45" s="22" t="s">
        <v>346</v>
      </c>
      <c r="M45" s="22" t="s">
        <v>347</v>
      </c>
      <c r="N45" s="11"/>
      <c r="O45" s="11"/>
      <c r="P45" s="22" t="s">
        <v>344</v>
      </c>
      <c r="Q45" s="22" t="s">
        <v>345</v>
      </c>
      <c r="R45" s="22" t="s">
        <v>342</v>
      </c>
      <c r="S45" s="11" t="s">
        <v>406</v>
      </c>
    </row>
    <row r="46" spans="1:19" s="20" customFormat="1" ht="21.75" hidden="1" customHeight="1" x14ac:dyDescent="0.2">
      <c r="A46" s="22" t="s">
        <v>314</v>
      </c>
      <c r="B46" s="22" t="s">
        <v>315</v>
      </c>
      <c r="C46" s="18">
        <v>46027</v>
      </c>
      <c r="D46" s="31">
        <v>2</v>
      </c>
      <c r="E46" s="206"/>
      <c r="F46" s="22" t="s">
        <v>325</v>
      </c>
      <c r="G46" s="22" t="s">
        <v>338</v>
      </c>
      <c r="H46" s="11" t="s">
        <v>99</v>
      </c>
      <c r="I46" s="22" t="s">
        <v>343</v>
      </c>
      <c r="J46" s="15">
        <v>20609463695</v>
      </c>
      <c r="K46" s="11"/>
      <c r="L46" s="22" t="s">
        <v>346</v>
      </c>
      <c r="M46" s="22" t="s">
        <v>347</v>
      </c>
      <c r="N46" s="11"/>
      <c r="O46" s="11"/>
      <c r="P46" s="22" t="s">
        <v>344</v>
      </c>
      <c r="Q46" s="22" t="s">
        <v>345</v>
      </c>
      <c r="R46" s="22" t="s">
        <v>342</v>
      </c>
      <c r="S46" s="11" t="s">
        <v>406</v>
      </c>
    </row>
    <row r="47" spans="1:19" s="20" customFormat="1" ht="21.75" hidden="1" customHeight="1" x14ac:dyDescent="0.2">
      <c r="A47" s="22" t="s">
        <v>314</v>
      </c>
      <c r="B47" s="22" t="s">
        <v>315</v>
      </c>
      <c r="C47" s="18">
        <v>46027</v>
      </c>
      <c r="D47" s="31">
        <v>1</v>
      </c>
      <c r="E47" s="206"/>
      <c r="F47" s="22" t="s">
        <v>326</v>
      </c>
      <c r="G47" s="22" t="s">
        <v>339</v>
      </c>
      <c r="H47" s="11" t="s">
        <v>99</v>
      </c>
      <c r="I47" s="22" t="s">
        <v>343</v>
      </c>
      <c r="J47" s="15">
        <v>20609463695</v>
      </c>
      <c r="K47" s="11"/>
      <c r="L47" s="22" t="s">
        <v>346</v>
      </c>
      <c r="M47" s="22" t="s">
        <v>347</v>
      </c>
      <c r="N47" s="11"/>
      <c r="O47" s="11"/>
      <c r="P47" s="22" t="s">
        <v>344</v>
      </c>
      <c r="Q47" s="22" t="s">
        <v>345</v>
      </c>
      <c r="R47" s="22" t="s">
        <v>342</v>
      </c>
      <c r="S47" s="11" t="s">
        <v>406</v>
      </c>
    </row>
    <row r="48" spans="1:19" s="20" customFormat="1" ht="21.75" hidden="1" customHeight="1" x14ac:dyDescent="0.2">
      <c r="A48" s="22" t="s">
        <v>314</v>
      </c>
      <c r="B48" s="22" t="s">
        <v>315</v>
      </c>
      <c r="C48" s="18">
        <v>46027</v>
      </c>
      <c r="D48" s="31">
        <v>1</v>
      </c>
      <c r="E48" s="206"/>
      <c r="F48" s="22" t="s">
        <v>327</v>
      </c>
      <c r="G48" s="22" t="s">
        <v>340</v>
      </c>
      <c r="H48" s="11" t="s">
        <v>99</v>
      </c>
      <c r="I48" s="22" t="s">
        <v>343</v>
      </c>
      <c r="J48" s="15">
        <v>20609463695</v>
      </c>
      <c r="K48" s="11"/>
      <c r="L48" s="22" t="s">
        <v>346</v>
      </c>
      <c r="M48" s="22" t="s">
        <v>347</v>
      </c>
      <c r="N48" s="11"/>
      <c r="O48" s="11"/>
      <c r="P48" s="22" t="s">
        <v>344</v>
      </c>
      <c r="Q48" s="22" t="s">
        <v>345</v>
      </c>
      <c r="R48" s="22" t="s">
        <v>342</v>
      </c>
      <c r="S48" s="11" t="s">
        <v>406</v>
      </c>
    </row>
    <row r="49" spans="1:19" s="20" customFormat="1" ht="21.75" hidden="1" customHeight="1" x14ac:dyDescent="0.2">
      <c r="A49" s="22" t="s">
        <v>314</v>
      </c>
      <c r="B49" s="22" t="s">
        <v>315</v>
      </c>
      <c r="C49" s="18">
        <v>46027</v>
      </c>
      <c r="D49" s="31">
        <v>2</v>
      </c>
      <c r="E49" s="207"/>
      <c r="F49" s="22" t="s">
        <v>328</v>
      </c>
      <c r="G49" s="22" t="s">
        <v>341</v>
      </c>
      <c r="H49" s="11" t="s">
        <v>99</v>
      </c>
      <c r="I49" s="22" t="s">
        <v>343</v>
      </c>
      <c r="J49" s="15">
        <v>20609463695</v>
      </c>
      <c r="K49" s="11"/>
      <c r="L49" s="22" t="s">
        <v>346</v>
      </c>
      <c r="M49" s="22" t="s">
        <v>347</v>
      </c>
      <c r="N49" s="11"/>
      <c r="O49" s="11"/>
      <c r="P49" s="22" t="s">
        <v>344</v>
      </c>
      <c r="Q49" s="22" t="s">
        <v>345</v>
      </c>
      <c r="R49" s="22" t="s">
        <v>342</v>
      </c>
      <c r="S49" s="11" t="s">
        <v>406</v>
      </c>
    </row>
    <row r="50" spans="1:19" s="20" customFormat="1" ht="21.75" hidden="1" customHeight="1" x14ac:dyDescent="0.2">
      <c r="A50" s="16" t="s">
        <v>348</v>
      </c>
      <c r="B50" s="17" t="s">
        <v>73</v>
      </c>
      <c r="C50" s="18">
        <v>46025</v>
      </c>
      <c r="D50" s="21">
        <v>72</v>
      </c>
      <c r="E50" s="19">
        <v>3</v>
      </c>
      <c r="F50" s="16" t="s">
        <v>59</v>
      </c>
      <c r="G50" s="16" t="s">
        <v>84</v>
      </c>
      <c r="H50" s="11" t="s">
        <v>99</v>
      </c>
      <c r="I50" s="16" t="s">
        <v>166</v>
      </c>
      <c r="J50" s="16">
        <v>20502520947</v>
      </c>
      <c r="K50" s="17">
        <v>907587181</v>
      </c>
      <c r="L50" s="16" t="s">
        <v>386</v>
      </c>
      <c r="M50" s="16" t="s">
        <v>391</v>
      </c>
      <c r="N50" s="11"/>
      <c r="O50" s="11"/>
      <c r="P50" s="16" t="s">
        <v>381</v>
      </c>
      <c r="Q50" s="11"/>
      <c r="R50" s="37" t="s">
        <v>144</v>
      </c>
      <c r="S50" s="11" t="s">
        <v>401</v>
      </c>
    </row>
    <row r="51" spans="1:19" s="20" customFormat="1" ht="21.75" hidden="1" customHeight="1" x14ac:dyDescent="0.2">
      <c r="A51" s="16" t="s">
        <v>349</v>
      </c>
      <c r="B51" s="17">
        <v>3220397490</v>
      </c>
      <c r="C51" s="18">
        <v>46025</v>
      </c>
      <c r="D51" s="21">
        <v>1</v>
      </c>
      <c r="E51" s="19">
        <v>1</v>
      </c>
      <c r="F51" s="16" t="s">
        <v>353</v>
      </c>
      <c r="G51" s="16" t="s">
        <v>365</v>
      </c>
      <c r="H51" s="11" t="s">
        <v>99</v>
      </c>
      <c r="I51" s="16" t="s">
        <v>377</v>
      </c>
      <c r="J51" s="16">
        <v>7481755</v>
      </c>
      <c r="K51" s="17" t="s">
        <v>398</v>
      </c>
      <c r="L51" s="16" t="s">
        <v>387</v>
      </c>
      <c r="M51" s="16" t="s">
        <v>392</v>
      </c>
      <c r="N51" s="11"/>
      <c r="O51" s="11"/>
      <c r="P51" s="16" t="s">
        <v>382</v>
      </c>
      <c r="Q51" s="11"/>
      <c r="R51" s="36" t="s">
        <v>394</v>
      </c>
      <c r="S51" s="11" t="s">
        <v>402</v>
      </c>
    </row>
    <row r="52" spans="1:19" s="20" customFormat="1" ht="21.75" hidden="1" customHeight="1" x14ac:dyDescent="0.2">
      <c r="A52" s="16" t="s">
        <v>350</v>
      </c>
      <c r="B52" s="17">
        <v>6594</v>
      </c>
      <c r="C52" s="18">
        <v>46025</v>
      </c>
      <c r="D52" s="21">
        <v>480</v>
      </c>
      <c r="E52" s="19">
        <f>480/12</f>
        <v>40</v>
      </c>
      <c r="F52" s="16" t="s">
        <v>354</v>
      </c>
      <c r="G52" s="16" t="s">
        <v>366</v>
      </c>
      <c r="H52" s="11" t="s">
        <v>99</v>
      </c>
      <c r="I52" s="16" t="s">
        <v>378</v>
      </c>
      <c r="J52" s="16">
        <v>20472915933</v>
      </c>
      <c r="K52" s="17">
        <v>924968850</v>
      </c>
      <c r="L52" s="16" t="s">
        <v>388</v>
      </c>
      <c r="M52" s="16" t="s">
        <v>347</v>
      </c>
      <c r="N52" s="11"/>
      <c r="O52" s="11"/>
      <c r="P52" s="16" t="s">
        <v>383</v>
      </c>
      <c r="Q52" s="11"/>
      <c r="R52" s="16" t="s">
        <v>395</v>
      </c>
      <c r="S52" s="11" t="s">
        <v>403</v>
      </c>
    </row>
    <row r="53" spans="1:19" s="20" customFormat="1" ht="21.75" hidden="1" customHeight="1" x14ac:dyDescent="0.2">
      <c r="A53" s="16" t="s">
        <v>351</v>
      </c>
      <c r="B53" s="17" t="s">
        <v>73</v>
      </c>
      <c r="C53" s="18">
        <v>46025</v>
      </c>
      <c r="D53" s="21">
        <v>12</v>
      </c>
      <c r="E53" s="19">
        <v>1</v>
      </c>
      <c r="F53" s="16" t="s">
        <v>355</v>
      </c>
      <c r="G53" s="16" t="s">
        <v>367</v>
      </c>
      <c r="H53" s="16" t="s">
        <v>1650</v>
      </c>
      <c r="I53" s="16" t="s">
        <v>379</v>
      </c>
      <c r="J53" s="16">
        <v>20101596363</v>
      </c>
      <c r="K53" s="17" t="s">
        <v>399</v>
      </c>
      <c r="L53" s="16" t="s">
        <v>389</v>
      </c>
      <c r="M53" s="16" t="s">
        <v>347</v>
      </c>
      <c r="N53" s="11"/>
      <c r="O53" s="11"/>
      <c r="P53" s="16" t="s">
        <v>384</v>
      </c>
      <c r="Q53" s="11"/>
      <c r="R53" s="16" t="s">
        <v>396</v>
      </c>
      <c r="S53" s="11" t="s">
        <v>404</v>
      </c>
    </row>
    <row r="54" spans="1:19" s="20" customFormat="1" ht="21.75" hidden="1" customHeight="1" x14ac:dyDescent="0.2">
      <c r="A54" s="16" t="s">
        <v>351</v>
      </c>
      <c r="B54" s="17" t="s">
        <v>73</v>
      </c>
      <c r="C54" s="18">
        <v>46025</v>
      </c>
      <c r="D54" s="21">
        <v>4</v>
      </c>
      <c r="E54" s="19">
        <v>2</v>
      </c>
      <c r="F54" s="16" t="s">
        <v>356</v>
      </c>
      <c r="G54" s="16" t="s">
        <v>368</v>
      </c>
      <c r="H54" s="16" t="s">
        <v>1650</v>
      </c>
      <c r="I54" s="16" t="s">
        <v>379</v>
      </c>
      <c r="J54" s="16">
        <v>20101596363</v>
      </c>
      <c r="K54" s="17" t="s">
        <v>399</v>
      </c>
      <c r="L54" s="16" t="s">
        <v>389</v>
      </c>
      <c r="M54" s="16" t="s">
        <v>347</v>
      </c>
      <c r="N54" s="11"/>
      <c r="O54" s="11"/>
      <c r="P54" s="16" t="s">
        <v>384</v>
      </c>
      <c r="Q54" s="11"/>
      <c r="R54" s="16" t="s">
        <v>396</v>
      </c>
      <c r="S54" s="11" t="s">
        <v>404</v>
      </c>
    </row>
    <row r="55" spans="1:19" s="20" customFormat="1" ht="21.75" hidden="1" customHeight="1" x14ac:dyDescent="0.2">
      <c r="A55" s="16" t="s">
        <v>351</v>
      </c>
      <c r="B55" s="17" t="s">
        <v>73</v>
      </c>
      <c r="C55" s="18">
        <v>46025</v>
      </c>
      <c r="D55" s="21">
        <v>12</v>
      </c>
      <c r="E55" s="19">
        <v>1</v>
      </c>
      <c r="F55" s="16" t="s">
        <v>43</v>
      </c>
      <c r="G55" s="16" t="s">
        <v>171</v>
      </c>
      <c r="H55" s="16" t="s">
        <v>1650</v>
      </c>
      <c r="I55" s="16" t="s">
        <v>379</v>
      </c>
      <c r="J55" s="16">
        <v>20101596363</v>
      </c>
      <c r="K55" s="17" t="s">
        <v>399</v>
      </c>
      <c r="L55" s="16" t="s">
        <v>389</v>
      </c>
      <c r="M55" s="16" t="s">
        <v>347</v>
      </c>
      <c r="N55" s="11"/>
      <c r="O55" s="11"/>
      <c r="P55" s="16" t="s">
        <v>384</v>
      </c>
      <c r="Q55" s="11"/>
      <c r="R55" s="16" t="s">
        <v>396</v>
      </c>
      <c r="S55" s="11" t="s">
        <v>404</v>
      </c>
    </row>
    <row r="56" spans="1:19" s="20" customFormat="1" ht="21.75" hidden="1" customHeight="1" x14ac:dyDescent="0.2">
      <c r="A56" s="16" t="s">
        <v>351</v>
      </c>
      <c r="B56" s="17" t="s">
        <v>73</v>
      </c>
      <c r="C56" s="18">
        <v>46025</v>
      </c>
      <c r="D56" s="21">
        <v>4</v>
      </c>
      <c r="E56" s="19">
        <v>1</v>
      </c>
      <c r="F56" s="16" t="s">
        <v>357</v>
      </c>
      <c r="G56" s="16" t="s">
        <v>369</v>
      </c>
      <c r="H56" s="16" t="s">
        <v>1650</v>
      </c>
      <c r="I56" s="16" t="s">
        <v>379</v>
      </c>
      <c r="J56" s="16">
        <v>20101596363</v>
      </c>
      <c r="K56" s="17" t="s">
        <v>399</v>
      </c>
      <c r="L56" s="16" t="s">
        <v>389</v>
      </c>
      <c r="M56" s="16" t="s">
        <v>347</v>
      </c>
      <c r="N56" s="11"/>
      <c r="O56" s="11"/>
      <c r="P56" s="16" t="s">
        <v>384</v>
      </c>
      <c r="Q56" s="11"/>
      <c r="R56" s="16" t="s">
        <v>396</v>
      </c>
      <c r="S56" s="11" t="s">
        <v>404</v>
      </c>
    </row>
    <row r="57" spans="1:19" s="20" customFormat="1" ht="21.75" hidden="1" customHeight="1" x14ac:dyDescent="0.2">
      <c r="A57" s="16" t="s">
        <v>351</v>
      </c>
      <c r="B57" s="17" t="s">
        <v>73</v>
      </c>
      <c r="C57" s="18">
        <v>46025</v>
      </c>
      <c r="D57" s="21">
        <v>2</v>
      </c>
      <c r="E57" s="19">
        <v>1</v>
      </c>
      <c r="F57" s="16" t="s">
        <v>358</v>
      </c>
      <c r="G57" s="16" t="s">
        <v>370</v>
      </c>
      <c r="H57" s="16" t="s">
        <v>1650</v>
      </c>
      <c r="I57" s="16" t="s">
        <v>379</v>
      </c>
      <c r="J57" s="16">
        <v>20101596363</v>
      </c>
      <c r="K57" s="17" t="s">
        <v>399</v>
      </c>
      <c r="L57" s="16" t="s">
        <v>389</v>
      </c>
      <c r="M57" s="16" t="s">
        <v>347</v>
      </c>
      <c r="N57" s="11"/>
      <c r="O57" s="11"/>
      <c r="P57" s="16" t="s">
        <v>384</v>
      </c>
      <c r="Q57" s="11"/>
      <c r="R57" s="16" t="s">
        <v>396</v>
      </c>
      <c r="S57" s="11" t="s">
        <v>404</v>
      </c>
    </row>
    <row r="58" spans="1:19" s="20" customFormat="1" ht="21.75" hidden="1" customHeight="1" x14ac:dyDescent="0.2">
      <c r="A58" s="16" t="s">
        <v>351</v>
      </c>
      <c r="B58" s="17" t="s">
        <v>73</v>
      </c>
      <c r="C58" s="18">
        <v>46025</v>
      </c>
      <c r="D58" s="21">
        <v>12</v>
      </c>
      <c r="E58" s="19">
        <v>1</v>
      </c>
      <c r="F58" s="16" t="s">
        <v>359</v>
      </c>
      <c r="G58" s="16" t="s">
        <v>371</v>
      </c>
      <c r="H58" s="16" t="s">
        <v>1650</v>
      </c>
      <c r="I58" s="16" t="s">
        <v>379</v>
      </c>
      <c r="J58" s="16">
        <v>20101596363</v>
      </c>
      <c r="K58" s="17" t="s">
        <v>399</v>
      </c>
      <c r="L58" s="16" t="s">
        <v>389</v>
      </c>
      <c r="M58" s="16" t="s">
        <v>347</v>
      </c>
      <c r="N58" s="11"/>
      <c r="O58" s="11"/>
      <c r="P58" s="16" t="s">
        <v>384</v>
      </c>
      <c r="Q58" s="11"/>
      <c r="R58" s="16" t="s">
        <v>396</v>
      </c>
      <c r="S58" s="11" t="s">
        <v>404</v>
      </c>
    </row>
    <row r="59" spans="1:19" s="20" customFormat="1" ht="21.75" hidden="1" customHeight="1" x14ac:dyDescent="0.2">
      <c r="A59" s="16" t="s">
        <v>351</v>
      </c>
      <c r="B59" s="17" t="s">
        <v>73</v>
      </c>
      <c r="C59" s="18">
        <v>46025</v>
      </c>
      <c r="D59" s="21">
        <v>4</v>
      </c>
      <c r="E59" s="19">
        <v>1</v>
      </c>
      <c r="F59" s="16" t="s">
        <v>360</v>
      </c>
      <c r="G59" s="16" t="s">
        <v>372</v>
      </c>
      <c r="H59" s="16" t="s">
        <v>1650</v>
      </c>
      <c r="I59" s="16" t="s">
        <v>379</v>
      </c>
      <c r="J59" s="16">
        <v>20101596363</v>
      </c>
      <c r="K59" s="17" t="s">
        <v>399</v>
      </c>
      <c r="L59" s="16" t="s">
        <v>389</v>
      </c>
      <c r="M59" s="16" t="s">
        <v>347</v>
      </c>
      <c r="N59" s="11"/>
      <c r="O59" s="11"/>
      <c r="P59" s="16" t="s">
        <v>384</v>
      </c>
      <c r="Q59" s="11"/>
      <c r="R59" s="16" t="s">
        <v>396</v>
      </c>
      <c r="S59" s="11" t="s">
        <v>404</v>
      </c>
    </row>
    <row r="60" spans="1:19" s="20" customFormat="1" ht="21.75" hidden="1" customHeight="1" x14ac:dyDescent="0.2">
      <c r="A60" s="16" t="s">
        <v>351</v>
      </c>
      <c r="B60" s="17" t="s">
        <v>73</v>
      </c>
      <c r="C60" s="18">
        <v>46025</v>
      </c>
      <c r="D60" s="21">
        <v>4</v>
      </c>
      <c r="E60" s="19">
        <v>1</v>
      </c>
      <c r="F60" s="16" t="s">
        <v>361</v>
      </c>
      <c r="G60" s="16" t="s">
        <v>373</v>
      </c>
      <c r="H60" s="16" t="s">
        <v>1650</v>
      </c>
      <c r="I60" s="16" t="s">
        <v>379</v>
      </c>
      <c r="J60" s="16">
        <v>20101596363</v>
      </c>
      <c r="K60" s="17" t="s">
        <v>399</v>
      </c>
      <c r="L60" s="16" t="s">
        <v>389</v>
      </c>
      <c r="M60" s="16" t="s">
        <v>347</v>
      </c>
      <c r="N60" s="11"/>
      <c r="O60" s="11"/>
      <c r="P60" s="16" t="s">
        <v>384</v>
      </c>
      <c r="Q60" s="11"/>
      <c r="R60" s="16" t="s">
        <v>396</v>
      </c>
      <c r="S60" s="11" t="s">
        <v>404</v>
      </c>
    </row>
    <row r="61" spans="1:19" s="20" customFormat="1" ht="21.75" hidden="1" customHeight="1" x14ac:dyDescent="0.2">
      <c r="A61" s="16" t="s">
        <v>352</v>
      </c>
      <c r="B61" s="17" t="s">
        <v>73</v>
      </c>
      <c r="C61" s="18">
        <v>46025</v>
      </c>
      <c r="D61" s="21">
        <v>18</v>
      </c>
      <c r="E61" s="19">
        <v>6</v>
      </c>
      <c r="F61" s="16" t="s">
        <v>362</v>
      </c>
      <c r="G61" s="16" t="s">
        <v>374</v>
      </c>
      <c r="H61" s="16" t="s">
        <v>1650</v>
      </c>
      <c r="I61" s="16" t="s">
        <v>380</v>
      </c>
      <c r="J61" s="16">
        <v>10009600111</v>
      </c>
      <c r="K61" s="17">
        <v>933366745</v>
      </c>
      <c r="L61" s="16" t="s">
        <v>390</v>
      </c>
      <c r="M61" s="16" t="s">
        <v>393</v>
      </c>
      <c r="N61" s="11"/>
      <c r="O61" s="11"/>
      <c r="P61" s="16" t="s">
        <v>385</v>
      </c>
      <c r="Q61" s="11"/>
      <c r="R61" s="16" t="s">
        <v>397</v>
      </c>
      <c r="S61" s="11" t="s">
        <v>405</v>
      </c>
    </row>
    <row r="62" spans="1:19" s="20" customFormat="1" ht="21.75" hidden="1" customHeight="1" x14ac:dyDescent="0.2">
      <c r="A62" s="16" t="s">
        <v>352</v>
      </c>
      <c r="B62" s="17" t="s">
        <v>73</v>
      </c>
      <c r="C62" s="18">
        <v>46025</v>
      </c>
      <c r="D62" s="21">
        <v>1</v>
      </c>
      <c r="E62" s="211">
        <v>1</v>
      </c>
      <c r="F62" s="16" t="s">
        <v>363</v>
      </c>
      <c r="G62" s="16" t="s">
        <v>375</v>
      </c>
      <c r="H62" s="16" t="s">
        <v>1650</v>
      </c>
      <c r="I62" s="16" t="s">
        <v>380</v>
      </c>
      <c r="J62" s="16">
        <v>10009600111</v>
      </c>
      <c r="K62" s="17">
        <v>933366745</v>
      </c>
      <c r="L62" s="16" t="s">
        <v>390</v>
      </c>
      <c r="M62" s="16" t="s">
        <v>393</v>
      </c>
      <c r="N62" s="11"/>
      <c r="O62" s="11"/>
      <c r="P62" s="16" t="s">
        <v>385</v>
      </c>
      <c r="Q62" s="11"/>
      <c r="R62" s="16" t="s">
        <v>397</v>
      </c>
      <c r="S62" s="11" t="s">
        <v>405</v>
      </c>
    </row>
    <row r="63" spans="1:19" s="20" customFormat="1" ht="21.75" hidden="1" customHeight="1" x14ac:dyDescent="0.2">
      <c r="A63" s="16" t="s">
        <v>352</v>
      </c>
      <c r="B63" s="16" t="s">
        <v>73</v>
      </c>
      <c r="C63" s="18">
        <v>46025</v>
      </c>
      <c r="D63" s="21">
        <v>1</v>
      </c>
      <c r="E63" s="216"/>
      <c r="F63" s="16" t="s">
        <v>364</v>
      </c>
      <c r="G63" s="16" t="s">
        <v>376</v>
      </c>
      <c r="H63" s="16" t="s">
        <v>1650</v>
      </c>
      <c r="I63" s="16" t="s">
        <v>380</v>
      </c>
      <c r="J63" s="16">
        <v>10009600111</v>
      </c>
      <c r="K63" s="17">
        <v>933366745</v>
      </c>
      <c r="L63" s="16" t="s">
        <v>390</v>
      </c>
      <c r="M63" s="16" t="s">
        <v>393</v>
      </c>
      <c r="N63" s="11"/>
      <c r="O63" s="11"/>
      <c r="P63" s="16" t="s">
        <v>385</v>
      </c>
      <c r="Q63" s="11"/>
      <c r="R63" s="16" t="s">
        <v>397</v>
      </c>
      <c r="S63" s="11" t="s">
        <v>405</v>
      </c>
    </row>
    <row r="64" spans="1:19" s="20" customFormat="1" ht="21.75" hidden="1" customHeight="1" x14ac:dyDescent="0.2">
      <c r="A64" s="16" t="s">
        <v>481</v>
      </c>
      <c r="B64" s="17">
        <v>13396459</v>
      </c>
      <c r="C64" s="18">
        <v>46028</v>
      </c>
      <c r="D64" s="21">
        <v>24</v>
      </c>
      <c r="E64" s="19">
        <v>1</v>
      </c>
      <c r="F64" s="16" t="s">
        <v>18</v>
      </c>
      <c r="G64" s="16" t="s">
        <v>109</v>
      </c>
      <c r="H64" s="11" t="s">
        <v>76</v>
      </c>
      <c r="I64" s="16" t="s">
        <v>134</v>
      </c>
      <c r="J64" s="17">
        <v>20100070970</v>
      </c>
      <c r="K64" s="16" t="s">
        <v>73</v>
      </c>
      <c r="L64" s="16" t="s">
        <v>282</v>
      </c>
      <c r="M64" s="16" t="s">
        <v>77</v>
      </c>
      <c r="N64" s="11"/>
      <c r="O64" s="11"/>
      <c r="P64" s="16" t="s">
        <v>236</v>
      </c>
      <c r="Q64" s="11"/>
      <c r="R64" s="16" t="s">
        <v>143</v>
      </c>
      <c r="S64" s="11" t="s">
        <v>400</v>
      </c>
    </row>
    <row r="65" spans="1:19" s="20" customFormat="1" ht="21.75" hidden="1" customHeight="1" x14ac:dyDescent="0.2">
      <c r="A65" s="16" t="s">
        <v>481</v>
      </c>
      <c r="B65" s="17">
        <v>13396459</v>
      </c>
      <c r="C65" s="18">
        <v>46028</v>
      </c>
      <c r="D65" s="21">
        <v>24</v>
      </c>
      <c r="E65" s="19">
        <v>2</v>
      </c>
      <c r="F65" s="16" t="s">
        <v>20</v>
      </c>
      <c r="G65" s="16" t="s">
        <v>113</v>
      </c>
      <c r="H65" s="11" t="s">
        <v>76</v>
      </c>
      <c r="I65" s="16" t="s">
        <v>134</v>
      </c>
      <c r="J65" s="17">
        <v>20100070970</v>
      </c>
      <c r="K65" s="16" t="s">
        <v>73</v>
      </c>
      <c r="L65" s="16" t="s">
        <v>282</v>
      </c>
      <c r="M65" s="16" t="s">
        <v>77</v>
      </c>
      <c r="N65" s="11"/>
      <c r="O65" s="11"/>
      <c r="P65" s="16" t="s">
        <v>236</v>
      </c>
      <c r="Q65" s="11"/>
      <c r="R65" s="16" t="s">
        <v>143</v>
      </c>
      <c r="S65" s="11" t="s">
        <v>482</v>
      </c>
    </row>
    <row r="66" spans="1:19" s="20" customFormat="1" ht="21.75" hidden="1" customHeight="1" x14ac:dyDescent="0.2">
      <c r="A66" s="16" t="s">
        <v>481</v>
      </c>
      <c r="B66" s="17">
        <v>13396459</v>
      </c>
      <c r="C66" s="18">
        <v>46028</v>
      </c>
      <c r="D66" s="21">
        <v>12</v>
      </c>
      <c r="E66" s="19">
        <v>1</v>
      </c>
      <c r="F66" s="16" t="s">
        <v>21</v>
      </c>
      <c r="G66" s="16" t="s">
        <v>115</v>
      </c>
      <c r="H66" s="11" t="s">
        <v>76</v>
      </c>
      <c r="I66" s="16" t="s">
        <v>134</v>
      </c>
      <c r="J66" s="17">
        <v>20100070970</v>
      </c>
      <c r="K66" s="16" t="s">
        <v>73</v>
      </c>
      <c r="L66" s="16" t="s">
        <v>282</v>
      </c>
      <c r="M66" s="16" t="s">
        <v>77</v>
      </c>
      <c r="N66" s="11"/>
      <c r="O66" s="11"/>
      <c r="P66" s="16" t="s">
        <v>236</v>
      </c>
      <c r="Q66" s="11"/>
      <c r="R66" s="16" t="s">
        <v>143</v>
      </c>
      <c r="S66" s="11" t="s">
        <v>482</v>
      </c>
    </row>
    <row r="67" spans="1:19" s="20" customFormat="1" ht="21.75" hidden="1" customHeight="1" x14ac:dyDescent="0.2">
      <c r="A67" s="16" t="s">
        <v>481</v>
      </c>
      <c r="B67" s="17">
        <v>13396459</v>
      </c>
      <c r="C67" s="18">
        <v>46028</v>
      </c>
      <c r="D67" s="21">
        <v>288</v>
      </c>
      <c r="E67" s="19">
        <v>6</v>
      </c>
      <c r="F67" s="16" t="s">
        <v>22</v>
      </c>
      <c r="G67" s="16" t="s">
        <v>108</v>
      </c>
      <c r="H67" s="11" t="s">
        <v>76</v>
      </c>
      <c r="I67" s="16" t="s">
        <v>134</v>
      </c>
      <c r="J67" s="17">
        <v>20100070970</v>
      </c>
      <c r="K67" s="16" t="s">
        <v>73</v>
      </c>
      <c r="L67" s="16" t="s">
        <v>282</v>
      </c>
      <c r="M67" s="16" t="s">
        <v>77</v>
      </c>
      <c r="N67" s="11"/>
      <c r="O67" s="11"/>
      <c r="P67" s="16" t="s">
        <v>236</v>
      </c>
      <c r="Q67" s="11"/>
      <c r="R67" s="16" t="s">
        <v>143</v>
      </c>
      <c r="S67" s="11" t="s">
        <v>482</v>
      </c>
    </row>
    <row r="68" spans="1:19" s="20" customFormat="1" ht="21.75" hidden="1" customHeight="1" x14ac:dyDescent="0.2">
      <c r="A68" s="16" t="s">
        <v>481</v>
      </c>
      <c r="B68" s="17">
        <v>13396459</v>
      </c>
      <c r="C68" s="18">
        <v>46028</v>
      </c>
      <c r="D68" s="21">
        <v>384</v>
      </c>
      <c r="E68" s="19">
        <v>32</v>
      </c>
      <c r="F68" s="16" t="s">
        <v>23</v>
      </c>
      <c r="G68" s="16" t="s">
        <v>119</v>
      </c>
      <c r="H68" s="11" t="s">
        <v>76</v>
      </c>
      <c r="I68" s="16" t="s">
        <v>134</v>
      </c>
      <c r="J68" s="17">
        <v>20100070970</v>
      </c>
      <c r="K68" s="16" t="s">
        <v>73</v>
      </c>
      <c r="L68" s="16" t="s">
        <v>282</v>
      </c>
      <c r="M68" s="16" t="s">
        <v>77</v>
      </c>
      <c r="N68" s="11"/>
      <c r="O68" s="11"/>
      <c r="P68" s="16" t="s">
        <v>236</v>
      </c>
      <c r="Q68" s="11"/>
      <c r="R68" s="16" t="s">
        <v>143</v>
      </c>
      <c r="S68" s="11" t="s">
        <v>482</v>
      </c>
    </row>
    <row r="69" spans="1:19" s="20" customFormat="1" ht="21.75" hidden="1" customHeight="1" x14ac:dyDescent="0.2">
      <c r="A69" s="16" t="s">
        <v>481</v>
      </c>
      <c r="B69" s="17">
        <v>13396459</v>
      </c>
      <c r="C69" s="18">
        <v>46028</v>
      </c>
      <c r="D69" s="21">
        <v>48</v>
      </c>
      <c r="E69" s="19">
        <v>4</v>
      </c>
      <c r="F69" s="16" t="s">
        <v>24</v>
      </c>
      <c r="G69" s="16" t="s">
        <v>112</v>
      </c>
      <c r="H69" s="11" t="s">
        <v>76</v>
      </c>
      <c r="I69" s="16" t="s">
        <v>134</v>
      </c>
      <c r="J69" s="17">
        <v>20100070970</v>
      </c>
      <c r="K69" s="16" t="s">
        <v>73</v>
      </c>
      <c r="L69" s="16" t="s">
        <v>282</v>
      </c>
      <c r="M69" s="16" t="s">
        <v>77</v>
      </c>
      <c r="N69" s="11"/>
      <c r="O69" s="11"/>
      <c r="P69" s="16" t="s">
        <v>236</v>
      </c>
      <c r="Q69" s="11"/>
      <c r="R69" s="16" t="s">
        <v>143</v>
      </c>
      <c r="S69" s="11" t="s">
        <v>482</v>
      </c>
    </row>
    <row r="70" spans="1:19" s="20" customFormat="1" ht="21.75" hidden="1" customHeight="1" x14ac:dyDescent="0.2">
      <c r="A70" s="16" t="s">
        <v>481</v>
      </c>
      <c r="B70" s="17">
        <v>13396459</v>
      </c>
      <c r="C70" s="18">
        <v>46028</v>
      </c>
      <c r="D70" s="21">
        <v>84</v>
      </c>
      <c r="E70" s="19">
        <v>14</v>
      </c>
      <c r="F70" s="16" t="s">
        <v>26</v>
      </c>
      <c r="G70" s="16" t="s">
        <v>111</v>
      </c>
      <c r="H70" s="11" t="s">
        <v>76</v>
      </c>
      <c r="I70" s="16" t="s">
        <v>134</v>
      </c>
      <c r="J70" s="17">
        <v>20100070970</v>
      </c>
      <c r="K70" s="16" t="s">
        <v>73</v>
      </c>
      <c r="L70" s="16" t="s">
        <v>282</v>
      </c>
      <c r="M70" s="16" t="s">
        <v>77</v>
      </c>
      <c r="N70" s="11"/>
      <c r="O70" s="11"/>
      <c r="P70" s="16" t="s">
        <v>236</v>
      </c>
      <c r="Q70" s="11"/>
      <c r="R70" s="16" t="s">
        <v>143</v>
      </c>
      <c r="S70" s="11" t="s">
        <v>482</v>
      </c>
    </row>
    <row r="71" spans="1:19" s="20" customFormat="1" ht="21.75" hidden="1" customHeight="1" x14ac:dyDescent="0.2">
      <c r="A71" s="16" t="s">
        <v>481</v>
      </c>
      <c r="B71" s="17">
        <v>13396459</v>
      </c>
      <c r="C71" s="18">
        <v>46028</v>
      </c>
      <c r="D71" s="21">
        <v>48</v>
      </c>
      <c r="E71" s="19">
        <v>4</v>
      </c>
      <c r="F71" s="16" t="s">
        <v>27</v>
      </c>
      <c r="G71" s="16" t="s">
        <v>103</v>
      </c>
      <c r="H71" s="11" t="s">
        <v>76</v>
      </c>
      <c r="I71" s="16" t="s">
        <v>134</v>
      </c>
      <c r="J71" s="17">
        <v>20100070970</v>
      </c>
      <c r="K71" s="16" t="s">
        <v>73</v>
      </c>
      <c r="L71" s="16" t="s">
        <v>282</v>
      </c>
      <c r="M71" s="16" t="s">
        <v>77</v>
      </c>
      <c r="N71" s="11"/>
      <c r="O71" s="11"/>
      <c r="P71" s="16" t="s">
        <v>236</v>
      </c>
      <c r="Q71" s="11"/>
      <c r="R71" s="16" t="s">
        <v>143</v>
      </c>
      <c r="S71" s="11" t="s">
        <v>482</v>
      </c>
    </row>
    <row r="72" spans="1:19" s="20" customFormat="1" ht="21.75" hidden="1" customHeight="1" x14ac:dyDescent="0.2">
      <c r="A72" s="16" t="s">
        <v>412</v>
      </c>
      <c r="B72" s="17">
        <v>3220479688</v>
      </c>
      <c r="C72" s="18">
        <v>46027</v>
      </c>
      <c r="D72" s="31">
        <v>1</v>
      </c>
      <c r="E72" s="31">
        <v>1</v>
      </c>
      <c r="F72" s="16" t="s">
        <v>413</v>
      </c>
      <c r="G72" s="16" t="s">
        <v>414</v>
      </c>
      <c r="H72" s="11" t="s">
        <v>99</v>
      </c>
      <c r="I72" s="16" t="s">
        <v>415</v>
      </c>
      <c r="J72" s="17">
        <v>8582883</v>
      </c>
      <c r="K72" s="16" t="s">
        <v>417</v>
      </c>
      <c r="L72" s="16" t="s">
        <v>416</v>
      </c>
      <c r="M72" s="16" t="s">
        <v>392</v>
      </c>
      <c r="N72" s="11"/>
      <c r="O72" s="11"/>
      <c r="P72" s="16" t="s">
        <v>382</v>
      </c>
      <c r="Q72" s="11"/>
      <c r="R72" s="16" t="s">
        <v>394</v>
      </c>
      <c r="S72" s="11" t="s">
        <v>418</v>
      </c>
    </row>
    <row r="73" spans="1:19" s="20" customFormat="1" ht="21.75" hidden="1" customHeight="1" x14ac:dyDescent="0.2">
      <c r="A73" s="22" t="s">
        <v>427</v>
      </c>
      <c r="B73" s="22" t="s">
        <v>435</v>
      </c>
      <c r="C73" s="18">
        <v>46028</v>
      </c>
      <c r="D73" s="48">
        <v>2</v>
      </c>
      <c r="E73" s="19">
        <v>2</v>
      </c>
      <c r="F73" s="22" t="s">
        <v>443</v>
      </c>
      <c r="G73" s="22" t="s">
        <v>450</v>
      </c>
      <c r="H73" s="11" t="s">
        <v>76</v>
      </c>
      <c r="I73" s="22" t="s">
        <v>457</v>
      </c>
      <c r="J73" s="15">
        <v>20536876953</v>
      </c>
      <c r="K73" s="49" t="s">
        <v>73</v>
      </c>
      <c r="L73" s="22" t="s">
        <v>464</v>
      </c>
      <c r="M73" s="22" t="s">
        <v>472</v>
      </c>
      <c r="N73" s="11"/>
      <c r="O73" s="11"/>
      <c r="P73" s="22" t="s">
        <v>463</v>
      </c>
      <c r="Q73" s="11"/>
      <c r="R73" s="22" t="s">
        <v>439</v>
      </c>
      <c r="S73" s="11" t="s">
        <v>480</v>
      </c>
    </row>
    <row r="74" spans="1:19" s="20" customFormat="1" ht="21.75" hidden="1" customHeight="1" x14ac:dyDescent="0.2">
      <c r="A74" s="22" t="s">
        <v>427</v>
      </c>
      <c r="B74" s="22" t="s">
        <v>435</v>
      </c>
      <c r="C74" s="18">
        <v>46028</v>
      </c>
      <c r="D74" s="48">
        <v>3</v>
      </c>
      <c r="E74" s="19">
        <v>2</v>
      </c>
      <c r="F74" s="22" t="s">
        <v>444</v>
      </c>
      <c r="G74" s="22" t="s">
        <v>451</v>
      </c>
      <c r="H74" s="11" t="s">
        <v>76</v>
      </c>
      <c r="I74" s="22" t="s">
        <v>457</v>
      </c>
      <c r="J74" s="15">
        <v>20536876953</v>
      </c>
      <c r="K74" s="49" t="s">
        <v>73</v>
      </c>
      <c r="L74" s="22" t="s">
        <v>464</v>
      </c>
      <c r="M74" s="22" t="s">
        <v>472</v>
      </c>
      <c r="N74" s="11"/>
      <c r="O74" s="11"/>
      <c r="P74" s="22" t="s">
        <v>463</v>
      </c>
      <c r="Q74" s="11"/>
      <c r="R74" s="22" t="s">
        <v>439</v>
      </c>
      <c r="S74" s="11" t="s">
        <v>480</v>
      </c>
    </row>
    <row r="75" spans="1:19" s="20" customFormat="1" ht="21.75" hidden="1" customHeight="1" x14ac:dyDescent="0.2">
      <c r="A75" s="22" t="s">
        <v>428</v>
      </c>
      <c r="B75" s="22" t="s">
        <v>260</v>
      </c>
      <c r="C75" s="18">
        <v>46028</v>
      </c>
      <c r="D75" s="48">
        <v>3</v>
      </c>
      <c r="E75" s="19">
        <v>1</v>
      </c>
      <c r="F75" s="22" t="s">
        <v>422</v>
      </c>
      <c r="G75" s="22" t="s">
        <v>423</v>
      </c>
      <c r="H75" s="11" t="s">
        <v>76</v>
      </c>
      <c r="I75" s="22" t="s">
        <v>424</v>
      </c>
      <c r="J75" s="15">
        <v>10418900682</v>
      </c>
      <c r="K75" s="50" t="s">
        <v>483</v>
      </c>
      <c r="L75" s="22" t="s">
        <v>465</v>
      </c>
      <c r="M75" s="22" t="s">
        <v>299</v>
      </c>
      <c r="N75" s="11"/>
      <c r="O75" s="11"/>
      <c r="P75" s="22" t="s">
        <v>463</v>
      </c>
      <c r="Q75" s="46" t="s">
        <v>425</v>
      </c>
      <c r="R75" s="22" t="s">
        <v>396</v>
      </c>
      <c r="S75" s="11" t="s">
        <v>477</v>
      </c>
    </row>
    <row r="76" spans="1:19" s="20" customFormat="1" ht="21.75" hidden="1" customHeight="1" x14ac:dyDescent="0.2">
      <c r="A76" s="22" t="s">
        <v>429</v>
      </c>
      <c r="B76" s="47" t="s">
        <v>426</v>
      </c>
      <c r="C76" s="18">
        <v>46028</v>
      </c>
      <c r="D76" s="48">
        <v>4</v>
      </c>
      <c r="E76" s="19">
        <v>1</v>
      </c>
      <c r="F76" s="22" t="s">
        <v>45</v>
      </c>
      <c r="G76" s="22" t="s">
        <v>116</v>
      </c>
      <c r="H76" s="11" t="s">
        <v>76</v>
      </c>
      <c r="I76" s="22" t="s">
        <v>419</v>
      </c>
      <c r="J76" s="17">
        <v>20612422614</v>
      </c>
      <c r="K76" s="50">
        <v>994985563</v>
      </c>
      <c r="L76" s="22" t="s">
        <v>466</v>
      </c>
      <c r="M76" s="22" t="s">
        <v>420</v>
      </c>
      <c r="N76" s="11"/>
      <c r="O76" s="11"/>
      <c r="P76" s="22" t="s">
        <v>421</v>
      </c>
      <c r="Q76" s="46" t="s">
        <v>426</v>
      </c>
      <c r="R76" s="22" t="s">
        <v>396</v>
      </c>
      <c r="S76" s="11" t="s">
        <v>478</v>
      </c>
    </row>
    <row r="77" spans="1:19" s="20" customFormat="1" ht="21.75" hidden="1" customHeight="1" x14ac:dyDescent="0.2">
      <c r="A77" s="22" t="s">
        <v>430</v>
      </c>
      <c r="B77" s="22" t="s">
        <v>436</v>
      </c>
      <c r="C77" s="18">
        <v>46028</v>
      </c>
      <c r="D77" s="48">
        <v>1</v>
      </c>
      <c r="E77" s="19">
        <v>1</v>
      </c>
      <c r="F77" s="22" t="s">
        <v>445</v>
      </c>
      <c r="G77" s="22" t="s">
        <v>452</v>
      </c>
      <c r="H77" s="11" t="s">
        <v>99</v>
      </c>
      <c r="I77" s="22" t="s">
        <v>458</v>
      </c>
      <c r="J77" s="15">
        <v>20565818989</v>
      </c>
      <c r="K77" s="50" t="s">
        <v>484</v>
      </c>
      <c r="L77" s="22" t="s">
        <v>467</v>
      </c>
      <c r="M77" s="22" t="s">
        <v>473</v>
      </c>
      <c r="N77" s="11"/>
      <c r="O77" s="11"/>
      <c r="P77" s="22" t="s">
        <v>382</v>
      </c>
      <c r="Q77" s="11"/>
      <c r="R77" s="22" t="s">
        <v>440</v>
      </c>
      <c r="S77" s="11" t="s">
        <v>489</v>
      </c>
    </row>
    <row r="78" spans="1:19" s="20" customFormat="1" ht="21.75" hidden="1" customHeight="1" x14ac:dyDescent="0.2">
      <c r="A78" s="69" t="s">
        <v>431</v>
      </c>
      <c r="B78" s="69" t="s">
        <v>437</v>
      </c>
      <c r="C78" s="126">
        <v>46028</v>
      </c>
      <c r="D78" s="155">
        <v>1</v>
      </c>
      <c r="E78" s="25">
        <v>1</v>
      </c>
      <c r="F78" s="69" t="s">
        <v>446</v>
      </c>
      <c r="G78" s="69" t="s">
        <v>453</v>
      </c>
      <c r="H78" s="27" t="s">
        <v>99</v>
      </c>
      <c r="I78" s="69" t="s">
        <v>459</v>
      </c>
      <c r="J78" s="51">
        <v>74438760</v>
      </c>
      <c r="K78" s="156" t="s">
        <v>485</v>
      </c>
      <c r="L78" s="69" t="s">
        <v>468</v>
      </c>
      <c r="M78" s="69" t="s">
        <v>306</v>
      </c>
      <c r="N78" s="27"/>
      <c r="O78" s="27"/>
      <c r="P78" s="69" t="s">
        <v>382</v>
      </c>
      <c r="Q78" s="27"/>
      <c r="R78" s="69" t="s">
        <v>441</v>
      </c>
      <c r="S78" s="27" t="s">
        <v>479</v>
      </c>
    </row>
    <row r="79" spans="1:19" s="20" customFormat="1" ht="21.75" hidden="1" customHeight="1" x14ac:dyDescent="0.2">
      <c r="A79" s="22" t="s">
        <v>432</v>
      </c>
      <c r="B79" s="22" t="s">
        <v>438</v>
      </c>
      <c r="C79" s="18">
        <v>46028</v>
      </c>
      <c r="D79" s="31">
        <v>2</v>
      </c>
      <c r="E79" s="19">
        <v>1</v>
      </c>
      <c r="F79" s="22" t="s">
        <v>447</v>
      </c>
      <c r="G79" s="22" t="s">
        <v>454</v>
      </c>
      <c r="H79" s="11" t="s">
        <v>99</v>
      </c>
      <c r="I79" s="22" t="s">
        <v>460</v>
      </c>
      <c r="J79" s="15">
        <v>25686910</v>
      </c>
      <c r="K79" s="15" t="s">
        <v>486</v>
      </c>
      <c r="L79" s="22" t="s">
        <v>469</v>
      </c>
      <c r="M79" s="22" t="s">
        <v>474</v>
      </c>
      <c r="N79" s="11"/>
      <c r="O79" s="11"/>
      <c r="P79" s="22" t="s">
        <v>382</v>
      </c>
      <c r="Q79" s="11"/>
      <c r="R79" s="22" t="s">
        <v>442</v>
      </c>
      <c r="S79" s="11" t="s">
        <v>490</v>
      </c>
    </row>
    <row r="80" spans="1:19" s="20" customFormat="1" ht="21.75" hidden="1" customHeight="1" x14ac:dyDescent="0.2">
      <c r="A80" s="61" t="s">
        <v>433</v>
      </c>
      <c r="B80" s="62">
        <v>3220552820</v>
      </c>
      <c r="C80" s="157">
        <v>46028</v>
      </c>
      <c r="D80" s="48">
        <v>1</v>
      </c>
      <c r="E80" s="206">
        <v>1</v>
      </c>
      <c r="F80" s="61" t="s">
        <v>413</v>
      </c>
      <c r="G80" s="61" t="s">
        <v>414</v>
      </c>
      <c r="H80" s="66" t="s">
        <v>99</v>
      </c>
      <c r="I80" s="61" t="s">
        <v>461</v>
      </c>
      <c r="J80" s="62">
        <v>46645915</v>
      </c>
      <c r="K80" s="158" t="s">
        <v>487</v>
      </c>
      <c r="L80" s="61" t="s">
        <v>470</v>
      </c>
      <c r="M80" s="61" t="s">
        <v>475</v>
      </c>
      <c r="N80" s="66"/>
      <c r="O80" s="66"/>
      <c r="P80" s="61" t="s">
        <v>382</v>
      </c>
      <c r="Q80" s="66"/>
      <c r="R80" s="61" t="s">
        <v>394</v>
      </c>
      <c r="S80" s="66" t="s">
        <v>491</v>
      </c>
    </row>
    <row r="81" spans="1:19" s="20" customFormat="1" ht="21.75" hidden="1" customHeight="1" x14ac:dyDescent="0.2">
      <c r="A81" s="22" t="s">
        <v>433</v>
      </c>
      <c r="B81" s="15">
        <v>3220552820</v>
      </c>
      <c r="C81" s="18">
        <v>46028</v>
      </c>
      <c r="D81" s="48">
        <v>1</v>
      </c>
      <c r="E81" s="207"/>
      <c r="F81" s="22" t="s">
        <v>448</v>
      </c>
      <c r="G81" s="22" t="s">
        <v>455</v>
      </c>
      <c r="H81" s="11" t="s">
        <v>99</v>
      </c>
      <c r="I81" s="22" t="s">
        <v>461</v>
      </c>
      <c r="J81" s="15">
        <v>46645915</v>
      </c>
      <c r="K81" s="51" t="s">
        <v>487</v>
      </c>
      <c r="L81" s="22" t="s">
        <v>470</v>
      </c>
      <c r="M81" s="22" t="s">
        <v>475</v>
      </c>
      <c r="N81" s="11"/>
      <c r="O81" s="11"/>
      <c r="P81" s="22" t="s">
        <v>382</v>
      </c>
      <c r="Q81" s="11"/>
      <c r="R81" s="22" t="s">
        <v>394</v>
      </c>
      <c r="S81" s="11" t="s">
        <v>491</v>
      </c>
    </row>
    <row r="82" spans="1:19" s="20" customFormat="1" ht="21.75" hidden="1" customHeight="1" x14ac:dyDescent="0.2">
      <c r="A82" s="22" t="s">
        <v>434</v>
      </c>
      <c r="B82" s="15">
        <v>3220674585</v>
      </c>
      <c r="C82" s="18">
        <v>46028</v>
      </c>
      <c r="D82" s="48">
        <v>1</v>
      </c>
      <c r="E82" s="19">
        <v>1</v>
      </c>
      <c r="F82" s="22" t="s">
        <v>449</v>
      </c>
      <c r="G82" s="22" t="s">
        <v>456</v>
      </c>
      <c r="H82" s="11" t="s">
        <v>99</v>
      </c>
      <c r="I82" s="22" t="s">
        <v>462</v>
      </c>
      <c r="J82" s="15">
        <v>40564607</v>
      </c>
      <c r="K82" s="50" t="s">
        <v>488</v>
      </c>
      <c r="L82" s="22" t="s">
        <v>471</v>
      </c>
      <c r="M82" s="22" t="s">
        <v>476</v>
      </c>
      <c r="N82" s="11"/>
      <c r="O82" s="11"/>
      <c r="P82" s="22" t="s">
        <v>382</v>
      </c>
      <c r="Q82" s="11"/>
      <c r="R82" s="22" t="s">
        <v>394</v>
      </c>
      <c r="S82" s="11" t="s">
        <v>492</v>
      </c>
    </row>
    <row r="83" spans="1:19" ht="21.75" hidden="1" customHeight="1" x14ac:dyDescent="0.25">
      <c r="A83" s="11" t="s">
        <v>497</v>
      </c>
      <c r="B83" s="14"/>
      <c r="C83" s="18">
        <v>46028</v>
      </c>
      <c r="D83" s="19">
        <v>1</v>
      </c>
      <c r="E83" s="19">
        <v>1</v>
      </c>
      <c r="F83" s="14" t="s">
        <v>494</v>
      </c>
      <c r="G83" s="14" t="s">
        <v>494</v>
      </c>
      <c r="H83" s="11" t="s">
        <v>99</v>
      </c>
      <c r="I83" s="11" t="s">
        <v>496</v>
      </c>
      <c r="J83" s="14">
        <v>20545323002</v>
      </c>
      <c r="K83" s="11"/>
      <c r="L83" s="11" t="s">
        <v>498</v>
      </c>
      <c r="M83" s="22" t="s">
        <v>306</v>
      </c>
      <c r="N83" s="11"/>
      <c r="O83" s="11"/>
      <c r="P83" s="11" t="s">
        <v>493</v>
      </c>
      <c r="Q83" s="11" t="s">
        <v>495</v>
      </c>
      <c r="R83" s="11"/>
      <c r="S83" s="11" t="s">
        <v>497</v>
      </c>
    </row>
    <row r="84" spans="1:19" ht="21.75" hidden="1" customHeight="1" x14ac:dyDescent="0.25">
      <c r="A84" s="11" t="s">
        <v>566</v>
      </c>
      <c r="B84" s="14"/>
      <c r="C84" s="52">
        <v>46029</v>
      </c>
      <c r="D84" s="19">
        <v>12</v>
      </c>
      <c r="E84" s="19">
        <v>1</v>
      </c>
      <c r="F84" s="14" t="s">
        <v>567</v>
      </c>
      <c r="G84" s="14" t="s">
        <v>568</v>
      </c>
      <c r="H84" s="11" t="s">
        <v>99</v>
      </c>
      <c r="I84" s="11" t="s">
        <v>569</v>
      </c>
      <c r="J84" s="14">
        <v>20509076945</v>
      </c>
      <c r="K84" s="11" t="s">
        <v>574</v>
      </c>
      <c r="L84" s="11" t="s">
        <v>570</v>
      </c>
      <c r="M84" s="22" t="s">
        <v>474</v>
      </c>
      <c r="N84" s="11"/>
      <c r="O84" s="11"/>
      <c r="P84" s="11" t="s">
        <v>572</v>
      </c>
      <c r="Q84" s="11" t="s">
        <v>573</v>
      </c>
      <c r="R84" s="11" t="s">
        <v>144</v>
      </c>
      <c r="S84" s="11" t="s">
        <v>571</v>
      </c>
    </row>
    <row r="85" spans="1:19" ht="21.75" hidden="1" customHeight="1" x14ac:dyDescent="0.25">
      <c r="A85" s="11" t="s">
        <v>566</v>
      </c>
      <c r="B85" s="14"/>
      <c r="C85" s="52">
        <v>46029</v>
      </c>
      <c r="D85" s="19">
        <v>12</v>
      </c>
      <c r="E85" s="19">
        <v>1</v>
      </c>
      <c r="F85" s="14" t="s">
        <v>36</v>
      </c>
      <c r="G85" s="14" t="s">
        <v>128</v>
      </c>
      <c r="H85" s="11" t="s">
        <v>99</v>
      </c>
      <c r="I85" s="11" t="s">
        <v>569</v>
      </c>
      <c r="J85" s="14">
        <v>20509076945</v>
      </c>
      <c r="K85" s="11" t="s">
        <v>574</v>
      </c>
      <c r="L85" s="11" t="s">
        <v>570</v>
      </c>
      <c r="M85" s="22" t="s">
        <v>474</v>
      </c>
      <c r="N85" s="11"/>
      <c r="O85" s="11"/>
      <c r="P85" s="11" t="s">
        <v>572</v>
      </c>
      <c r="Q85" s="11" t="s">
        <v>573</v>
      </c>
      <c r="R85" s="11" t="s">
        <v>144</v>
      </c>
      <c r="S85" s="11" t="s">
        <v>571</v>
      </c>
    </row>
    <row r="86" spans="1:19" ht="21.75" hidden="1" customHeight="1" x14ac:dyDescent="0.25">
      <c r="A86" s="11" t="s">
        <v>566</v>
      </c>
      <c r="B86" s="14"/>
      <c r="C86" s="52">
        <v>46029</v>
      </c>
      <c r="D86" s="19">
        <v>24</v>
      </c>
      <c r="E86" s="19">
        <v>1</v>
      </c>
      <c r="F86" s="14" t="s">
        <v>56</v>
      </c>
      <c r="G86" s="14" t="s">
        <v>86</v>
      </c>
      <c r="H86" s="11" t="s">
        <v>99</v>
      </c>
      <c r="I86" s="11" t="s">
        <v>569</v>
      </c>
      <c r="J86" s="14">
        <v>20509076945</v>
      </c>
      <c r="K86" s="11" t="s">
        <v>574</v>
      </c>
      <c r="L86" s="11" t="s">
        <v>570</v>
      </c>
      <c r="M86" s="22" t="s">
        <v>474</v>
      </c>
      <c r="N86" s="11"/>
      <c r="O86" s="11"/>
      <c r="P86" s="11" t="s">
        <v>572</v>
      </c>
      <c r="Q86" s="11" t="s">
        <v>573</v>
      </c>
      <c r="R86" s="11" t="s">
        <v>144</v>
      </c>
      <c r="S86" s="11" t="s">
        <v>571</v>
      </c>
    </row>
    <row r="87" spans="1:19" s="20" customFormat="1" ht="21.75" hidden="1" customHeight="1" x14ac:dyDescent="0.2">
      <c r="A87" s="53" t="s">
        <v>499</v>
      </c>
      <c r="B87" s="53" t="s">
        <v>503</v>
      </c>
      <c r="C87" s="52">
        <v>46029</v>
      </c>
      <c r="D87" s="55">
        <v>6</v>
      </c>
      <c r="E87" s="54">
        <v>1</v>
      </c>
      <c r="F87" s="53" t="s">
        <v>506</v>
      </c>
      <c r="G87" s="53" t="s">
        <v>509</v>
      </c>
      <c r="H87" s="56" t="s">
        <v>99</v>
      </c>
      <c r="I87" s="53" t="s">
        <v>553</v>
      </c>
      <c r="J87" s="58">
        <v>20101904874</v>
      </c>
      <c r="K87" s="53" t="s">
        <v>73</v>
      </c>
      <c r="L87" s="22" t="s">
        <v>534</v>
      </c>
      <c r="M87" s="22" t="s">
        <v>474</v>
      </c>
      <c r="N87" s="11"/>
      <c r="O87" s="11"/>
      <c r="P87" s="22" t="s">
        <v>513</v>
      </c>
      <c r="Q87" s="22" t="s">
        <v>516</v>
      </c>
      <c r="R87" s="22" t="s">
        <v>505</v>
      </c>
      <c r="S87" s="11" t="s">
        <v>563</v>
      </c>
    </row>
    <row r="88" spans="1:19" s="20" customFormat="1" ht="21.75" hidden="1" customHeight="1" x14ac:dyDescent="0.2">
      <c r="A88" s="53" t="s">
        <v>499</v>
      </c>
      <c r="B88" s="53" t="s">
        <v>503</v>
      </c>
      <c r="C88" s="52">
        <v>46029</v>
      </c>
      <c r="D88" s="55">
        <v>24</v>
      </c>
      <c r="E88" s="54">
        <v>2</v>
      </c>
      <c r="F88" s="53" t="s">
        <v>85</v>
      </c>
      <c r="G88" s="53" t="s">
        <v>90</v>
      </c>
      <c r="H88" s="56" t="s">
        <v>99</v>
      </c>
      <c r="I88" s="53" t="s">
        <v>553</v>
      </c>
      <c r="J88" s="58">
        <v>20101904874</v>
      </c>
      <c r="K88" s="53" t="s">
        <v>73</v>
      </c>
      <c r="L88" s="22" t="s">
        <v>534</v>
      </c>
      <c r="M88" s="22" t="s">
        <v>474</v>
      </c>
      <c r="N88" s="11"/>
      <c r="O88" s="11"/>
      <c r="P88" s="22" t="s">
        <v>513</v>
      </c>
      <c r="Q88" s="22" t="s">
        <v>516</v>
      </c>
      <c r="R88" s="22" t="s">
        <v>505</v>
      </c>
      <c r="S88" s="11" t="s">
        <v>563</v>
      </c>
    </row>
    <row r="89" spans="1:19" s="20" customFormat="1" ht="21.75" hidden="1" customHeight="1" x14ac:dyDescent="0.2">
      <c r="A89" s="53" t="s">
        <v>499</v>
      </c>
      <c r="B89" s="53" t="s">
        <v>503</v>
      </c>
      <c r="C89" s="52">
        <v>46030</v>
      </c>
      <c r="D89" s="55">
        <v>12</v>
      </c>
      <c r="E89" s="54">
        <v>1</v>
      </c>
      <c r="F89" s="53" t="s">
        <v>85</v>
      </c>
      <c r="G89" s="53" t="s">
        <v>90</v>
      </c>
      <c r="H89" s="56" t="s">
        <v>99</v>
      </c>
      <c r="I89" s="53" t="s">
        <v>575</v>
      </c>
      <c r="J89" s="15">
        <v>20101904874</v>
      </c>
      <c r="K89" s="15" t="s">
        <v>73</v>
      </c>
      <c r="L89" s="22" t="s">
        <v>535</v>
      </c>
      <c r="M89" s="22" t="s">
        <v>299</v>
      </c>
      <c r="N89" s="11"/>
      <c r="O89" s="11"/>
      <c r="P89" s="22" t="s">
        <v>513</v>
      </c>
      <c r="Q89" s="22" t="s">
        <v>517</v>
      </c>
      <c r="R89" s="22" t="s">
        <v>505</v>
      </c>
      <c r="S89" s="11" t="s">
        <v>587</v>
      </c>
    </row>
    <row r="90" spans="1:19" s="20" customFormat="1" ht="21.75" hidden="1" customHeight="1" x14ac:dyDescent="0.2">
      <c r="A90" s="53" t="s">
        <v>499</v>
      </c>
      <c r="B90" s="53" t="s">
        <v>503</v>
      </c>
      <c r="C90" s="52">
        <v>46030</v>
      </c>
      <c r="D90" s="55">
        <v>24</v>
      </c>
      <c r="E90" s="54">
        <v>2</v>
      </c>
      <c r="F90" s="53" t="s">
        <v>85</v>
      </c>
      <c r="G90" s="53" t="s">
        <v>90</v>
      </c>
      <c r="H90" s="56" t="s">
        <v>99</v>
      </c>
      <c r="I90" s="53" t="s">
        <v>184</v>
      </c>
      <c r="J90" s="15">
        <v>20101904874</v>
      </c>
      <c r="K90" s="15" t="s">
        <v>73</v>
      </c>
      <c r="L90" s="22" t="s">
        <v>536</v>
      </c>
      <c r="M90" s="22" t="s">
        <v>312</v>
      </c>
      <c r="N90" s="11"/>
      <c r="O90" s="11"/>
      <c r="P90" s="22" t="s">
        <v>514</v>
      </c>
      <c r="Q90" s="22" t="s">
        <v>518</v>
      </c>
      <c r="R90" s="22" t="s">
        <v>505</v>
      </c>
      <c r="S90" s="11" t="s">
        <v>588</v>
      </c>
    </row>
    <row r="91" spans="1:19" s="20" customFormat="1" ht="21.75" hidden="1" customHeight="1" x14ac:dyDescent="0.2">
      <c r="A91" s="53" t="s">
        <v>499</v>
      </c>
      <c r="B91" s="53" t="s">
        <v>503</v>
      </c>
      <c r="C91" s="52">
        <v>46030</v>
      </c>
      <c r="D91" s="55">
        <v>12</v>
      </c>
      <c r="E91" s="54">
        <v>1</v>
      </c>
      <c r="F91" s="53" t="s">
        <v>85</v>
      </c>
      <c r="G91" s="53" t="s">
        <v>90</v>
      </c>
      <c r="H91" s="56" t="s">
        <v>99</v>
      </c>
      <c r="I91" s="57" t="s">
        <v>576</v>
      </c>
      <c r="J91" s="15">
        <v>20101904874</v>
      </c>
      <c r="K91" s="15" t="s">
        <v>73</v>
      </c>
      <c r="L91" s="22" t="s">
        <v>537</v>
      </c>
      <c r="M91" s="22" t="s">
        <v>299</v>
      </c>
      <c r="N91" s="11"/>
      <c r="O91" s="11"/>
      <c r="P91" s="22" t="s">
        <v>514</v>
      </c>
      <c r="Q91" s="22" t="s">
        <v>519</v>
      </c>
      <c r="R91" s="22" t="s">
        <v>505</v>
      </c>
      <c r="S91" s="11" t="s">
        <v>589</v>
      </c>
    </row>
    <row r="92" spans="1:19" s="20" customFormat="1" ht="21.75" hidden="1" customHeight="1" x14ac:dyDescent="0.2">
      <c r="A92" s="53" t="s">
        <v>499</v>
      </c>
      <c r="B92" s="53" t="s">
        <v>503</v>
      </c>
      <c r="C92" s="52">
        <v>46029</v>
      </c>
      <c r="D92" s="55">
        <v>24</v>
      </c>
      <c r="E92" s="54">
        <v>2</v>
      </c>
      <c r="F92" s="53" t="s">
        <v>85</v>
      </c>
      <c r="G92" s="53" t="s">
        <v>90</v>
      </c>
      <c r="H92" s="56" t="s">
        <v>99</v>
      </c>
      <c r="I92" s="53" t="s">
        <v>554</v>
      </c>
      <c r="J92" s="58">
        <v>20101904874</v>
      </c>
      <c r="K92" s="58" t="s">
        <v>73</v>
      </c>
      <c r="L92" s="22" t="s">
        <v>538</v>
      </c>
      <c r="M92" s="22" t="s">
        <v>474</v>
      </c>
      <c r="N92" s="11"/>
      <c r="O92" s="11"/>
      <c r="P92" s="22" t="s">
        <v>513</v>
      </c>
      <c r="Q92" s="22" t="s">
        <v>520</v>
      </c>
      <c r="R92" s="22" t="s">
        <v>505</v>
      </c>
      <c r="S92" s="11" t="s">
        <v>562</v>
      </c>
    </row>
    <row r="93" spans="1:19" s="20" customFormat="1" ht="21.75" hidden="1" customHeight="1" x14ac:dyDescent="0.2">
      <c r="A93" s="53" t="s">
        <v>499</v>
      </c>
      <c r="B93" s="53" t="s">
        <v>503</v>
      </c>
      <c r="C93" s="52">
        <v>46030</v>
      </c>
      <c r="D93" s="55">
        <v>12</v>
      </c>
      <c r="E93" s="54">
        <v>1</v>
      </c>
      <c r="F93" s="53" t="s">
        <v>85</v>
      </c>
      <c r="G93" s="53" t="s">
        <v>90</v>
      </c>
      <c r="H93" s="56" t="s">
        <v>99</v>
      </c>
      <c r="I93" s="53" t="s">
        <v>577</v>
      </c>
      <c r="J93" s="15">
        <v>20101904874</v>
      </c>
      <c r="K93" s="15" t="s">
        <v>73</v>
      </c>
      <c r="L93" s="22" t="s">
        <v>539</v>
      </c>
      <c r="M93" s="22" t="s">
        <v>306</v>
      </c>
      <c r="N93" s="11"/>
      <c r="O93" s="11"/>
      <c r="P93" s="22" t="s">
        <v>513</v>
      </c>
      <c r="Q93" s="22" t="s">
        <v>521</v>
      </c>
      <c r="R93" s="22" t="s">
        <v>505</v>
      </c>
      <c r="S93" s="11" t="s">
        <v>590</v>
      </c>
    </row>
    <row r="94" spans="1:19" s="20" customFormat="1" ht="21.75" hidden="1" customHeight="1" x14ac:dyDescent="0.2">
      <c r="A94" s="53" t="s">
        <v>499</v>
      </c>
      <c r="B94" s="53" t="s">
        <v>503</v>
      </c>
      <c r="C94" s="52">
        <v>46030</v>
      </c>
      <c r="D94" s="55">
        <v>6</v>
      </c>
      <c r="E94" s="54">
        <v>1</v>
      </c>
      <c r="F94" s="53" t="s">
        <v>506</v>
      </c>
      <c r="G94" s="53" t="s">
        <v>509</v>
      </c>
      <c r="H94" s="56" t="s">
        <v>99</v>
      </c>
      <c r="I94" s="53" t="s">
        <v>578</v>
      </c>
      <c r="J94" s="15">
        <v>20101904874</v>
      </c>
      <c r="K94" s="22" t="s">
        <v>73</v>
      </c>
      <c r="L94" s="22" t="s">
        <v>540</v>
      </c>
      <c r="M94" s="22" t="s">
        <v>299</v>
      </c>
      <c r="N94" s="11"/>
      <c r="O94" s="11"/>
      <c r="P94" s="22" t="s">
        <v>513</v>
      </c>
      <c r="Q94" s="22" t="s">
        <v>522</v>
      </c>
      <c r="R94" s="22" t="s">
        <v>505</v>
      </c>
      <c r="S94" s="11" t="s">
        <v>591</v>
      </c>
    </row>
    <row r="95" spans="1:19" s="20" customFormat="1" ht="21.75" hidden="1" customHeight="1" x14ac:dyDescent="0.2">
      <c r="A95" s="53" t="s">
        <v>499</v>
      </c>
      <c r="B95" s="53" t="s">
        <v>503</v>
      </c>
      <c r="C95" s="52">
        <v>46030</v>
      </c>
      <c r="D95" s="55">
        <v>12</v>
      </c>
      <c r="E95" s="54">
        <v>1</v>
      </c>
      <c r="F95" s="53" t="s">
        <v>85</v>
      </c>
      <c r="G95" s="53" t="s">
        <v>90</v>
      </c>
      <c r="H95" s="56" t="s">
        <v>99</v>
      </c>
      <c r="I95" s="53" t="s">
        <v>578</v>
      </c>
      <c r="J95" s="15">
        <v>20101904874</v>
      </c>
      <c r="K95" s="22" t="s">
        <v>73</v>
      </c>
      <c r="L95" s="22" t="s">
        <v>540</v>
      </c>
      <c r="M95" s="22" t="s">
        <v>299</v>
      </c>
      <c r="N95" s="11"/>
      <c r="O95" s="11"/>
      <c r="P95" s="22" t="s">
        <v>513</v>
      </c>
      <c r="Q95" s="22" t="s">
        <v>522</v>
      </c>
      <c r="R95" s="22" t="s">
        <v>505</v>
      </c>
      <c r="S95" s="11" t="s">
        <v>591</v>
      </c>
    </row>
    <row r="96" spans="1:19" s="20" customFormat="1" ht="21.75" hidden="1" customHeight="1" x14ac:dyDescent="0.2">
      <c r="A96" s="53" t="s">
        <v>499</v>
      </c>
      <c r="B96" s="53" t="s">
        <v>503</v>
      </c>
      <c r="C96" s="52">
        <v>46030</v>
      </c>
      <c r="D96" s="55">
        <v>6</v>
      </c>
      <c r="E96" s="54">
        <v>1</v>
      </c>
      <c r="F96" s="53" t="s">
        <v>506</v>
      </c>
      <c r="G96" s="53" t="s">
        <v>509</v>
      </c>
      <c r="H96" s="56" t="s">
        <v>99</v>
      </c>
      <c r="I96" s="53" t="s">
        <v>579</v>
      </c>
      <c r="J96" s="15">
        <v>20101904874</v>
      </c>
      <c r="K96" s="22" t="s">
        <v>73</v>
      </c>
      <c r="L96" s="22" t="s">
        <v>541</v>
      </c>
      <c r="M96" s="22" t="s">
        <v>347</v>
      </c>
      <c r="N96" s="11"/>
      <c r="O96" s="11"/>
      <c r="P96" s="22" t="s">
        <v>514</v>
      </c>
      <c r="Q96" s="22" t="s">
        <v>523</v>
      </c>
      <c r="R96" s="22" t="s">
        <v>505</v>
      </c>
      <c r="S96" s="11" t="s">
        <v>592</v>
      </c>
    </row>
    <row r="97" spans="1:19" s="20" customFormat="1" ht="21.75" hidden="1" customHeight="1" x14ac:dyDescent="0.2">
      <c r="A97" s="53" t="s">
        <v>499</v>
      </c>
      <c r="B97" s="53" t="s">
        <v>503</v>
      </c>
      <c r="C97" s="52">
        <v>46030</v>
      </c>
      <c r="D97" s="55">
        <v>12</v>
      </c>
      <c r="E97" s="54">
        <v>1</v>
      </c>
      <c r="F97" s="53" t="s">
        <v>85</v>
      </c>
      <c r="G97" s="53" t="s">
        <v>90</v>
      </c>
      <c r="H97" s="56" t="s">
        <v>99</v>
      </c>
      <c r="I97" s="53" t="s">
        <v>579</v>
      </c>
      <c r="J97" s="15">
        <v>20101904874</v>
      </c>
      <c r="K97" s="22" t="s">
        <v>73</v>
      </c>
      <c r="L97" s="22" t="s">
        <v>541</v>
      </c>
      <c r="M97" s="22" t="s">
        <v>347</v>
      </c>
      <c r="N97" s="11"/>
      <c r="O97" s="11"/>
      <c r="P97" s="22" t="s">
        <v>514</v>
      </c>
      <c r="Q97" s="22" t="s">
        <v>523</v>
      </c>
      <c r="R97" s="22" t="s">
        <v>505</v>
      </c>
      <c r="S97" s="11" t="s">
        <v>592</v>
      </c>
    </row>
    <row r="98" spans="1:19" s="20" customFormat="1" ht="21.75" hidden="1" customHeight="1" x14ac:dyDescent="0.2">
      <c r="A98" s="53" t="s">
        <v>499</v>
      </c>
      <c r="B98" s="53" t="s">
        <v>503</v>
      </c>
      <c r="C98" s="52">
        <v>46030</v>
      </c>
      <c r="D98" s="55">
        <v>2</v>
      </c>
      <c r="E98" s="54">
        <v>1</v>
      </c>
      <c r="F98" s="53" t="s">
        <v>506</v>
      </c>
      <c r="G98" s="53" t="s">
        <v>509</v>
      </c>
      <c r="H98" s="56" t="s">
        <v>99</v>
      </c>
      <c r="I98" s="53" t="s">
        <v>580</v>
      </c>
      <c r="J98" s="15">
        <v>20101904874</v>
      </c>
      <c r="K98" s="22" t="s">
        <v>73</v>
      </c>
      <c r="L98" s="22" t="s">
        <v>542</v>
      </c>
      <c r="M98" s="22" t="s">
        <v>299</v>
      </c>
      <c r="N98" s="11"/>
      <c r="O98" s="11"/>
      <c r="P98" s="22" t="s">
        <v>513</v>
      </c>
      <c r="Q98" s="22" t="s">
        <v>524</v>
      </c>
      <c r="R98" s="22" t="s">
        <v>505</v>
      </c>
      <c r="S98" s="11" t="s">
        <v>594</v>
      </c>
    </row>
    <row r="99" spans="1:19" s="20" customFormat="1" ht="21.75" hidden="1" customHeight="1" x14ac:dyDescent="0.2">
      <c r="A99" s="53" t="s">
        <v>499</v>
      </c>
      <c r="B99" s="53" t="s">
        <v>503</v>
      </c>
      <c r="C99" s="52">
        <v>46030</v>
      </c>
      <c r="D99" s="55">
        <v>12</v>
      </c>
      <c r="E99" s="54">
        <v>1</v>
      </c>
      <c r="F99" s="53" t="s">
        <v>85</v>
      </c>
      <c r="G99" s="53" t="s">
        <v>90</v>
      </c>
      <c r="H99" s="56" t="s">
        <v>99</v>
      </c>
      <c r="I99" s="53" t="s">
        <v>580</v>
      </c>
      <c r="J99" s="15">
        <v>20101904874</v>
      </c>
      <c r="K99" s="22" t="s">
        <v>73</v>
      </c>
      <c r="L99" s="22" t="s">
        <v>542</v>
      </c>
      <c r="M99" s="22" t="s">
        <v>299</v>
      </c>
      <c r="N99" s="11"/>
      <c r="O99" s="11"/>
      <c r="P99" s="22" t="s">
        <v>513</v>
      </c>
      <c r="Q99" s="22" t="s">
        <v>524</v>
      </c>
      <c r="R99" s="22" t="s">
        <v>505</v>
      </c>
      <c r="S99" s="11" t="s">
        <v>594</v>
      </c>
    </row>
    <row r="100" spans="1:19" s="20" customFormat="1" ht="21.75" hidden="1" customHeight="1" x14ac:dyDescent="0.2">
      <c r="A100" s="53" t="s">
        <v>499</v>
      </c>
      <c r="B100" s="53" t="s">
        <v>503</v>
      </c>
      <c r="C100" s="52">
        <v>46029</v>
      </c>
      <c r="D100" s="55">
        <v>24</v>
      </c>
      <c r="E100" s="54">
        <v>2</v>
      </c>
      <c r="F100" s="53" t="s">
        <v>85</v>
      </c>
      <c r="G100" s="53" t="s">
        <v>90</v>
      </c>
      <c r="H100" s="56" t="s">
        <v>99</v>
      </c>
      <c r="I100" s="53" t="s">
        <v>555</v>
      </c>
      <c r="J100" s="58">
        <v>20101904874</v>
      </c>
      <c r="K100" s="58" t="s">
        <v>73</v>
      </c>
      <c r="L100" s="22" t="s">
        <v>543</v>
      </c>
      <c r="M100" s="22" t="s">
        <v>474</v>
      </c>
      <c r="N100" s="11"/>
      <c r="O100" s="11"/>
      <c r="P100" s="22" t="s">
        <v>513</v>
      </c>
      <c r="Q100" s="22" t="s">
        <v>525</v>
      </c>
      <c r="R100" s="22" t="s">
        <v>505</v>
      </c>
      <c r="S100" s="11" t="s">
        <v>561</v>
      </c>
    </row>
    <row r="101" spans="1:19" s="20" customFormat="1" ht="21.75" hidden="1" customHeight="1" x14ac:dyDescent="0.2">
      <c r="A101" s="53" t="s">
        <v>500</v>
      </c>
      <c r="B101" s="53" t="s">
        <v>504</v>
      </c>
      <c r="C101" s="52">
        <v>46029</v>
      </c>
      <c r="D101" s="55">
        <v>24</v>
      </c>
      <c r="E101" s="54">
        <v>2</v>
      </c>
      <c r="F101" s="53" t="s">
        <v>85</v>
      </c>
      <c r="G101" s="53" t="s">
        <v>90</v>
      </c>
      <c r="H101" s="56" t="s">
        <v>99</v>
      </c>
      <c r="I101" s="53" t="s">
        <v>556</v>
      </c>
      <c r="J101" s="58">
        <v>20101904874</v>
      </c>
      <c r="K101" s="58" t="s">
        <v>73</v>
      </c>
      <c r="L101" s="22" t="s">
        <v>544</v>
      </c>
      <c r="M101" s="22" t="s">
        <v>474</v>
      </c>
      <c r="N101" s="11"/>
      <c r="O101" s="11"/>
      <c r="P101" s="22" t="s">
        <v>513</v>
      </c>
      <c r="Q101" s="22" t="s">
        <v>526</v>
      </c>
      <c r="R101" s="22" t="s">
        <v>505</v>
      </c>
      <c r="S101" s="11" t="s">
        <v>560</v>
      </c>
    </row>
    <row r="102" spans="1:19" s="20" customFormat="1" ht="21.75" hidden="1" customHeight="1" x14ac:dyDescent="0.2">
      <c r="A102" s="53" t="s">
        <v>500</v>
      </c>
      <c r="B102" s="53" t="s">
        <v>504</v>
      </c>
      <c r="C102" s="52">
        <v>46030</v>
      </c>
      <c r="D102" s="55">
        <v>48</v>
      </c>
      <c r="E102" s="54">
        <v>4</v>
      </c>
      <c r="F102" s="53" t="s">
        <v>85</v>
      </c>
      <c r="G102" s="53" t="s">
        <v>90</v>
      </c>
      <c r="H102" s="56" t="s">
        <v>99</v>
      </c>
      <c r="I102" s="53" t="s">
        <v>581</v>
      </c>
      <c r="J102" s="15">
        <v>20101904874</v>
      </c>
      <c r="K102" s="15" t="s">
        <v>73</v>
      </c>
      <c r="L102" s="22" t="s">
        <v>545</v>
      </c>
      <c r="M102" s="22" t="s">
        <v>299</v>
      </c>
      <c r="N102" s="11"/>
      <c r="O102" s="11"/>
      <c r="P102" s="22" t="s">
        <v>513</v>
      </c>
      <c r="Q102" s="22" t="s">
        <v>527</v>
      </c>
      <c r="R102" s="22" t="s">
        <v>505</v>
      </c>
      <c r="S102" s="11" t="s">
        <v>595</v>
      </c>
    </row>
    <row r="103" spans="1:19" s="20" customFormat="1" ht="21.75" hidden="1" customHeight="1" x14ac:dyDescent="0.2">
      <c r="A103" s="53" t="s">
        <v>500</v>
      </c>
      <c r="B103" s="53" t="s">
        <v>504</v>
      </c>
      <c r="C103" s="52">
        <v>46030</v>
      </c>
      <c r="D103" s="55">
        <v>12</v>
      </c>
      <c r="E103" s="54">
        <v>1</v>
      </c>
      <c r="F103" s="53" t="s">
        <v>85</v>
      </c>
      <c r="G103" s="53" t="s">
        <v>90</v>
      </c>
      <c r="H103" s="56" t="s">
        <v>99</v>
      </c>
      <c r="I103" s="53" t="s">
        <v>582</v>
      </c>
      <c r="J103" s="15">
        <v>20101904874</v>
      </c>
      <c r="K103" s="15" t="s">
        <v>73</v>
      </c>
      <c r="L103" s="22" t="s">
        <v>546</v>
      </c>
      <c r="M103" s="22" t="s">
        <v>306</v>
      </c>
      <c r="N103" s="11"/>
      <c r="O103" s="11"/>
      <c r="P103" s="22" t="s">
        <v>513</v>
      </c>
      <c r="Q103" s="22" t="s">
        <v>528</v>
      </c>
      <c r="R103" s="22" t="s">
        <v>505</v>
      </c>
      <c r="S103" s="11" t="s">
        <v>593</v>
      </c>
    </row>
    <row r="104" spans="1:19" s="20" customFormat="1" ht="21.75" hidden="1" customHeight="1" x14ac:dyDescent="0.2">
      <c r="A104" s="53" t="s">
        <v>500</v>
      </c>
      <c r="B104" s="53" t="s">
        <v>504</v>
      </c>
      <c r="C104" s="52">
        <v>46029</v>
      </c>
      <c r="D104" s="55">
        <v>72</v>
      </c>
      <c r="E104" s="54">
        <v>6</v>
      </c>
      <c r="F104" s="53" t="s">
        <v>85</v>
      </c>
      <c r="G104" s="53" t="s">
        <v>90</v>
      </c>
      <c r="H104" s="56" t="s">
        <v>99</v>
      </c>
      <c r="I104" s="53" t="s">
        <v>557</v>
      </c>
      <c r="J104" s="58">
        <v>20101904874</v>
      </c>
      <c r="K104" s="53" t="s">
        <v>73</v>
      </c>
      <c r="L104" s="22" t="s">
        <v>547</v>
      </c>
      <c r="M104" s="22" t="s">
        <v>474</v>
      </c>
      <c r="N104" s="11"/>
      <c r="O104" s="11"/>
      <c r="P104" s="22" t="s">
        <v>513</v>
      </c>
      <c r="Q104" s="22" t="s">
        <v>529</v>
      </c>
      <c r="R104" s="22" t="s">
        <v>505</v>
      </c>
      <c r="S104" s="11" t="s">
        <v>564</v>
      </c>
    </row>
    <row r="105" spans="1:19" s="20" customFormat="1" ht="21.75" hidden="1" customHeight="1" x14ac:dyDescent="0.2">
      <c r="A105" s="53" t="s">
        <v>500</v>
      </c>
      <c r="B105" s="53" t="s">
        <v>504</v>
      </c>
      <c r="C105" s="52">
        <v>46029</v>
      </c>
      <c r="D105" s="55">
        <v>32</v>
      </c>
      <c r="E105" s="54">
        <v>3</v>
      </c>
      <c r="F105" s="53" t="s">
        <v>507</v>
      </c>
      <c r="G105" s="53" t="s">
        <v>510</v>
      </c>
      <c r="H105" s="56" t="s">
        <v>99</v>
      </c>
      <c r="I105" s="53" t="s">
        <v>557</v>
      </c>
      <c r="J105" s="58">
        <v>20101904874</v>
      </c>
      <c r="K105" s="53" t="s">
        <v>73</v>
      </c>
      <c r="L105" s="22" t="s">
        <v>547</v>
      </c>
      <c r="M105" s="22" t="s">
        <v>474</v>
      </c>
      <c r="N105" s="11"/>
      <c r="O105" s="11"/>
      <c r="P105" s="22" t="s">
        <v>513</v>
      </c>
      <c r="Q105" s="22" t="s">
        <v>529</v>
      </c>
      <c r="R105" s="22" t="s">
        <v>505</v>
      </c>
      <c r="S105" s="11" t="s">
        <v>564</v>
      </c>
    </row>
    <row r="106" spans="1:19" s="20" customFormat="1" ht="21.75" hidden="1" customHeight="1" x14ac:dyDescent="0.2">
      <c r="A106" s="53" t="s">
        <v>500</v>
      </c>
      <c r="B106" s="53" t="s">
        <v>504</v>
      </c>
      <c r="C106" s="52">
        <v>46030</v>
      </c>
      <c r="D106" s="55">
        <v>24</v>
      </c>
      <c r="E106" s="54">
        <v>2</v>
      </c>
      <c r="F106" s="53" t="s">
        <v>85</v>
      </c>
      <c r="G106" s="53" t="s">
        <v>90</v>
      </c>
      <c r="H106" s="56" t="s">
        <v>99</v>
      </c>
      <c r="I106" s="53" t="s">
        <v>583</v>
      </c>
      <c r="J106" s="15">
        <v>20101904874</v>
      </c>
      <c r="K106" s="15" t="s">
        <v>73</v>
      </c>
      <c r="L106" s="22" t="s">
        <v>548</v>
      </c>
      <c r="M106" s="22" t="s">
        <v>312</v>
      </c>
      <c r="N106" s="11"/>
      <c r="O106" s="11"/>
      <c r="P106" s="22" t="s">
        <v>514</v>
      </c>
      <c r="Q106" s="22" t="s">
        <v>530</v>
      </c>
      <c r="R106" s="22" t="s">
        <v>505</v>
      </c>
      <c r="S106" s="11" t="s">
        <v>596</v>
      </c>
    </row>
    <row r="107" spans="1:19" s="20" customFormat="1" ht="21.75" hidden="1" customHeight="1" x14ac:dyDescent="0.2">
      <c r="A107" s="53" t="s">
        <v>500</v>
      </c>
      <c r="B107" s="53" t="s">
        <v>504</v>
      </c>
      <c r="C107" s="52">
        <v>46029</v>
      </c>
      <c r="D107" s="55">
        <v>24</v>
      </c>
      <c r="E107" s="54">
        <v>2</v>
      </c>
      <c r="F107" s="53" t="s">
        <v>85</v>
      </c>
      <c r="G107" s="53" t="s">
        <v>90</v>
      </c>
      <c r="H107" s="56" t="s">
        <v>99</v>
      </c>
      <c r="I107" s="53" t="s">
        <v>558</v>
      </c>
      <c r="J107" s="58">
        <v>20101904874</v>
      </c>
      <c r="K107" s="58" t="s">
        <v>73</v>
      </c>
      <c r="L107" s="22" t="s">
        <v>549</v>
      </c>
      <c r="M107" s="22" t="s">
        <v>533</v>
      </c>
      <c r="N107" s="11"/>
      <c r="O107" s="11"/>
      <c r="P107" s="22" t="s">
        <v>515</v>
      </c>
      <c r="Q107" s="22" t="s">
        <v>531</v>
      </c>
      <c r="R107" s="22" t="s">
        <v>505</v>
      </c>
      <c r="S107" s="11" t="s">
        <v>565</v>
      </c>
    </row>
    <row r="108" spans="1:19" s="20" customFormat="1" ht="21.75" hidden="1" customHeight="1" x14ac:dyDescent="0.2">
      <c r="A108" s="53" t="s">
        <v>500</v>
      </c>
      <c r="B108" s="53" t="s">
        <v>504</v>
      </c>
      <c r="C108" s="52">
        <v>46029</v>
      </c>
      <c r="D108" s="55">
        <v>36</v>
      </c>
      <c r="E108" s="54">
        <v>3</v>
      </c>
      <c r="F108" s="53" t="s">
        <v>85</v>
      </c>
      <c r="G108" s="53" t="s">
        <v>90</v>
      </c>
      <c r="H108" s="56" t="s">
        <v>99</v>
      </c>
      <c r="I108" s="53" t="s">
        <v>559</v>
      </c>
      <c r="J108" s="58">
        <v>20101904874</v>
      </c>
      <c r="K108" s="53" t="s">
        <v>73</v>
      </c>
      <c r="L108" s="22" t="s">
        <v>550</v>
      </c>
      <c r="M108" s="22" t="s">
        <v>533</v>
      </c>
      <c r="N108" s="11"/>
      <c r="O108" s="11"/>
      <c r="P108" s="22" t="s">
        <v>515</v>
      </c>
      <c r="Q108" s="22" t="s">
        <v>532</v>
      </c>
      <c r="R108" s="22" t="s">
        <v>505</v>
      </c>
      <c r="S108" s="11" t="s">
        <v>584</v>
      </c>
    </row>
    <row r="109" spans="1:19" s="20" customFormat="1" ht="21.75" hidden="1" customHeight="1" x14ac:dyDescent="0.2">
      <c r="A109" s="53" t="s">
        <v>500</v>
      </c>
      <c r="B109" s="53" t="s">
        <v>504</v>
      </c>
      <c r="C109" s="52">
        <v>46029</v>
      </c>
      <c r="D109" s="55">
        <v>12</v>
      </c>
      <c r="E109" s="54">
        <v>1</v>
      </c>
      <c r="F109" s="53" t="s">
        <v>507</v>
      </c>
      <c r="G109" s="53" t="s">
        <v>510</v>
      </c>
      <c r="H109" s="56" t="s">
        <v>99</v>
      </c>
      <c r="I109" s="53" t="s">
        <v>559</v>
      </c>
      <c r="J109" s="58">
        <v>20101904874</v>
      </c>
      <c r="K109" s="53" t="s">
        <v>73</v>
      </c>
      <c r="L109" s="22" t="s">
        <v>550</v>
      </c>
      <c r="M109" s="22" t="s">
        <v>533</v>
      </c>
      <c r="N109" s="11"/>
      <c r="O109" s="11"/>
      <c r="P109" s="22" t="s">
        <v>515</v>
      </c>
      <c r="Q109" s="22" t="s">
        <v>532</v>
      </c>
      <c r="R109" s="22" t="s">
        <v>505</v>
      </c>
      <c r="S109" s="11" t="s">
        <v>584</v>
      </c>
    </row>
    <row r="110" spans="1:19" s="20" customFormat="1" ht="21.75" hidden="1" customHeight="1" x14ac:dyDescent="0.2">
      <c r="A110" s="22" t="s">
        <v>501</v>
      </c>
      <c r="B110" s="22">
        <v>3220743206</v>
      </c>
      <c r="C110" s="18">
        <v>46029</v>
      </c>
      <c r="D110" s="21">
        <v>1</v>
      </c>
      <c r="E110" s="19">
        <v>1</v>
      </c>
      <c r="F110" s="22" t="s">
        <v>508</v>
      </c>
      <c r="G110" s="22" t="s">
        <v>511</v>
      </c>
      <c r="H110" s="11" t="s">
        <v>99</v>
      </c>
      <c r="I110" s="22" t="s">
        <v>377</v>
      </c>
      <c r="J110" s="15">
        <v>7481755</v>
      </c>
      <c r="K110" s="15" t="s">
        <v>398</v>
      </c>
      <c r="L110" s="22" t="s">
        <v>387</v>
      </c>
      <c r="M110" s="22" t="s">
        <v>392</v>
      </c>
      <c r="N110" s="11"/>
      <c r="O110" s="11"/>
      <c r="P110" s="22" t="s">
        <v>382</v>
      </c>
      <c r="Q110" s="22" t="s">
        <v>73</v>
      </c>
      <c r="R110" s="22" t="s">
        <v>394</v>
      </c>
      <c r="S110" s="11" t="s">
        <v>586</v>
      </c>
    </row>
    <row r="111" spans="1:19" s="20" customFormat="1" ht="21.75" hidden="1" customHeight="1" x14ac:dyDescent="0.2">
      <c r="A111" s="22" t="s">
        <v>502</v>
      </c>
      <c r="B111" s="22">
        <v>3220853915</v>
      </c>
      <c r="C111" s="18">
        <v>46029</v>
      </c>
      <c r="D111" s="21">
        <v>1</v>
      </c>
      <c r="E111" s="19">
        <v>1</v>
      </c>
      <c r="F111" s="22" t="s">
        <v>44</v>
      </c>
      <c r="G111" s="22" t="s">
        <v>118</v>
      </c>
      <c r="H111" s="11" t="s">
        <v>99</v>
      </c>
      <c r="I111" s="22" t="s">
        <v>512</v>
      </c>
      <c r="J111" s="15">
        <v>40380027</v>
      </c>
      <c r="K111" s="15" t="s">
        <v>552</v>
      </c>
      <c r="L111" s="22" t="s">
        <v>551</v>
      </c>
      <c r="M111" s="22" t="s">
        <v>392</v>
      </c>
      <c r="N111" s="11"/>
      <c r="O111" s="11"/>
      <c r="P111" s="22" t="s">
        <v>382</v>
      </c>
      <c r="Q111" s="22" t="s">
        <v>73</v>
      </c>
      <c r="R111" s="22" t="s">
        <v>394</v>
      </c>
      <c r="S111" s="11" t="s">
        <v>585</v>
      </c>
    </row>
    <row r="112" spans="1:19" ht="21.75" hidden="1" customHeight="1" x14ac:dyDescent="0.25">
      <c r="A112" s="22" t="s">
        <v>597</v>
      </c>
      <c r="B112" s="15">
        <v>4883</v>
      </c>
      <c r="C112" s="52">
        <v>46030</v>
      </c>
      <c r="D112" s="31">
        <v>36</v>
      </c>
      <c r="E112" s="19">
        <v>3</v>
      </c>
      <c r="F112" s="22" t="s">
        <v>567</v>
      </c>
      <c r="G112" s="22" t="s">
        <v>568</v>
      </c>
      <c r="H112" s="16" t="s">
        <v>1650</v>
      </c>
      <c r="I112" s="22" t="s">
        <v>41</v>
      </c>
      <c r="J112" s="15">
        <v>20513229080</v>
      </c>
      <c r="K112" s="15" t="s">
        <v>663</v>
      </c>
      <c r="L112" s="22" t="s">
        <v>648</v>
      </c>
      <c r="M112" s="22" t="s">
        <v>420</v>
      </c>
      <c r="N112" s="11"/>
      <c r="O112" s="11"/>
      <c r="P112" s="22" t="s">
        <v>137</v>
      </c>
      <c r="Q112" s="22" t="s">
        <v>73</v>
      </c>
      <c r="R112" s="22" t="s">
        <v>396</v>
      </c>
      <c r="S112" s="11" t="s">
        <v>613</v>
      </c>
    </row>
    <row r="113" spans="1:19" ht="21.75" hidden="1" customHeight="1" x14ac:dyDescent="0.25">
      <c r="A113" s="22" t="s">
        <v>597</v>
      </c>
      <c r="B113" s="15">
        <v>4883</v>
      </c>
      <c r="C113" s="52">
        <v>46030</v>
      </c>
      <c r="D113" s="31">
        <v>48</v>
      </c>
      <c r="E113" s="19">
        <v>2</v>
      </c>
      <c r="F113" s="22" t="s">
        <v>598</v>
      </c>
      <c r="G113" s="22" t="s">
        <v>603</v>
      </c>
      <c r="H113" s="16" t="s">
        <v>1650</v>
      </c>
      <c r="I113" s="22" t="s">
        <v>41</v>
      </c>
      <c r="J113" s="15">
        <v>20513229080</v>
      </c>
      <c r="K113" s="15" t="s">
        <v>663</v>
      </c>
      <c r="L113" s="22" t="s">
        <v>648</v>
      </c>
      <c r="M113" s="22" t="s">
        <v>420</v>
      </c>
      <c r="N113" s="11"/>
      <c r="O113" s="11"/>
      <c r="P113" s="22" t="s">
        <v>137</v>
      </c>
      <c r="Q113" s="22" t="s">
        <v>73</v>
      </c>
      <c r="R113" s="22" t="s">
        <v>396</v>
      </c>
      <c r="S113" s="11" t="s">
        <v>613</v>
      </c>
    </row>
    <row r="114" spans="1:19" ht="21.75" hidden="1" customHeight="1" x14ac:dyDescent="0.25">
      <c r="A114" s="22" t="s">
        <v>597</v>
      </c>
      <c r="B114" s="15">
        <v>4883</v>
      </c>
      <c r="C114" s="52">
        <v>46030</v>
      </c>
      <c r="D114" s="31">
        <v>24</v>
      </c>
      <c r="E114" s="19">
        <v>2</v>
      </c>
      <c r="F114" s="22" t="s">
        <v>19</v>
      </c>
      <c r="G114" s="22" t="s">
        <v>120</v>
      </c>
      <c r="H114" s="16" t="s">
        <v>1650</v>
      </c>
      <c r="I114" s="22" t="s">
        <v>41</v>
      </c>
      <c r="J114" s="15">
        <v>20513229080</v>
      </c>
      <c r="K114" s="15" t="s">
        <v>663</v>
      </c>
      <c r="L114" s="22" t="s">
        <v>648</v>
      </c>
      <c r="M114" s="22" t="s">
        <v>420</v>
      </c>
      <c r="N114" s="11"/>
      <c r="O114" s="11"/>
      <c r="P114" s="22" t="s">
        <v>137</v>
      </c>
      <c r="Q114" s="22" t="s">
        <v>73</v>
      </c>
      <c r="R114" s="22" t="s">
        <v>396</v>
      </c>
      <c r="S114" s="11" t="s">
        <v>613</v>
      </c>
    </row>
    <row r="115" spans="1:19" ht="21.75" hidden="1" customHeight="1" x14ac:dyDescent="0.25">
      <c r="A115" s="22" t="s">
        <v>597</v>
      </c>
      <c r="B115" s="15">
        <v>4883</v>
      </c>
      <c r="C115" s="52">
        <v>46030</v>
      </c>
      <c r="D115" s="31">
        <v>24</v>
      </c>
      <c r="E115" s="19">
        <v>2</v>
      </c>
      <c r="F115" s="22" t="s">
        <v>23</v>
      </c>
      <c r="G115" s="22" t="s">
        <v>119</v>
      </c>
      <c r="H115" s="16" t="s">
        <v>1650</v>
      </c>
      <c r="I115" s="22" t="s">
        <v>41</v>
      </c>
      <c r="J115" s="15">
        <v>20513229080</v>
      </c>
      <c r="K115" s="15" t="s">
        <v>663</v>
      </c>
      <c r="L115" s="22" t="s">
        <v>648</v>
      </c>
      <c r="M115" s="22" t="s">
        <v>420</v>
      </c>
      <c r="N115" s="11"/>
      <c r="O115" s="11"/>
      <c r="P115" s="22" t="s">
        <v>137</v>
      </c>
      <c r="Q115" s="22" t="s">
        <v>73</v>
      </c>
      <c r="R115" s="22" t="s">
        <v>396</v>
      </c>
      <c r="S115" s="11" t="s">
        <v>613</v>
      </c>
    </row>
    <row r="116" spans="1:19" ht="21.75" hidden="1" customHeight="1" x14ac:dyDescent="0.25">
      <c r="A116" s="22" t="s">
        <v>597</v>
      </c>
      <c r="B116" s="15">
        <v>4883</v>
      </c>
      <c r="C116" s="52">
        <v>46030</v>
      </c>
      <c r="D116" s="31">
        <v>240</v>
      </c>
      <c r="E116" s="19">
        <v>5</v>
      </c>
      <c r="F116" s="22" t="s">
        <v>65</v>
      </c>
      <c r="G116" s="22" t="s">
        <v>102</v>
      </c>
      <c r="H116" s="16" t="s">
        <v>1650</v>
      </c>
      <c r="I116" s="22" t="s">
        <v>41</v>
      </c>
      <c r="J116" s="15">
        <v>20513229080</v>
      </c>
      <c r="K116" s="15" t="s">
        <v>663</v>
      </c>
      <c r="L116" s="22" t="s">
        <v>648</v>
      </c>
      <c r="M116" s="22" t="s">
        <v>420</v>
      </c>
      <c r="N116" s="11"/>
      <c r="O116" s="11"/>
      <c r="P116" s="22" t="s">
        <v>137</v>
      </c>
      <c r="Q116" s="22" t="s">
        <v>73</v>
      </c>
      <c r="R116" s="22" t="s">
        <v>396</v>
      </c>
      <c r="S116" s="11" t="s">
        <v>613</v>
      </c>
    </row>
    <row r="117" spans="1:19" ht="21.75" hidden="1" customHeight="1" x14ac:dyDescent="0.25">
      <c r="A117" s="22" t="s">
        <v>597</v>
      </c>
      <c r="B117" s="15">
        <v>4883</v>
      </c>
      <c r="C117" s="52">
        <v>46030</v>
      </c>
      <c r="D117" s="31">
        <v>120</v>
      </c>
      <c r="E117" s="19">
        <v>5</v>
      </c>
      <c r="F117" s="22" t="s">
        <v>599</v>
      </c>
      <c r="G117" s="22" t="s">
        <v>604</v>
      </c>
      <c r="H117" s="16" t="s">
        <v>1650</v>
      </c>
      <c r="I117" s="22" t="s">
        <v>41</v>
      </c>
      <c r="J117" s="15">
        <v>20513229080</v>
      </c>
      <c r="K117" s="15" t="s">
        <v>663</v>
      </c>
      <c r="L117" s="22" t="s">
        <v>648</v>
      </c>
      <c r="M117" s="22" t="s">
        <v>420</v>
      </c>
      <c r="N117" s="11"/>
      <c r="O117" s="11"/>
      <c r="P117" s="22" t="s">
        <v>137</v>
      </c>
      <c r="Q117" s="22" t="s">
        <v>73</v>
      </c>
      <c r="R117" s="22" t="s">
        <v>396</v>
      </c>
      <c r="S117" s="11" t="s">
        <v>613</v>
      </c>
    </row>
    <row r="118" spans="1:19" ht="21.75" hidden="1" customHeight="1" x14ac:dyDescent="0.25">
      <c r="A118" s="22" t="s">
        <v>607</v>
      </c>
      <c r="B118" s="15">
        <v>3220879133</v>
      </c>
      <c r="C118" s="52">
        <v>46030</v>
      </c>
      <c r="D118" s="31">
        <v>2</v>
      </c>
      <c r="E118" s="19">
        <v>1</v>
      </c>
      <c r="F118" s="22" t="s">
        <v>601</v>
      </c>
      <c r="G118" s="22" t="s">
        <v>605</v>
      </c>
      <c r="H118" s="56" t="s">
        <v>99</v>
      </c>
      <c r="I118" s="22" t="s">
        <v>600</v>
      </c>
      <c r="J118" s="15">
        <v>10461707713</v>
      </c>
      <c r="K118" s="15" t="s">
        <v>664</v>
      </c>
      <c r="L118" s="22" t="s">
        <v>649</v>
      </c>
      <c r="M118" s="22" t="s">
        <v>661</v>
      </c>
      <c r="N118" s="11"/>
      <c r="O118" s="11"/>
      <c r="P118" s="22" t="s">
        <v>382</v>
      </c>
      <c r="Q118" s="22" t="s">
        <v>73</v>
      </c>
      <c r="R118" s="22" t="s">
        <v>394</v>
      </c>
      <c r="S118" s="11" t="s">
        <v>614</v>
      </c>
    </row>
    <row r="119" spans="1:19" ht="21.75" hidden="1" customHeight="1" x14ac:dyDescent="0.25">
      <c r="A119" s="16" t="s">
        <v>619</v>
      </c>
      <c r="B119" s="17">
        <v>4512261395</v>
      </c>
      <c r="C119" s="52">
        <v>46034</v>
      </c>
      <c r="D119" s="21">
        <v>4</v>
      </c>
      <c r="E119" s="19">
        <v>1</v>
      </c>
      <c r="F119" s="16" t="s">
        <v>29</v>
      </c>
      <c r="G119" s="16" t="s">
        <v>94</v>
      </c>
      <c r="H119" s="56" t="s">
        <v>76</v>
      </c>
      <c r="I119" s="16" t="s">
        <v>284</v>
      </c>
      <c r="J119" s="17">
        <v>20109072177</v>
      </c>
      <c r="K119" s="17" t="s">
        <v>73</v>
      </c>
      <c r="L119" s="16" t="s">
        <v>305</v>
      </c>
      <c r="M119" s="16" t="s">
        <v>306</v>
      </c>
      <c r="N119" s="11"/>
      <c r="O119" s="11"/>
      <c r="P119" s="16" t="s">
        <v>60</v>
      </c>
      <c r="Q119" s="16" t="s">
        <v>307</v>
      </c>
      <c r="R119" s="16" t="s">
        <v>289</v>
      </c>
      <c r="S119" s="11" t="s">
        <v>731</v>
      </c>
    </row>
    <row r="120" spans="1:19" ht="21.75" hidden="1" customHeight="1" x14ac:dyDescent="0.25">
      <c r="A120" s="16" t="s">
        <v>619</v>
      </c>
      <c r="B120" s="17">
        <v>4512261395</v>
      </c>
      <c r="C120" s="52">
        <v>46034</v>
      </c>
      <c r="D120" s="21">
        <v>4</v>
      </c>
      <c r="E120" s="19">
        <v>1</v>
      </c>
      <c r="F120" s="16" t="s">
        <v>302</v>
      </c>
      <c r="G120" s="16" t="s">
        <v>303</v>
      </c>
      <c r="H120" s="56" t="s">
        <v>76</v>
      </c>
      <c r="I120" s="16" t="s">
        <v>284</v>
      </c>
      <c r="J120" s="17">
        <v>20109072177</v>
      </c>
      <c r="K120" s="17" t="s">
        <v>73</v>
      </c>
      <c r="L120" s="16" t="s">
        <v>305</v>
      </c>
      <c r="M120" s="16" t="s">
        <v>306</v>
      </c>
      <c r="N120" s="11"/>
      <c r="O120" s="11"/>
      <c r="P120" s="16" t="s">
        <v>60</v>
      </c>
      <c r="Q120" s="16" t="s">
        <v>307</v>
      </c>
      <c r="R120" s="16" t="s">
        <v>289</v>
      </c>
      <c r="S120" s="11" t="s">
        <v>731</v>
      </c>
    </row>
    <row r="121" spans="1:19" ht="21.75" hidden="1" customHeight="1" x14ac:dyDescent="0.25">
      <c r="A121" s="22" t="s">
        <v>608</v>
      </c>
      <c r="B121" s="15">
        <v>4512261453</v>
      </c>
      <c r="C121" s="52">
        <v>46030</v>
      </c>
      <c r="D121" s="31">
        <v>4</v>
      </c>
      <c r="E121" s="19">
        <v>1</v>
      </c>
      <c r="F121" s="22" t="s">
        <v>15</v>
      </c>
      <c r="G121" s="22" t="s">
        <v>96</v>
      </c>
      <c r="H121" s="56" t="s">
        <v>76</v>
      </c>
      <c r="I121" s="22" t="s">
        <v>284</v>
      </c>
      <c r="J121" s="22">
        <v>20109072177</v>
      </c>
      <c r="K121" s="22" t="s">
        <v>73</v>
      </c>
      <c r="L121" s="22" t="s">
        <v>650</v>
      </c>
      <c r="M121" s="22" t="s">
        <v>299</v>
      </c>
      <c r="N121" s="11"/>
      <c r="O121" s="11"/>
      <c r="P121" s="22" t="s">
        <v>630</v>
      </c>
      <c r="Q121" s="22" t="s">
        <v>637</v>
      </c>
      <c r="R121" s="22" t="s">
        <v>289</v>
      </c>
      <c r="S121" s="11" t="s">
        <v>615</v>
      </c>
    </row>
    <row r="122" spans="1:19" ht="21.75" hidden="1" customHeight="1" x14ac:dyDescent="0.25">
      <c r="A122" s="22" t="s">
        <v>608</v>
      </c>
      <c r="B122" s="15">
        <v>4512261453</v>
      </c>
      <c r="C122" s="52">
        <v>46030</v>
      </c>
      <c r="D122" s="31">
        <v>4</v>
      </c>
      <c r="E122" s="19">
        <v>1</v>
      </c>
      <c r="F122" s="22" t="s">
        <v>30</v>
      </c>
      <c r="G122" s="22" t="s">
        <v>122</v>
      </c>
      <c r="H122" s="56" t="s">
        <v>76</v>
      </c>
      <c r="I122" s="22" t="s">
        <v>284</v>
      </c>
      <c r="J122" s="22">
        <v>20109072177</v>
      </c>
      <c r="K122" s="22" t="s">
        <v>73</v>
      </c>
      <c r="L122" s="22" t="s">
        <v>650</v>
      </c>
      <c r="M122" s="22" t="s">
        <v>299</v>
      </c>
      <c r="N122" s="11"/>
      <c r="O122" s="11"/>
      <c r="P122" s="22" t="s">
        <v>630</v>
      </c>
      <c r="Q122" s="22" t="s">
        <v>637</v>
      </c>
      <c r="R122" s="22" t="s">
        <v>289</v>
      </c>
      <c r="S122" s="11" t="s">
        <v>615</v>
      </c>
    </row>
    <row r="123" spans="1:19" ht="21.75" hidden="1" customHeight="1" x14ac:dyDescent="0.25">
      <c r="A123" s="22" t="s">
        <v>608</v>
      </c>
      <c r="B123" s="15">
        <v>4512261453</v>
      </c>
      <c r="C123" s="52">
        <v>46030</v>
      </c>
      <c r="D123" s="31">
        <v>4</v>
      </c>
      <c r="E123" s="19">
        <v>1</v>
      </c>
      <c r="F123" s="22" t="s">
        <v>29</v>
      </c>
      <c r="G123" s="22" t="s">
        <v>94</v>
      </c>
      <c r="H123" s="56" t="s">
        <v>76</v>
      </c>
      <c r="I123" s="22" t="s">
        <v>284</v>
      </c>
      <c r="J123" s="22">
        <v>20109072177</v>
      </c>
      <c r="K123" s="22" t="s">
        <v>73</v>
      </c>
      <c r="L123" s="22" t="s">
        <v>650</v>
      </c>
      <c r="M123" s="22" t="s">
        <v>299</v>
      </c>
      <c r="N123" s="11"/>
      <c r="O123" s="11"/>
      <c r="P123" s="22" t="s">
        <v>630</v>
      </c>
      <c r="Q123" s="22" t="s">
        <v>637</v>
      </c>
      <c r="R123" s="22" t="s">
        <v>289</v>
      </c>
      <c r="S123" s="11" t="s">
        <v>615</v>
      </c>
    </row>
    <row r="124" spans="1:19" ht="21.75" hidden="1" customHeight="1" x14ac:dyDescent="0.25">
      <c r="A124" s="22" t="s">
        <v>608</v>
      </c>
      <c r="B124" s="15">
        <v>4512261453</v>
      </c>
      <c r="C124" s="52">
        <v>46030</v>
      </c>
      <c r="D124" s="31">
        <v>4</v>
      </c>
      <c r="E124" s="19">
        <v>1</v>
      </c>
      <c r="F124" s="22" t="s">
        <v>38</v>
      </c>
      <c r="G124" s="22" t="s">
        <v>97</v>
      </c>
      <c r="H124" s="56" t="s">
        <v>76</v>
      </c>
      <c r="I124" s="22" t="s">
        <v>284</v>
      </c>
      <c r="J124" s="22">
        <v>20109072177</v>
      </c>
      <c r="K124" s="22" t="s">
        <v>73</v>
      </c>
      <c r="L124" s="22" t="s">
        <v>650</v>
      </c>
      <c r="M124" s="22" t="s">
        <v>299</v>
      </c>
      <c r="N124" s="11"/>
      <c r="O124" s="11"/>
      <c r="P124" s="22" t="s">
        <v>630</v>
      </c>
      <c r="Q124" s="22" t="s">
        <v>637</v>
      </c>
      <c r="R124" s="22" t="s">
        <v>289</v>
      </c>
      <c r="S124" s="11" t="s">
        <v>615</v>
      </c>
    </row>
    <row r="125" spans="1:19" ht="21.75" hidden="1" customHeight="1" x14ac:dyDescent="0.25">
      <c r="A125" s="22" t="s">
        <v>610</v>
      </c>
      <c r="B125" s="15">
        <v>4512261473</v>
      </c>
      <c r="C125" s="52">
        <v>46030</v>
      </c>
      <c r="D125" s="31">
        <v>4</v>
      </c>
      <c r="E125" s="19">
        <v>1</v>
      </c>
      <c r="F125" s="22" t="s">
        <v>29</v>
      </c>
      <c r="G125" s="22" t="s">
        <v>94</v>
      </c>
      <c r="H125" s="56" t="s">
        <v>76</v>
      </c>
      <c r="I125" s="22" t="s">
        <v>284</v>
      </c>
      <c r="J125" s="22">
        <v>20109072177</v>
      </c>
      <c r="K125" s="22" t="s">
        <v>73</v>
      </c>
      <c r="L125" s="59" t="s">
        <v>651</v>
      </c>
      <c r="M125" s="22" t="s">
        <v>299</v>
      </c>
      <c r="N125" s="11"/>
      <c r="O125" s="11"/>
      <c r="P125" s="22" t="s">
        <v>631</v>
      </c>
      <c r="Q125" s="22" t="s">
        <v>638</v>
      </c>
      <c r="R125" s="22" t="s">
        <v>289</v>
      </c>
      <c r="S125" s="11" t="s">
        <v>616</v>
      </c>
    </row>
    <row r="126" spans="1:19" ht="21.75" hidden="1" customHeight="1" x14ac:dyDescent="0.25">
      <c r="A126" s="22" t="s">
        <v>610</v>
      </c>
      <c r="B126" s="15">
        <v>4512261473</v>
      </c>
      <c r="C126" s="52">
        <v>46030</v>
      </c>
      <c r="D126" s="31">
        <v>4</v>
      </c>
      <c r="E126" s="19">
        <v>1</v>
      </c>
      <c r="F126" s="22" t="s">
        <v>28</v>
      </c>
      <c r="G126" s="22" t="s">
        <v>95</v>
      </c>
      <c r="H126" s="56" t="s">
        <v>76</v>
      </c>
      <c r="I126" s="22" t="s">
        <v>284</v>
      </c>
      <c r="J126" s="22">
        <v>20109072177</v>
      </c>
      <c r="K126" s="22" t="s">
        <v>73</v>
      </c>
      <c r="L126" s="59" t="s">
        <v>651</v>
      </c>
      <c r="M126" s="22" t="s">
        <v>299</v>
      </c>
      <c r="N126" s="11"/>
      <c r="O126" s="11"/>
      <c r="P126" s="22" t="s">
        <v>631</v>
      </c>
      <c r="Q126" s="22" t="s">
        <v>638</v>
      </c>
      <c r="R126" s="22" t="s">
        <v>289</v>
      </c>
      <c r="S126" s="11" t="s">
        <v>616</v>
      </c>
    </row>
    <row r="127" spans="1:19" ht="21.75" hidden="1" customHeight="1" x14ac:dyDescent="0.25">
      <c r="A127" s="22" t="s">
        <v>610</v>
      </c>
      <c r="B127" s="15">
        <v>4512261473</v>
      </c>
      <c r="C127" s="52">
        <v>46030</v>
      </c>
      <c r="D127" s="31">
        <v>4</v>
      </c>
      <c r="E127" s="19">
        <v>1</v>
      </c>
      <c r="F127" s="22" t="s">
        <v>16</v>
      </c>
      <c r="G127" s="22" t="s">
        <v>89</v>
      </c>
      <c r="H127" s="56" t="s">
        <v>76</v>
      </c>
      <c r="I127" s="22" t="s">
        <v>284</v>
      </c>
      <c r="J127" s="22">
        <v>20109072177</v>
      </c>
      <c r="K127" s="22" t="s">
        <v>73</v>
      </c>
      <c r="L127" s="59" t="s">
        <v>651</v>
      </c>
      <c r="M127" s="22" t="s">
        <v>299</v>
      </c>
      <c r="N127" s="11"/>
      <c r="O127" s="11"/>
      <c r="P127" s="22" t="s">
        <v>631</v>
      </c>
      <c r="Q127" s="22" t="s">
        <v>638</v>
      </c>
      <c r="R127" s="22" t="s">
        <v>289</v>
      </c>
      <c r="S127" s="11" t="s">
        <v>616</v>
      </c>
    </row>
    <row r="128" spans="1:19" ht="21.75" hidden="1" customHeight="1" x14ac:dyDescent="0.25">
      <c r="A128" s="22" t="s">
        <v>611</v>
      </c>
      <c r="B128" s="15">
        <v>4512261555</v>
      </c>
      <c r="C128" s="52">
        <v>46030</v>
      </c>
      <c r="D128" s="31">
        <v>4</v>
      </c>
      <c r="E128" s="19">
        <v>1</v>
      </c>
      <c r="F128" s="22" t="s">
        <v>30</v>
      </c>
      <c r="G128" s="22" t="s">
        <v>122</v>
      </c>
      <c r="H128" s="56" t="s">
        <v>76</v>
      </c>
      <c r="I128" s="22" t="s">
        <v>284</v>
      </c>
      <c r="J128" s="15">
        <v>20109072177</v>
      </c>
      <c r="K128" s="15" t="s">
        <v>73</v>
      </c>
      <c r="L128" s="22" t="s">
        <v>652</v>
      </c>
      <c r="M128" s="22" t="s">
        <v>299</v>
      </c>
      <c r="N128" s="11"/>
      <c r="O128" s="11"/>
      <c r="P128" s="22" t="s">
        <v>632</v>
      </c>
      <c r="Q128" s="22" t="s">
        <v>639</v>
      </c>
      <c r="R128" s="22" t="s">
        <v>289</v>
      </c>
      <c r="S128" s="11" t="s">
        <v>617</v>
      </c>
    </row>
    <row r="129" spans="1:19" ht="21.75" hidden="1" customHeight="1" x14ac:dyDescent="0.25">
      <c r="A129" s="30" t="s">
        <v>609</v>
      </c>
      <c r="B129" s="15">
        <v>4512261567</v>
      </c>
      <c r="C129" s="52">
        <v>46032</v>
      </c>
      <c r="D129" s="31">
        <v>8</v>
      </c>
      <c r="E129" s="19">
        <v>1</v>
      </c>
      <c r="F129" s="22" t="s">
        <v>31</v>
      </c>
      <c r="G129" s="22" t="s">
        <v>98</v>
      </c>
      <c r="H129" s="56" t="s">
        <v>76</v>
      </c>
      <c r="I129" s="22" t="s">
        <v>284</v>
      </c>
      <c r="J129" s="15">
        <v>20109072177</v>
      </c>
      <c r="K129" s="15" t="s">
        <v>73</v>
      </c>
      <c r="L129" s="22" t="s">
        <v>653</v>
      </c>
      <c r="M129" s="22" t="s">
        <v>312</v>
      </c>
      <c r="N129" s="11"/>
      <c r="O129" s="11"/>
      <c r="P129" s="22" t="s">
        <v>633</v>
      </c>
      <c r="Q129" s="22" t="s">
        <v>640</v>
      </c>
      <c r="R129" s="22" t="s">
        <v>289</v>
      </c>
      <c r="S129" s="11" t="s">
        <v>709</v>
      </c>
    </row>
    <row r="130" spans="1:19" ht="21.75" hidden="1" customHeight="1" x14ac:dyDescent="0.25">
      <c r="A130" s="22" t="s">
        <v>612</v>
      </c>
      <c r="B130" s="15">
        <v>4512263377</v>
      </c>
      <c r="C130" s="52">
        <v>46030</v>
      </c>
      <c r="D130" s="31">
        <v>4</v>
      </c>
      <c r="E130" s="19">
        <v>1</v>
      </c>
      <c r="F130" s="22" t="s">
        <v>602</v>
      </c>
      <c r="G130" s="22" t="s">
        <v>606</v>
      </c>
      <c r="H130" s="56" t="s">
        <v>76</v>
      </c>
      <c r="I130" s="22" t="s">
        <v>284</v>
      </c>
      <c r="J130" s="15">
        <v>20109072177</v>
      </c>
      <c r="K130" s="15" t="s">
        <v>73</v>
      </c>
      <c r="L130" s="22" t="s">
        <v>298</v>
      </c>
      <c r="M130" s="22" t="s">
        <v>299</v>
      </c>
      <c r="N130" s="11"/>
      <c r="O130" s="11"/>
      <c r="P130" s="22" t="s">
        <v>300</v>
      </c>
      <c r="Q130" s="22" t="s">
        <v>301</v>
      </c>
      <c r="R130" s="22" t="s">
        <v>289</v>
      </c>
      <c r="S130" s="11" t="s">
        <v>618</v>
      </c>
    </row>
    <row r="131" spans="1:19" ht="21.75" hidden="1" customHeight="1" x14ac:dyDescent="0.25">
      <c r="A131" s="53" t="s">
        <v>620</v>
      </c>
      <c r="B131" s="15">
        <v>4512263123</v>
      </c>
      <c r="C131" s="52">
        <v>46031</v>
      </c>
      <c r="D131" s="31">
        <v>4</v>
      </c>
      <c r="E131" s="19">
        <v>1</v>
      </c>
      <c r="F131" s="22" t="s">
        <v>29</v>
      </c>
      <c r="G131" s="22" t="s">
        <v>94</v>
      </c>
      <c r="H131" s="56" t="s">
        <v>76</v>
      </c>
      <c r="I131" s="22" t="s">
        <v>284</v>
      </c>
      <c r="J131" s="15">
        <v>20109072177</v>
      </c>
      <c r="K131" s="15" t="s">
        <v>73</v>
      </c>
      <c r="L131" s="22" t="s">
        <v>654</v>
      </c>
      <c r="M131" s="22" t="s">
        <v>474</v>
      </c>
      <c r="N131" s="11"/>
      <c r="O131" s="11"/>
      <c r="P131" s="22" t="s">
        <v>634</v>
      </c>
      <c r="Q131" s="22" t="s">
        <v>641</v>
      </c>
      <c r="R131" s="22" t="s">
        <v>289</v>
      </c>
      <c r="S131" s="11" t="s">
        <v>669</v>
      </c>
    </row>
    <row r="132" spans="1:19" ht="21.75" hidden="1" customHeight="1" x14ac:dyDescent="0.25">
      <c r="A132" s="53" t="s">
        <v>621</v>
      </c>
      <c r="B132" s="15">
        <v>4512263211</v>
      </c>
      <c r="C132" s="52">
        <v>46031</v>
      </c>
      <c r="D132" s="31">
        <v>4</v>
      </c>
      <c r="E132" s="19">
        <v>1</v>
      </c>
      <c r="F132" s="22" t="s">
        <v>15</v>
      </c>
      <c r="G132" s="22" t="s">
        <v>96</v>
      </c>
      <c r="H132" s="56" t="s">
        <v>76</v>
      </c>
      <c r="I132" s="22" t="s">
        <v>284</v>
      </c>
      <c r="J132" s="15">
        <v>20109072177</v>
      </c>
      <c r="K132" s="15" t="s">
        <v>73</v>
      </c>
      <c r="L132" s="22" t="s">
        <v>655</v>
      </c>
      <c r="M132" s="22" t="s">
        <v>533</v>
      </c>
      <c r="N132" s="11"/>
      <c r="O132" s="11"/>
      <c r="P132" s="22" t="s">
        <v>257</v>
      </c>
      <c r="Q132" s="22" t="s">
        <v>642</v>
      </c>
      <c r="R132" s="22" t="s">
        <v>289</v>
      </c>
      <c r="S132" s="11" t="s">
        <v>666</v>
      </c>
    </row>
    <row r="133" spans="1:19" ht="21.75" hidden="1" customHeight="1" x14ac:dyDescent="0.25">
      <c r="A133" s="53" t="s">
        <v>621</v>
      </c>
      <c r="B133" s="15">
        <v>4512263211</v>
      </c>
      <c r="C133" s="52">
        <v>46031</v>
      </c>
      <c r="D133" s="31">
        <v>4</v>
      </c>
      <c r="E133" s="19">
        <v>1</v>
      </c>
      <c r="F133" s="22" t="s">
        <v>30</v>
      </c>
      <c r="G133" s="22" t="s">
        <v>122</v>
      </c>
      <c r="H133" s="56" t="s">
        <v>76</v>
      </c>
      <c r="I133" s="22" t="s">
        <v>284</v>
      </c>
      <c r="J133" s="15">
        <v>20109072177</v>
      </c>
      <c r="K133" s="15" t="s">
        <v>73</v>
      </c>
      <c r="L133" s="22" t="s">
        <v>655</v>
      </c>
      <c r="M133" s="22" t="s">
        <v>533</v>
      </c>
      <c r="N133" s="11"/>
      <c r="O133" s="11"/>
      <c r="P133" s="22" t="s">
        <v>257</v>
      </c>
      <c r="Q133" s="22" t="s">
        <v>642</v>
      </c>
      <c r="R133" s="22" t="s">
        <v>289</v>
      </c>
      <c r="S133" s="11" t="s">
        <v>666</v>
      </c>
    </row>
    <row r="134" spans="1:19" ht="21.75" hidden="1" customHeight="1" x14ac:dyDescent="0.25">
      <c r="A134" s="53" t="s">
        <v>621</v>
      </c>
      <c r="B134" s="15">
        <v>4512263211</v>
      </c>
      <c r="C134" s="52">
        <v>46031</v>
      </c>
      <c r="D134" s="31">
        <v>4</v>
      </c>
      <c r="E134" s="19">
        <v>1</v>
      </c>
      <c r="F134" s="22" t="s">
        <v>28</v>
      </c>
      <c r="G134" s="22" t="s">
        <v>95</v>
      </c>
      <c r="H134" s="56" t="s">
        <v>76</v>
      </c>
      <c r="I134" s="22" t="s">
        <v>284</v>
      </c>
      <c r="J134" s="15">
        <v>20109072177</v>
      </c>
      <c r="K134" s="15" t="s">
        <v>73</v>
      </c>
      <c r="L134" s="22" t="s">
        <v>655</v>
      </c>
      <c r="M134" s="22" t="s">
        <v>533</v>
      </c>
      <c r="N134" s="11"/>
      <c r="O134" s="11"/>
      <c r="P134" s="22" t="s">
        <v>257</v>
      </c>
      <c r="Q134" s="22" t="s">
        <v>642</v>
      </c>
      <c r="R134" s="22" t="s">
        <v>289</v>
      </c>
      <c r="S134" s="11" t="s">
        <v>666</v>
      </c>
    </row>
    <row r="135" spans="1:19" ht="21.75" hidden="1" customHeight="1" x14ac:dyDescent="0.25">
      <c r="A135" s="53" t="s">
        <v>621</v>
      </c>
      <c r="B135" s="15">
        <v>4512263211</v>
      </c>
      <c r="C135" s="52">
        <v>46031</v>
      </c>
      <c r="D135" s="31">
        <v>4</v>
      </c>
      <c r="E135" s="19">
        <v>1</v>
      </c>
      <c r="F135" s="22" t="s">
        <v>302</v>
      </c>
      <c r="G135" s="22" t="s">
        <v>303</v>
      </c>
      <c r="H135" s="56" t="s">
        <v>76</v>
      </c>
      <c r="I135" s="22" t="s">
        <v>284</v>
      </c>
      <c r="J135" s="15">
        <v>20109072177</v>
      </c>
      <c r="K135" s="15" t="s">
        <v>73</v>
      </c>
      <c r="L135" s="22" t="s">
        <v>655</v>
      </c>
      <c r="M135" s="22" t="s">
        <v>533</v>
      </c>
      <c r="N135" s="11"/>
      <c r="O135" s="11"/>
      <c r="P135" s="22" t="s">
        <v>257</v>
      </c>
      <c r="Q135" s="22" t="s">
        <v>642</v>
      </c>
      <c r="R135" s="22" t="s">
        <v>289</v>
      </c>
      <c r="S135" s="11" t="s">
        <v>666</v>
      </c>
    </row>
    <row r="136" spans="1:19" ht="21.75" hidden="1" customHeight="1" x14ac:dyDescent="0.25">
      <c r="A136" s="53" t="s">
        <v>621</v>
      </c>
      <c r="B136" s="15">
        <v>4512263211</v>
      </c>
      <c r="C136" s="52">
        <v>46031</v>
      </c>
      <c r="D136" s="31">
        <v>4</v>
      </c>
      <c r="E136" s="19">
        <v>1</v>
      </c>
      <c r="F136" s="22" t="s">
        <v>325</v>
      </c>
      <c r="G136" s="22" t="s">
        <v>338</v>
      </c>
      <c r="H136" s="56" t="s">
        <v>76</v>
      </c>
      <c r="I136" s="22" t="s">
        <v>284</v>
      </c>
      <c r="J136" s="15">
        <v>20109072177</v>
      </c>
      <c r="K136" s="15" t="s">
        <v>73</v>
      </c>
      <c r="L136" s="22" t="s">
        <v>655</v>
      </c>
      <c r="M136" s="22" t="s">
        <v>533</v>
      </c>
      <c r="N136" s="11"/>
      <c r="O136" s="11"/>
      <c r="P136" s="22" t="s">
        <v>257</v>
      </c>
      <c r="Q136" s="22" t="s">
        <v>642</v>
      </c>
      <c r="R136" s="22" t="s">
        <v>289</v>
      </c>
      <c r="S136" s="11" t="s">
        <v>666</v>
      </c>
    </row>
    <row r="137" spans="1:19" ht="21.75" hidden="1" customHeight="1" x14ac:dyDescent="0.25">
      <c r="A137" s="16" t="s">
        <v>622</v>
      </c>
      <c r="B137" s="17">
        <v>4512263301</v>
      </c>
      <c r="C137" s="52">
        <v>46034</v>
      </c>
      <c r="D137" s="21">
        <v>4</v>
      </c>
      <c r="E137" s="19">
        <v>1</v>
      </c>
      <c r="F137" s="16" t="s">
        <v>30</v>
      </c>
      <c r="G137" s="16" t="s">
        <v>122</v>
      </c>
      <c r="H137" s="56" t="s">
        <v>76</v>
      </c>
      <c r="I137" s="16" t="s">
        <v>284</v>
      </c>
      <c r="J137" s="17">
        <v>20109072177</v>
      </c>
      <c r="K137" s="17" t="s">
        <v>73</v>
      </c>
      <c r="L137" s="16" t="s">
        <v>311</v>
      </c>
      <c r="M137" s="16" t="s">
        <v>312</v>
      </c>
      <c r="N137" s="11"/>
      <c r="O137" s="11"/>
      <c r="P137" s="16" t="s">
        <v>259</v>
      </c>
      <c r="Q137" s="16" t="s">
        <v>313</v>
      </c>
      <c r="R137" s="16" t="s">
        <v>289</v>
      </c>
      <c r="S137" s="11" t="s">
        <v>739</v>
      </c>
    </row>
    <row r="138" spans="1:19" ht="21.75" hidden="1" customHeight="1" x14ac:dyDescent="0.25">
      <c r="A138" s="16" t="s">
        <v>622</v>
      </c>
      <c r="B138" s="17">
        <v>4512263301</v>
      </c>
      <c r="C138" s="52">
        <v>46034</v>
      </c>
      <c r="D138" s="21">
        <v>4</v>
      </c>
      <c r="E138" s="19">
        <v>1</v>
      </c>
      <c r="F138" s="16" t="s">
        <v>302</v>
      </c>
      <c r="G138" s="16" t="s">
        <v>303</v>
      </c>
      <c r="H138" s="56" t="s">
        <v>76</v>
      </c>
      <c r="I138" s="16" t="s">
        <v>284</v>
      </c>
      <c r="J138" s="17">
        <v>20109072177</v>
      </c>
      <c r="K138" s="17" t="s">
        <v>73</v>
      </c>
      <c r="L138" s="16" t="s">
        <v>311</v>
      </c>
      <c r="M138" s="16" t="s">
        <v>312</v>
      </c>
      <c r="N138" s="11"/>
      <c r="O138" s="11"/>
      <c r="P138" s="16" t="s">
        <v>259</v>
      </c>
      <c r="Q138" s="16" t="s">
        <v>313</v>
      </c>
      <c r="R138" s="16" t="s">
        <v>289</v>
      </c>
      <c r="S138" s="11" t="s">
        <v>739</v>
      </c>
    </row>
    <row r="139" spans="1:19" ht="21.75" hidden="1" customHeight="1" x14ac:dyDescent="0.25">
      <c r="A139" s="30" t="s">
        <v>623</v>
      </c>
      <c r="B139" s="15">
        <v>4512263339</v>
      </c>
      <c r="C139" s="52">
        <v>46032</v>
      </c>
      <c r="D139" s="31">
        <v>4</v>
      </c>
      <c r="E139" s="19">
        <v>1</v>
      </c>
      <c r="F139" s="22" t="s">
        <v>15</v>
      </c>
      <c r="G139" s="22" t="s">
        <v>96</v>
      </c>
      <c r="H139" s="56" t="s">
        <v>76</v>
      </c>
      <c r="I139" s="22" t="s">
        <v>284</v>
      </c>
      <c r="J139" s="15">
        <v>20109072177</v>
      </c>
      <c r="K139" s="15" t="s">
        <v>73</v>
      </c>
      <c r="L139" s="22" t="s">
        <v>656</v>
      </c>
      <c r="M139" s="22" t="s">
        <v>392</v>
      </c>
      <c r="N139" s="11"/>
      <c r="O139" s="11"/>
      <c r="P139" s="22" t="s">
        <v>63</v>
      </c>
      <c r="Q139" s="22" t="s">
        <v>643</v>
      </c>
      <c r="R139" s="22" t="s">
        <v>289</v>
      </c>
      <c r="S139" s="11" t="s">
        <v>709</v>
      </c>
    </row>
    <row r="140" spans="1:19" ht="21.75" hidden="1" customHeight="1" x14ac:dyDescent="0.25">
      <c r="A140" s="30" t="s">
        <v>623</v>
      </c>
      <c r="B140" s="15">
        <v>4512263339</v>
      </c>
      <c r="C140" s="52">
        <v>46032</v>
      </c>
      <c r="D140" s="31">
        <v>4</v>
      </c>
      <c r="E140" s="19">
        <v>1</v>
      </c>
      <c r="F140" s="22" t="s">
        <v>30</v>
      </c>
      <c r="G140" s="22" t="s">
        <v>122</v>
      </c>
      <c r="H140" s="56" t="s">
        <v>76</v>
      </c>
      <c r="I140" s="22" t="s">
        <v>284</v>
      </c>
      <c r="J140" s="15">
        <v>20109072177</v>
      </c>
      <c r="K140" s="15" t="s">
        <v>73</v>
      </c>
      <c r="L140" s="22" t="s">
        <v>656</v>
      </c>
      <c r="M140" s="22" t="s">
        <v>392</v>
      </c>
      <c r="N140" s="11"/>
      <c r="O140" s="11"/>
      <c r="P140" s="22" t="s">
        <v>63</v>
      </c>
      <c r="Q140" s="22" t="s">
        <v>643</v>
      </c>
      <c r="R140" s="22" t="s">
        <v>289</v>
      </c>
      <c r="S140" s="11" t="s">
        <v>709</v>
      </c>
    </row>
    <row r="141" spans="1:19" ht="21.75" hidden="1" customHeight="1" x14ac:dyDescent="0.25">
      <c r="A141" s="30" t="s">
        <v>623</v>
      </c>
      <c r="B141" s="15">
        <v>4512263339</v>
      </c>
      <c r="C141" s="52">
        <v>46032</v>
      </c>
      <c r="D141" s="31">
        <v>4</v>
      </c>
      <c r="E141" s="19">
        <v>1</v>
      </c>
      <c r="F141" s="22" t="s">
        <v>29</v>
      </c>
      <c r="G141" s="22" t="s">
        <v>94</v>
      </c>
      <c r="H141" s="56" t="s">
        <v>76</v>
      </c>
      <c r="I141" s="22" t="s">
        <v>284</v>
      </c>
      <c r="J141" s="15">
        <v>20109072177</v>
      </c>
      <c r="K141" s="15" t="s">
        <v>73</v>
      </c>
      <c r="L141" s="22" t="s">
        <v>656</v>
      </c>
      <c r="M141" s="22" t="s">
        <v>392</v>
      </c>
      <c r="N141" s="11"/>
      <c r="O141" s="11"/>
      <c r="P141" s="22" t="s">
        <v>63</v>
      </c>
      <c r="Q141" s="22" t="s">
        <v>643</v>
      </c>
      <c r="R141" s="22" t="s">
        <v>289</v>
      </c>
      <c r="S141" s="11" t="s">
        <v>709</v>
      </c>
    </row>
    <row r="142" spans="1:19" ht="21.75" hidden="1" customHeight="1" x14ac:dyDescent="0.25">
      <c r="A142" s="30" t="s">
        <v>623</v>
      </c>
      <c r="B142" s="15">
        <v>4512263339</v>
      </c>
      <c r="C142" s="52">
        <v>46032</v>
      </c>
      <c r="D142" s="31">
        <v>4</v>
      </c>
      <c r="E142" s="19">
        <v>1</v>
      </c>
      <c r="F142" s="22" t="s">
        <v>602</v>
      </c>
      <c r="G142" s="22" t="s">
        <v>606</v>
      </c>
      <c r="H142" s="56" t="s">
        <v>76</v>
      </c>
      <c r="I142" s="22" t="s">
        <v>284</v>
      </c>
      <c r="J142" s="15">
        <v>20109072177</v>
      </c>
      <c r="K142" s="15" t="s">
        <v>73</v>
      </c>
      <c r="L142" s="22" t="s">
        <v>656</v>
      </c>
      <c r="M142" s="22" t="s">
        <v>392</v>
      </c>
      <c r="N142" s="11"/>
      <c r="O142" s="11"/>
      <c r="P142" s="22" t="s">
        <v>63</v>
      </c>
      <c r="Q142" s="22" t="s">
        <v>643</v>
      </c>
      <c r="R142" s="22" t="s">
        <v>289</v>
      </c>
      <c r="S142" s="11" t="s">
        <v>709</v>
      </c>
    </row>
    <row r="143" spans="1:19" ht="21.75" hidden="1" customHeight="1" x14ac:dyDescent="0.25">
      <c r="A143" s="30" t="s">
        <v>623</v>
      </c>
      <c r="B143" s="15">
        <v>4512263339</v>
      </c>
      <c r="C143" s="52">
        <v>46032</v>
      </c>
      <c r="D143" s="31">
        <v>4</v>
      </c>
      <c r="E143" s="19">
        <v>1</v>
      </c>
      <c r="F143" s="22" t="s">
        <v>38</v>
      </c>
      <c r="G143" s="22" t="s">
        <v>97</v>
      </c>
      <c r="H143" s="56" t="s">
        <v>76</v>
      </c>
      <c r="I143" s="22" t="s">
        <v>284</v>
      </c>
      <c r="J143" s="15">
        <v>20109072177</v>
      </c>
      <c r="K143" s="15" t="s">
        <v>73</v>
      </c>
      <c r="L143" s="22" t="s">
        <v>656</v>
      </c>
      <c r="M143" s="22" t="s">
        <v>392</v>
      </c>
      <c r="N143" s="11"/>
      <c r="O143" s="11"/>
      <c r="P143" s="22" t="s">
        <v>63</v>
      </c>
      <c r="Q143" s="22" t="s">
        <v>643</v>
      </c>
      <c r="R143" s="22" t="s">
        <v>289</v>
      </c>
      <c r="S143" s="11" t="s">
        <v>709</v>
      </c>
    </row>
    <row r="144" spans="1:19" ht="21.75" hidden="1" customHeight="1" x14ac:dyDescent="0.25">
      <c r="A144" s="30" t="s">
        <v>624</v>
      </c>
      <c r="B144" s="15">
        <v>4512263345</v>
      </c>
      <c r="C144" s="52">
        <v>46032</v>
      </c>
      <c r="D144" s="31">
        <v>4</v>
      </c>
      <c r="E144" s="19">
        <v>1</v>
      </c>
      <c r="F144" s="22" t="s">
        <v>302</v>
      </c>
      <c r="G144" s="22" t="s">
        <v>303</v>
      </c>
      <c r="H144" s="56" t="s">
        <v>76</v>
      </c>
      <c r="I144" s="22" t="s">
        <v>284</v>
      </c>
      <c r="J144" s="15">
        <v>20109072177</v>
      </c>
      <c r="K144" s="15" t="s">
        <v>73</v>
      </c>
      <c r="L144" s="22" t="s">
        <v>285</v>
      </c>
      <c r="M144" s="22" t="s">
        <v>286</v>
      </c>
      <c r="N144" s="11"/>
      <c r="O144" s="11"/>
      <c r="P144" s="22" t="s">
        <v>287</v>
      </c>
      <c r="Q144" s="22" t="s">
        <v>288</v>
      </c>
      <c r="R144" s="22" t="s">
        <v>289</v>
      </c>
      <c r="S144" s="11" t="s">
        <v>710</v>
      </c>
    </row>
    <row r="145" spans="1:19" ht="21.75" hidden="1" customHeight="1" x14ac:dyDescent="0.25">
      <c r="A145" s="30" t="s">
        <v>625</v>
      </c>
      <c r="B145" s="15">
        <v>4512263353</v>
      </c>
      <c r="C145" s="52">
        <v>46032</v>
      </c>
      <c r="D145" s="31">
        <v>4</v>
      </c>
      <c r="E145" s="19">
        <v>1</v>
      </c>
      <c r="F145" s="22" t="s">
        <v>16</v>
      </c>
      <c r="G145" s="22" t="s">
        <v>89</v>
      </c>
      <c r="H145" s="56" t="s">
        <v>76</v>
      </c>
      <c r="I145" s="22" t="s">
        <v>284</v>
      </c>
      <c r="J145" s="15">
        <v>20109072177</v>
      </c>
      <c r="K145" s="15" t="s">
        <v>73</v>
      </c>
      <c r="L145" s="22" t="s">
        <v>657</v>
      </c>
      <c r="M145" s="22" t="s">
        <v>392</v>
      </c>
      <c r="N145" s="11"/>
      <c r="O145" s="11"/>
      <c r="P145" s="22" t="s">
        <v>631</v>
      </c>
      <c r="Q145" s="22" t="s">
        <v>644</v>
      </c>
      <c r="R145" s="22" t="s">
        <v>289</v>
      </c>
      <c r="S145" s="11" t="s">
        <v>711</v>
      </c>
    </row>
    <row r="146" spans="1:19" ht="21.75" hidden="1" customHeight="1" x14ac:dyDescent="0.25">
      <c r="A146" s="30" t="s">
        <v>625</v>
      </c>
      <c r="B146" s="15">
        <v>4512263353</v>
      </c>
      <c r="C146" s="52">
        <v>46032</v>
      </c>
      <c r="D146" s="31">
        <v>4</v>
      </c>
      <c r="E146" s="19">
        <v>1</v>
      </c>
      <c r="F146" s="22" t="s">
        <v>30</v>
      </c>
      <c r="G146" s="22" t="s">
        <v>122</v>
      </c>
      <c r="H146" s="56" t="s">
        <v>76</v>
      </c>
      <c r="I146" s="22" t="s">
        <v>284</v>
      </c>
      <c r="J146" s="15">
        <v>20109072177</v>
      </c>
      <c r="K146" s="15" t="s">
        <v>73</v>
      </c>
      <c r="L146" s="22" t="s">
        <v>657</v>
      </c>
      <c r="M146" s="22" t="s">
        <v>392</v>
      </c>
      <c r="N146" s="11"/>
      <c r="O146" s="11"/>
      <c r="P146" s="22" t="s">
        <v>631</v>
      </c>
      <c r="Q146" s="22" t="s">
        <v>644</v>
      </c>
      <c r="R146" s="22" t="s">
        <v>289</v>
      </c>
      <c r="S146" s="11" t="s">
        <v>711</v>
      </c>
    </row>
    <row r="147" spans="1:19" ht="21.75" hidden="1" customHeight="1" x14ac:dyDescent="0.25">
      <c r="A147" s="30" t="s">
        <v>625</v>
      </c>
      <c r="B147" s="15">
        <v>4512263353</v>
      </c>
      <c r="C147" s="52">
        <v>46032</v>
      </c>
      <c r="D147" s="31">
        <v>4</v>
      </c>
      <c r="E147" s="19">
        <v>1</v>
      </c>
      <c r="F147" s="22" t="s">
        <v>29</v>
      </c>
      <c r="G147" s="22" t="s">
        <v>94</v>
      </c>
      <c r="H147" s="56" t="s">
        <v>76</v>
      </c>
      <c r="I147" s="22" t="s">
        <v>284</v>
      </c>
      <c r="J147" s="15">
        <v>20109072177</v>
      </c>
      <c r="K147" s="15" t="s">
        <v>73</v>
      </c>
      <c r="L147" s="22" t="s">
        <v>657</v>
      </c>
      <c r="M147" s="22" t="s">
        <v>392</v>
      </c>
      <c r="N147" s="11"/>
      <c r="O147" s="11"/>
      <c r="P147" s="22" t="s">
        <v>631</v>
      </c>
      <c r="Q147" s="22" t="s">
        <v>644</v>
      </c>
      <c r="R147" s="22" t="s">
        <v>289</v>
      </c>
      <c r="S147" s="11" t="s">
        <v>711</v>
      </c>
    </row>
    <row r="148" spans="1:19" ht="21.75" hidden="1" customHeight="1" x14ac:dyDescent="0.25">
      <c r="A148" s="53" t="s">
        <v>626</v>
      </c>
      <c r="B148" s="15">
        <v>4512263370</v>
      </c>
      <c r="C148" s="52">
        <v>46031</v>
      </c>
      <c r="D148" s="31">
        <v>4</v>
      </c>
      <c r="E148" s="19">
        <v>1</v>
      </c>
      <c r="F148" s="22" t="s">
        <v>29</v>
      </c>
      <c r="G148" s="22" t="s">
        <v>94</v>
      </c>
      <c r="H148" s="56" t="s">
        <v>76</v>
      </c>
      <c r="I148" s="22" t="s">
        <v>284</v>
      </c>
      <c r="J148" s="15">
        <v>20109072177</v>
      </c>
      <c r="K148" s="15" t="s">
        <v>73</v>
      </c>
      <c r="L148" s="22" t="s">
        <v>658</v>
      </c>
      <c r="M148" s="22" t="s">
        <v>474</v>
      </c>
      <c r="N148" s="11"/>
      <c r="O148" s="11"/>
      <c r="P148" s="22" t="s">
        <v>255</v>
      </c>
      <c r="Q148" s="22" t="s">
        <v>645</v>
      </c>
      <c r="R148" s="22" t="s">
        <v>289</v>
      </c>
      <c r="S148" s="11" t="s">
        <v>667</v>
      </c>
    </row>
    <row r="149" spans="1:19" ht="21.75" hidden="1" customHeight="1" x14ac:dyDescent="0.25">
      <c r="A149" s="53" t="s">
        <v>626</v>
      </c>
      <c r="B149" s="15">
        <v>4512263370</v>
      </c>
      <c r="C149" s="52">
        <v>46031</v>
      </c>
      <c r="D149" s="31">
        <v>4</v>
      </c>
      <c r="E149" s="19">
        <v>1</v>
      </c>
      <c r="F149" s="22" t="s">
        <v>15</v>
      </c>
      <c r="G149" s="22" t="s">
        <v>96</v>
      </c>
      <c r="H149" s="56" t="s">
        <v>76</v>
      </c>
      <c r="I149" s="22" t="s">
        <v>284</v>
      </c>
      <c r="J149" s="15">
        <v>20109072177</v>
      </c>
      <c r="K149" s="15" t="s">
        <v>73</v>
      </c>
      <c r="L149" s="22" t="s">
        <v>658</v>
      </c>
      <c r="M149" s="22" t="s">
        <v>474</v>
      </c>
      <c r="N149" s="11"/>
      <c r="O149" s="11"/>
      <c r="P149" s="22" t="s">
        <v>255</v>
      </c>
      <c r="Q149" s="22" t="s">
        <v>645</v>
      </c>
      <c r="R149" s="22" t="s">
        <v>289</v>
      </c>
      <c r="S149" s="11" t="s">
        <v>667</v>
      </c>
    </row>
    <row r="150" spans="1:19" ht="21.75" hidden="1" customHeight="1" x14ac:dyDescent="0.25">
      <c r="A150" s="53" t="s">
        <v>627</v>
      </c>
      <c r="B150" s="15">
        <v>4512263381</v>
      </c>
      <c r="C150" s="52">
        <v>46031</v>
      </c>
      <c r="D150" s="31">
        <v>4</v>
      </c>
      <c r="E150" s="19">
        <v>1</v>
      </c>
      <c r="F150" s="22" t="s">
        <v>30</v>
      </c>
      <c r="G150" s="22" t="s">
        <v>122</v>
      </c>
      <c r="H150" s="56" t="s">
        <v>76</v>
      </c>
      <c r="I150" s="22" t="s">
        <v>284</v>
      </c>
      <c r="J150" s="15">
        <v>20109072177</v>
      </c>
      <c r="K150" s="15" t="s">
        <v>73</v>
      </c>
      <c r="L150" s="22" t="s">
        <v>659</v>
      </c>
      <c r="M150" s="22" t="s">
        <v>474</v>
      </c>
      <c r="N150" s="11"/>
      <c r="O150" s="11"/>
      <c r="P150" s="22" t="s">
        <v>635</v>
      </c>
      <c r="Q150" s="22" t="s">
        <v>646</v>
      </c>
      <c r="R150" s="22" t="s">
        <v>289</v>
      </c>
      <c r="S150" s="11" t="s">
        <v>668</v>
      </c>
    </row>
    <row r="151" spans="1:19" ht="21.75" hidden="1" customHeight="1" x14ac:dyDescent="0.25">
      <c r="A151" s="53" t="s">
        <v>627</v>
      </c>
      <c r="B151" s="15">
        <v>4512263381</v>
      </c>
      <c r="C151" s="52">
        <v>46031</v>
      </c>
      <c r="D151" s="31">
        <v>4</v>
      </c>
      <c r="E151" s="19">
        <v>1</v>
      </c>
      <c r="F151" s="22" t="s">
        <v>28</v>
      </c>
      <c r="G151" s="22" t="s">
        <v>95</v>
      </c>
      <c r="H151" s="56" t="s">
        <v>76</v>
      </c>
      <c r="I151" s="22" t="s">
        <v>284</v>
      </c>
      <c r="J151" s="15">
        <v>20109072177</v>
      </c>
      <c r="K151" s="15" t="s">
        <v>73</v>
      </c>
      <c r="L151" s="22" t="s">
        <v>659</v>
      </c>
      <c r="M151" s="22" t="s">
        <v>474</v>
      </c>
      <c r="N151" s="11"/>
      <c r="O151" s="11"/>
      <c r="P151" s="22" t="s">
        <v>635</v>
      </c>
      <c r="Q151" s="22" t="s">
        <v>646</v>
      </c>
      <c r="R151" s="22" t="s">
        <v>289</v>
      </c>
      <c r="S151" s="11" t="s">
        <v>668</v>
      </c>
    </row>
    <row r="152" spans="1:19" ht="21.75" hidden="1" customHeight="1" x14ac:dyDescent="0.25">
      <c r="A152" s="67" t="s">
        <v>628</v>
      </c>
      <c r="B152" s="62">
        <v>4512263395</v>
      </c>
      <c r="C152" s="63">
        <v>46032</v>
      </c>
      <c r="D152" s="64">
        <v>4</v>
      </c>
      <c r="E152" s="60">
        <v>1</v>
      </c>
      <c r="F152" s="61" t="s">
        <v>30</v>
      </c>
      <c r="G152" s="61" t="s">
        <v>122</v>
      </c>
      <c r="H152" s="65" t="s">
        <v>76</v>
      </c>
      <c r="I152" s="61" t="s">
        <v>284</v>
      </c>
      <c r="J152" s="62">
        <v>20109072177</v>
      </c>
      <c r="K152" s="62" t="s">
        <v>73</v>
      </c>
      <c r="L152" s="61" t="s">
        <v>660</v>
      </c>
      <c r="M152" s="61" t="s">
        <v>662</v>
      </c>
      <c r="N152" s="66"/>
      <c r="O152" s="66"/>
      <c r="P152" s="61" t="s">
        <v>636</v>
      </c>
      <c r="Q152" s="61" t="s">
        <v>647</v>
      </c>
      <c r="R152" s="61" t="s">
        <v>289</v>
      </c>
      <c r="S152" s="11" t="s">
        <v>712</v>
      </c>
    </row>
    <row r="153" spans="1:19" ht="21.75" hidden="1" customHeight="1" x14ac:dyDescent="0.25">
      <c r="A153" s="30" t="s">
        <v>628</v>
      </c>
      <c r="B153" s="15">
        <v>4512263395</v>
      </c>
      <c r="C153" s="52">
        <v>46032</v>
      </c>
      <c r="D153" s="31">
        <v>4</v>
      </c>
      <c r="E153" s="19">
        <v>1</v>
      </c>
      <c r="F153" s="22" t="s">
        <v>325</v>
      </c>
      <c r="G153" s="22" t="s">
        <v>338</v>
      </c>
      <c r="H153" s="56" t="s">
        <v>76</v>
      </c>
      <c r="I153" s="22" t="s">
        <v>284</v>
      </c>
      <c r="J153" s="15">
        <v>20109072177</v>
      </c>
      <c r="K153" s="15" t="s">
        <v>73</v>
      </c>
      <c r="L153" s="22" t="s">
        <v>660</v>
      </c>
      <c r="M153" s="22" t="s">
        <v>662</v>
      </c>
      <c r="N153" s="11"/>
      <c r="O153" s="11"/>
      <c r="P153" s="22" t="s">
        <v>636</v>
      </c>
      <c r="Q153" s="22" t="s">
        <v>647</v>
      </c>
      <c r="R153" s="22" t="s">
        <v>289</v>
      </c>
      <c r="S153" s="11" t="s">
        <v>712</v>
      </c>
    </row>
    <row r="154" spans="1:19" ht="21.75" hidden="1" customHeight="1" x14ac:dyDescent="0.25">
      <c r="A154" s="30" t="s">
        <v>628</v>
      </c>
      <c r="B154" s="15">
        <v>4512263395</v>
      </c>
      <c r="C154" s="52">
        <v>46032</v>
      </c>
      <c r="D154" s="31">
        <v>4</v>
      </c>
      <c r="E154" s="19">
        <v>1</v>
      </c>
      <c r="F154" s="22" t="s">
        <v>38</v>
      </c>
      <c r="G154" s="22" t="s">
        <v>97</v>
      </c>
      <c r="H154" s="56" t="s">
        <v>76</v>
      </c>
      <c r="I154" s="22" t="s">
        <v>284</v>
      </c>
      <c r="J154" s="15">
        <v>20109072177</v>
      </c>
      <c r="K154" s="15" t="s">
        <v>73</v>
      </c>
      <c r="L154" s="22" t="s">
        <v>660</v>
      </c>
      <c r="M154" s="22" t="s">
        <v>662</v>
      </c>
      <c r="N154" s="11"/>
      <c r="O154" s="11"/>
      <c r="P154" s="22" t="s">
        <v>636</v>
      </c>
      <c r="Q154" s="22" t="s">
        <v>647</v>
      </c>
      <c r="R154" s="22" t="s">
        <v>289</v>
      </c>
      <c r="S154" s="11" t="s">
        <v>712</v>
      </c>
    </row>
    <row r="155" spans="1:19" ht="21.75" hidden="1" customHeight="1" x14ac:dyDescent="0.25">
      <c r="A155" s="16" t="s">
        <v>629</v>
      </c>
      <c r="B155" s="17">
        <v>4512263398</v>
      </c>
      <c r="C155" s="52">
        <v>46034</v>
      </c>
      <c r="D155" s="21">
        <v>4</v>
      </c>
      <c r="E155" s="19">
        <v>1</v>
      </c>
      <c r="F155" s="16" t="s">
        <v>29</v>
      </c>
      <c r="G155" s="16" t="s">
        <v>94</v>
      </c>
      <c r="H155" s="56" t="s">
        <v>76</v>
      </c>
      <c r="I155" s="16" t="s">
        <v>284</v>
      </c>
      <c r="J155" s="17">
        <v>20109072177</v>
      </c>
      <c r="K155" s="17" t="s">
        <v>73</v>
      </c>
      <c r="L155" s="16" t="s">
        <v>291</v>
      </c>
      <c r="M155" s="16" t="s">
        <v>292</v>
      </c>
      <c r="N155" s="11"/>
      <c r="O155" s="11"/>
      <c r="P155" s="16" t="s">
        <v>665</v>
      </c>
      <c r="Q155" s="16" t="s">
        <v>294</v>
      </c>
      <c r="R155" s="16" t="s">
        <v>289</v>
      </c>
      <c r="S155" s="11" t="s">
        <v>740</v>
      </c>
    </row>
    <row r="156" spans="1:19" ht="21.75" hidden="1" customHeight="1" x14ac:dyDescent="0.25">
      <c r="A156" s="16" t="s">
        <v>629</v>
      </c>
      <c r="B156" s="17">
        <v>4512263398</v>
      </c>
      <c r="C156" s="52">
        <v>46034</v>
      </c>
      <c r="D156" s="21">
        <v>4</v>
      </c>
      <c r="E156" s="19">
        <v>1</v>
      </c>
      <c r="F156" s="16" t="s">
        <v>28</v>
      </c>
      <c r="G156" s="16" t="s">
        <v>95</v>
      </c>
      <c r="H156" s="56" t="s">
        <v>76</v>
      </c>
      <c r="I156" s="16" t="s">
        <v>284</v>
      </c>
      <c r="J156" s="17">
        <v>20109072177</v>
      </c>
      <c r="K156" s="17" t="s">
        <v>73</v>
      </c>
      <c r="L156" s="16" t="s">
        <v>291</v>
      </c>
      <c r="M156" s="16" t="s">
        <v>292</v>
      </c>
      <c r="N156" s="11"/>
      <c r="O156" s="11"/>
      <c r="P156" s="16" t="s">
        <v>665</v>
      </c>
      <c r="Q156" s="16" t="s">
        <v>294</v>
      </c>
      <c r="R156" s="16" t="s">
        <v>289</v>
      </c>
      <c r="S156" s="11" t="s">
        <v>740</v>
      </c>
    </row>
    <row r="157" spans="1:19" s="20" customFormat="1" ht="21.75" hidden="1" customHeight="1" x14ac:dyDescent="0.2">
      <c r="A157" s="22" t="s">
        <v>670</v>
      </c>
      <c r="B157" s="15" t="s">
        <v>675</v>
      </c>
      <c r="C157" s="52">
        <v>46031</v>
      </c>
      <c r="D157" s="31">
        <v>1</v>
      </c>
      <c r="E157" s="19">
        <v>1</v>
      </c>
      <c r="F157" s="22" t="s">
        <v>676</v>
      </c>
      <c r="G157" s="22" t="s">
        <v>681</v>
      </c>
      <c r="H157" s="56" t="s">
        <v>99</v>
      </c>
      <c r="I157" s="22" t="s">
        <v>686</v>
      </c>
      <c r="J157" s="15">
        <v>7817522</v>
      </c>
      <c r="K157" s="22" t="s">
        <v>698</v>
      </c>
      <c r="L157" s="22" t="s">
        <v>691</v>
      </c>
      <c r="M157" s="22" t="s">
        <v>299</v>
      </c>
      <c r="N157" s="11"/>
      <c r="O157" s="11"/>
      <c r="P157" s="22" t="s">
        <v>382</v>
      </c>
      <c r="Q157" s="11"/>
      <c r="R157" s="22" t="s">
        <v>442</v>
      </c>
      <c r="S157" s="11" t="s">
        <v>703</v>
      </c>
    </row>
    <row r="158" spans="1:19" s="20" customFormat="1" ht="21.75" hidden="1" customHeight="1" x14ac:dyDescent="0.2">
      <c r="A158" s="22" t="s">
        <v>671</v>
      </c>
      <c r="B158" s="15">
        <v>3220984210</v>
      </c>
      <c r="C158" s="52">
        <v>46031</v>
      </c>
      <c r="D158" s="31">
        <v>1</v>
      </c>
      <c r="E158" s="19">
        <v>1</v>
      </c>
      <c r="F158" s="22" t="s">
        <v>677</v>
      </c>
      <c r="G158" s="22" t="s">
        <v>682</v>
      </c>
      <c r="H158" s="56" t="s">
        <v>99</v>
      </c>
      <c r="I158" s="22" t="s">
        <v>687</v>
      </c>
      <c r="J158" s="15">
        <v>10550339</v>
      </c>
      <c r="K158" s="22" t="s">
        <v>699</v>
      </c>
      <c r="L158" s="22" t="s">
        <v>692</v>
      </c>
      <c r="M158" s="22" t="s">
        <v>474</v>
      </c>
      <c r="N158" s="11"/>
      <c r="O158" s="11"/>
      <c r="P158" s="22" t="s">
        <v>382</v>
      </c>
      <c r="Q158" s="11"/>
      <c r="R158" s="22" t="s">
        <v>394</v>
      </c>
      <c r="S158" s="11" t="s">
        <v>704</v>
      </c>
    </row>
    <row r="159" spans="1:19" s="20" customFormat="1" ht="21.75" hidden="1" customHeight="1" x14ac:dyDescent="0.2">
      <c r="A159" s="22" t="s">
        <v>672</v>
      </c>
      <c r="B159" s="15">
        <v>3221012619</v>
      </c>
      <c r="C159" s="52">
        <v>46031</v>
      </c>
      <c r="D159" s="31">
        <v>1</v>
      </c>
      <c r="E159" s="19">
        <v>1</v>
      </c>
      <c r="F159" s="22" t="s">
        <v>678</v>
      </c>
      <c r="G159" s="22" t="s">
        <v>683</v>
      </c>
      <c r="H159" s="56" t="s">
        <v>99</v>
      </c>
      <c r="I159" s="22" t="s">
        <v>688</v>
      </c>
      <c r="J159" s="15">
        <v>20505670443</v>
      </c>
      <c r="K159" s="22" t="s">
        <v>700</v>
      </c>
      <c r="L159" s="22" t="s">
        <v>693</v>
      </c>
      <c r="M159" s="22" t="s">
        <v>696</v>
      </c>
      <c r="N159" s="11"/>
      <c r="O159" s="11"/>
      <c r="P159" s="22" t="s">
        <v>382</v>
      </c>
      <c r="Q159" s="11"/>
      <c r="R159" s="22" t="s">
        <v>394</v>
      </c>
      <c r="S159" s="11" t="s">
        <v>705</v>
      </c>
    </row>
    <row r="160" spans="1:19" s="20" customFormat="1" ht="21.75" hidden="1" customHeight="1" x14ac:dyDescent="0.2">
      <c r="A160" s="22" t="s">
        <v>673</v>
      </c>
      <c r="B160" s="15">
        <v>3221018618</v>
      </c>
      <c r="C160" s="52">
        <v>46031</v>
      </c>
      <c r="D160" s="31">
        <v>1</v>
      </c>
      <c r="E160" s="19">
        <v>1</v>
      </c>
      <c r="F160" s="22" t="s">
        <v>679</v>
      </c>
      <c r="G160" s="22" t="s">
        <v>684</v>
      </c>
      <c r="H160" s="56" t="s">
        <v>99</v>
      </c>
      <c r="I160" s="22" t="s">
        <v>689</v>
      </c>
      <c r="J160" s="15">
        <v>74302626</v>
      </c>
      <c r="K160" s="22" t="s">
        <v>701</v>
      </c>
      <c r="L160" s="22" t="s">
        <v>694</v>
      </c>
      <c r="M160" s="22" t="s">
        <v>306</v>
      </c>
      <c r="N160" s="11"/>
      <c r="O160" s="11"/>
      <c r="P160" s="22" t="s">
        <v>382</v>
      </c>
      <c r="Q160" s="11"/>
      <c r="R160" s="22" t="s">
        <v>394</v>
      </c>
      <c r="S160" s="11" t="s">
        <v>706</v>
      </c>
    </row>
    <row r="161" spans="1:19" s="20" customFormat="1" ht="21.75" hidden="1" customHeight="1" x14ac:dyDescent="0.2">
      <c r="A161" s="22" t="s">
        <v>674</v>
      </c>
      <c r="B161" s="15">
        <v>3221038817</v>
      </c>
      <c r="C161" s="52">
        <v>46031</v>
      </c>
      <c r="D161" s="31">
        <v>1</v>
      </c>
      <c r="E161" s="19">
        <v>1</v>
      </c>
      <c r="F161" s="22" t="s">
        <v>680</v>
      </c>
      <c r="G161" s="22" t="s">
        <v>685</v>
      </c>
      <c r="H161" s="56" t="s">
        <v>99</v>
      </c>
      <c r="I161" s="22" t="s">
        <v>690</v>
      </c>
      <c r="J161" s="15">
        <v>73310146</v>
      </c>
      <c r="K161" s="22" t="s">
        <v>702</v>
      </c>
      <c r="L161" s="22" t="s">
        <v>695</v>
      </c>
      <c r="M161" s="22" t="s">
        <v>697</v>
      </c>
      <c r="N161" s="11"/>
      <c r="O161" s="11"/>
      <c r="P161" s="22" t="s">
        <v>382</v>
      </c>
      <c r="Q161" s="11"/>
      <c r="R161" s="22" t="s">
        <v>394</v>
      </c>
      <c r="S161" s="11" t="s">
        <v>707</v>
      </c>
    </row>
    <row r="162" spans="1:19" s="20" customFormat="1" ht="21.75" hidden="1" customHeight="1" x14ac:dyDescent="0.2">
      <c r="A162" s="22" t="s">
        <v>713</v>
      </c>
      <c r="B162" s="14"/>
      <c r="C162" s="52">
        <v>46032</v>
      </c>
      <c r="D162" s="31">
        <v>36</v>
      </c>
      <c r="E162" s="19">
        <v>3</v>
      </c>
      <c r="F162" s="22" t="s">
        <v>717</v>
      </c>
      <c r="G162" s="22" t="s">
        <v>718</v>
      </c>
      <c r="H162" s="56" t="s">
        <v>99</v>
      </c>
      <c r="I162" s="22" t="s">
        <v>66</v>
      </c>
      <c r="J162" s="15">
        <v>20334539149</v>
      </c>
      <c r="K162" s="15">
        <v>977804261</v>
      </c>
      <c r="L162" s="22" t="s">
        <v>722</v>
      </c>
      <c r="M162" s="22" t="s">
        <v>299</v>
      </c>
      <c r="N162" s="11"/>
      <c r="O162" s="11"/>
      <c r="P162" s="22" t="s">
        <v>720</v>
      </c>
      <c r="Q162" s="22" t="s">
        <v>725</v>
      </c>
      <c r="R162" s="22" t="s">
        <v>395</v>
      </c>
      <c r="S162" s="11" t="s">
        <v>708</v>
      </c>
    </row>
    <row r="163" spans="1:19" s="20" customFormat="1" ht="21.75" hidden="1" customHeight="1" x14ac:dyDescent="0.2">
      <c r="A163" s="22" t="s">
        <v>714</v>
      </c>
      <c r="B163" s="14"/>
      <c r="C163" s="52">
        <v>46032</v>
      </c>
      <c r="D163" s="31">
        <v>24</v>
      </c>
      <c r="E163" s="19">
        <v>8</v>
      </c>
      <c r="F163" s="22" t="s">
        <v>362</v>
      </c>
      <c r="G163" s="22" t="s">
        <v>374</v>
      </c>
      <c r="H163" s="16" t="s">
        <v>1650</v>
      </c>
      <c r="I163" s="22" t="s">
        <v>380</v>
      </c>
      <c r="J163" s="15">
        <v>10009600111</v>
      </c>
      <c r="K163" s="15">
        <v>933366745</v>
      </c>
      <c r="L163" s="22" t="s">
        <v>390</v>
      </c>
      <c r="M163" s="22" t="s">
        <v>393</v>
      </c>
      <c r="N163" s="11"/>
      <c r="O163" s="11"/>
      <c r="P163" s="22" t="s">
        <v>385</v>
      </c>
      <c r="Q163" s="22"/>
      <c r="R163" s="22" t="s">
        <v>397</v>
      </c>
      <c r="S163" s="11" t="s">
        <v>728</v>
      </c>
    </row>
    <row r="164" spans="1:19" s="20" customFormat="1" ht="21.75" hidden="1" customHeight="1" x14ac:dyDescent="0.2">
      <c r="A164" s="22" t="s">
        <v>715</v>
      </c>
      <c r="B164" s="14"/>
      <c r="C164" s="52">
        <v>46032</v>
      </c>
      <c r="D164" s="31">
        <v>24</v>
      </c>
      <c r="E164" s="19">
        <v>2</v>
      </c>
      <c r="F164" s="22" t="s">
        <v>567</v>
      </c>
      <c r="G164" s="22" t="s">
        <v>568</v>
      </c>
      <c r="H164" s="56" t="s">
        <v>99</v>
      </c>
      <c r="I164" s="22" t="s">
        <v>569</v>
      </c>
      <c r="J164" s="15">
        <v>20509076945</v>
      </c>
      <c r="K164" s="15">
        <v>941616821</v>
      </c>
      <c r="L164" s="22" t="s">
        <v>723</v>
      </c>
      <c r="M164" s="22" t="s">
        <v>306</v>
      </c>
      <c r="N164" s="11"/>
      <c r="O164" s="11"/>
      <c r="P164" s="22" t="s">
        <v>572</v>
      </c>
      <c r="Q164" s="22" t="s">
        <v>726</v>
      </c>
      <c r="R164" s="22" t="s">
        <v>144</v>
      </c>
      <c r="S164" s="11" t="s">
        <v>729</v>
      </c>
    </row>
    <row r="165" spans="1:19" s="20" customFormat="1" ht="21.75" hidden="1" customHeight="1" x14ac:dyDescent="0.2">
      <c r="A165" s="22" t="s">
        <v>715</v>
      </c>
      <c r="B165" s="14"/>
      <c r="C165" s="52">
        <v>46032</v>
      </c>
      <c r="D165" s="31">
        <v>24</v>
      </c>
      <c r="E165" s="19">
        <v>1</v>
      </c>
      <c r="F165" s="22" t="s">
        <v>36</v>
      </c>
      <c r="G165" s="22" t="s">
        <v>128</v>
      </c>
      <c r="H165" s="56" t="s">
        <v>99</v>
      </c>
      <c r="I165" s="22" t="s">
        <v>569</v>
      </c>
      <c r="J165" s="15">
        <v>20509076945</v>
      </c>
      <c r="K165" s="15">
        <v>941616821</v>
      </c>
      <c r="L165" s="22" t="s">
        <v>723</v>
      </c>
      <c r="M165" s="22" t="s">
        <v>306</v>
      </c>
      <c r="N165" s="11"/>
      <c r="O165" s="11"/>
      <c r="P165" s="22" t="s">
        <v>572</v>
      </c>
      <c r="Q165" s="22" t="s">
        <v>726</v>
      </c>
      <c r="R165" s="22" t="s">
        <v>144</v>
      </c>
      <c r="S165" s="11" t="s">
        <v>730</v>
      </c>
    </row>
    <row r="166" spans="1:19" s="20" customFormat="1" ht="21.75" hidden="1" customHeight="1" x14ac:dyDescent="0.2">
      <c r="A166" s="22" t="s">
        <v>716</v>
      </c>
      <c r="B166" s="14"/>
      <c r="C166" s="52">
        <v>46032</v>
      </c>
      <c r="D166" s="31">
        <v>360</v>
      </c>
      <c r="E166" s="19">
        <v>30</v>
      </c>
      <c r="F166" s="22" t="s">
        <v>33</v>
      </c>
      <c r="G166" s="22" t="s">
        <v>107</v>
      </c>
      <c r="H166" s="56" t="s">
        <v>99</v>
      </c>
      <c r="I166" s="22" t="s">
        <v>719</v>
      </c>
      <c r="J166" s="15">
        <v>75138628</v>
      </c>
      <c r="K166" s="15">
        <v>915337895</v>
      </c>
      <c r="L166" s="22" t="s">
        <v>724</v>
      </c>
      <c r="M166" s="22" t="s">
        <v>347</v>
      </c>
      <c r="N166" s="11"/>
      <c r="O166" s="11"/>
      <c r="P166" s="22" t="s">
        <v>721</v>
      </c>
      <c r="Q166" s="22" t="s">
        <v>727</v>
      </c>
      <c r="R166" s="22" t="s">
        <v>396</v>
      </c>
      <c r="S166" s="11" t="s">
        <v>731</v>
      </c>
    </row>
    <row r="167" spans="1:19" ht="21.75" hidden="1" customHeight="1" x14ac:dyDescent="0.25">
      <c r="A167" s="16" t="s">
        <v>732</v>
      </c>
      <c r="B167" s="14"/>
      <c r="C167" s="52">
        <v>46034</v>
      </c>
      <c r="D167" s="21">
        <v>72</v>
      </c>
      <c r="E167" s="19">
        <v>6</v>
      </c>
      <c r="F167" s="16" t="s">
        <v>734</v>
      </c>
      <c r="G167" s="14" t="s">
        <v>735</v>
      </c>
      <c r="H167" s="56" t="s">
        <v>99</v>
      </c>
      <c r="I167" s="16" t="s">
        <v>733</v>
      </c>
      <c r="J167" s="17">
        <v>20610373608</v>
      </c>
      <c r="K167" s="14">
        <v>981468403</v>
      </c>
      <c r="L167" s="11" t="s">
        <v>736</v>
      </c>
      <c r="M167" s="11" t="s">
        <v>299</v>
      </c>
      <c r="N167" s="11"/>
      <c r="O167" s="11"/>
      <c r="P167" s="11" t="s">
        <v>738</v>
      </c>
      <c r="Q167" s="11"/>
      <c r="R167" s="11" t="s">
        <v>144</v>
      </c>
      <c r="S167" s="11" t="s">
        <v>737</v>
      </c>
    </row>
    <row r="168" spans="1:19" ht="21.75" hidden="1" customHeight="1" x14ac:dyDescent="0.25">
      <c r="A168" s="16" t="s">
        <v>741</v>
      </c>
      <c r="B168" s="16" t="s">
        <v>73</v>
      </c>
      <c r="C168" s="52">
        <v>46035</v>
      </c>
      <c r="D168" s="21">
        <v>12</v>
      </c>
      <c r="E168" s="19">
        <v>1</v>
      </c>
      <c r="F168" s="16" t="s">
        <v>753</v>
      </c>
      <c r="G168" s="16" t="s">
        <v>767</v>
      </c>
      <c r="H168" s="16" t="s">
        <v>1650</v>
      </c>
      <c r="I168" s="16" t="s">
        <v>379</v>
      </c>
      <c r="J168" s="16">
        <v>20101596363</v>
      </c>
      <c r="K168" s="16" t="s">
        <v>399</v>
      </c>
      <c r="L168" s="16" t="s">
        <v>389</v>
      </c>
      <c r="M168" s="16" t="s">
        <v>347</v>
      </c>
      <c r="N168" s="11"/>
      <c r="O168" s="11"/>
      <c r="P168" s="16" t="s">
        <v>384</v>
      </c>
      <c r="Q168" s="11"/>
      <c r="R168" s="16" t="s">
        <v>396</v>
      </c>
      <c r="S168" s="11" t="s">
        <v>803</v>
      </c>
    </row>
    <row r="169" spans="1:19" ht="21.75" hidden="1" customHeight="1" x14ac:dyDescent="0.25">
      <c r="A169" s="16" t="s">
        <v>741</v>
      </c>
      <c r="B169" s="16" t="s">
        <v>73</v>
      </c>
      <c r="C169" s="52">
        <v>46035</v>
      </c>
      <c r="D169" s="21">
        <v>6</v>
      </c>
      <c r="E169" s="19">
        <v>2</v>
      </c>
      <c r="F169" s="16" t="s">
        <v>754</v>
      </c>
      <c r="G169" s="16" t="s">
        <v>768</v>
      </c>
      <c r="H169" s="16" t="s">
        <v>1650</v>
      </c>
      <c r="I169" s="16" t="s">
        <v>379</v>
      </c>
      <c r="J169" s="16">
        <v>20101596363</v>
      </c>
      <c r="K169" s="16" t="s">
        <v>399</v>
      </c>
      <c r="L169" s="16" t="s">
        <v>389</v>
      </c>
      <c r="M169" s="16" t="s">
        <v>347</v>
      </c>
      <c r="N169" s="11"/>
      <c r="O169" s="11"/>
      <c r="P169" s="16" t="s">
        <v>384</v>
      </c>
      <c r="Q169" s="11"/>
      <c r="R169" s="16" t="s">
        <v>396</v>
      </c>
      <c r="S169" s="11" t="s">
        <v>803</v>
      </c>
    </row>
    <row r="170" spans="1:19" ht="21.75" hidden="1" customHeight="1" x14ac:dyDescent="0.25">
      <c r="A170" s="16" t="s">
        <v>741</v>
      </c>
      <c r="B170" s="16" t="s">
        <v>73</v>
      </c>
      <c r="C170" s="52">
        <v>46035</v>
      </c>
      <c r="D170" s="21">
        <v>2</v>
      </c>
      <c r="E170" s="19">
        <v>2</v>
      </c>
      <c r="F170" s="16" t="s">
        <v>443</v>
      </c>
      <c r="G170" s="16" t="s">
        <v>450</v>
      </c>
      <c r="H170" s="16" t="s">
        <v>1650</v>
      </c>
      <c r="I170" s="16" t="s">
        <v>379</v>
      </c>
      <c r="J170" s="16">
        <v>20101596363</v>
      </c>
      <c r="K170" s="16" t="s">
        <v>399</v>
      </c>
      <c r="L170" s="16" t="s">
        <v>389</v>
      </c>
      <c r="M170" s="16" t="s">
        <v>347</v>
      </c>
      <c r="N170" s="11"/>
      <c r="O170" s="11"/>
      <c r="P170" s="16" t="s">
        <v>384</v>
      </c>
      <c r="Q170" s="11"/>
      <c r="R170" s="16" t="s">
        <v>396</v>
      </c>
      <c r="S170" s="11" t="s">
        <v>803</v>
      </c>
    </row>
    <row r="171" spans="1:19" ht="21.75" hidden="1" customHeight="1" x14ac:dyDescent="0.25">
      <c r="A171" s="16" t="s">
        <v>742</v>
      </c>
      <c r="B171" s="16" t="s">
        <v>749</v>
      </c>
      <c r="C171" s="52">
        <v>46035</v>
      </c>
      <c r="D171" s="21">
        <v>1</v>
      </c>
      <c r="E171" s="19">
        <v>1</v>
      </c>
      <c r="F171" s="16" t="s">
        <v>755</v>
      </c>
      <c r="G171" s="16" t="s">
        <v>769</v>
      </c>
      <c r="H171" s="11" t="s">
        <v>99</v>
      </c>
      <c r="I171" s="16" t="s">
        <v>781</v>
      </c>
      <c r="J171" s="16">
        <v>70176357</v>
      </c>
      <c r="K171" s="16" t="s">
        <v>798</v>
      </c>
      <c r="L171" s="16" t="s">
        <v>789</v>
      </c>
      <c r="M171" s="16" t="s">
        <v>299</v>
      </c>
      <c r="N171" s="11"/>
      <c r="O171" s="11"/>
      <c r="P171" s="16" t="s">
        <v>382</v>
      </c>
      <c r="Q171" s="11"/>
      <c r="R171" s="16" t="s">
        <v>440</v>
      </c>
      <c r="S171" s="11" t="s">
        <v>804</v>
      </c>
    </row>
    <row r="172" spans="1:19" ht="21.75" hidden="1" customHeight="1" x14ac:dyDescent="0.25">
      <c r="A172" s="16" t="s">
        <v>743</v>
      </c>
      <c r="B172" s="16" t="s">
        <v>750</v>
      </c>
      <c r="C172" s="52">
        <v>46035</v>
      </c>
      <c r="D172" s="21">
        <v>2</v>
      </c>
      <c r="E172" s="205">
        <v>1</v>
      </c>
      <c r="F172" s="16" t="s">
        <v>756</v>
      </c>
      <c r="G172" s="16" t="s">
        <v>770</v>
      </c>
      <c r="H172" s="11" t="s">
        <v>99</v>
      </c>
      <c r="I172" s="16" t="s">
        <v>782</v>
      </c>
      <c r="J172" s="16">
        <v>40205833</v>
      </c>
      <c r="K172" s="16" t="s">
        <v>799</v>
      </c>
      <c r="L172" s="16" t="s">
        <v>790</v>
      </c>
      <c r="M172" s="16" t="s">
        <v>474</v>
      </c>
      <c r="N172" s="11"/>
      <c r="O172" s="11"/>
      <c r="P172" s="16" t="s">
        <v>382</v>
      </c>
      <c r="Q172" s="11"/>
      <c r="R172" s="16" t="s">
        <v>442</v>
      </c>
      <c r="S172" s="11" t="s">
        <v>805</v>
      </c>
    </row>
    <row r="173" spans="1:19" ht="21.75" hidden="1" customHeight="1" x14ac:dyDescent="0.25">
      <c r="A173" s="16" t="s">
        <v>743</v>
      </c>
      <c r="B173" s="16" t="s">
        <v>750</v>
      </c>
      <c r="C173" s="52">
        <v>46035</v>
      </c>
      <c r="D173" s="21">
        <v>3</v>
      </c>
      <c r="E173" s="207"/>
      <c r="F173" s="16" t="s">
        <v>757</v>
      </c>
      <c r="G173" s="16" t="s">
        <v>771</v>
      </c>
      <c r="H173" s="11" t="s">
        <v>99</v>
      </c>
      <c r="I173" s="16" t="s">
        <v>782</v>
      </c>
      <c r="J173" s="16">
        <v>40205833</v>
      </c>
      <c r="K173" s="16" t="s">
        <v>799</v>
      </c>
      <c r="L173" s="16" t="s">
        <v>790</v>
      </c>
      <c r="M173" s="16" t="s">
        <v>474</v>
      </c>
      <c r="N173" s="11"/>
      <c r="O173" s="11"/>
      <c r="P173" s="16" t="s">
        <v>382</v>
      </c>
      <c r="Q173" s="11"/>
      <c r="R173" s="16" t="s">
        <v>442</v>
      </c>
      <c r="S173" s="11" t="s">
        <v>805</v>
      </c>
    </row>
    <row r="174" spans="1:19" ht="21.75" hidden="1" customHeight="1" x14ac:dyDescent="0.25">
      <c r="A174" s="16" t="s">
        <v>744</v>
      </c>
      <c r="B174" s="16" t="s">
        <v>73</v>
      </c>
      <c r="C174" s="52">
        <v>46035</v>
      </c>
      <c r="D174" s="68">
        <v>1200</v>
      </c>
      <c r="E174" s="19">
        <f>1200/48</f>
        <v>25</v>
      </c>
      <c r="F174" s="16" t="s">
        <v>22</v>
      </c>
      <c r="G174" s="16" t="s">
        <v>108</v>
      </c>
      <c r="H174" s="11" t="s">
        <v>99</v>
      </c>
      <c r="I174" s="16" t="s">
        <v>783</v>
      </c>
      <c r="J174" s="16">
        <v>20602972055</v>
      </c>
      <c r="K174" s="17">
        <v>947369592</v>
      </c>
      <c r="L174" s="16" t="s">
        <v>791</v>
      </c>
      <c r="M174" s="16" t="s">
        <v>473</v>
      </c>
      <c r="N174" s="11"/>
      <c r="O174" s="11"/>
      <c r="P174" s="16" t="s">
        <v>788</v>
      </c>
      <c r="Q174" s="11"/>
      <c r="R174" s="16" t="s">
        <v>396</v>
      </c>
      <c r="S174" s="11" t="s">
        <v>806</v>
      </c>
    </row>
    <row r="175" spans="1:19" ht="21.75" hidden="1" customHeight="1" x14ac:dyDescent="0.25">
      <c r="A175" s="16" t="s">
        <v>745</v>
      </c>
      <c r="B175" s="16" t="s">
        <v>751</v>
      </c>
      <c r="C175" s="52">
        <v>46035</v>
      </c>
      <c r="D175" s="21">
        <v>1</v>
      </c>
      <c r="E175" s="205">
        <v>1</v>
      </c>
      <c r="F175" s="16" t="s">
        <v>758</v>
      </c>
      <c r="G175" s="16" t="s">
        <v>772</v>
      </c>
      <c r="H175" s="11" t="s">
        <v>99</v>
      </c>
      <c r="I175" s="16" t="s">
        <v>784</v>
      </c>
      <c r="J175" s="16">
        <v>7791379</v>
      </c>
      <c r="K175" s="16" t="s">
        <v>800</v>
      </c>
      <c r="L175" s="16" t="s">
        <v>792</v>
      </c>
      <c r="M175" s="16" t="s">
        <v>393</v>
      </c>
      <c r="N175" s="11"/>
      <c r="O175" s="11"/>
      <c r="P175" s="16" t="s">
        <v>382</v>
      </c>
      <c r="Q175" s="11"/>
      <c r="R175" s="16" t="s">
        <v>442</v>
      </c>
      <c r="S175" s="11" t="s">
        <v>807</v>
      </c>
    </row>
    <row r="176" spans="1:19" ht="21.75" hidden="1" customHeight="1" x14ac:dyDescent="0.25">
      <c r="A176" s="16" t="s">
        <v>745</v>
      </c>
      <c r="B176" s="16" t="s">
        <v>751</v>
      </c>
      <c r="C176" s="52">
        <v>46035</v>
      </c>
      <c r="D176" s="21">
        <v>1</v>
      </c>
      <c r="E176" s="206"/>
      <c r="F176" s="16" t="s">
        <v>759</v>
      </c>
      <c r="G176" s="16" t="s">
        <v>773</v>
      </c>
      <c r="H176" s="11" t="s">
        <v>99</v>
      </c>
      <c r="I176" s="16" t="s">
        <v>784</v>
      </c>
      <c r="J176" s="16">
        <v>7791379</v>
      </c>
      <c r="K176" s="16" t="s">
        <v>800</v>
      </c>
      <c r="L176" s="16" t="s">
        <v>792</v>
      </c>
      <c r="M176" s="16" t="s">
        <v>393</v>
      </c>
      <c r="N176" s="11"/>
      <c r="O176" s="11"/>
      <c r="P176" s="16" t="s">
        <v>382</v>
      </c>
      <c r="Q176" s="11"/>
      <c r="R176" s="16" t="s">
        <v>442</v>
      </c>
      <c r="S176" s="11" t="s">
        <v>807</v>
      </c>
    </row>
    <row r="177" spans="1:19" ht="21.75" hidden="1" customHeight="1" x14ac:dyDescent="0.25">
      <c r="A177" s="16" t="s">
        <v>745</v>
      </c>
      <c r="B177" s="16" t="s">
        <v>751</v>
      </c>
      <c r="C177" s="52">
        <v>46035</v>
      </c>
      <c r="D177" s="21">
        <v>1</v>
      </c>
      <c r="E177" s="206"/>
      <c r="F177" s="16" t="s">
        <v>760</v>
      </c>
      <c r="G177" s="16" t="s">
        <v>774</v>
      </c>
      <c r="H177" s="11" t="s">
        <v>99</v>
      </c>
      <c r="I177" s="16" t="s">
        <v>784</v>
      </c>
      <c r="J177" s="16">
        <v>7791379</v>
      </c>
      <c r="K177" s="16" t="s">
        <v>800</v>
      </c>
      <c r="L177" s="16" t="s">
        <v>792</v>
      </c>
      <c r="M177" s="16" t="s">
        <v>393</v>
      </c>
      <c r="N177" s="11"/>
      <c r="O177" s="11"/>
      <c r="P177" s="16" t="s">
        <v>382</v>
      </c>
      <c r="Q177" s="11"/>
      <c r="R177" s="16" t="s">
        <v>442</v>
      </c>
      <c r="S177" s="11" t="s">
        <v>807</v>
      </c>
    </row>
    <row r="178" spans="1:19" ht="21.75" hidden="1" customHeight="1" x14ac:dyDescent="0.25">
      <c r="A178" s="16" t="s">
        <v>745</v>
      </c>
      <c r="B178" s="16" t="s">
        <v>751</v>
      </c>
      <c r="C178" s="52">
        <v>46035</v>
      </c>
      <c r="D178" s="21">
        <v>1</v>
      </c>
      <c r="E178" s="206"/>
      <c r="F178" s="16" t="s">
        <v>761</v>
      </c>
      <c r="G178" s="16" t="s">
        <v>775</v>
      </c>
      <c r="H178" s="11" t="s">
        <v>99</v>
      </c>
      <c r="I178" s="16" t="s">
        <v>784</v>
      </c>
      <c r="J178" s="16">
        <v>7791379</v>
      </c>
      <c r="K178" s="16" t="s">
        <v>800</v>
      </c>
      <c r="L178" s="16" t="s">
        <v>792</v>
      </c>
      <c r="M178" s="16" t="s">
        <v>393</v>
      </c>
      <c r="N178" s="11"/>
      <c r="O178" s="11"/>
      <c r="P178" s="16" t="s">
        <v>382</v>
      </c>
      <c r="Q178" s="11"/>
      <c r="R178" s="16" t="s">
        <v>442</v>
      </c>
      <c r="S178" s="11" t="s">
        <v>807</v>
      </c>
    </row>
    <row r="179" spans="1:19" ht="21.75" hidden="1" customHeight="1" x14ac:dyDescent="0.25">
      <c r="A179" s="16" t="s">
        <v>745</v>
      </c>
      <c r="B179" s="16" t="s">
        <v>751</v>
      </c>
      <c r="C179" s="52">
        <v>46035</v>
      </c>
      <c r="D179" s="21">
        <v>1</v>
      </c>
      <c r="E179" s="206"/>
      <c r="F179" s="16" t="s">
        <v>762</v>
      </c>
      <c r="G179" s="16" t="s">
        <v>776</v>
      </c>
      <c r="H179" s="11" t="s">
        <v>99</v>
      </c>
      <c r="I179" s="16" t="s">
        <v>784</v>
      </c>
      <c r="J179" s="16">
        <v>7791379</v>
      </c>
      <c r="K179" s="16" t="s">
        <v>800</v>
      </c>
      <c r="L179" s="16" t="s">
        <v>792</v>
      </c>
      <c r="M179" s="16" t="s">
        <v>393</v>
      </c>
      <c r="N179" s="11"/>
      <c r="O179" s="11"/>
      <c r="P179" s="16" t="s">
        <v>382</v>
      </c>
      <c r="Q179" s="11"/>
      <c r="R179" s="16" t="s">
        <v>442</v>
      </c>
      <c r="S179" s="11" t="s">
        <v>807</v>
      </c>
    </row>
    <row r="180" spans="1:19" ht="21.75" hidden="1" customHeight="1" x14ac:dyDescent="0.25">
      <c r="A180" s="16" t="s">
        <v>745</v>
      </c>
      <c r="B180" s="16" t="s">
        <v>751</v>
      </c>
      <c r="C180" s="52">
        <v>46035</v>
      </c>
      <c r="D180" s="21">
        <v>1</v>
      </c>
      <c r="E180" s="207"/>
      <c r="F180" s="16" t="s">
        <v>763</v>
      </c>
      <c r="G180" s="16" t="s">
        <v>777</v>
      </c>
      <c r="H180" s="11" t="s">
        <v>99</v>
      </c>
      <c r="I180" s="16" t="s">
        <v>784</v>
      </c>
      <c r="J180" s="16">
        <v>7791379</v>
      </c>
      <c r="K180" s="16" t="s">
        <v>800</v>
      </c>
      <c r="L180" s="16" t="s">
        <v>792</v>
      </c>
      <c r="M180" s="16" t="s">
        <v>393</v>
      </c>
      <c r="N180" s="11"/>
      <c r="O180" s="11"/>
      <c r="P180" s="16" t="s">
        <v>382</v>
      </c>
      <c r="Q180" s="11"/>
      <c r="R180" s="16" t="s">
        <v>442</v>
      </c>
      <c r="S180" s="11" t="s">
        <v>807</v>
      </c>
    </row>
    <row r="181" spans="1:19" ht="21.75" hidden="1" customHeight="1" x14ac:dyDescent="0.25">
      <c r="A181" s="16" t="s">
        <v>746</v>
      </c>
      <c r="B181" s="16" t="s">
        <v>752</v>
      </c>
      <c r="C181" s="52">
        <v>46035</v>
      </c>
      <c r="D181" s="21">
        <v>1</v>
      </c>
      <c r="E181" s="19">
        <v>1</v>
      </c>
      <c r="F181" s="16" t="s">
        <v>764</v>
      </c>
      <c r="G181" s="16" t="s">
        <v>778</v>
      </c>
      <c r="H181" s="11" t="s">
        <v>99</v>
      </c>
      <c r="I181" s="16" t="s">
        <v>785</v>
      </c>
      <c r="J181" s="16">
        <v>10078630677</v>
      </c>
      <c r="K181" s="16" t="s">
        <v>801</v>
      </c>
      <c r="L181" s="16" t="s">
        <v>793</v>
      </c>
      <c r="M181" s="16" t="s">
        <v>474</v>
      </c>
      <c r="N181" s="11"/>
      <c r="O181" s="11"/>
      <c r="P181" s="16" t="s">
        <v>382</v>
      </c>
      <c r="Q181" s="11"/>
      <c r="R181" s="16" t="s">
        <v>441</v>
      </c>
      <c r="S181" s="11" t="s">
        <v>808</v>
      </c>
    </row>
    <row r="182" spans="1:19" ht="21.75" hidden="1" customHeight="1" x14ac:dyDescent="0.25">
      <c r="A182" s="16" t="s">
        <v>747</v>
      </c>
      <c r="B182" s="17">
        <v>3221327803</v>
      </c>
      <c r="C182" s="52">
        <v>46035</v>
      </c>
      <c r="D182" s="21">
        <v>1</v>
      </c>
      <c r="E182" s="19">
        <v>1</v>
      </c>
      <c r="F182" s="16" t="s">
        <v>765</v>
      </c>
      <c r="G182" s="16" t="s">
        <v>779</v>
      </c>
      <c r="H182" s="11" t="s">
        <v>99</v>
      </c>
      <c r="I182" s="16" t="s">
        <v>786</v>
      </c>
      <c r="J182" s="16">
        <v>42622869</v>
      </c>
      <c r="K182" s="16" t="s">
        <v>802</v>
      </c>
      <c r="L182" s="16" t="s">
        <v>794</v>
      </c>
      <c r="M182" s="16" t="s">
        <v>795</v>
      </c>
      <c r="N182" s="11"/>
      <c r="O182" s="11"/>
      <c r="P182" s="16" t="s">
        <v>382</v>
      </c>
      <c r="Q182" s="11"/>
      <c r="R182" s="16" t="s">
        <v>394</v>
      </c>
      <c r="S182" s="11" t="s">
        <v>809</v>
      </c>
    </row>
    <row r="183" spans="1:19" ht="21.75" hidden="1" customHeight="1" x14ac:dyDescent="0.25">
      <c r="A183" s="16" t="s">
        <v>748</v>
      </c>
      <c r="B183" s="16" t="s">
        <v>73</v>
      </c>
      <c r="C183" s="52">
        <v>46035</v>
      </c>
      <c r="D183" s="21">
        <v>600</v>
      </c>
      <c r="E183" s="19">
        <v>50</v>
      </c>
      <c r="F183" s="16" t="s">
        <v>162</v>
      </c>
      <c r="G183" s="16" t="s">
        <v>163</v>
      </c>
      <c r="H183" s="11" t="s">
        <v>99</v>
      </c>
      <c r="I183" s="16" t="s">
        <v>787</v>
      </c>
      <c r="J183" s="16">
        <v>20524246661</v>
      </c>
      <c r="K183" s="17">
        <v>960628425</v>
      </c>
      <c r="L183" s="16" t="s">
        <v>796</v>
      </c>
      <c r="M183" s="16" t="s">
        <v>347</v>
      </c>
      <c r="N183" s="11"/>
      <c r="O183" s="11"/>
      <c r="P183" s="16" t="s">
        <v>271</v>
      </c>
      <c r="Q183" s="11" t="s">
        <v>797</v>
      </c>
      <c r="R183" s="16" t="s">
        <v>396</v>
      </c>
      <c r="S183" s="11" t="s">
        <v>810</v>
      </c>
    </row>
    <row r="184" spans="1:19" ht="21.75" hidden="1" customHeight="1" x14ac:dyDescent="0.25">
      <c r="A184" s="16" t="s">
        <v>748</v>
      </c>
      <c r="B184" s="16" t="s">
        <v>73</v>
      </c>
      <c r="C184" s="52">
        <v>46035</v>
      </c>
      <c r="D184" s="21">
        <v>120</v>
      </c>
      <c r="E184" s="19">
        <v>10</v>
      </c>
      <c r="F184" s="16" t="s">
        <v>766</v>
      </c>
      <c r="G184" s="16" t="s">
        <v>780</v>
      </c>
      <c r="H184" s="11" t="s">
        <v>99</v>
      </c>
      <c r="I184" s="16" t="s">
        <v>787</v>
      </c>
      <c r="J184" s="16">
        <v>20524246661</v>
      </c>
      <c r="K184" s="17">
        <v>960628425</v>
      </c>
      <c r="L184" s="16" t="s">
        <v>796</v>
      </c>
      <c r="M184" s="16" t="s">
        <v>347</v>
      </c>
      <c r="N184" s="11"/>
      <c r="O184" s="11"/>
      <c r="P184" s="16" t="s">
        <v>271</v>
      </c>
      <c r="Q184" s="11" t="s">
        <v>797</v>
      </c>
      <c r="R184" s="16" t="s">
        <v>396</v>
      </c>
      <c r="S184" s="11" t="s">
        <v>810</v>
      </c>
    </row>
    <row r="185" spans="1:19" ht="21.75" hidden="1" customHeight="1" x14ac:dyDescent="0.25">
      <c r="A185" s="16" t="s">
        <v>748</v>
      </c>
      <c r="B185" s="16" t="s">
        <v>73</v>
      </c>
      <c r="C185" s="52">
        <v>46035</v>
      </c>
      <c r="D185" s="21">
        <v>120</v>
      </c>
      <c r="E185" s="19">
        <v>10</v>
      </c>
      <c r="F185" s="16" t="s">
        <v>35</v>
      </c>
      <c r="G185" s="16" t="s">
        <v>106</v>
      </c>
      <c r="H185" s="11" t="s">
        <v>99</v>
      </c>
      <c r="I185" s="16" t="s">
        <v>787</v>
      </c>
      <c r="J185" s="16">
        <v>20524246661</v>
      </c>
      <c r="K185" s="17">
        <v>960628425</v>
      </c>
      <c r="L185" s="16" t="s">
        <v>796</v>
      </c>
      <c r="M185" s="16" t="s">
        <v>347</v>
      </c>
      <c r="N185" s="11"/>
      <c r="O185" s="11"/>
      <c r="P185" s="16" t="s">
        <v>271</v>
      </c>
      <c r="Q185" s="11" t="s">
        <v>797</v>
      </c>
      <c r="R185" s="16" t="s">
        <v>396</v>
      </c>
      <c r="S185" s="11" t="s">
        <v>810</v>
      </c>
    </row>
    <row r="186" spans="1:19" s="20" customFormat="1" ht="21.75" hidden="1" customHeight="1" x14ac:dyDescent="0.2">
      <c r="A186" s="16" t="s">
        <v>840</v>
      </c>
      <c r="B186" s="16" t="s">
        <v>73</v>
      </c>
      <c r="C186" s="52">
        <v>46036</v>
      </c>
      <c r="D186" s="21">
        <f>35*12</f>
        <v>420</v>
      </c>
      <c r="E186" s="19">
        <v>35</v>
      </c>
      <c r="F186" s="16" t="s">
        <v>24</v>
      </c>
      <c r="G186" s="16" t="s">
        <v>112</v>
      </c>
      <c r="H186" s="16" t="s">
        <v>1650</v>
      </c>
      <c r="I186" s="16" t="s">
        <v>811</v>
      </c>
      <c r="J186" s="17">
        <v>20513174919</v>
      </c>
      <c r="K186" s="17">
        <v>983406070</v>
      </c>
      <c r="L186" s="16" t="s">
        <v>833</v>
      </c>
      <c r="M186" s="16" t="s">
        <v>347</v>
      </c>
      <c r="N186" s="16" t="s">
        <v>812</v>
      </c>
      <c r="O186" s="11"/>
      <c r="P186" s="16" t="s">
        <v>813</v>
      </c>
      <c r="Q186" s="16" t="s">
        <v>814</v>
      </c>
      <c r="R186" s="16" t="s">
        <v>396</v>
      </c>
      <c r="S186" s="70" t="s">
        <v>815</v>
      </c>
    </row>
    <row r="187" spans="1:19" s="20" customFormat="1" ht="21.75" hidden="1" customHeight="1" x14ac:dyDescent="0.2">
      <c r="A187" s="16" t="s">
        <v>816</v>
      </c>
      <c r="B187" s="17">
        <v>3725</v>
      </c>
      <c r="C187" s="52">
        <v>46036</v>
      </c>
      <c r="D187" s="21">
        <v>2</v>
      </c>
      <c r="E187" s="19">
        <v>1</v>
      </c>
      <c r="F187" s="16" t="s">
        <v>821</v>
      </c>
      <c r="G187" s="16" t="s">
        <v>823</v>
      </c>
      <c r="H187" s="11" t="s">
        <v>99</v>
      </c>
      <c r="I187" s="16" t="s">
        <v>825</v>
      </c>
      <c r="J187" s="17">
        <v>73217371</v>
      </c>
      <c r="K187" s="17">
        <v>956737892</v>
      </c>
      <c r="L187" s="16" t="s">
        <v>831</v>
      </c>
      <c r="M187" s="16" t="s">
        <v>795</v>
      </c>
      <c r="N187" s="11"/>
      <c r="O187" s="11"/>
      <c r="P187" s="16" t="s">
        <v>382</v>
      </c>
      <c r="Q187" s="16" t="s">
        <v>73</v>
      </c>
      <c r="R187" s="16" t="s">
        <v>820</v>
      </c>
      <c r="S187" s="11" t="s">
        <v>836</v>
      </c>
    </row>
    <row r="188" spans="1:19" s="20" customFormat="1" ht="21.75" hidden="1" customHeight="1" x14ac:dyDescent="0.2">
      <c r="A188" s="16" t="s">
        <v>817</v>
      </c>
      <c r="B188" s="16" t="s">
        <v>73</v>
      </c>
      <c r="C188" s="52">
        <v>46036</v>
      </c>
      <c r="D188" s="21">
        <v>600</v>
      </c>
      <c r="E188" s="19">
        <v>50</v>
      </c>
      <c r="F188" s="16" t="s">
        <v>33</v>
      </c>
      <c r="G188" s="16" t="s">
        <v>107</v>
      </c>
      <c r="H188" s="16" t="s">
        <v>1650</v>
      </c>
      <c r="I188" s="16" t="s">
        <v>826</v>
      </c>
      <c r="J188" s="17">
        <v>20521326574</v>
      </c>
      <c r="K188" s="17" t="s">
        <v>841</v>
      </c>
      <c r="L188" s="16" t="s">
        <v>832</v>
      </c>
      <c r="M188" s="218" t="s">
        <v>347</v>
      </c>
      <c r="N188" s="11"/>
      <c r="O188" s="11"/>
      <c r="P188" s="16" t="s">
        <v>828</v>
      </c>
      <c r="Q188" s="69" t="s">
        <v>835</v>
      </c>
      <c r="R188" s="16" t="s">
        <v>396</v>
      </c>
      <c r="S188" s="11" t="s">
        <v>837</v>
      </c>
    </row>
    <row r="189" spans="1:19" s="20" customFormat="1" ht="21.75" hidden="1" customHeight="1" x14ac:dyDescent="0.2">
      <c r="A189" s="16" t="s">
        <v>817</v>
      </c>
      <c r="B189" s="16" t="s">
        <v>73</v>
      </c>
      <c r="C189" s="52">
        <v>46036</v>
      </c>
      <c r="D189" s="21">
        <v>300</v>
      </c>
      <c r="E189" s="19">
        <v>50</v>
      </c>
      <c r="F189" s="16" t="s">
        <v>822</v>
      </c>
      <c r="G189" s="16" t="s">
        <v>824</v>
      </c>
      <c r="H189" s="16" t="s">
        <v>1650</v>
      </c>
      <c r="I189" s="16" t="s">
        <v>826</v>
      </c>
      <c r="J189" s="17">
        <v>20521326574</v>
      </c>
      <c r="K189" s="17" t="s">
        <v>841</v>
      </c>
      <c r="L189" s="16" t="s">
        <v>832</v>
      </c>
      <c r="M189" s="218"/>
      <c r="N189" s="11"/>
      <c r="O189" s="11"/>
      <c r="P189" s="16" t="s">
        <v>828</v>
      </c>
      <c r="Q189" s="69" t="s">
        <v>835</v>
      </c>
      <c r="R189" s="16" t="s">
        <v>396</v>
      </c>
      <c r="S189" s="11" t="s">
        <v>837</v>
      </c>
    </row>
    <row r="190" spans="1:19" s="20" customFormat="1" ht="21.75" hidden="1" customHeight="1" x14ac:dyDescent="0.2">
      <c r="A190" s="16" t="s">
        <v>818</v>
      </c>
      <c r="B190" s="16" t="s">
        <v>73</v>
      </c>
      <c r="C190" s="52">
        <v>46036</v>
      </c>
      <c r="D190" s="21">
        <v>120</v>
      </c>
      <c r="E190" s="19">
        <v>10</v>
      </c>
      <c r="F190" s="16" t="s">
        <v>19</v>
      </c>
      <c r="G190" s="16" t="s">
        <v>120</v>
      </c>
      <c r="H190" s="11" t="s">
        <v>99</v>
      </c>
      <c r="I190" s="16" t="s">
        <v>827</v>
      </c>
      <c r="J190" s="17">
        <v>20455996806</v>
      </c>
      <c r="K190" s="17">
        <v>14248709</v>
      </c>
      <c r="L190" s="16" t="s">
        <v>278</v>
      </c>
      <c r="M190" s="16" t="s">
        <v>75</v>
      </c>
      <c r="N190" s="11"/>
      <c r="O190" s="11"/>
      <c r="P190" s="16" t="s">
        <v>829</v>
      </c>
      <c r="Q190" s="16" t="s">
        <v>830</v>
      </c>
      <c r="R190" s="16" t="s">
        <v>142</v>
      </c>
      <c r="S190" s="11" t="s">
        <v>838</v>
      </c>
    </row>
    <row r="191" spans="1:19" s="20" customFormat="1" ht="21.75" hidden="1" customHeight="1" x14ac:dyDescent="0.2">
      <c r="A191" s="16" t="s">
        <v>818</v>
      </c>
      <c r="B191" s="16" t="s">
        <v>73</v>
      </c>
      <c r="C191" s="52">
        <v>46036</v>
      </c>
      <c r="D191" s="21">
        <v>72</v>
      </c>
      <c r="E191" s="19">
        <v>6</v>
      </c>
      <c r="F191" s="16" t="s">
        <v>35</v>
      </c>
      <c r="G191" s="16" t="s">
        <v>106</v>
      </c>
      <c r="H191" s="11" t="s">
        <v>99</v>
      </c>
      <c r="I191" s="16" t="s">
        <v>827</v>
      </c>
      <c r="J191" s="17">
        <v>20455996806</v>
      </c>
      <c r="K191" s="17">
        <v>14248709</v>
      </c>
      <c r="L191" s="16" t="s">
        <v>278</v>
      </c>
      <c r="M191" s="16" t="s">
        <v>75</v>
      </c>
      <c r="N191" s="11"/>
      <c r="O191" s="11"/>
      <c r="P191" s="16" t="s">
        <v>829</v>
      </c>
      <c r="Q191" s="16" t="s">
        <v>830</v>
      </c>
      <c r="R191" s="16" t="s">
        <v>142</v>
      </c>
      <c r="S191" s="11" t="s">
        <v>838</v>
      </c>
    </row>
    <row r="192" spans="1:19" s="20" customFormat="1" ht="21.75" hidden="1" customHeight="1" x14ac:dyDescent="0.2">
      <c r="A192" s="16" t="s">
        <v>818</v>
      </c>
      <c r="B192" s="16" t="s">
        <v>73</v>
      </c>
      <c r="C192" s="52">
        <v>46036</v>
      </c>
      <c r="D192" s="21">
        <v>36</v>
      </c>
      <c r="E192" s="19">
        <v>3</v>
      </c>
      <c r="F192" s="16" t="s">
        <v>766</v>
      </c>
      <c r="G192" s="16" t="s">
        <v>780</v>
      </c>
      <c r="H192" s="11" t="s">
        <v>99</v>
      </c>
      <c r="I192" s="16" t="s">
        <v>827</v>
      </c>
      <c r="J192" s="17">
        <v>20455996806</v>
      </c>
      <c r="K192" s="17">
        <v>14248709</v>
      </c>
      <c r="L192" s="16" t="s">
        <v>278</v>
      </c>
      <c r="M192" s="16" t="s">
        <v>75</v>
      </c>
      <c r="N192" s="11"/>
      <c r="O192" s="11"/>
      <c r="P192" s="16" t="s">
        <v>829</v>
      </c>
      <c r="Q192" s="16" t="s">
        <v>830</v>
      </c>
      <c r="R192" s="16" t="s">
        <v>142</v>
      </c>
      <c r="S192" s="11" t="s">
        <v>838</v>
      </c>
    </row>
    <row r="193" spans="1:19" s="20" customFormat="1" ht="21.75" hidden="1" customHeight="1" x14ac:dyDescent="0.2">
      <c r="A193" s="16" t="s">
        <v>818</v>
      </c>
      <c r="B193" s="16" t="s">
        <v>73</v>
      </c>
      <c r="C193" s="52">
        <v>46036</v>
      </c>
      <c r="D193" s="21">
        <v>120</v>
      </c>
      <c r="E193" s="19">
        <v>10</v>
      </c>
      <c r="F193" s="16" t="s">
        <v>46</v>
      </c>
      <c r="G193" s="16" t="s">
        <v>104</v>
      </c>
      <c r="H193" s="11" t="s">
        <v>99</v>
      </c>
      <c r="I193" s="16" t="s">
        <v>827</v>
      </c>
      <c r="J193" s="17">
        <v>20455996806</v>
      </c>
      <c r="K193" s="17">
        <v>14248709</v>
      </c>
      <c r="L193" s="16" t="s">
        <v>278</v>
      </c>
      <c r="M193" s="16" t="s">
        <v>75</v>
      </c>
      <c r="N193" s="11"/>
      <c r="O193" s="11"/>
      <c r="P193" s="16" t="s">
        <v>829</v>
      </c>
      <c r="Q193" s="16" t="s">
        <v>830</v>
      </c>
      <c r="R193" s="16" t="s">
        <v>142</v>
      </c>
      <c r="S193" s="11" t="s">
        <v>838</v>
      </c>
    </row>
    <row r="194" spans="1:19" s="20" customFormat="1" ht="21.75" hidden="1" customHeight="1" x14ac:dyDescent="0.2">
      <c r="A194" s="16" t="s">
        <v>818</v>
      </c>
      <c r="B194" s="16" t="s">
        <v>73</v>
      </c>
      <c r="C194" s="52">
        <v>46036</v>
      </c>
      <c r="D194" s="21">
        <v>24</v>
      </c>
      <c r="E194" s="19">
        <v>2</v>
      </c>
      <c r="F194" s="16" t="s">
        <v>23</v>
      </c>
      <c r="G194" s="16" t="s">
        <v>119</v>
      </c>
      <c r="H194" s="11" t="s">
        <v>99</v>
      </c>
      <c r="I194" s="16" t="s">
        <v>827</v>
      </c>
      <c r="J194" s="17">
        <v>20455996806</v>
      </c>
      <c r="K194" s="17">
        <v>14248709</v>
      </c>
      <c r="L194" s="16" t="s">
        <v>278</v>
      </c>
      <c r="M194" s="16" t="s">
        <v>75</v>
      </c>
      <c r="N194" s="11"/>
      <c r="O194" s="11"/>
      <c r="P194" s="16" t="s">
        <v>829</v>
      </c>
      <c r="Q194" s="16" t="s">
        <v>830</v>
      </c>
      <c r="R194" s="16" t="s">
        <v>142</v>
      </c>
      <c r="S194" s="11" t="s">
        <v>838</v>
      </c>
    </row>
    <row r="195" spans="1:19" s="20" customFormat="1" ht="21.75" hidden="1" customHeight="1" x14ac:dyDescent="0.2">
      <c r="A195" s="16" t="s">
        <v>819</v>
      </c>
      <c r="B195" s="16" t="s">
        <v>73</v>
      </c>
      <c r="C195" s="52">
        <v>46036</v>
      </c>
      <c r="D195" s="21">
        <v>600</v>
      </c>
      <c r="E195" s="19">
        <v>50</v>
      </c>
      <c r="F195" s="16" t="s">
        <v>33</v>
      </c>
      <c r="G195" s="16" t="s">
        <v>107</v>
      </c>
      <c r="H195" s="16" t="s">
        <v>1650</v>
      </c>
      <c r="I195" s="16" t="s">
        <v>811</v>
      </c>
      <c r="J195" s="17">
        <v>20513174919</v>
      </c>
      <c r="K195" s="17">
        <v>983406070</v>
      </c>
      <c r="L195" s="16" t="s">
        <v>834</v>
      </c>
      <c r="M195" s="16" t="s">
        <v>347</v>
      </c>
      <c r="N195" s="11"/>
      <c r="O195" s="11"/>
      <c r="P195" s="16" t="s">
        <v>813</v>
      </c>
      <c r="Q195" s="16" t="s">
        <v>814</v>
      </c>
      <c r="R195" s="16" t="s">
        <v>396</v>
      </c>
      <c r="S195" s="11" t="s">
        <v>839</v>
      </c>
    </row>
    <row r="196" spans="1:19" s="20" customFormat="1" ht="21.75" hidden="1" customHeight="1" x14ac:dyDescent="0.2">
      <c r="A196" s="16" t="s">
        <v>842</v>
      </c>
      <c r="B196" s="17">
        <v>13426234</v>
      </c>
      <c r="C196" s="18">
        <v>46037</v>
      </c>
      <c r="D196" s="21">
        <v>192</v>
      </c>
      <c r="E196" s="19">
        <f>192/24</f>
        <v>8</v>
      </c>
      <c r="F196" s="16" t="s">
        <v>18</v>
      </c>
      <c r="G196" s="16" t="s">
        <v>109</v>
      </c>
      <c r="H196" s="11" t="s">
        <v>76</v>
      </c>
      <c r="I196" s="16" t="s">
        <v>134</v>
      </c>
      <c r="J196" s="17">
        <v>20100070970</v>
      </c>
      <c r="K196" s="16" t="s">
        <v>73</v>
      </c>
      <c r="L196" s="16" t="s">
        <v>282</v>
      </c>
      <c r="M196" s="16" t="s">
        <v>77</v>
      </c>
      <c r="N196" s="11"/>
      <c r="O196" s="11"/>
      <c r="P196" s="16" t="s">
        <v>236</v>
      </c>
      <c r="Q196" s="11"/>
      <c r="R196" s="16" t="s">
        <v>143</v>
      </c>
      <c r="S196" s="11" t="s">
        <v>843</v>
      </c>
    </row>
    <row r="197" spans="1:19" s="20" customFormat="1" ht="21.75" hidden="1" customHeight="1" x14ac:dyDescent="0.2">
      <c r="A197" s="16" t="s">
        <v>842</v>
      </c>
      <c r="B197" s="17">
        <v>13426234</v>
      </c>
      <c r="C197" s="18">
        <v>46037</v>
      </c>
      <c r="D197" s="21">
        <v>48</v>
      </c>
      <c r="E197" s="19">
        <v>4</v>
      </c>
      <c r="F197" s="16" t="s">
        <v>19</v>
      </c>
      <c r="G197" s="16" t="s">
        <v>120</v>
      </c>
      <c r="H197" s="11" t="s">
        <v>76</v>
      </c>
      <c r="I197" s="16" t="s">
        <v>134</v>
      </c>
      <c r="J197" s="17">
        <v>20100070970</v>
      </c>
      <c r="K197" s="16" t="s">
        <v>73</v>
      </c>
      <c r="L197" s="16" t="s">
        <v>282</v>
      </c>
      <c r="M197" s="16" t="s">
        <v>77</v>
      </c>
      <c r="N197" s="11"/>
      <c r="O197" s="11"/>
      <c r="P197" s="16" t="s">
        <v>236</v>
      </c>
      <c r="Q197" s="11"/>
      <c r="R197" s="16" t="s">
        <v>143</v>
      </c>
      <c r="S197" s="11" t="s">
        <v>843</v>
      </c>
    </row>
    <row r="198" spans="1:19" s="20" customFormat="1" ht="21.75" hidden="1" customHeight="1" x14ac:dyDescent="0.2">
      <c r="A198" s="16" t="s">
        <v>842</v>
      </c>
      <c r="B198" s="17">
        <v>13426234</v>
      </c>
      <c r="C198" s="18">
        <v>46037</v>
      </c>
      <c r="D198" s="21">
        <v>36</v>
      </c>
      <c r="E198" s="19">
        <v>3</v>
      </c>
      <c r="F198" s="16" t="s">
        <v>20</v>
      </c>
      <c r="G198" s="16" t="s">
        <v>113</v>
      </c>
      <c r="H198" s="11" t="s">
        <v>76</v>
      </c>
      <c r="I198" s="16" t="s">
        <v>134</v>
      </c>
      <c r="J198" s="17">
        <v>20100070970</v>
      </c>
      <c r="K198" s="16" t="s">
        <v>73</v>
      </c>
      <c r="L198" s="16" t="s">
        <v>282</v>
      </c>
      <c r="M198" s="16" t="s">
        <v>77</v>
      </c>
      <c r="N198" s="11"/>
      <c r="O198" s="11"/>
      <c r="P198" s="16" t="s">
        <v>236</v>
      </c>
      <c r="Q198" s="11"/>
      <c r="R198" s="16" t="s">
        <v>143</v>
      </c>
      <c r="S198" s="11" t="s">
        <v>843</v>
      </c>
    </row>
    <row r="199" spans="1:19" s="20" customFormat="1" ht="21.75" hidden="1" customHeight="1" x14ac:dyDescent="0.2">
      <c r="A199" s="16" t="s">
        <v>842</v>
      </c>
      <c r="B199" s="17">
        <v>13426234</v>
      </c>
      <c r="C199" s="18">
        <v>46037</v>
      </c>
      <c r="D199" s="21">
        <v>96</v>
      </c>
      <c r="E199" s="19">
        <f>96/12</f>
        <v>8</v>
      </c>
      <c r="F199" s="16" t="s">
        <v>21</v>
      </c>
      <c r="G199" s="16" t="s">
        <v>115</v>
      </c>
      <c r="H199" s="11" t="s">
        <v>76</v>
      </c>
      <c r="I199" s="16" t="s">
        <v>134</v>
      </c>
      <c r="J199" s="17">
        <v>20100070970</v>
      </c>
      <c r="K199" s="16" t="s">
        <v>73</v>
      </c>
      <c r="L199" s="16" t="s">
        <v>282</v>
      </c>
      <c r="M199" s="16" t="s">
        <v>77</v>
      </c>
      <c r="N199" s="11"/>
      <c r="O199" s="11"/>
      <c r="P199" s="16" t="s">
        <v>236</v>
      </c>
      <c r="Q199" s="11"/>
      <c r="R199" s="16" t="s">
        <v>143</v>
      </c>
      <c r="S199" s="11" t="s">
        <v>843</v>
      </c>
    </row>
    <row r="200" spans="1:19" s="20" customFormat="1" ht="21.75" hidden="1" customHeight="1" x14ac:dyDescent="0.2">
      <c r="A200" s="16" t="s">
        <v>842</v>
      </c>
      <c r="B200" s="17">
        <v>13426234</v>
      </c>
      <c r="C200" s="18">
        <v>46037</v>
      </c>
      <c r="D200" s="21">
        <v>384</v>
      </c>
      <c r="E200" s="19">
        <v>8</v>
      </c>
      <c r="F200" s="16" t="s">
        <v>22</v>
      </c>
      <c r="G200" s="16" t="s">
        <v>108</v>
      </c>
      <c r="H200" s="11" t="s">
        <v>76</v>
      </c>
      <c r="I200" s="16" t="s">
        <v>134</v>
      </c>
      <c r="J200" s="17">
        <v>20100070970</v>
      </c>
      <c r="K200" s="16" t="s">
        <v>73</v>
      </c>
      <c r="L200" s="16" t="s">
        <v>282</v>
      </c>
      <c r="M200" s="16" t="s">
        <v>77</v>
      </c>
      <c r="N200" s="11"/>
      <c r="O200" s="11"/>
      <c r="P200" s="16" t="s">
        <v>236</v>
      </c>
      <c r="Q200" s="11"/>
      <c r="R200" s="16" t="s">
        <v>143</v>
      </c>
      <c r="S200" s="11" t="s">
        <v>843</v>
      </c>
    </row>
    <row r="201" spans="1:19" s="20" customFormat="1" ht="21.75" hidden="1" customHeight="1" x14ac:dyDescent="0.2">
      <c r="A201" s="16" t="s">
        <v>842</v>
      </c>
      <c r="B201" s="17">
        <v>13426234</v>
      </c>
      <c r="C201" s="18">
        <v>46037</v>
      </c>
      <c r="D201" s="21">
        <v>240</v>
      </c>
      <c r="E201" s="19">
        <v>20</v>
      </c>
      <c r="F201" s="16" t="s">
        <v>23</v>
      </c>
      <c r="G201" s="16" t="s">
        <v>119</v>
      </c>
      <c r="H201" s="11" t="s">
        <v>76</v>
      </c>
      <c r="I201" s="16" t="s">
        <v>134</v>
      </c>
      <c r="J201" s="17">
        <v>20100070970</v>
      </c>
      <c r="K201" s="16" t="s">
        <v>73</v>
      </c>
      <c r="L201" s="16" t="s">
        <v>282</v>
      </c>
      <c r="M201" s="16" t="s">
        <v>77</v>
      </c>
      <c r="N201" s="11"/>
      <c r="O201" s="11"/>
      <c r="P201" s="16" t="s">
        <v>236</v>
      </c>
      <c r="Q201" s="11"/>
      <c r="R201" s="16" t="s">
        <v>143</v>
      </c>
      <c r="S201" s="11" t="s">
        <v>843</v>
      </c>
    </row>
    <row r="202" spans="1:19" s="20" customFormat="1" ht="21.75" hidden="1" customHeight="1" x14ac:dyDescent="0.2">
      <c r="A202" s="16" t="s">
        <v>842</v>
      </c>
      <c r="B202" s="17">
        <v>13426234</v>
      </c>
      <c r="C202" s="18">
        <v>46037</v>
      </c>
      <c r="D202" s="21">
        <v>144</v>
      </c>
      <c r="E202" s="19">
        <v>12</v>
      </c>
      <c r="F202" s="16" t="s">
        <v>24</v>
      </c>
      <c r="G202" s="16" t="s">
        <v>112</v>
      </c>
      <c r="H202" s="11" t="s">
        <v>76</v>
      </c>
      <c r="I202" s="16" t="s">
        <v>134</v>
      </c>
      <c r="J202" s="17">
        <v>20100070970</v>
      </c>
      <c r="K202" s="16" t="s">
        <v>73</v>
      </c>
      <c r="L202" s="16" t="s">
        <v>282</v>
      </c>
      <c r="M202" s="16" t="s">
        <v>77</v>
      </c>
      <c r="N202" s="11"/>
      <c r="O202" s="11"/>
      <c r="P202" s="16" t="s">
        <v>236</v>
      </c>
      <c r="Q202" s="11"/>
      <c r="R202" s="16" t="s">
        <v>143</v>
      </c>
      <c r="S202" s="11" t="s">
        <v>843</v>
      </c>
    </row>
    <row r="203" spans="1:19" s="20" customFormat="1" ht="21.75" hidden="1" customHeight="1" x14ac:dyDescent="0.2">
      <c r="A203" s="16" t="s">
        <v>842</v>
      </c>
      <c r="B203" s="17">
        <v>13426234</v>
      </c>
      <c r="C203" s="18">
        <v>46037</v>
      </c>
      <c r="D203" s="21">
        <v>60</v>
      </c>
      <c r="E203" s="19">
        <v>5</v>
      </c>
      <c r="F203" s="16" t="s">
        <v>25</v>
      </c>
      <c r="G203" s="16" t="s">
        <v>136</v>
      </c>
      <c r="H203" s="11" t="s">
        <v>76</v>
      </c>
      <c r="I203" s="16" t="s">
        <v>134</v>
      </c>
      <c r="J203" s="17">
        <v>20100070970</v>
      </c>
      <c r="K203" s="16" t="s">
        <v>73</v>
      </c>
      <c r="L203" s="16" t="s">
        <v>282</v>
      </c>
      <c r="M203" s="16" t="s">
        <v>77</v>
      </c>
      <c r="N203" s="11"/>
      <c r="O203" s="11"/>
      <c r="P203" s="16" t="s">
        <v>236</v>
      </c>
      <c r="Q203" s="11"/>
      <c r="R203" s="16" t="s">
        <v>143</v>
      </c>
      <c r="S203" s="11" t="s">
        <v>843</v>
      </c>
    </row>
    <row r="204" spans="1:19" s="20" customFormat="1" ht="21.75" hidden="1" customHeight="1" x14ac:dyDescent="0.2">
      <c r="A204" s="16" t="s">
        <v>842</v>
      </c>
      <c r="B204" s="17">
        <v>13426234</v>
      </c>
      <c r="C204" s="18">
        <v>46037</v>
      </c>
      <c r="D204" s="21">
        <v>156</v>
      </c>
      <c r="E204" s="19">
        <f>156/6</f>
        <v>26</v>
      </c>
      <c r="F204" s="16" t="s">
        <v>26</v>
      </c>
      <c r="G204" s="16" t="s">
        <v>111</v>
      </c>
      <c r="H204" s="11" t="s">
        <v>76</v>
      </c>
      <c r="I204" s="16" t="s">
        <v>134</v>
      </c>
      <c r="J204" s="17">
        <v>20100070970</v>
      </c>
      <c r="K204" s="16" t="s">
        <v>73</v>
      </c>
      <c r="L204" s="16" t="s">
        <v>282</v>
      </c>
      <c r="M204" s="16" t="s">
        <v>77</v>
      </c>
      <c r="N204" s="11"/>
      <c r="O204" s="11"/>
      <c r="P204" s="16" t="s">
        <v>236</v>
      </c>
      <c r="Q204" s="11"/>
      <c r="R204" s="16" t="s">
        <v>143</v>
      </c>
      <c r="S204" s="11" t="s">
        <v>843</v>
      </c>
    </row>
    <row r="205" spans="1:19" s="20" customFormat="1" ht="21.75" hidden="1" customHeight="1" x14ac:dyDescent="0.2">
      <c r="A205" s="16" t="s">
        <v>842</v>
      </c>
      <c r="B205" s="17">
        <v>13426234</v>
      </c>
      <c r="C205" s="18">
        <v>46037</v>
      </c>
      <c r="D205" s="21">
        <v>36</v>
      </c>
      <c r="E205" s="19">
        <v>3</v>
      </c>
      <c r="F205" s="16" t="s">
        <v>27</v>
      </c>
      <c r="G205" s="16" t="s">
        <v>103</v>
      </c>
      <c r="H205" s="11" t="s">
        <v>76</v>
      </c>
      <c r="I205" s="16" t="s">
        <v>134</v>
      </c>
      <c r="J205" s="17">
        <v>20100070970</v>
      </c>
      <c r="K205" s="16" t="s">
        <v>73</v>
      </c>
      <c r="L205" s="16" t="s">
        <v>282</v>
      </c>
      <c r="M205" s="16" t="s">
        <v>77</v>
      </c>
      <c r="N205" s="11"/>
      <c r="O205" s="11"/>
      <c r="P205" s="16" t="s">
        <v>236</v>
      </c>
      <c r="Q205" s="11"/>
      <c r="R205" s="16" t="s">
        <v>143</v>
      </c>
      <c r="S205" s="11" t="s">
        <v>843</v>
      </c>
    </row>
    <row r="206" spans="1:19" s="20" customFormat="1" ht="21.75" hidden="1" customHeight="1" x14ac:dyDescent="0.2">
      <c r="A206" s="16" t="s">
        <v>872</v>
      </c>
      <c r="B206" s="14">
        <v>112396</v>
      </c>
      <c r="C206" s="18">
        <v>46037</v>
      </c>
      <c r="D206" s="71">
        <v>2</v>
      </c>
      <c r="E206" s="19">
        <v>1</v>
      </c>
      <c r="F206" s="72" t="s">
        <v>320</v>
      </c>
      <c r="G206" s="72" t="s">
        <v>333</v>
      </c>
      <c r="H206" s="11" t="s">
        <v>99</v>
      </c>
      <c r="I206" s="72" t="s">
        <v>844</v>
      </c>
      <c r="J206" s="72" t="s">
        <v>848</v>
      </c>
      <c r="K206" s="11" t="s">
        <v>886</v>
      </c>
      <c r="L206" s="11" t="s">
        <v>876</v>
      </c>
      <c r="M206" s="11" t="s">
        <v>306</v>
      </c>
      <c r="N206" s="11"/>
      <c r="O206" s="11"/>
      <c r="P206" s="11" t="s">
        <v>887</v>
      </c>
      <c r="Q206" s="11" t="s">
        <v>885</v>
      </c>
      <c r="R206" s="11"/>
      <c r="S206" s="11" t="s">
        <v>881</v>
      </c>
    </row>
    <row r="207" spans="1:19" s="20" customFormat="1" ht="21.75" hidden="1" customHeight="1" x14ac:dyDescent="0.2">
      <c r="A207" s="16" t="s">
        <v>873</v>
      </c>
      <c r="B207" s="16"/>
      <c r="C207" s="18">
        <v>46038</v>
      </c>
      <c r="D207" s="71">
        <v>12</v>
      </c>
      <c r="E207" s="209">
        <v>14</v>
      </c>
      <c r="F207" s="72" t="s">
        <v>48</v>
      </c>
      <c r="G207" s="72" t="s">
        <v>160</v>
      </c>
      <c r="H207" s="11" t="s">
        <v>99</v>
      </c>
      <c r="I207" s="72" t="s">
        <v>845</v>
      </c>
      <c r="J207" s="72" t="s">
        <v>849</v>
      </c>
      <c r="K207" s="16" t="s">
        <v>73</v>
      </c>
      <c r="L207" s="11" t="s">
        <v>877</v>
      </c>
      <c r="M207" s="11" t="s">
        <v>878</v>
      </c>
      <c r="N207" s="11"/>
      <c r="O207" s="11"/>
      <c r="P207" s="11"/>
      <c r="Q207" s="11" t="s">
        <v>947</v>
      </c>
      <c r="R207" s="11" t="s">
        <v>933</v>
      </c>
      <c r="S207" s="11" t="s">
        <v>882</v>
      </c>
    </row>
    <row r="208" spans="1:19" s="20" customFormat="1" ht="21.75" hidden="1" customHeight="1" x14ac:dyDescent="0.2">
      <c r="A208" s="16" t="s">
        <v>873</v>
      </c>
      <c r="B208" s="16"/>
      <c r="C208" s="18">
        <v>46038</v>
      </c>
      <c r="D208" s="71">
        <v>24</v>
      </c>
      <c r="E208" s="209"/>
      <c r="F208" s="72" t="s">
        <v>852</v>
      </c>
      <c r="G208" s="72" t="s">
        <v>862</v>
      </c>
      <c r="H208" s="11" t="s">
        <v>99</v>
      </c>
      <c r="I208" s="72" t="s">
        <v>845</v>
      </c>
      <c r="J208" s="72" t="s">
        <v>849</v>
      </c>
      <c r="K208" s="16" t="s">
        <v>73</v>
      </c>
      <c r="L208" s="11" t="s">
        <v>877</v>
      </c>
      <c r="M208" s="11" t="s">
        <v>878</v>
      </c>
      <c r="N208" s="11"/>
      <c r="O208" s="11"/>
      <c r="P208" s="11"/>
      <c r="Q208" s="11" t="s">
        <v>947</v>
      </c>
      <c r="R208" s="11" t="s">
        <v>933</v>
      </c>
      <c r="S208" s="11" t="s">
        <v>882</v>
      </c>
    </row>
    <row r="209" spans="1:19" s="20" customFormat="1" ht="21.75" hidden="1" customHeight="1" x14ac:dyDescent="0.2">
      <c r="A209" s="16" t="s">
        <v>873</v>
      </c>
      <c r="B209" s="16"/>
      <c r="C209" s="18">
        <v>46038</v>
      </c>
      <c r="D209" s="71">
        <v>24</v>
      </c>
      <c r="E209" s="209"/>
      <c r="F209" s="72" t="s">
        <v>853</v>
      </c>
      <c r="G209" s="72" t="s">
        <v>863</v>
      </c>
      <c r="H209" s="11" t="s">
        <v>99</v>
      </c>
      <c r="I209" s="72" t="s">
        <v>845</v>
      </c>
      <c r="J209" s="72" t="s">
        <v>849</v>
      </c>
      <c r="K209" s="16" t="s">
        <v>73</v>
      </c>
      <c r="L209" s="11" t="s">
        <v>877</v>
      </c>
      <c r="M209" s="11" t="s">
        <v>878</v>
      </c>
      <c r="N209" s="11"/>
      <c r="O209" s="11"/>
      <c r="P209" s="11"/>
      <c r="Q209" s="11" t="s">
        <v>947</v>
      </c>
      <c r="R209" s="11" t="s">
        <v>933</v>
      </c>
      <c r="S209" s="11" t="s">
        <v>882</v>
      </c>
    </row>
    <row r="210" spans="1:19" s="20" customFormat="1" ht="21.75" hidden="1" customHeight="1" x14ac:dyDescent="0.2">
      <c r="A210" s="16" t="s">
        <v>873</v>
      </c>
      <c r="B210" s="16"/>
      <c r="C210" s="18">
        <v>46038</v>
      </c>
      <c r="D210" s="71">
        <v>12</v>
      </c>
      <c r="E210" s="209"/>
      <c r="F210" s="72" t="s">
        <v>854</v>
      </c>
      <c r="G210" s="72" t="s">
        <v>864</v>
      </c>
      <c r="H210" s="11" t="s">
        <v>99</v>
      </c>
      <c r="I210" s="72" t="s">
        <v>845</v>
      </c>
      <c r="J210" s="72" t="s">
        <v>849</v>
      </c>
      <c r="K210" s="16" t="s">
        <v>73</v>
      </c>
      <c r="L210" s="11" t="s">
        <v>877</v>
      </c>
      <c r="M210" s="11" t="s">
        <v>878</v>
      </c>
      <c r="N210" s="11"/>
      <c r="O210" s="11"/>
      <c r="P210" s="11"/>
      <c r="Q210" s="11" t="s">
        <v>947</v>
      </c>
      <c r="R210" s="11" t="s">
        <v>933</v>
      </c>
      <c r="S210" s="11" t="s">
        <v>882</v>
      </c>
    </row>
    <row r="211" spans="1:19" s="20" customFormat="1" ht="21.75" hidden="1" customHeight="1" x14ac:dyDescent="0.2">
      <c r="A211" s="16" t="s">
        <v>873</v>
      </c>
      <c r="B211" s="16"/>
      <c r="C211" s="18">
        <v>46038</v>
      </c>
      <c r="D211" s="71">
        <v>12</v>
      </c>
      <c r="E211" s="209"/>
      <c r="F211" s="72" t="s">
        <v>855</v>
      </c>
      <c r="G211" s="72" t="s">
        <v>865</v>
      </c>
      <c r="H211" s="11" t="s">
        <v>99</v>
      </c>
      <c r="I211" s="72" t="s">
        <v>845</v>
      </c>
      <c r="J211" s="72" t="s">
        <v>849</v>
      </c>
      <c r="K211" s="16" t="s">
        <v>73</v>
      </c>
      <c r="L211" s="11" t="s">
        <v>877</v>
      </c>
      <c r="M211" s="11" t="s">
        <v>878</v>
      </c>
      <c r="N211" s="11"/>
      <c r="O211" s="11"/>
      <c r="P211" s="11"/>
      <c r="Q211" s="11" t="s">
        <v>947</v>
      </c>
      <c r="R211" s="11" t="s">
        <v>933</v>
      </c>
      <c r="S211" s="11" t="s">
        <v>882</v>
      </c>
    </row>
    <row r="212" spans="1:19" s="20" customFormat="1" ht="21.75" hidden="1" customHeight="1" x14ac:dyDescent="0.2">
      <c r="A212" s="16" t="s">
        <v>873</v>
      </c>
      <c r="B212" s="16"/>
      <c r="C212" s="18">
        <v>46038</v>
      </c>
      <c r="D212" s="71">
        <v>12</v>
      </c>
      <c r="E212" s="209"/>
      <c r="F212" s="72" t="s">
        <v>856</v>
      </c>
      <c r="G212" s="72" t="s">
        <v>866</v>
      </c>
      <c r="H212" s="11" t="s">
        <v>99</v>
      </c>
      <c r="I212" s="72" t="s">
        <v>845</v>
      </c>
      <c r="J212" s="72" t="s">
        <v>849</v>
      </c>
      <c r="K212" s="16" t="s">
        <v>73</v>
      </c>
      <c r="L212" s="11" t="s">
        <v>877</v>
      </c>
      <c r="M212" s="11" t="s">
        <v>878</v>
      </c>
      <c r="N212" s="11"/>
      <c r="O212" s="11"/>
      <c r="P212" s="11"/>
      <c r="Q212" s="11" t="s">
        <v>947</v>
      </c>
      <c r="R212" s="11" t="s">
        <v>933</v>
      </c>
      <c r="S212" s="11" t="s">
        <v>882</v>
      </c>
    </row>
    <row r="213" spans="1:19" s="20" customFormat="1" ht="21.75" hidden="1" customHeight="1" x14ac:dyDescent="0.2">
      <c r="A213" s="16" t="s">
        <v>873</v>
      </c>
      <c r="B213" s="16"/>
      <c r="C213" s="18">
        <v>46038</v>
      </c>
      <c r="D213" s="71">
        <v>12</v>
      </c>
      <c r="E213" s="209"/>
      <c r="F213" s="72" t="s">
        <v>857</v>
      </c>
      <c r="G213" s="72" t="s">
        <v>867</v>
      </c>
      <c r="H213" s="11" t="s">
        <v>99</v>
      </c>
      <c r="I213" s="72" t="s">
        <v>845</v>
      </c>
      <c r="J213" s="72" t="s">
        <v>849</v>
      </c>
      <c r="K213" s="16" t="s">
        <v>73</v>
      </c>
      <c r="L213" s="11" t="s">
        <v>877</v>
      </c>
      <c r="M213" s="11" t="s">
        <v>878</v>
      </c>
      <c r="N213" s="11"/>
      <c r="O213" s="11"/>
      <c r="P213" s="11"/>
      <c r="Q213" s="11" t="s">
        <v>947</v>
      </c>
      <c r="R213" s="11" t="s">
        <v>933</v>
      </c>
      <c r="S213" s="11" t="s">
        <v>882</v>
      </c>
    </row>
    <row r="214" spans="1:19" s="20" customFormat="1" ht="21.75" hidden="1" customHeight="1" x14ac:dyDescent="0.2">
      <c r="A214" s="16" t="s">
        <v>873</v>
      </c>
      <c r="B214" s="16"/>
      <c r="C214" s="18">
        <v>46038</v>
      </c>
      <c r="D214" s="71">
        <v>18</v>
      </c>
      <c r="E214" s="209"/>
      <c r="F214" s="72" t="s">
        <v>858</v>
      </c>
      <c r="G214" s="72" t="s">
        <v>868</v>
      </c>
      <c r="H214" s="11" t="s">
        <v>99</v>
      </c>
      <c r="I214" s="72" t="s">
        <v>845</v>
      </c>
      <c r="J214" s="72" t="s">
        <v>849</v>
      </c>
      <c r="K214" s="16" t="s">
        <v>73</v>
      </c>
      <c r="L214" s="11" t="s">
        <v>877</v>
      </c>
      <c r="M214" s="11" t="s">
        <v>878</v>
      </c>
      <c r="N214" s="11"/>
      <c r="O214" s="11"/>
      <c r="P214" s="11"/>
      <c r="Q214" s="11" t="s">
        <v>947</v>
      </c>
      <c r="R214" s="11" t="s">
        <v>933</v>
      </c>
      <c r="S214" s="11" t="s">
        <v>882</v>
      </c>
    </row>
    <row r="215" spans="1:19" s="20" customFormat="1" ht="21.75" hidden="1" customHeight="1" x14ac:dyDescent="0.2">
      <c r="A215" s="16" t="s">
        <v>873</v>
      </c>
      <c r="B215" s="16"/>
      <c r="C215" s="18">
        <v>46038</v>
      </c>
      <c r="D215" s="71">
        <v>18</v>
      </c>
      <c r="E215" s="209"/>
      <c r="F215" s="72" t="s">
        <v>859</v>
      </c>
      <c r="G215" s="72" t="s">
        <v>869</v>
      </c>
      <c r="H215" s="11" t="s">
        <v>99</v>
      </c>
      <c r="I215" s="72" t="s">
        <v>845</v>
      </c>
      <c r="J215" s="72" t="s">
        <v>849</v>
      </c>
      <c r="K215" s="16" t="s">
        <v>73</v>
      </c>
      <c r="L215" s="11" t="s">
        <v>877</v>
      </c>
      <c r="M215" s="11" t="s">
        <v>878</v>
      </c>
      <c r="N215" s="11"/>
      <c r="O215" s="11"/>
      <c r="P215" s="11"/>
      <c r="Q215" s="11" t="s">
        <v>947</v>
      </c>
      <c r="R215" s="11" t="s">
        <v>933</v>
      </c>
      <c r="S215" s="11" t="s">
        <v>882</v>
      </c>
    </row>
    <row r="216" spans="1:19" s="20" customFormat="1" ht="21.75" hidden="1" customHeight="1" x14ac:dyDescent="0.2">
      <c r="A216" s="16" t="s">
        <v>873</v>
      </c>
      <c r="B216" s="16"/>
      <c r="C216" s="18">
        <v>46038</v>
      </c>
      <c r="D216" s="71">
        <v>12</v>
      </c>
      <c r="E216" s="209"/>
      <c r="F216" s="72" t="s">
        <v>860</v>
      </c>
      <c r="G216" s="72" t="s">
        <v>870</v>
      </c>
      <c r="H216" s="11" t="s">
        <v>99</v>
      </c>
      <c r="I216" s="72" t="s">
        <v>845</v>
      </c>
      <c r="J216" s="72" t="s">
        <v>849</v>
      </c>
      <c r="K216" s="16" t="s">
        <v>73</v>
      </c>
      <c r="L216" s="11" t="s">
        <v>877</v>
      </c>
      <c r="M216" s="11" t="s">
        <v>878</v>
      </c>
      <c r="N216" s="11"/>
      <c r="O216" s="11"/>
      <c r="P216" s="11"/>
      <c r="Q216" s="11" t="s">
        <v>947</v>
      </c>
      <c r="R216" s="11" t="s">
        <v>933</v>
      </c>
      <c r="S216" s="11" t="s">
        <v>882</v>
      </c>
    </row>
    <row r="217" spans="1:19" s="20" customFormat="1" ht="21.75" hidden="1" customHeight="1" x14ac:dyDescent="0.2">
      <c r="A217" s="16" t="s">
        <v>874</v>
      </c>
      <c r="B217" s="16"/>
      <c r="C217" s="18">
        <v>46037</v>
      </c>
      <c r="D217" s="71">
        <v>384</v>
      </c>
      <c r="E217" s="19">
        <v>8</v>
      </c>
      <c r="F217" s="72" t="s">
        <v>22</v>
      </c>
      <c r="G217" s="72" t="s">
        <v>108</v>
      </c>
      <c r="H217" s="16" t="s">
        <v>1650</v>
      </c>
      <c r="I217" s="72" t="s">
        <v>846</v>
      </c>
      <c r="J217" s="72" t="s">
        <v>850</v>
      </c>
      <c r="K217" s="14">
        <v>967715640</v>
      </c>
      <c r="L217" s="11" t="s">
        <v>879</v>
      </c>
      <c r="M217" s="11" t="s">
        <v>476</v>
      </c>
      <c r="N217" s="11"/>
      <c r="O217" s="11"/>
      <c r="P217" s="11" t="s">
        <v>889</v>
      </c>
      <c r="Q217" s="11" t="s">
        <v>888</v>
      </c>
      <c r="R217" s="11"/>
      <c r="S217" s="11" t="s">
        <v>883</v>
      </c>
    </row>
    <row r="218" spans="1:19" s="20" customFormat="1" ht="21.75" hidden="1" customHeight="1" x14ac:dyDescent="0.2">
      <c r="A218" s="16" t="s">
        <v>875</v>
      </c>
      <c r="B218" s="16"/>
      <c r="C218" s="18">
        <v>46038</v>
      </c>
      <c r="D218" s="71">
        <v>8</v>
      </c>
      <c r="E218" s="209">
        <v>1</v>
      </c>
      <c r="F218" s="72" t="s">
        <v>855</v>
      </c>
      <c r="G218" s="72" t="s">
        <v>865</v>
      </c>
      <c r="H218" s="11" t="s">
        <v>99</v>
      </c>
      <c r="I218" s="72" t="s">
        <v>847</v>
      </c>
      <c r="J218" s="72" t="s">
        <v>851</v>
      </c>
      <c r="K218" s="11"/>
      <c r="L218" s="11" t="s">
        <v>880</v>
      </c>
      <c r="M218" s="11" t="s">
        <v>420</v>
      </c>
      <c r="N218" s="11"/>
      <c r="O218" s="11"/>
      <c r="P218" s="11"/>
      <c r="Q218" s="11"/>
      <c r="R218" s="16" t="s">
        <v>933</v>
      </c>
      <c r="S218" s="11" t="s">
        <v>884</v>
      </c>
    </row>
    <row r="219" spans="1:19" s="20" customFormat="1" ht="21.75" hidden="1" customHeight="1" x14ac:dyDescent="0.2">
      <c r="A219" s="16" t="s">
        <v>875</v>
      </c>
      <c r="B219" s="16"/>
      <c r="C219" s="18">
        <v>46038</v>
      </c>
      <c r="D219" s="71">
        <v>1</v>
      </c>
      <c r="E219" s="209"/>
      <c r="F219" s="72" t="s">
        <v>861</v>
      </c>
      <c r="G219" s="72" t="s">
        <v>871</v>
      </c>
      <c r="H219" s="11" t="s">
        <v>99</v>
      </c>
      <c r="I219" s="72" t="s">
        <v>847</v>
      </c>
      <c r="J219" s="72" t="s">
        <v>851</v>
      </c>
      <c r="K219" s="11"/>
      <c r="L219" s="11" t="s">
        <v>880</v>
      </c>
      <c r="M219" s="11" t="s">
        <v>420</v>
      </c>
      <c r="N219" s="11"/>
      <c r="O219" s="11"/>
      <c r="P219" s="11"/>
      <c r="Q219" s="11"/>
      <c r="R219" s="16" t="s">
        <v>933</v>
      </c>
      <c r="S219" s="11" t="s">
        <v>884</v>
      </c>
    </row>
    <row r="220" spans="1:19" s="20" customFormat="1" ht="21.75" hidden="1" customHeight="1" x14ac:dyDescent="0.2">
      <c r="A220" s="16" t="s">
        <v>890</v>
      </c>
      <c r="B220" s="16" t="s">
        <v>73</v>
      </c>
      <c r="C220" s="52">
        <v>46112</v>
      </c>
      <c r="D220" s="21">
        <v>24</v>
      </c>
      <c r="E220" s="19">
        <v>2</v>
      </c>
      <c r="F220" s="16" t="s">
        <v>898</v>
      </c>
      <c r="G220" s="16" t="s">
        <v>915</v>
      </c>
      <c r="H220" s="26" t="s">
        <v>1544</v>
      </c>
      <c r="I220" s="16" t="s">
        <v>934</v>
      </c>
      <c r="J220" s="17">
        <v>20601209943</v>
      </c>
      <c r="K220" s="17">
        <v>959431080</v>
      </c>
      <c r="L220" s="16" t="s">
        <v>2128</v>
      </c>
      <c r="M220" s="16" t="s">
        <v>75</v>
      </c>
      <c r="N220" s="11"/>
      <c r="O220" s="11"/>
      <c r="P220" s="16" t="s">
        <v>940</v>
      </c>
      <c r="Q220" s="16" t="s">
        <v>2127</v>
      </c>
      <c r="R220" s="16" t="s">
        <v>142</v>
      </c>
      <c r="S220" s="11"/>
    </row>
    <row r="221" spans="1:19" s="20" customFormat="1" ht="21.75" hidden="1" customHeight="1" x14ac:dyDescent="0.2">
      <c r="A221" s="16" t="s">
        <v>890</v>
      </c>
      <c r="B221" s="16" t="s">
        <v>73</v>
      </c>
      <c r="C221" s="52">
        <v>46112</v>
      </c>
      <c r="D221" s="21">
        <v>24</v>
      </c>
      <c r="E221" s="19">
        <v>2</v>
      </c>
      <c r="F221" s="16" t="s">
        <v>899</v>
      </c>
      <c r="G221" s="16" t="s">
        <v>916</v>
      </c>
      <c r="H221" s="26" t="s">
        <v>1544</v>
      </c>
      <c r="I221" s="16" t="s">
        <v>934</v>
      </c>
      <c r="J221" s="17">
        <v>20601209943</v>
      </c>
      <c r="K221" s="17">
        <v>959431080</v>
      </c>
      <c r="L221" s="16" t="s">
        <v>2128</v>
      </c>
      <c r="M221" s="16" t="s">
        <v>75</v>
      </c>
      <c r="N221" s="11"/>
      <c r="O221" s="11"/>
      <c r="P221" s="16" t="s">
        <v>940</v>
      </c>
      <c r="Q221" s="16" t="s">
        <v>2127</v>
      </c>
      <c r="R221" s="16" t="s">
        <v>142</v>
      </c>
      <c r="S221" s="11"/>
    </row>
    <row r="222" spans="1:19" s="20" customFormat="1" ht="21.75" hidden="1" customHeight="1" x14ac:dyDescent="0.2">
      <c r="A222" s="16" t="s">
        <v>890</v>
      </c>
      <c r="B222" s="16" t="s">
        <v>73</v>
      </c>
      <c r="C222" s="52">
        <v>46112</v>
      </c>
      <c r="D222" s="21">
        <v>12</v>
      </c>
      <c r="E222" s="19">
        <v>1</v>
      </c>
      <c r="F222" s="16" t="s">
        <v>900</v>
      </c>
      <c r="G222" s="16" t="s">
        <v>917</v>
      </c>
      <c r="H222" s="26" t="s">
        <v>1544</v>
      </c>
      <c r="I222" s="16" t="s">
        <v>934</v>
      </c>
      <c r="J222" s="17">
        <v>20601209943</v>
      </c>
      <c r="K222" s="17">
        <v>959431080</v>
      </c>
      <c r="L222" s="16" t="s">
        <v>2128</v>
      </c>
      <c r="M222" s="16" t="s">
        <v>75</v>
      </c>
      <c r="N222" s="11"/>
      <c r="O222" s="11"/>
      <c r="P222" s="16" t="s">
        <v>940</v>
      </c>
      <c r="Q222" s="16" t="s">
        <v>2127</v>
      </c>
      <c r="R222" s="16" t="s">
        <v>142</v>
      </c>
      <c r="S222" s="11"/>
    </row>
    <row r="223" spans="1:19" s="20" customFormat="1" ht="21.75" hidden="1" customHeight="1" x14ac:dyDescent="0.2">
      <c r="A223" s="16" t="s">
        <v>890</v>
      </c>
      <c r="B223" s="16" t="s">
        <v>73</v>
      </c>
      <c r="C223" s="52">
        <v>46112</v>
      </c>
      <c r="D223" s="21">
        <v>48</v>
      </c>
      <c r="E223" s="19">
        <v>2</v>
      </c>
      <c r="F223" s="16" t="s">
        <v>901</v>
      </c>
      <c r="G223" s="16" t="s">
        <v>918</v>
      </c>
      <c r="H223" s="26" t="s">
        <v>1544</v>
      </c>
      <c r="I223" s="16" t="s">
        <v>934</v>
      </c>
      <c r="J223" s="17">
        <v>20601209943</v>
      </c>
      <c r="K223" s="17">
        <v>959431080</v>
      </c>
      <c r="L223" s="16" t="s">
        <v>2128</v>
      </c>
      <c r="M223" s="16" t="s">
        <v>75</v>
      </c>
      <c r="N223" s="11"/>
      <c r="O223" s="11"/>
      <c r="P223" s="16" t="s">
        <v>940</v>
      </c>
      <c r="Q223" s="16" t="s">
        <v>2127</v>
      </c>
      <c r="R223" s="16" t="s">
        <v>142</v>
      </c>
      <c r="S223" s="11"/>
    </row>
    <row r="224" spans="1:19" s="20" customFormat="1" ht="21.75" hidden="1" customHeight="1" x14ac:dyDescent="0.2">
      <c r="A224" s="16" t="s">
        <v>890</v>
      </c>
      <c r="B224" s="16" t="s">
        <v>73</v>
      </c>
      <c r="C224" s="52">
        <v>46112</v>
      </c>
      <c r="D224" s="21">
        <v>12</v>
      </c>
      <c r="E224" s="19">
        <v>1</v>
      </c>
      <c r="F224" s="16" t="s">
        <v>902</v>
      </c>
      <c r="G224" s="16" t="s">
        <v>919</v>
      </c>
      <c r="H224" s="26" t="s">
        <v>1544</v>
      </c>
      <c r="I224" s="16" t="s">
        <v>934</v>
      </c>
      <c r="J224" s="17">
        <v>20601209943</v>
      </c>
      <c r="K224" s="17">
        <v>959431080</v>
      </c>
      <c r="L224" s="16" t="s">
        <v>2128</v>
      </c>
      <c r="M224" s="16" t="s">
        <v>75</v>
      </c>
      <c r="N224" s="11"/>
      <c r="O224" s="11"/>
      <c r="P224" s="16" t="s">
        <v>940</v>
      </c>
      <c r="Q224" s="16" t="s">
        <v>2127</v>
      </c>
      <c r="R224" s="16" t="s">
        <v>142</v>
      </c>
      <c r="S224" s="11"/>
    </row>
    <row r="225" spans="1:19" s="20" customFormat="1" ht="21.75" hidden="1" customHeight="1" x14ac:dyDescent="0.2">
      <c r="A225" s="16" t="s">
        <v>890</v>
      </c>
      <c r="B225" s="16" t="s">
        <v>73</v>
      </c>
      <c r="C225" s="52">
        <v>46112</v>
      </c>
      <c r="D225" s="21">
        <v>12</v>
      </c>
      <c r="E225" s="19">
        <v>1</v>
      </c>
      <c r="F225" s="16" t="s">
        <v>903</v>
      </c>
      <c r="G225" s="16" t="s">
        <v>920</v>
      </c>
      <c r="H225" s="26" t="s">
        <v>1544</v>
      </c>
      <c r="I225" s="16" t="s">
        <v>934</v>
      </c>
      <c r="J225" s="17">
        <v>20601209943</v>
      </c>
      <c r="K225" s="17">
        <v>959431080</v>
      </c>
      <c r="L225" s="16" t="s">
        <v>2128</v>
      </c>
      <c r="M225" s="16" t="s">
        <v>75</v>
      </c>
      <c r="N225" s="11"/>
      <c r="O225" s="11"/>
      <c r="P225" s="16" t="s">
        <v>940</v>
      </c>
      <c r="Q225" s="16" t="s">
        <v>2127</v>
      </c>
      <c r="R225" s="16" t="s">
        <v>142</v>
      </c>
      <c r="S225" s="11"/>
    </row>
    <row r="226" spans="1:19" s="20" customFormat="1" ht="21.75" hidden="1" customHeight="1" x14ac:dyDescent="0.2">
      <c r="A226" s="16" t="s">
        <v>890</v>
      </c>
      <c r="B226" s="16" t="s">
        <v>73</v>
      </c>
      <c r="C226" s="52">
        <v>46112</v>
      </c>
      <c r="D226" s="21">
        <v>3</v>
      </c>
      <c r="E226" s="19">
        <v>1</v>
      </c>
      <c r="F226" s="16" t="s">
        <v>904</v>
      </c>
      <c r="G226" s="16" t="s">
        <v>921</v>
      </c>
      <c r="H226" s="26" t="s">
        <v>1544</v>
      </c>
      <c r="I226" s="16" t="s">
        <v>934</v>
      </c>
      <c r="J226" s="17">
        <v>20601209943</v>
      </c>
      <c r="K226" s="17">
        <v>959431080</v>
      </c>
      <c r="L226" s="16" t="s">
        <v>2128</v>
      </c>
      <c r="M226" s="16" t="s">
        <v>75</v>
      </c>
      <c r="N226" s="11"/>
      <c r="O226" s="11"/>
      <c r="P226" s="16" t="s">
        <v>940</v>
      </c>
      <c r="Q226" s="16" t="s">
        <v>2127</v>
      </c>
      <c r="R226" s="16" t="s">
        <v>142</v>
      </c>
      <c r="S226" s="11"/>
    </row>
    <row r="227" spans="1:19" s="20" customFormat="1" ht="21.75" hidden="1" customHeight="1" x14ac:dyDescent="0.2">
      <c r="A227" s="16" t="s">
        <v>890</v>
      </c>
      <c r="B227" s="16" t="s">
        <v>73</v>
      </c>
      <c r="C227" s="52">
        <v>46112</v>
      </c>
      <c r="D227" s="21">
        <v>3</v>
      </c>
      <c r="E227" s="19">
        <v>1</v>
      </c>
      <c r="F227" s="16" t="s">
        <v>905</v>
      </c>
      <c r="G227" s="16" t="s">
        <v>922</v>
      </c>
      <c r="H227" s="26" t="s">
        <v>1544</v>
      </c>
      <c r="I227" s="16" t="s">
        <v>934</v>
      </c>
      <c r="J227" s="17">
        <v>20601209943</v>
      </c>
      <c r="K227" s="17">
        <v>959431080</v>
      </c>
      <c r="L227" s="16" t="s">
        <v>2128</v>
      </c>
      <c r="M227" s="16" t="s">
        <v>75</v>
      </c>
      <c r="N227" s="11"/>
      <c r="O227" s="11"/>
      <c r="P227" s="16" t="s">
        <v>940</v>
      </c>
      <c r="Q227" s="16" t="s">
        <v>2127</v>
      </c>
      <c r="R227" s="16" t="s">
        <v>142</v>
      </c>
      <c r="S227" s="11"/>
    </row>
    <row r="228" spans="1:19" s="20" customFormat="1" ht="21.75" hidden="1" customHeight="1" x14ac:dyDescent="0.2">
      <c r="A228" s="16" t="s">
        <v>890</v>
      </c>
      <c r="B228" s="16" t="s">
        <v>73</v>
      </c>
      <c r="C228" s="52">
        <v>46112</v>
      </c>
      <c r="D228" s="21">
        <v>3</v>
      </c>
      <c r="E228" s="19">
        <v>3</v>
      </c>
      <c r="F228" s="16" t="s">
        <v>906</v>
      </c>
      <c r="G228" s="16" t="s">
        <v>923</v>
      </c>
      <c r="H228" s="26" t="s">
        <v>1544</v>
      </c>
      <c r="I228" s="16" t="s">
        <v>934</v>
      </c>
      <c r="J228" s="17">
        <v>20601209943</v>
      </c>
      <c r="K228" s="17">
        <v>959431080</v>
      </c>
      <c r="L228" s="16" t="s">
        <v>2128</v>
      </c>
      <c r="M228" s="16" t="s">
        <v>75</v>
      </c>
      <c r="N228" s="11"/>
      <c r="O228" s="11"/>
      <c r="P228" s="16" t="s">
        <v>940</v>
      </c>
      <c r="Q228" s="16" t="s">
        <v>2127</v>
      </c>
      <c r="R228" s="16" t="s">
        <v>142</v>
      </c>
      <c r="S228" s="11"/>
    </row>
    <row r="229" spans="1:19" s="20" customFormat="1" ht="21.75" hidden="1" customHeight="1" x14ac:dyDescent="0.2">
      <c r="A229" s="16" t="s">
        <v>890</v>
      </c>
      <c r="B229" s="16" t="s">
        <v>73</v>
      </c>
      <c r="C229" s="52">
        <v>46112</v>
      </c>
      <c r="D229" s="21">
        <v>3</v>
      </c>
      <c r="E229" s="19">
        <v>3</v>
      </c>
      <c r="F229" s="16" t="s">
        <v>907</v>
      </c>
      <c r="G229" s="16" t="s">
        <v>924</v>
      </c>
      <c r="H229" s="26" t="s">
        <v>1544</v>
      </c>
      <c r="I229" s="16" t="s">
        <v>934</v>
      </c>
      <c r="J229" s="17">
        <v>20601209943</v>
      </c>
      <c r="K229" s="17">
        <v>959431080</v>
      </c>
      <c r="L229" s="16" t="s">
        <v>2128</v>
      </c>
      <c r="M229" s="16" t="s">
        <v>75</v>
      </c>
      <c r="N229" s="11"/>
      <c r="O229" s="11"/>
      <c r="P229" s="16" t="s">
        <v>940</v>
      </c>
      <c r="Q229" s="16" t="s">
        <v>2127</v>
      </c>
      <c r="R229" s="16" t="s">
        <v>142</v>
      </c>
      <c r="S229" s="11"/>
    </row>
    <row r="230" spans="1:19" s="20" customFormat="1" ht="21.75" hidden="1" customHeight="1" x14ac:dyDescent="0.2">
      <c r="A230" s="16" t="s">
        <v>890</v>
      </c>
      <c r="B230" s="16" t="s">
        <v>73</v>
      </c>
      <c r="C230" s="52">
        <v>46112</v>
      </c>
      <c r="D230" s="21">
        <v>3</v>
      </c>
      <c r="E230" s="19">
        <v>3</v>
      </c>
      <c r="F230" s="16" t="s">
        <v>908</v>
      </c>
      <c r="G230" s="16" t="s">
        <v>925</v>
      </c>
      <c r="H230" s="26" t="s">
        <v>1544</v>
      </c>
      <c r="I230" s="16" t="s">
        <v>934</v>
      </c>
      <c r="J230" s="17">
        <v>20601209943</v>
      </c>
      <c r="K230" s="17">
        <v>959431080</v>
      </c>
      <c r="L230" s="16" t="s">
        <v>2128</v>
      </c>
      <c r="M230" s="16" t="s">
        <v>75</v>
      </c>
      <c r="N230" s="11"/>
      <c r="O230" s="11"/>
      <c r="P230" s="16" t="s">
        <v>940</v>
      </c>
      <c r="Q230" s="16" t="s">
        <v>2127</v>
      </c>
      <c r="R230" s="16" t="s">
        <v>142</v>
      </c>
      <c r="S230" s="11"/>
    </row>
    <row r="231" spans="1:19" s="20" customFormat="1" ht="21.75" hidden="1" customHeight="1" x14ac:dyDescent="0.2">
      <c r="A231" s="16" t="s">
        <v>890</v>
      </c>
      <c r="B231" s="16" t="s">
        <v>73</v>
      </c>
      <c r="C231" s="52">
        <v>46112</v>
      </c>
      <c r="D231" s="21">
        <v>3</v>
      </c>
      <c r="E231" s="19">
        <v>3</v>
      </c>
      <c r="F231" s="16" t="s">
        <v>909</v>
      </c>
      <c r="G231" s="16" t="s">
        <v>926</v>
      </c>
      <c r="H231" s="26" t="s">
        <v>1544</v>
      </c>
      <c r="I231" s="16" t="s">
        <v>934</v>
      </c>
      <c r="J231" s="17">
        <v>20601209943</v>
      </c>
      <c r="K231" s="17">
        <v>959431080</v>
      </c>
      <c r="L231" s="16" t="s">
        <v>2128</v>
      </c>
      <c r="M231" s="16" t="s">
        <v>75</v>
      </c>
      <c r="N231" s="11"/>
      <c r="O231" s="11"/>
      <c r="P231" s="16" t="s">
        <v>940</v>
      </c>
      <c r="Q231" s="16" t="s">
        <v>2127</v>
      </c>
      <c r="R231" s="16" t="s">
        <v>142</v>
      </c>
      <c r="S231" s="11"/>
    </row>
    <row r="232" spans="1:19" s="20" customFormat="1" ht="21.75" hidden="1" customHeight="1" x14ac:dyDescent="0.2">
      <c r="A232" s="16" t="s">
        <v>890</v>
      </c>
      <c r="B232" s="16" t="s">
        <v>73</v>
      </c>
      <c r="C232" s="52">
        <v>46112</v>
      </c>
      <c r="D232" s="21">
        <v>2</v>
      </c>
      <c r="E232" s="19">
        <v>2</v>
      </c>
      <c r="F232" s="16" t="s">
        <v>910</v>
      </c>
      <c r="G232" s="16" t="s">
        <v>927</v>
      </c>
      <c r="H232" s="26" t="s">
        <v>1544</v>
      </c>
      <c r="I232" s="16" t="s">
        <v>934</v>
      </c>
      <c r="J232" s="17">
        <v>20601209943</v>
      </c>
      <c r="K232" s="17">
        <v>959431080</v>
      </c>
      <c r="L232" s="16" t="s">
        <v>2128</v>
      </c>
      <c r="M232" s="16" t="s">
        <v>75</v>
      </c>
      <c r="N232" s="11"/>
      <c r="O232" s="11"/>
      <c r="P232" s="16" t="s">
        <v>940</v>
      </c>
      <c r="Q232" s="16" t="s">
        <v>2127</v>
      </c>
      <c r="R232" s="16" t="s">
        <v>142</v>
      </c>
      <c r="S232" s="11"/>
    </row>
    <row r="233" spans="1:19" s="20" customFormat="1" ht="21.75" hidden="1" customHeight="1" x14ac:dyDescent="0.2">
      <c r="A233" s="16" t="s">
        <v>891</v>
      </c>
      <c r="B233" s="14"/>
      <c r="C233" s="18">
        <v>46038</v>
      </c>
      <c r="D233" s="21">
        <v>24</v>
      </c>
      <c r="E233" s="19">
        <v>2</v>
      </c>
      <c r="F233" s="16" t="s">
        <v>20</v>
      </c>
      <c r="G233" s="16" t="s">
        <v>113</v>
      </c>
      <c r="H233" s="16" t="s">
        <v>932</v>
      </c>
      <c r="I233" s="16" t="s">
        <v>935</v>
      </c>
      <c r="J233" s="16">
        <v>20614543656</v>
      </c>
      <c r="K233" s="16">
        <v>51990555231</v>
      </c>
      <c r="L233" s="16" t="s">
        <v>944</v>
      </c>
      <c r="M233" s="16" t="s">
        <v>306</v>
      </c>
      <c r="N233" s="11"/>
      <c r="O233" s="11"/>
      <c r="P233" s="16" t="s">
        <v>941</v>
      </c>
      <c r="Q233" s="16" t="s">
        <v>73</v>
      </c>
      <c r="R233" s="16" t="s">
        <v>933</v>
      </c>
      <c r="S233" s="11" t="s">
        <v>946</v>
      </c>
    </row>
    <row r="234" spans="1:19" s="20" customFormat="1" ht="21.75" hidden="1" customHeight="1" x14ac:dyDescent="0.2">
      <c r="A234" s="16" t="s">
        <v>892</v>
      </c>
      <c r="B234" s="14"/>
      <c r="C234" s="18">
        <v>46039</v>
      </c>
      <c r="D234" s="21">
        <v>120</v>
      </c>
      <c r="E234" s="19">
        <v>10</v>
      </c>
      <c r="F234" s="16" t="s">
        <v>162</v>
      </c>
      <c r="G234" s="16" t="s">
        <v>163</v>
      </c>
      <c r="H234" s="26" t="s">
        <v>1544</v>
      </c>
      <c r="I234" s="16" t="s">
        <v>934</v>
      </c>
      <c r="J234" s="17">
        <v>20601209943</v>
      </c>
      <c r="K234" s="16" t="s">
        <v>73</v>
      </c>
      <c r="L234" s="16" t="s">
        <v>963</v>
      </c>
      <c r="M234" s="16" t="s">
        <v>75</v>
      </c>
      <c r="N234" s="11"/>
      <c r="O234" s="11"/>
      <c r="P234" s="16" t="s">
        <v>940</v>
      </c>
      <c r="Q234" s="16" t="s">
        <v>962</v>
      </c>
      <c r="R234" s="16" t="s">
        <v>142</v>
      </c>
      <c r="S234" s="11" t="s">
        <v>948</v>
      </c>
    </row>
    <row r="235" spans="1:19" s="20" customFormat="1" ht="21.75" hidden="1" customHeight="1" x14ac:dyDescent="0.2">
      <c r="A235" s="16" t="s">
        <v>892</v>
      </c>
      <c r="B235" s="14"/>
      <c r="C235" s="18">
        <v>46039</v>
      </c>
      <c r="D235" s="21">
        <v>144</v>
      </c>
      <c r="E235" s="19">
        <v>3</v>
      </c>
      <c r="F235" s="16" t="s">
        <v>158</v>
      </c>
      <c r="G235" s="16" t="s">
        <v>150</v>
      </c>
      <c r="H235" s="26" t="s">
        <v>1544</v>
      </c>
      <c r="I235" s="16" t="s">
        <v>934</v>
      </c>
      <c r="J235" s="17">
        <v>20601209943</v>
      </c>
      <c r="K235" s="16" t="s">
        <v>73</v>
      </c>
      <c r="L235" s="16" t="s">
        <v>963</v>
      </c>
      <c r="M235" s="16" t="s">
        <v>75</v>
      </c>
      <c r="N235" s="11"/>
      <c r="O235" s="11"/>
      <c r="P235" s="16" t="s">
        <v>940</v>
      </c>
      <c r="Q235" s="16" t="s">
        <v>962</v>
      </c>
      <c r="R235" s="16" t="s">
        <v>142</v>
      </c>
      <c r="S235" s="11" t="s">
        <v>948</v>
      </c>
    </row>
    <row r="236" spans="1:19" s="20" customFormat="1" ht="21.75" hidden="1" customHeight="1" x14ac:dyDescent="0.2">
      <c r="A236" s="16" t="s">
        <v>892</v>
      </c>
      <c r="B236" s="14"/>
      <c r="C236" s="18">
        <v>46039</v>
      </c>
      <c r="D236" s="21">
        <v>48</v>
      </c>
      <c r="E236" s="19">
        <v>1</v>
      </c>
      <c r="F236" s="16" t="s">
        <v>159</v>
      </c>
      <c r="G236" s="16" t="s">
        <v>140</v>
      </c>
      <c r="H236" s="26" t="s">
        <v>1544</v>
      </c>
      <c r="I236" s="16" t="s">
        <v>934</v>
      </c>
      <c r="J236" s="17">
        <v>20601209943</v>
      </c>
      <c r="K236" s="16" t="s">
        <v>73</v>
      </c>
      <c r="L236" s="16" t="s">
        <v>963</v>
      </c>
      <c r="M236" s="16" t="s">
        <v>75</v>
      </c>
      <c r="N236" s="11"/>
      <c r="O236" s="11"/>
      <c r="P236" s="16" t="s">
        <v>940</v>
      </c>
      <c r="Q236" s="16" t="s">
        <v>962</v>
      </c>
      <c r="R236" s="16" t="s">
        <v>142</v>
      </c>
      <c r="S236" s="11" t="s">
        <v>948</v>
      </c>
    </row>
    <row r="237" spans="1:19" s="20" customFormat="1" ht="21.75" hidden="1" customHeight="1" x14ac:dyDescent="0.2">
      <c r="A237" s="16" t="s">
        <v>892</v>
      </c>
      <c r="B237" s="14"/>
      <c r="C237" s="18">
        <v>46039</v>
      </c>
      <c r="D237" s="21">
        <v>120</v>
      </c>
      <c r="E237" s="19">
        <v>20</v>
      </c>
      <c r="F237" s="16" t="s">
        <v>155</v>
      </c>
      <c r="G237" s="16" t="s">
        <v>125</v>
      </c>
      <c r="H237" s="26" t="s">
        <v>1544</v>
      </c>
      <c r="I237" s="16" t="s">
        <v>934</v>
      </c>
      <c r="J237" s="17">
        <v>20601209943</v>
      </c>
      <c r="K237" s="16" t="s">
        <v>73</v>
      </c>
      <c r="L237" s="16" t="s">
        <v>963</v>
      </c>
      <c r="M237" s="16" t="s">
        <v>75</v>
      </c>
      <c r="N237" s="11"/>
      <c r="O237" s="11"/>
      <c r="P237" s="16" t="s">
        <v>940</v>
      </c>
      <c r="Q237" s="16" t="s">
        <v>962</v>
      </c>
      <c r="R237" s="16" t="s">
        <v>142</v>
      </c>
      <c r="S237" s="11" t="s">
        <v>948</v>
      </c>
    </row>
    <row r="238" spans="1:19" s="20" customFormat="1" ht="21.75" hidden="1" customHeight="1" x14ac:dyDescent="0.2">
      <c r="A238" s="16" t="s">
        <v>892</v>
      </c>
      <c r="B238" s="14"/>
      <c r="C238" s="18">
        <v>46039</v>
      </c>
      <c r="D238" s="21">
        <v>48</v>
      </c>
      <c r="E238" s="19">
        <v>4</v>
      </c>
      <c r="F238" s="16" t="s">
        <v>172</v>
      </c>
      <c r="G238" s="16" t="s">
        <v>175</v>
      </c>
      <c r="H238" s="26" t="s">
        <v>1544</v>
      </c>
      <c r="I238" s="16" t="s">
        <v>934</v>
      </c>
      <c r="J238" s="17">
        <v>20601209943</v>
      </c>
      <c r="K238" s="16" t="s">
        <v>73</v>
      </c>
      <c r="L238" s="16" t="s">
        <v>963</v>
      </c>
      <c r="M238" s="16" t="s">
        <v>75</v>
      </c>
      <c r="N238" s="11"/>
      <c r="O238" s="11"/>
      <c r="P238" s="16" t="s">
        <v>940</v>
      </c>
      <c r="Q238" s="16" t="s">
        <v>962</v>
      </c>
      <c r="R238" s="16" t="s">
        <v>142</v>
      </c>
      <c r="S238" s="11" t="s">
        <v>948</v>
      </c>
    </row>
    <row r="239" spans="1:19" s="20" customFormat="1" ht="21.75" hidden="1" customHeight="1" x14ac:dyDescent="0.2">
      <c r="A239" s="16" t="s">
        <v>892</v>
      </c>
      <c r="B239" s="14"/>
      <c r="C239" s="18">
        <v>46039</v>
      </c>
      <c r="D239" s="21">
        <v>24</v>
      </c>
      <c r="E239" s="19">
        <v>4</v>
      </c>
      <c r="F239" s="16" t="s">
        <v>174</v>
      </c>
      <c r="G239" s="16" t="s">
        <v>130</v>
      </c>
      <c r="H239" s="26" t="s">
        <v>1544</v>
      </c>
      <c r="I239" s="16" t="s">
        <v>934</v>
      </c>
      <c r="J239" s="17">
        <v>20601209943</v>
      </c>
      <c r="K239" s="16" t="s">
        <v>73</v>
      </c>
      <c r="L239" s="16" t="s">
        <v>963</v>
      </c>
      <c r="M239" s="16" t="s">
        <v>75</v>
      </c>
      <c r="N239" s="11"/>
      <c r="O239" s="11"/>
      <c r="P239" s="16" t="s">
        <v>940</v>
      </c>
      <c r="Q239" s="16" t="s">
        <v>962</v>
      </c>
      <c r="R239" s="16" t="s">
        <v>142</v>
      </c>
      <c r="S239" s="11" t="s">
        <v>948</v>
      </c>
    </row>
    <row r="240" spans="1:19" s="20" customFormat="1" ht="21.75" hidden="1" customHeight="1" x14ac:dyDescent="0.2">
      <c r="A240" s="16" t="s">
        <v>892</v>
      </c>
      <c r="B240" s="14"/>
      <c r="C240" s="18">
        <v>46039</v>
      </c>
      <c r="D240" s="21">
        <v>24</v>
      </c>
      <c r="E240" s="19">
        <v>4</v>
      </c>
      <c r="F240" s="16" t="s">
        <v>822</v>
      </c>
      <c r="G240" s="16" t="s">
        <v>824</v>
      </c>
      <c r="H240" s="26" t="s">
        <v>1544</v>
      </c>
      <c r="I240" s="16" t="s">
        <v>934</v>
      </c>
      <c r="J240" s="17">
        <v>20601209943</v>
      </c>
      <c r="K240" s="16" t="s">
        <v>73</v>
      </c>
      <c r="L240" s="16" t="s">
        <v>963</v>
      </c>
      <c r="M240" s="16" t="s">
        <v>75</v>
      </c>
      <c r="N240" s="11"/>
      <c r="O240" s="11"/>
      <c r="P240" s="16" t="s">
        <v>940</v>
      </c>
      <c r="Q240" s="16" t="s">
        <v>962</v>
      </c>
      <c r="R240" s="16" t="s">
        <v>142</v>
      </c>
      <c r="S240" s="11" t="s">
        <v>948</v>
      </c>
    </row>
    <row r="241" spans="1:19" s="20" customFormat="1" ht="21.75" hidden="1" customHeight="1" x14ac:dyDescent="0.2">
      <c r="A241" s="16" t="s">
        <v>892</v>
      </c>
      <c r="B241" s="14"/>
      <c r="C241" s="18">
        <v>46039</v>
      </c>
      <c r="D241" s="21">
        <v>24</v>
      </c>
      <c r="E241" s="19">
        <v>1</v>
      </c>
      <c r="F241" s="16" t="s">
        <v>911</v>
      </c>
      <c r="G241" s="16" t="s">
        <v>928</v>
      </c>
      <c r="H241" s="26" t="s">
        <v>1544</v>
      </c>
      <c r="I241" s="16" t="s">
        <v>934</v>
      </c>
      <c r="J241" s="17">
        <v>20601209943</v>
      </c>
      <c r="K241" s="16" t="s">
        <v>73</v>
      </c>
      <c r="L241" s="16" t="s">
        <v>963</v>
      </c>
      <c r="M241" s="16" t="s">
        <v>75</v>
      </c>
      <c r="N241" s="11"/>
      <c r="O241" s="11"/>
      <c r="P241" s="16" t="s">
        <v>940</v>
      </c>
      <c r="Q241" s="16" t="s">
        <v>962</v>
      </c>
      <c r="R241" s="16" t="s">
        <v>142</v>
      </c>
      <c r="S241" s="11" t="s">
        <v>948</v>
      </c>
    </row>
    <row r="242" spans="1:19" s="20" customFormat="1" ht="21.75" hidden="1" customHeight="1" x14ac:dyDescent="0.2">
      <c r="A242" s="16" t="s">
        <v>892</v>
      </c>
      <c r="B242" s="14"/>
      <c r="C242" s="18">
        <v>46039</v>
      </c>
      <c r="D242" s="21">
        <v>12</v>
      </c>
      <c r="E242" s="19">
        <v>1</v>
      </c>
      <c r="F242" s="16" t="s">
        <v>27</v>
      </c>
      <c r="G242" s="16" t="s">
        <v>103</v>
      </c>
      <c r="H242" s="26" t="s">
        <v>1544</v>
      </c>
      <c r="I242" s="16" t="s">
        <v>934</v>
      </c>
      <c r="J242" s="17">
        <v>20601209943</v>
      </c>
      <c r="K242" s="16" t="s">
        <v>73</v>
      </c>
      <c r="L242" s="16" t="s">
        <v>963</v>
      </c>
      <c r="M242" s="16" t="s">
        <v>75</v>
      </c>
      <c r="N242" s="11"/>
      <c r="O242" s="11"/>
      <c r="P242" s="16" t="s">
        <v>940</v>
      </c>
      <c r="Q242" s="16" t="s">
        <v>962</v>
      </c>
      <c r="R242" s="16" t="s">
        <v>142</v>
      </c>
      <c r="S242" s="11" t="s">
        <v>948</v>
      </c>
    </row>
    <row r="243" spans="1:19" s="20" customFormat="1" ht="21.75" hidden="1" customHeight="1" x14ac:dyDescent="0.2">
      <c r="A243" s="16" t="s">
        <v>892</v>
      </c>
      <c r="B243" s="14"/>
      <c r="C243" s="18">
        <v>46039</v>
      </c>
      <c r="D243" s="21">
        <v>12</v>
      </c>
      <c r="E243" s="19">
        <v>1</v>
      </c>
      <c r="F243" s="16" t="s">
        <v>20</v>
      </c>
      <c r="G243" s="16" t="s">
        <v>113</v>
      </c>
      <c r="H243" s="26" t="s">
        <v>1544</v>
      </c>
      <c r="I243" s="16" t="s">
        <v>934</v>
      </c>
      <c r="J243" s="17">
        <v>20601209943</v>
      </c>
      <c r="K243" s="16" t="s">
        <v>73</v>
      </c>
      <c r="L243" s="16" t="s">
        <v>963</v>
      </c>
      <c r="M243" s="16" t="s">
        <v>75</v>
      </c>
      <c r="N243" s="11"/>
      <c r="O243" s="11"/>
      <c r="P243" s="16" t="s">
        <v>940</v>
      </c>
      <c r="Q243" s="16" t="s">
        <v>962</v>
      </c>
      <c r="R243" s="16" t="s">
        <v>142</v>
      </c>
      <c r="S243" s="11" t="s">
        <v>948</v>
      </c>
    </row>
    <row r="244" spans="1:19" s="20" customFormat="1" ht="21.75" hidden="1" customHeight="1" x14ac:dyDescent="0.2">
      <c r="A244" s="16" t="s">
        <v>892</v>
      </c>
      <c r="B244" s="14"/>
      <c r="C244" s="18">
        <v>46039</v>
      </c>
      <c r="D244" s="21">
        <v>12</v>
      </c>
      <c r="E244" s="19">
        <v>1</v>
      </c>
      <c r="F244" s="16" t="s">
        <v>21</v>
      </c>
      <c r="G244" s="16" t="s">
        <v>115</v>
      </c>
      <c r="H244" s="26" t="s">
        <v>1544</v>
      </c>
      <c r="I244" s="16" t="s">
        <v>934</v>
      </c>
      <c r="J244" s="17">
        <v>20601209943</v>
      </c>
      <c r="K244" s="16" t="s">
        <v>73</v>
      </c>
      <c r="L244" s="16" t="s">
        <v>963</v>
      </c>
      <c r="M244" s="16" t="s">
        <v>75</v>
      </c>
      <c r="N244" s="11"/>
      <c r="O244" s="11"/>
      <c r="P244" s="16" t="s">
        <v>940</v>
      </c>
      <c r="Q244" s="16" t="s">
        <v>962</v>
      </c>
      <c r="R244" s="16" t="s">
        <v>142</v>
      </c>
      <c r="S244" s="11" t="s">
        <v>948</v>
      </c>
    </row>
    <row r="245" spans="1:19" s="20" customFormat="1" ht="21.75" hidden="1" customHeight="1" x14ac:dyDescent="0.2">
      <c r="A245" s="16" t="s">
        <v>892</v>
      </c>
      <c r="B245" s="14"/>
      <c r="C245" s="18">
        <v>46039</v>
      </c>
      <c r="D245" s="21">
        <v>8</v>
      </c>
      <c r="E245" s="19">
        <v>2</v>
      </c>
      <c r="F245" s="16" t="s">
        <v>912</v>
      </c>
      <c r="G245" s="16" t="s">
        <v>929</v>
      </c>
      <c r="H245" s="26" t="s">
        <v>1544</v>
      </c>
      <c r="I245" s="16" t="s">
        <v>934</v>
      </c>
      <c r="J245" s="17">
        <v>20601209943</v>
      </c>
      <c r="K245" s="16" t="s">
        <v>73</v>
      </c>
      <c r="L245" s="16" t="s">
        <v>963</v>
      </c>
      <c r="M245" s="16" t="s">
        <v>75</v>
      </c>
      <c r="N245" s="11"/>
      <c r="O245" s="11"/>
      <c r="P245" s="16" t="s">
        <v>940</v>
      </c>
      <c r="Q245" s="16" t="s">
        <v>962</v>
      </c>
      <c r="R245" s="16" t="s">
        <v>142</v>
      </c>
      <c r="S245" s="11" t="s">
        <v>948</v>
      </c>
    </row>
    <row r="246" spans="1:19" s="20" customFormat="1" ht="21.75" hidden="1" customHeight="1" x14ac:dyDescent="0.2">
      <c r="A246" s="16" t="s">
        <v>892</v>
      </c>
      <c r="B246" s="14"/>
      <c r="C246" s="18">
        <v>46039</v>
      </c>
      <c r="D246" s="21">
        <v>8</v>
      </c>
      <c r="E246" s="19">
        <v>2</v>
      </c>
      <c r="F246" s="16" t="s">
        <v>40</v>
      </c>
      <c r="G246" s="16" t="s">
        <v>117</v>
      </c>
      <c r="H246" s="26" t="s">
        <v>1544</v>
      </c>
      <c r="I246" s="16" t="s">
        <v>934</v>
      </c>
      <c r="J246" s="17">
        <v>20601209943</v>
      </c>
      <c r="K246" s="16" t="s">
        <v>73</v>
      </c>
      <c r="L246" s="16" t="s">
        <v>963</v>
      </c>
      <c r="M246" s="16" t="s">
        <v>75</v>
      </c>
      <c r="N246" s="11"/>
      <c r="O246" s="11"/>
      <c r="P246" s="16" t="s">
        <v>940</v>
      </c>
      <c r="Q246" s="16" t="s">
        <v>962</v>
      </c>
      <c r="R246" s="16" t="s">
        <v>142</v>
      </c>
      <c r="S246" s="11" t="s">
        <v>948</v>
      </c>
    </row>
    <row r="247" spans="1:19" s="20" customFormat="1" ht="21.75" hidden="1" customHeight="1" x14ac:dyDescent="0.2">
      <c r="A247" s="16" t="s">
        <v>892</v>
      </c>
      <c r="B247" s="14"/>
      <c r="C247" s="18">
        <v>46039</v>
      </c>
      <c r="D247" s="21">
        <v>8</v>
      </c>
      <c r="E247" s="19">
        <v>2</v>
      </c>
      <c r="F247" s="16" t="s">
        <v>44</v>
      </c>
      <c r="G247" s="16" t="s">
        <v>118</v>
      </c>
      <c r="H247" s="26" t="s">
        <v>1544</v>
      </c>
      <c r="I247" s="16" t="s">
        <v>934</v>
      </c>
      <c r="J247" s="17">
        <v>20601209943</v>
      </c>
      <c r="K247" s="16" t="s">
        <v>73</v>
      </c>
      <c r="L247" s="16" t="s">
        <v>963</v>
      </c>
      <c r="M247" s="16" t="s">
        <v>75</v>
      </c>
      <c r="N247" s="11"/>
      <c r="O247" s="11"/>
      <c r="P247" s="16" t="s">
        <v>940</v>
      </c>
      <c r="Q247" s="16" t="s">
        <v>962</v>
      </c>
      <c r="R247" s="16" t="s">
        <v>142</v>
      </c>
      <c r="S247" s="11" t="s">
        <v>948</v>
      </c>
    </row>
    <row r="248" spans="1:19" s="20" customFormat="1" ht="21.75" hidden="1" customHeight="1" x14ac:dyDescent="0.2">
      <c r="A248" s="16" t="s">
        <v>892</v>
      </c>
      <c r="B248" s="14"/>
      <c r="C248" s="18">
        <v>46039</v>
      </c>
      <c r="D248" s="21">
        <v>120</v>
      </c>
      <c r="E248" s="19">
        <v>10</v>
      </c>
      <c r="F248" s="16" t="s">
        <v>913</v>
      </c>
      <c r="G248" s="16" t="s">
        <v>930</v>
      </c>
      <c r="H248" s="26" t="s">
        <v>1544</v>
      </c>
      <c r="I248" s="16" t="s">
        <v>934</v>
      </c>
      <c r="J248" s="17">
        <v>20601209943</v>
      </c>
      <c r="K248" s="16" t="s">
        <v>73</v>
      </c>
      <c r="L248" s="16" t="s">
        <v>963</v>
      </c>
      <c r="M248" s="16" t="s">
        <v>75</v>
      </c>
      <c r="N248" s="11"/>
      <c r="O248" s="11"/>
      <c r="P248" s="16" t="s">
        <v>940</v>
      </c>
      <c r="Q248" s="16" t="s">
        <v>962</v>
      </c>
      <c r="R248" s="16" t="s">
        <v>142</v>
      </c>
      <c r="S248" s="11" t="s">
        <v>948</v>
      </c>
    </row>
    <row r="249" spans="1:19" s="20" customFormat="1" ht="21.75" hidden="1" customHeight="1" x14ac:dyDescent="0.2">
      <c r="A249" s="16" t="s">
        <v>892</v>
      </c>
      <c r="B249" s="14"/>
      <c r="C249" s="18">
        <v>46039</v>
      </c>
      <c r="D249" s="21">
        <v>120</v>
      </c>
      <c r="E249" s="19">
        <v>10</v>
      </c>
      <c r="F249" s="16" t="s">
        <v>35</v>
      </c>
      <c r="G249" s="16" t="s">
        <v>106</v>
      </c>
      <c r="H249" s="26" t="s">
        <v>1544</v>
      </c>
      <c r="I249" s="16" t="s">
        <v>934</v>
      </c>
      <c r="J249" s="17">
        <v>20601209943</v>
      </c>
      <c r="K249" s="16" t="s">
        <v>73</v>
      </c>
      <c r="L249" s="16" t="s">
        <v>963</v>
      </c>
      <c r="M249" s="16" t="s">
        <v>75</v>
      </c>
      <c r="N249" s="11"/>
      <c r="O249" s="11"/>
      <c r="P249" s="16" t="s">
        <v>940</v>
      </c>
      <c r="Q249" s="16" t="s">
        <v>962</v>
      </c>
      <c r="R249" s="16" t="s">
        <v>142</v>
      </c>
      <c r="S249" s="11" t="s">
        <v>948</v>
      </c>
    </row>
    <row r="250" spans="1:19" s="20" customFormat="1" ht="21.75" hidden="1" customHeight="1" x14ac:dyDescent="0.2">
      <c r="A250" s="16" t="s">
        <v>893</v>
      </c>
      <c r="B250" s="14"/>
      <c r="C250" s="18">
        <v>46039</v>
      </c>
      <c r="D250" s="21">
        <v>60</v>
      </c>
      <c r="E250" s="19">
        <v>5</v>
      </c>
      <c r="F250" s="16" t="s">
        <v>27</v>
      </c>
      <c r="G250" s="16" t="s">
        <v>103</v>
      </c>
      <c r="H250" s="26" t="s">
        <v>1544</v>
      </c>
      <c r="I250" s="16" t="s">
        <v>936</v>
      </c>
      <c r="J250" s="17">
        <v>10296695276</v>
      </c>
      <c r="K250" s="16" t="s">
        <v>73</v>
      </c>
      <c r="L250" s="16" t="s">
        <v>945</v>
      </c>
      <c r="M250" s="16" t="s">
        <v>75</v>
      </c>
      <c r="N250" s="11"/>
      <c r="O250" s="11"/>
      <c r="P250" s="16" t="s">
        <v>942</v>
      </c>
      <c r="Q250" s="16" t="s">
        <v>943</v>
      </c>
      <c r="R250" s="16" t="s">
        <v>142</v>
      </c>
      <c r="S250" s="11" t="s">
        <v>949</v>
      </c>
    </row>
    <row r="251" spans="1:19" s="20" customFormat="1" ht="21.75" hidden="1" customHeight="1" x14ac:dyDescent="0.2">
      <c r="A251" s="16" t="s">
        <v>893</v>
      </c>
      <c r="B251" s="14"/>
      <c r="C251" s="18">
        <v>46039</v>
      </c>
      <c r="D251" s="21">
        <v>24</v>
      </c>
      <c r="E251" s="19">
        <v>24</v>
      </c>
      <c r="F251" s="16" t="s">
        <v>914</v>
      </c>
      <c r="G251" s="16" t="s">
        <v>931</v>
      </c>
      <c r="H251" s="26" t="s">
        <v>1544</v>
      </c>
      <c r="I251" s="16" t="s">
        <v>936</v>
      </c>
      <c r="J251" s="17">
        <v>10296695276</v>
      </c>
      <c r="K251" s="16" t="s">
        <v>73</v>
      </c>
      <c r="L251" s="16" t="s">
        <v>945</v>
      </c>
      <c r="M251" s="16" t="s">
        <v>75</v>
      </c>
      <c r="N251" s="11"/>
      <c r="O251" s="11"/>
      <c r="P251" s="16" t="s">
        <v>942</v>
      </c>
      <c r="Q251" s="16" t="s">
        <v>943</v>
      </c>
      <c r="R251" s="16" t="s">
        <v>142</v>
      </c>
      <c r="S251" s="11" t="s">
        <v>949</v>
      </c>
    </row>
    <row r="252" spans="1:19" s="20" customFormat="1" ht="21.75" hidden="1" customHeight="1" x14ac:dyDescent="0.2">
      <c r="A252" s="16" t="s">
        <v>893</v>
      </c>
      <c r="B252" s="14"/>
      <c r="C252" s="18">
        <v>46039</v>
      </c>
      <c r="D252" s="21">
        <v>288</v>
      </c>
      <c r="E252" s="19">
        <f>288/48</f>
        <v>6</v>
      </c>
      <c r="F252" s="16" t="s">
        <v>48</v>
      </c>
      <c r="G252" s="16" t="s">
        <v>160</v>
      </c>
      <c r="H252" s="26" t="s">
        <v>1544</v>
      </c>
      <c r="I252" s="16" t="s">
        <v>936</v>
      </c>
      <c r="J252" s="17">
        <v>10296695276</v>
      </c>
      <c r="K252" s="16" t="s">
        <v>73</v>
      </c>
      <c r="L252" s="16" t="s">
        <v>945</v>
      </c>
      <c r="M252" s="16" t="s">
        <v>75</v>
      </c>
      <c r="N252" s="11"/>
      <c r="O252" s="11"/>
      <c r="P252" s="16" t="s">
        <v>942</v>
      </c>
      <c r="Q252" s="16" t="s">
        <v>943</v>
      </c>
      <c r="R252" s="16" t="s">
        <v>142</v>
      </c>
      <c r="S252" s="11" t="s">
        <v>949</v>
      </c>
    </row>
    <row r="253" spans="1:19" s="20" customFormat="1" ht="21.75" hidden="1" customHeight="1" x14ac:dyDescent="0.2">
      <c r="A253" s="16" t="s">
        <v>894</v>
      </c>
      <c r="B253" s="14"/>
      <c r="C253" s="18">
        <v>46042</v>
      </c>
      <c r="D253" s="21">
        <v>240</v>
      </c>
      <c r="E253" s="19">
        <v>10</v>
      </c>
      <c r="F253" s="16" t="s">
        <v>152</v>
      </c>
      <c r="G253" s="16" t="s">
        <v>149</v>
      </c>
      <c r="H253" s="26" t="s">
        <v>1544</v>
      </c>
      <c r="I253" s="16" t="s">
        <v>937</v>
      </c>
      <c r="J253" s="17">
        <v>10294182336</v>
      </c>
      <c r="K253" s="16" t="s">
        <v>271</v>
      </c>
      <c r="L253" s="16" t="s">
        <v>992</v>
      </c>
      <c r="M253" s="16" t="s">
        <v>75</v>
      </c>
      <c r="N253" s="11"/>
      <c r="O253" s="11"/>
      <c r="P253" s="16" t="s">
        <v>135</v>
      </c>
      <c r="Q253" s="16" t="s">
        <v>830</v>
      </c>
      <c r="R253" s="16" t="s">
        <v>142</v>
      </c>
      <c r="S253" s="11" t="s">
        <v>979</v>
      </c>
    </row>
    <row r="254" spans="1:19" s="20" customFormat="1" ht="21.75" hidden="1" customHeight="1" x14ac:dyDescent="0.2">
      <c r="A254" s="16" t="s">
        <v>894</v>
      </c>
      <c r="B254" s="14"/>
      <c r="C254" s="18">
        <v>46042</v>
      </c>
      <c r="D254" s="21">
        <v>120</v>
      </c>
      <c r="E254" s="19">
        <v>5</v>
      </c>
      <c r="F254" s="16" t="s">
        <v>154</v>
      </c>
      <c r="G254" s="16" t="s">
        <v>123</v>
      </c>
      <c r="H254" s="26" t="s">
        <v>1544</v>
      </c>
      <c r="I254" s="16" t="s">
        <v>937</v>
      </c>
      <c r="J254" s="17">
        <v>10294182336</v>
      </c>
      <c r="K254" s="16" t="s">
        <v>271</v>
      </c>
      <c r="L254" s="16" t="s">
        <v>992</v>
      </c>
      <c r="M254" s="16" t="s">
        <v>75</v>
      </c>
      <c r="N254" s="11"/>
      <c r="O254" s="11"/>
      <c r="P254" s="16" t="s">
        <v>135</v>
      </c>
      <c r="Q254" s="16" t="s">
        <v>830</v>
      </c>
      <c r="R254" s="16" t="s">
        <v>142</v>
      </c>
      <c r="S254" s="11" t="s">
        <v>979</v>
      </c>
    </row>
    <row r="255" spans="1:19" s="20" customFormat="1" ht="21.75" hidden="1" customHeight="1" x14ac:dyDescent="0.2">
      <c r="A255" s="16" t="s">
        <v>894</v>
      </c>
      <c r="B255" s="14"/>
      <c r="C255" s="18">
        <v>46042</v>
      </c>
      <c r="D255" s="21">
        <v>120</v>
      </c>
      <c r="E255" s="19">
        <f>120/24</f>
        <v>5</v>
      </c>
      <c r="F255" s="16" t="s">
        <v>153</v>
      </c>
      <c r="G255" s="16" t="s">
        <v>124</v>
      </c>
      <c r="H255" s="26" t="s">
        <v>1544</v>
      </c>
      <c r="I255" s="16" t="s">
        <v>937</v>
      </c>
      <c r="J255" s="17">
        <v>10294182336</v>
      </c>
      <c r="K255" s="16" t="s">
        <v>271</v>
      </c>
      <c r="L255" s="16" t="s">
        <v>992</v>
      </c>
      <c r="M255" s="16" t="s">
        <v>75</v>
      </c>
      <c r="N255" s="11"/>
      <c r="O255" s="11"/>
      <c r="P255" s="16" t="s">
        <v>135</v>
      </c>
      <c r="Q255" s="16" t="s">
        <v>830</v>
      </c>
      <c r="R255" s="16" t="s">
        <v>142</v>
      </c>
      <c r="S255" s="11" t="s">
        <v>979</v>
      </c>
    </row>
    <row r="256" spans="1:19" s="20" customFormat="1" ht="21.75" hidden="1" customHeight="1" x14ac:dyDescent="0.2">
      <c r="A256" s="16" t="s">
        <v>894</v>
      </c>
      <c r="B256" s="14"/>
      <c r="C256" s="18">
        <v>46042</v>
      </c>
      <c r="D256" s="21">
        <v>24</v>
      </c>
      <c r="E256" s="19">
        <v>2</v>
      </c>
      <c r="F256" s="16" t="s">
        <v>151</v>
      </c>
      <c r="G256" s="16" t="s">
        <v>141</v>
      </c>
      <c r="H256" s="26" t="s">
        <v>1544</v>
      </c>
      <c r="I256" s="16" t="s">
        <v>937</v>
      </c>
      <c r="J256" s="17">
        <v>10294182336</v>
      </c>
      <c r="K256" s="16" t="s">
        <v>271</v>
      </c>
      <c r="L256" s="16" t="s">
        <v>992</v>
      </c>
      <c r="M256" s="16" t="s">
        <v>75</v>
      </c>
      <c r="N256" s="11"/>
      <c r="O256" s="11"/>
      <c r="P256" s="16" t="s">
        <v>135</v>
      </c>
      <c r="Q256" s="16" t="s">
        <v>830</v>
      </c>
      <c r="R256" s="16" t="s">
        <v>142</v>
      </c>
      <c r="S256" s="11" t="s">
        <v>979</v>
      </c>
    </row>
    <row r="257" spans="1:19" s="20" customFormat="1" ht="21.75" hidden="1" customHeight="1" x14ac:dyDescent="0.2">
      <c r="A257" s="16" t="s">
        <v>894</v>
      </c>
      <c r="B257" s="14"/>
      <c r="C257" s="18">
        <v>46042</v>
      </c>
      <c r="D257" s="21">
        <v>120</v>
      </c>
      <c r="E257" s="19">
        <f>120/6</f>
        <v>20</v>
      </c>
      <c r="F257" s="16" t="s">
        <v>155</v>
      </c>
      <c r="G257" s="16" t="s">
        <v>125</v>
      </c>
      <c r="H257" s="26" t="s">
        <v>1544</v>
      </c>
      <c r="I257" s="16" t="s">
        <v>937</v>
      </c>
      <c r="J257" s="17">
        <v>10294182336</v>
      </c>
      <c r="K257" s="16" t="s">
        <v>271</v>
      </c>
      <c r="L257" s="16" t="s">
        <v>992</v>
      </c>
      <c r="M257" s="16" t="s">
        <v>75</v>
      </c>
      <c r="N257" s="11"/>
      <c r="O257" s="11"/>
      <c r="P257" s="16" t="s">
        <v>135</v>
      </c>
      <c r="Q257" s="16" t="s">
        <v>830</v>
      </c>
      <c r="R257" s="16" t="s">
        <v>142</v>
      </c>
      <c r="S257" s="11" t="s">
        <v>979</v>
      </c>
    </row>
    <row r="258" spans="1:19" s="20" customFormat="1" ht="21.75" hidden="1" customHeight="1" x14ac:dyDescent="0.2">
      <c r="A258" s="16" t="s">
        <v>895</v>
      </c>
      <c r="B258" s="16" t="s">
        <v>73</v>
      </c>
      <c r="C258" s="52">
        <v>46111</v>
      </c>
      <c r="D258" s="21">
        <v>40</v>
      </c>
      <c r="E258" s="205">
        <v>5</v>
      </c>
      <c r="F258" s="16" t="s">
        <v>901</v>
      </c>
      <c r="G258" s="16" t="s">
        <v>918</v>
      </c>
      <c r="H258" s="26" t="s">
        <v>1544</v>
      </c>
      <c r="I258" s="16" t="s">
        <v>938</v>
      </c>
      <c r="J258" s="17">
        <v>10293968018</v>
      </c>
      <c r="K258" s="17">
        <v>957962856</v>
      </c>
      <c r="L258" s="16" t="s">
        <v>2155</v>
      </c>
      <c r="M258" s="16" t="s">
        <v>75</v>
      </c>
      <c r="N258" s="11"/>
      <c r="O258" s="11"/>
      <c r="P258" s="16" t="s">
        <v>271</v>
      </c>
      <c r="Q258" s="16" t="s">
        <v>2154</v>
      </c>
      <c r="R258" s="16" t="s">
        <v>142</v>
      </c>
      <c r="S258" s="11"/>
    </row>
    <row r="259" spans="1:19" s="20" customFormat="1" ht="21.75" hidden="1" customHeight="1" x14ac:dyDescent="0.2">
      <c r="A259" s="16" t="s">
        <v>895</v>
      </c>
      <c r="B259" s="16" t="s">
        <v>73</v>
      </c>
      <c r="C259" s="52">
        <v>46111</v>
      </c>
      <c r="D259" s="21">
        <v>40</v>
      </c>
      <c r="E259" s="206"/>
      <c r="F259" s="16" t="s">
        <v>902</v>
      </c>
      <c r="G259" s="16" t="s">
        <v>919</v>
      </c>
      <c r="H259" s="26" t="s">
        <v>1544</v>
      </c>
      <c r="I259" s="16" t="s">
        <v>938</v>
      </c>
      <c r="J259" s="17">
        <v>10293968018</v>
      </c>
      <c r="K259" s="17">
        <v>957962856</v>
      </c>
      <c r="L259" s="16" t="s">
        <v>2155</v>
      </c>
      <c r="M259" s="16" t="s">
        <v>75</v>
      </c>
      <c r="N259" s="11"/>
      <c r="O259" s="11"/>
      <c r="P259" s="16" t="s">
        <v>271</v>
      </c>
      <c r="Q259" s="16" t="s">
        <v>2154</v>
      </c>
      <c r="R259" s="16" t="s">
        <v>142</v>
      </c>
      <c r="S259" s="11"/>
    </row>
    <row r="260" spans="1:19" s="20" customFormat="1" ht="21.75" hidden="1" customHeight="1" x14ac:dyDescent="0.2">
      <c r="A260" s="16" t="s">
        <v>895</v>
      </c>
      <c r="B260" s="16" t="s">
        <v>73</v>
      </c>
      <c r="C260" s="52">
        <v>46111</v>
      </c>
      <c r="D260" s="21">
        <v>40</v>
      </c>
      <c r="E260" s="207"/>
      <c r="F260" s="16" t="s">
        <v>903</v>
      </c>
      <c r="G260" s="16" t="s">
        <v>920</v>
      </c>
      <c r="H260" s="26" t="s">
        <v>1544</v>
      </c>
      <c r="I260" s="16" t="s">
        <v>938</v>
      </c>
      <c r="J260" s="17">
        <v>10293968018</v>
      </c>
      <c r="K260" s="17">
        <v>957962856</v>
      </c>
      <c r="L260" s="16" t="s">
        <v>2155</v>
      </c>
      <c r="M260" s="16" t="s">
        <v>75</v>
      </c>
      <c r="N260" s="11"/>
      <c r="O260" s="11"/>
      <c r="P260" s="16" t="s">
        <v>271</v>
      </c>
      <c r="Q260" s="16" t="s">
        <v>2154</v>
      </c>
      <c r="R260" s="16" t="s">
        <v>142</v>
      </c>
      <c r="S260" s="11"/>
    </row>
    <row r="261" spans="1:19" s="20" customFormat="1" ht="21.75" hidden="1" customHeight="1" x14ac:dyDescent="0.2">
      <c r="A261" s="16" t="s">
        <v>895</v>
      </c>
      <c r="B261" s="16" t="s">
        <v>73</v>
      </c>
      <c r="C261" s="52">
        <v>46111</v>
      </c>
      <c r="D261" s="21">
        <v>20</v>
      </c>
      <c r="E261" s="205">
        <v>5</v>
      </c>
      <c r="F261" s="16" t="s">
        <v>899</v>
      </c>
      <c r="G261" s="16" t="s">
        <v>916</v>
      </c>
      <c r="H261" s="26" t="s">
        <v>1544</v>
      </c>
      <c r="I261" s="16" t="s">
        <v>938</v>
      </c>
      <c r="J261" s="17">
        <v>10293968018</v>
      </c>
      <c r="K261" s="17">
        <v>957962856</v>
      </c>
      <c r="L261" s="16" t="s">
        <v>2155</v>
      </c>
      <c r="M261" s="16" t="s">
        <v>75</v>
      </c>
      <c r="N261" s="11"/>
      <c r="O261" s="11"/>
      <c r="P261" s="16" t="s">
        <v>271</v>
      </c>
      <c r="Q261" s="16" t="s">
        <v>2154</v>
      </c>
      <c r="R261" s="16" t="s">
        <v>142</v>
      </c>
      <c r="S261" s="11"/>
    </row>
    <row r="262" spans="1:19" s="20" customFormat="1" ht="21.75" hidden="1" customHeight="1" x14ac:dyDescent="0.2">
      <c r="A262" s="16" t="s">
        <v>895</v>
      </c>
      <c r="B262" s="16" t="s">
        <v>73</v>
      </c>
      <c r="C262" s="52">
        <v>46111</v>
      </c>
      <c r="D262" s="21">
        <v>20</v>
      </c>
      <c r="E262" s="206"/>
      <c r="F262" s="16" t="s">
        <v>900</v>
      </c>
      <c r="G262" s="16" t="s">
        <v>917</v>
      </c>
      <c r="H262" s="26" t="s">
        <v>1544</v>
      </c>
      <c r="I262" s="16" t="s">
        <v>938</v>
      </c>
      <c r="J262" s="17">
        <v>10293968018</v>
      </c>
      <c r="K262" s="17">
        <v>957962856</v>
      </c>
      <c r="L262" s="16" t="s">
        <v>2155</v>
      </c>
      <c r="M262" s="16" t="s">
        <v>75</v>
      </c>
      <c r="N262" s="11"/>
      <c r="O262" s="11"/>
      <c r="P262" s="16" t="s">
        <v>271</v>
      </c>
      <c r="Q262" s="16" t="s">
        <v>2154</v>
      </c>
      <c r="R262" s="16" t="s">
        <v>142</v>
      </c>
      <c r="S262" s="11"/>
    </row>
    <row r="263" spans="1:19" s="20" customFormat="1" ht="21.75" hidden="1" customHeight="1" x14ac:dyDescent="0.2">
      <c r="A263" s="16" t="s">
        <v>895</v>
      </c>
      <c r="B263" s="16" t="s">
        <v>73</v>
      </c>
      <c r="C263" s="52">
        <v>46111</v>
      </c>
      <c r="D263" s="21">
        <v>20</v>
      </c>
      <c r="E263" s="207"/>
      <c r="F263" s="16" t="s">
        <v>898</v>
      </c>
      <c r="G263" s="16" t="s">
        <v>915</v>
      </c>
      <c r="H263" s="26" t="s">
        <v>1544</v>
      </c>
      <c r="I263" s="16" t="s">
        <v>938</v>
      </c>
      <c r="J263" s="17">
        <v>10293968018</v>
      </c>
      <c r="K263" s="17">
        <v>957962856</v>
      </c>
      <c r="L263" s="16" t="s">
        <v>2155</v>
      </c>
      <c r="M263" s="16" t="s">
        <v>75</v>
      </c>
      <c r="N263" s="11"/>
      <c r="O263" s="11"/>
      <c r="P263" s="16" t="s">
        <v>271</v>
      </c>
      <c r="Q263" s="16" t="s">
        <v>2154</v>
      </c>
      <c r="R263" s="16" t="s">
        <v>142</v>
      </c>
      <c r="S263" s="11"/>
    </row>
    <row r="264" spans="1:19" s="20" customFormat="1" ht="21.75" hidden="1" customHeight="1" x14ac:dyDescent="0.2">
      <c r="A264" s="84" t="s">
        <v>896</v>
      </c>
      <c r="B264" s="84" t="s">
        <v>73</v>
      </c>
      <c r="C264" s="52">
        <v>46120</v>
      </c>
      <c r="D264" s="55">
        <v>8</v>
      </c>
      <c r="E264" s="213">
        <v>1</v>
      </c>
      <c r="F264" s="84" t="s">
        <v>899</v>
      </c>
      <c r="G264" s="84" t="s">
        <v>916</v>
      </c>
      <c r="H264" s="26" t="s">
        <v>1544</v>
      </c>
      <c r="I264" s="16" t="s">
        <v>939</v>
      </c>
      <c r="J264" s="17">
        <v>10292071367</v>
      </c>
      <c r="K264" s="17">
        <v>958030896</v>
      </c>
      <c r="L264" s="84" t="s">
        <v>2157</v>
      </c>
      <c r="M264" s="16" t="s">
        <v>75</v>
      </c>
      <c r="N264" s="11"/>
      <c r="O264" s="11"/>
      <c r="P264" s="16" t="s">
        <v>1366</v>
      </c>
      <c r="Q264" s="16" t="s">
        <v>2156</v>
      </c>
      <c r="R264" s="16" t="s">
        <v>142</v>
      </c>
      <c r="S264" s="11"/>
    </row>
    <row r="265" spans="1:19" s="20" customFormat="1" ht="21.75" hidden="1" customHeight="1" x14ac:dyDescent="0.2">
      <c r="A265" s="84" t="s">
        <v>896</v>
      </c>
      <c r="B265" s="84" t="s">
        <v>73</v>
      </c>
      <c r="C265" s="52">
        <v>46120</v>
      </c>
      <c r="D265" s="55">
        <v>8</v>
      </c>
      <c r="E265" s="214"/>
      <c r="F265" s="84" t="s">
        <v>900</v>
      </c>
      <c r="G265" s="84" t="s">
        <v>917</v>
      </c>
      <c r="H265" s="26" t="s">
        <v>1544</v>
      </c>
      <c r="I265" s="16" t="s">
        <v>939</v>
      </c>
      <c r="J265" s="17">
        <v>10292071367</v>
      </c>
      <c r="K265" s="17">
        <v>958030896</v>
      </c>
      <c r="L265" s="84" t="s">
        <v>2157</v>
      </c>
      <c r="M265" s="16" t="s">
        <v>75</v>
      </c>
      <c r="N265" s="11"/>
      <c r="O265" s="11"/>
      <c r="P265" s="16" t="s">
        <v>1366</v>
      </c>
      <c r="Q265" s="16" t="s">
        <v>2156</v>
      </c>
      <c r="R265" s="16" t="s">
        <v>142</v>
      </c>
      <c r="S265" s="11"/>
    </row>
    <row r="266" spans="1:19" s="20" customFormat="1" ht="21.75" hidden="1" customHeight="1" x14ac:dyDescent="0.2">
      <c r="A266" s="84" t="s">
        <v>896</v>
      </c>
      <c r="B266" s="84" t="s">
        <v>73</v>
      </c>
      <c r="C266" s="52">
        <v>46120</v>
      </c>
      <c r="D266" s="55">
        <v>8</v>
      </c>
      <c r="E266" s="214"/>
      <c r="F266" s="84" t="s">
        <v>898</v>
      </c>
      <c r="G266" s="84" t="s">
        <v>915</v>
      </c>
      <c r="H266" s="26" t="s">
        <v>1544</v>
      </c>
      <c r="I266" s="16" t="s">
        <v>939</v>
      </c>
      <c r="J266" s="17">
        <v>10292071367</v>
      </c>
      <c r="K266" s="17">
        <v>958030896</v>
      </c>
      <c r="L266" s="84" t="s">
        <v>2157</v>
      </c>
      <c r="M266" s="16" t="s">
        <v>75</v>
      </c>
      <c r="N266" s="11"/>
      <c r="O266" s="11"/>
      <c r="P266" s="16" t="s">
        <v>1366</v>
      </c>
      <c r="Q266" s="16" t="s">
        <v>2156</v>
      </c>
      <c r="R266" s="16" t="s">
        <v>142</v>
      </c>
      <c r="S266" s="11"/>
    </row>
    <row r="267" spans="1:19" s="20" customFormat="1" ht="21.75" hidden="1" customHeight="1" x14ac:dyDescent="0.2">
      <c r="A267" s="84" t="s">
        <v>896</v>
      </c>
      <c r="B267" s="84" t="s">
        <v>73</v>
      </c>
      <c r="C267" s="52">
        <v>46120</v>
      </c>
      <c r="D267" s="55">
        <v>8</v>
      </c>
      <c r="E267" s="214"/>
      <c r="F267" s="84" t="s">
        <v>901</v>
      </c>
      <c r="G267" s="84" t="s">
        <v>918</v>
      </c>
      <c r="H267" s="26" t="s">
        <v>1544</v>
      </c>
      <c r="I267" s="16" t="s">
        <v>939</v>
      </c>
      <c r="J267" s="17">
        <v>10292071367</v>
      </c>
      <c r="K267" s="17">
        <v>958030896</v>
      </c>
      <c r="L267" s="84" t="s">
        <v>2157</v>
      </c>
      <c r="M267" s="16" t="s">
        <v>75</v>
      </c>
      <c r="N267" s="11"/>
      <c r="O267" s="11"/>
      <c r="P267" s="16" t="s">
        <v>1366</v>
      </c>
      <c r="Q267" s="16" t="s">
        <v>2156</v>
      </c>
      <c r="R267" s="16" t="s">
        <v>142</v>
      </c>
      <c r="S267" s="11"/>
    </row>
    <row r="268" spans="1:19" s="20" customFormat="1" ht="21.75" hidden="1" customHeight="1" x14ac:dyDescent="0.2">
      <c r="A268" s="84" t="s">
        <v>896</v>
      </c>
      <c r="B268" s="84" t="s">
        <v>73</v>
      </c>
      <c r="C268" s="52">
        <v>46120</v>
      </c>
      <c r="D268" s="55">
        <v>8</v>
      </c>
      <c r="E268" s="214"/>
      <c r="F268" s="84" t="s">
        <v>902</v>
      </c>
      <c r="G268" s="84" t="s">
        <v>919</v>
      </c>
      <c r="H268" s="26" t="s">
        <v>1544</v>
      </c>
      <c r="I268" s="16" t="s">
        <v>939</v>
      </c>
      <c r="J268" s="17">
        <v>10292071367</v>
      </c>
      <c r="K268" s="17">
        <v>958030896</v>
      </c>
      <c r="L268" s="84" t="s">
        <v>2157</v>
      </c>
      <c r="M268" s="16" t="s">
        <v>75</v>
      </c>
      <c r="N268" s="11"/>
      <c r="O268" s="11"/>
      <c r="P268" s="16" t="s">
        <v>1366</v>
      </c>
      <c r="Q268" s="16" t="s">
        <v>2156</v>
      </c>
      <c r="R268" s="16" t="s">
        <v>142</v>
      </c>
      <c r="S268" s="11"/>
    </row>
    <row r="269" spans="1:19" s="20" customFormat="1" ht="21.75" hidden="1" customHeight="1" x14ac:dyDescent="0.2">
      <c r="A269" s="84" t="s">
        <v>896</v>
      </c>
      <c r="B269" s="84" t="s">
        <v>73</v>
      </c>
      <c r="C269" s="52">
        <v>46120</v>
      </c>
      <c r="D269" s="55">
        <v>8</v>
      </c>
      <c r="E269" s="215"/>
      <c r="F269" s="84" t="s">
        <v>903</v>
      </c>
      <c r="G269" s="84" t="s">
        <v>920</v>
      </c>
      <c r="H269" s="26" t="s">
        <v>1544</v>
      </c>
      <c r="I269" s="16" t="s">
        <v>939</v>
      </c>
      <c r="J269" s="17">
        <v>10292071367</v>
      </c>
      <c r="K269" s="17">
        <v>958030896</v>
      </c>
      <c r="L269" s="84" t="s">
        <v>2157</v>
      </c>
      <c r="M269" s="16" t="s">
        <v>75</v>
      </c>
      <c r="N269" s="11"/>
      <c r="O269" s="11"/>
      <c r="P269" s="16" t="s">
        <v>1366</v>
      </c>
      <c r="Q269" s="16" t="s">
        <v>2156</v>
      </c>
      <c r="R269" s="16" t="s">
        <v>142</v>
      </c>
      <c r="S269" s="11"/>
    </row>
    <row r="270" spans="1:19" s="20" customFormat="1" ht="21.75" hidden="1" customHeight="1" x14ac:dyDescent="0.2">
      <c r="A270" s="84" t="s">
        <v>897</v>
      </c>
      <c r="B270" s="16" t="s">
        <v>73</v>
      </c>
      <c r="C270" s="18">
        <v>46113</v>
      </c>
      <c r="D270" s="21">
        <v>20</v>
      </c>
      <c r="E270" s="205">
        <v>2</v>
      </c>
      <c r="F270" s="16" t="s">
        <v>899</v>
      </c>
      <c r="G270" s="16" t="s">
        <v>916</v>
      </c>
      <c r="H270" s="26" t="s">
        <v>1544</v>
      </c>
      <c r="I270" s="16" t="s">
        <v>937</v>
      </c>
      <c r="J270" s="17">
        <v>10294182336</v>
      </c>
      <c r="K270" s="17">
        <v>14248709</v>
      </c>
      <c r="L270" s="16" t="s">
        <v>278</v>
      </c>
      <c r="M270" s="16" t="s">
        <v>75</v>
      </c>
      <c r="N270" s="11"/>
      <c r="O270" s="11"/>
      <c r="P270" s="16" t="s">
        <v>1674</v>
      </c>
      <c r="Q270" s="16" t="s">
        <v>830</v>
      </c>
      <c r="R270" s="16" t="s">
        <v>142</v>
      </c>
      <c r="S270" s="11"/>
    </row>
    <row r="271" spans="1:19" s="20" customFormat="1" ht="21.75" hidden="1" customHeight="1" x14ac:dyDescent="0.2">
      <c r="A271" s="84" t="s">
        <v>897</v>
      </c>
      <c r="B271" s="16" t="s">
        <v>73</v>
      </c>
      <c r="C271" s="18">
        <v>46113</v>
      </c>
      <c r="D271" s="21">
        <v>20</v>
      </c>
      <c r="E271" s="206"/>
      <c r="F271" s="16" t="s">
        <v>900</v>
      </c>
      <c r="G271" s="16" t="s">
        <v>917</v>
      </c>
      <c r="H271" s="26" t="s">
        <v>1544</v>
      </c>
      <c r="I271" s="16" t="s">
        <v>937</v>
      </c>
      <c r="J271" s="17">
        <v>10294182336</v>
      </c>
      <c r="K271" s="17">
        <v>14248709</v>
      </c>
      <c r="L271" s="16" t="s">
        <v>278</v>
      </c>
      <c r="M271" s="16" t="s">
        <v>75</v>
      </c>
      <c r="N271" s="11"/>
      <c r="O271" s="11"/>
      <c r="P271" s="16" t="s">
        <v>1674</v>
      </c>
      <c r="Q271" s="16" t="s">
        <v>830</v>
      </c>
      <c r="R271" s="16" t="s">
        <v>142</v>
      </c>
      <c r="S271" s="11"/>
    </row>
    <row r="272" spans="1:19" s="20" customFormat="1" ht="21.75" hidden="1" customHeight="1" x14ac:dyDescent="0.2">
      <c r="A272" s="84" t="s">
        <v>897</v>
      </c>
      <c r="B272" s="16" t="s">
        <v>73</v>
      </c>
      <c r="C272" s="18">
        <v>46113</v>
      </c>
      <c r="D272" s="21">
        <v>20</v>
      </c>
      <c r="E272" s="206"/>
      <c r="F272" s="16" t="s">
        <v>898</v>
      </c>
      <c r="G272" s="16" t="s">
        <v>915</v>
      </c>
      <c r="H272" s="26" t="s">
        <v>1544</v>
      </c>
      <c r="I272" s="16" t="s">
        <v>937</v>
      </c>
      <c r="J272" s="17">
        <v>10294182336</v>
      </c>
      <c r="K272" s="17">
        <v>14248709</v>
      </c>
      <c r="L272" s="16" t="s">
        <v>278</v>
      </c>
      <c r="M272" s="16" t="s">
        <v>75</v>
      </c>
      <c r="N272" s="11"/>
      <c r="O272" s="11"/>
      <c r="P272" s="16" t="s">
        <v>1674</v>
      </c>
      <c r="Q272" s="16" t="s">
        <v>830</v>
      </c>
      <c r="R272" s="16" t="s">
        <v>142</v>
      </c>
      <c r="S272" s="11"/>
    </row>
    <row r="273" spans="1:19" s="20" customFormat="1" ht="21.75" hidden="1" customHeight="1" x14ac:dyDescent="0.2">
      <c r="A273" s="84" t="s">
        <v>897</v>
      </c>
      <c r="B273" s="16" t="s">
        <v>73</v>
      </c>
      <c r="C273" s="18">
        <v>46113</v>
      </c>
      <c r="D273" s="21">
        <v>8</v>
      </c>
      <c r="E273" s="206"/>
      <c r="F273" s="16" t="s">
        <v>901</v>
      </c>
      <c r="G273" s="16" t="s">
        <v>918</v>
      </c>
      <c r="H273" s="26" t="s">
        <v>1544</v>
      </c>
      <c r="I273" s="16" t="s">
        <v>937</v>
      </c>
      <c r="J273" s="17">
        <v>10294182336</v>
      </c>
      <c r="K273" s="17">
        <v>14248709</v>
      </c>
      <c r="L273" s="16" t="s">
        <v>278</v>
      </c>
      <c r="M273" s="16" t="s">
        <v>75</v>
      </c>
      <c r="N273" s="11"/>
      <c r="O273" s="11"/>
      <c r="P273" s="16" t="s">
        <v>1674</v>
      </c>
      <c r="Q273" s="16" t="s">
        <v>830</v>
      </c>
      <c r="R273" s="16" t="s">
        <v>142</v>
      </c>
      <c r="S273" s="11"/>
    </row>
    <row r="274" spans="1:19" s="20" customFormat="1" ht="21.75" hidden="1" customHeight="1" x14ac:dyDescent="0.2">
      <c r="A274" s="84" t="s">
        <v>897</v>
      </c>
      <c r="B274" s="16" t="s">
        <v>73</v>
      </c>
      <c r="C274" s="18">
        <v>46113</v>
      </c>
      <c r="D274" s="21">
        <v>8</v>
      </c>
      <c r="E274" s="206"/>
      <c r="F274" s="16" t="s">
        <v>902</v>
      </c>
      <c r="G274" s="16" t="s">
        <v>919</v>
      </c>
      <c r="H274" s="26" t="s">
        <v>1544</v>
      </c>
      <c r="I274" s="16" t="s">
        <v>937</v>
      </c>
      <c r="J274" s="17">
        <v>10294182336</v>
      </c>
      <c r="K274" s="17">
        <v>14248709</v>
      </c>
      <c r="L274" s="16" t="s">
        <v>278</v>
      </c>
      <c r="M274" s="16" t="s">
        <v>75</v>
      </c>
      <c r="N274" s="11"/>
      <c r="O274" s="11"/>
      <c r="P274" s="16" t="s">
        <v>1674</v>
      </c>
      <c r="Q274" s="16" t="s">
        <v>830</v>
      </c>
      <c r="R274" s="16" t="s">
        <v>142</v>
      </c>
      <c r="S274" s="11"/>
    </row>
    <row r="275" spans="1:19" s="20" customFormat="1" ht="21.75" hidden="1" customHeight="1" x14ac:dyDescent="0.2">
      <c r="A275" s="84" t="s">
        <v>897</v>
      </c>
      <c r="B275" s="16" t="s">
        <v>73</v>
      </c>
      <c r="C275" s="18">
        <v>46113</v>
      </c>
      <c r="D275" s="21">
        <v>8</v>
      </c>
      <c r="E275" s="207"/>
      <c r="F275" s="16" t="s">
        <v>903</v>
      </c>
      <c r="G275" s="16" t="s">
        <v>920</v>
      </c>
      <c r="H275" s="26" t="s">
        <v>1544</v>
      </c>
      <c r="I275" s="16" t="s">
        <v>937</v>
      </c>
      <c r="J275" s="17">
        <v>10294182336</v>
      </c>
      <c r="K275" s="17">
        <v>14248709</v>
      </c>
      <c r="L275" s="16" t="s">
        <v>278</v>
      </c>
      <c r="M275" s="16" t="s">
        <v>75</v>
      </c>
      <c r="N275" s="11"/>
      <c r="O275" s="11"/>
      <c r="P275" s="16" t="s">
        <v>1674</v>
      </c>
      <c r="Q275" s="16" t="s">
        <v>830</v>
      </c>
      <c r="R275" s="16" t="s">
        <v>142</v>
      </c>
      <c r="S275" s="11"/>
    </row>
    <row r="276" spans="1:19" s="20" customFormat="1" ht="21.75" hidden="1" customHeight="1" x14ac:dyDescent="0.2">
      <c r="A276" s="16" t="s">
        <v>950</v>
      </c>
      <c r="B276" s="16" t="s">
        <v>73</v>
      </c>
      <c r="C276" s="18">
        <v>46038</v>
      </c>
      <c r="D276" s="21">
        <v>24</v>
      </c>
      <c r="E276" s="19">
        <v>2</v>
      </c>
      <c r="F276" s="16" t="s">
        <v>952</v>
      </c>
      <c r="G276" s="16" t="s">
        <v>954</v>
      </c>
      <c r="H276" s="16" t="s">
        <v>1650</v>
      </c>
      <c r="I276" s="16" t="s">
        <v>811</v>
      </c>
      <c r="J276" s="17">
        <v>20513174919</v>
      </c>
      <c r="K276" s="16" t="s">
        <v>73</v>
      </c>
      <c r="L276" s="16" t="s">
        <v>958</v>
      </c>
      <c r="M276" s="37" t="s">
        <v>960</v>
      </c>
      <c r="N276" s="11"/>
      <c r="O276" s="11"/>
      <c r="P276" s="16" t="s">
        <v>957</v>
      </c>
      <c r="Q276" s="11"/>
      <c r="R276" s="16" t="s">
        <v>396</v>
      </c>
      <c r="S276" s="11" t="s">
        <v>961</v>
      </c>
    </row>
    <row r="277" spans="1:19" s="20" customFormat="1" ht="21.75" hidden="1" customHeight="1" x14ac:dyDescent="0.2">
      <c r="A277" s="22" t="s">
        <v>951</v>
      </c>
      <c r="B277" s="74">
        <v>91120000000000</v>
      </c>
      <c r="C277" s="18">
        <v>46041</v>
      </c>
      <c r="D277" s="31">
        <v>1</v>
      </c>
      <c r="E277" s="19">
        <v>1</v>
      </c>
      <c r="F277" s="22" t="s">
        <v>953</v>
      </c>
      <c r="G277" s="22" t="s">
        <v>955</v>
      </c>
      <c r="H277" s="16" t="s">
        <v>99</v>
      </c>
      <c r="I277" s="22" t="s">
        <v>956</v>
      </c>
      <c r="J277" s="15">
        <v>40579163</v>
      </c>
      <c r="K277" s="15">
        <v>957119111</v>
      </c>
      <c r="L277" s="22" t="s">
        <v>959</v>
      </c>
      <c r="M277" s="73" t="s">
        <v>533</v>
      </c>
      <c r="N277" s="11"/>
      <c r="O277" s="11"/>
      <c r="P277" s="22" t="s">
        <v>382</v>
      </c>
      <c r="Q277" s="16" t="s">
        <v>425</v>
      </c>
      <c r="R277" s="22" t="s">
        <v>342</v>
      </c>
      <c r="S277" s="11" t="s">
        <v>978</v>
      </c>
    </row>
    <row r="278" spans="1:19" ht="21.75" hidden="1" customHeight="1" x14ac:dyDescent="0.25">
      <c r="A278" s="22" t="s">
        <v>964</v>
      </c>
      <c r="B278" s="15">
        <v>8201719187</v>
      </c>
      <c r="C278" s="18">
        <v>46041</v>
      </c>
      <c r="D278" s="31">
        <v>24</v>
      </c>
      <c r="E278" s="19">
        <v>6</v>
      </c>
      <c r="F278" s="22" t="s">
        <v>30</v>
      </c>
      <c r="G278" s="22" t="s">
        <v>122</v>
      </c>
      <c r="H278" s="16" t="s">
        <v>99</v>
      </c>
      <c r="I278" s="22" t="s">
        <v>284</v>
      </c>
      <c r="J278" s="15">
        <v>20109072177</v>
      </c>
      <c r="K278" s="11"/>
      <c r="L278" s="22" t="s">
        <v>974</v>
      </c>
      <c r="M278" s="11"/>
      <c r="N278" s="11"/>
      <c r="O278" s="11"/>
      <c r="P278" s="22" t="s">
        <v>971</v>
      </c>
      <c r="Q278" s="16" t="s">
        <v>294</v>
      </c>
      <c r="R278" s="22" t="s">
        <v>289</v>
      </c>
      <c r="S278" s="11" t="s">
        <v>976</v>
      </c>
    </row>
    <row r="279" spans="1:19" ht="21.75" hidden="1" customHeight="1" x14ac:dyDescent="0.25">
      <c r="A279" s="22" t="s">
        <v>964</v>
      </c>
      <c r="B279" s="15">
        <v>8201719187</v>
      </c>
      <c r="C279" s="18">
        <v>46041</v>
      </c>
      <c r="D279" s="31">
        <v>12</v>
      </c>
      <c r="E279" s="19">
        <v>3</v>
      </c>
      <c r="F279" s="22" t="s">
        <v>326</v>
      </c>
      <c r="G279" s="22" t="s">
        <v>339</v>
      </c>
      <c r="H279" s="16" t="s">
        <v>99</v>
      </c>
      <c r="I279" s="22" t="s">
        <v>284</v>
      </c>
      <c r="J279" s="15">
        <v>20109072177</v>
      </c>
      <c r="K279" s="11"/>
      <c r="L279" s="22" t="s">
        <v>974</v>
      </c>
      <c r="M279" s="11"/>
      <c r="N279" s="11"/>
      <c r="O279" s="11"/>
      <c r="P279" s="22" t="s">
        <v>971</v>
      </c>
      <c r="Q279" s="16" t="s">
        <v>294</v>
      </c>
      <c r="R279" s="22" t="s">
        <v>289</v>
      </c>
      <c r="S279" s="11" t="s">
        <v>976</v>
      </c>
    </row>
    <row r="280" spans="1:19" ht="21.75" hidden="1" customHeight="1" x14ac:dyDescent="0.25">
      <c r="A280" s="22" t="s">
        <v>964</v>
      </c>
      <c r="B280" s="15">
        <v>8201719187</v>
      </c>
      <c r="C280" s="18">
        <v>46041</v>
      </c>
      <c r="D280" s="31">
        <v>24</v>
      </c>
      <c r="E280" s="19">
        <v>3</v>
      </c>
      <c r="F280" s="22" t="s">
        <v>31</v>
      </c>
      <c r="G280" s="22" t="s">
        <v>98</v>
      </c>
      <c r="H280" s="16" t="s">
        <v>99</v>
      </c>
      <c r="I280" s="22" t="s">
        <v>284</v>
      </c>
      <c r="J280" s="15">
        <v>20109072177</v>
      </c>
      <c r="K280" s="11"/>
      <c r="L280" s="22" t="s">
        <v>974</v>
      </c>
      <c r="M280" s="11"/>
      <c r="N280" s="11"/>
      <c r="O280" s="11"/>
      <c r="P280" s="22" t="s">
        <v>971</v>
      </c>
      <c r="Q280" s="16" t="s">
        <v>294</v>
      </c>
      <c r="R280" s="22" t="s">
        <v>289</v>
      </c>
      <c r="S280" s="11" t="s">
        <v>976</v>
      </c>
    </row>
    <row r="281" spans="1:19" ht="21.75" hidden="1" customHeight="1" x14ac:dyDescent="0.25">
      <c r="A281" s="22" t="s">
        <v>964</v>
      </c>
      <c r="B281" s="15">
        <v>8201719187</v>
      </c>
      <c r="C281" s="18">
        <v>46041</v>
      </c>
      <c r="D281" s="31">
        <v>12</v>
      </c>
      <c r="E281" s="19">
        <v>3</v>
      </c>
      <c r="F281" s="22" t="s">
        <v>37</v>
      </c>
      <c r="G281" s="22" t="s">
        <v>133</v>
      </c>
      <c r="H281" s="16" t="s">
        <v>99</v>
      </c>
      <c r="I281" s="22" t="s">
        <v>284</v>
      </c>
      <c r="J281" s="15">
        <v>20109072177</v>
      </c>
      <c r="K281" s="11"/>
      <c r="L281" s="22" t="s">
        <v>974</v>
      </c>
      <c r="M281" s="11"/>
      <c r="N281" s="11"/>
      <c r="O281" s="11"/>
      <c r="P281" s="22" t="s">
        <v>971</v>
      </c>
      <c r="Q281" s="16" t="s">
        <v>294</v>
      </c>
      <c r="R281" s="22" t="s">
        <v>289</v>
      </c>
      <c r="S281" s="11" t="s">
        <v>976</v>
      </c>
    </row>
    <row r="282" spans="1:19" ht="21.75" hidden="1" customHeight="1" x14ac:dyDescent="0.25">
      <c r="A282" s="22" t="s">
        <v>964</v>
      </c>
      <c r="B282" s="15">
        <v>8201719187</v>
      </c>
      <c r="C282" s="18">
        <v>46041</v>
      </c>
      <c r="D282" s="31">
        <v>24</v>
      </c>
      <c r="E282" s="19">
        <v>12</v>
      </c>
      <c r="F282" s="22" t="s">
        <v>308</v>
      </c>
      <c r="G282" s="22" t="s">
        <v>309</v>
      </c>
      <c r="H282" s="16" t="s">
        <v>99</v>
      </c>
      <c r="I282" s="22" t="s">
        <v>284</v>
      </c>
      <c r="J282" s="15">
        <v>20109072177</v>
      </c>
      <c r="K282" s="11"/>
      <c r="L282" s="22" t="s">
        <v>974</v>
      </c>
      <c r="M282" s="11"/>
      <c r="N282" s="11"/>
      <c r="O282" s="11"/>
      <c r="P282" s="22" t="s">
        <v>971</v>
      </c>
      <c r="Q282" s="16" t="s">
        <v>294</v>
      </c>
      <c r="R282" s="22" t="s">
        <v>289</v>
      </c>
      <c r="S282" s="11" t="s">
        <v>976</v>
      </c>
    </row>
    <row r="283" spans="1:19" ht="21.75" hidden="1" customHeight="1" x14ac:dyDescent="0.25">
      <c r="A283" s="22" t="s">
        <v>964</v>
      </c>
      <c r="B283" s="15">
        <v>8201719187</v>
      </c>
      <c r="C283" s="18">
        <v>46041</v>
      </c>
      <c r="D283" s="31">
        <v>24</v>
      </c>
      <c r="E283" s="19">
        <v>12</v>
      </c>
      <c r="F283" s="22" t="s">
        <v>966</v>
      </c>
      <c r="G283" s="22" t="s">
        <v>968</v>
      </c>
      <c r="H283" s="16" t="s">
        <v>99</v>
      </c>
      <c r="I283" s="22" t="s">
        <v>284</v>
      </c>
      <c r="J283" s="15">
        <v>20109072177</v>
      </c>
      <c r="K283" s="11"/>
      <c r="L283" s="22" t="s">
        <v>974</v>
      </c>
      <c r="M283" s="11"/>
      <c r="N283" s="11"/>
      <c r="O283" s="11"/>
      <c r="P283" s="22" t="s">
        <v>971</v>
      </c>
      <c r="Q283" s="16" t="s">
        <v>294</v>
      </c>
      <c r="R283" s="22" t="s">
        <v>289</v>
      </c>
      <c r="S283" s="11" t="s">
        <v>976</v>
      </c>
    </row>
    <row r="284" spans="1:19" ht="21.75" hidden="1" customHeight="1" x14ac:dyDescent="0.25">
      <c r="A284" s="22" t="s">
        <v>964</v>
      </c>
      <c r="B284" s="15">
        <v>8201719187</v>
      </c>
      <c r="C284" s="18">
        <v>46041</v>
      </c>
      <c r="D284" s="31">
        <v>24</v>
      </c>
      <c r="E284" s="19">
        <v>12</v>
      </c>
      <c r="F284" s="22" t="s">
        <v>296</v>
      </c>
      <c r="G284" s="22" t="s">
        <v>297</v>
      </c>
      <c r="H284" s="16" t="s">
        <v>99</v>
      </c>
      <c r="I284" s="22" t="s">
        <v>284</v>
      </c>
      <c r="J284" s="15">
        <v>20109072177</v>
      </c>
      <c r="K284" s="11"/>
      <c r="L284" s="22" t="s">
        <v>974</v>
      </c>
      <c r="M284" s="11"/>
      <c r="N284" s="11"/>
      <c r="O284" s="11"/>
      <c r="P284" s="22" t="s">
        <v>971</v>
      </c>
      <c r="Q284" s="16" t="s">
        <v>294</v>
      </c>
      <c r="R284" s="22" t="s">
        <v>289</v>
      </c>
      <c r="S284" s="11" t="s">
        <v>976</v>
      </c>
    </row>
    <row r="285" spans="1:19" ht="21.75" hidden="1" customHeight="1" x14ac:dyDescent="0.25">
      <c r="A285" s="22" t="s">
        <v>964</v>
      </c>
      <c r="B285" s="15">
        <v>8201719187</v>
      </c>
      <c r="C285" s="18">
        <v>46041</v>
      </c>
      <c r="D285" s="31">
        <v>24</v>
      </c>
      <c r="E285" s="19">
        <v>9</v>
      </c>
      <c r="F285" s="22" t="s">
        <v>967</v>
      </c>
      <c r="G285" s="22" t="s">
        <v>969</v>
      </c>
      <c r="H285" s="16" t="s">
        <v>99</v>
      </c>
      <c r="I285" s="22" t="s">
        <v>284</v>
      </c>
      <c r="J285" s="15">
        <v>20109072177</v>
      </c>
      <c r="K285" s="11"/>
      <c r="L285" s="22" t="s">
        <v>974</v>
      </c>
      <c r="M285" s="11"/>
      <c r="N285" s="11"/>
      <c r="O285" s="11"/>
      <c r="P285" s="22" t="s">
        <v>971</v>
      </c>
      <c r="Q285" s="16" t="s">
        <v>294</v>
      </c>
      <c r="R285" s="22" t="s">
        <v>289</v>
      </c>
      <c r="S285" s="11" t="s">
        <v>976</v>
      </c>
    </row>
    <row r="286" spans="1:19" ht="21.75" hidden="1" customHeight="1" x14ac:dyDescent="0.25">
      <c r="A286" s="22" t="s">
        <v>964</v>
      </c>
      <c r="B286" s="15">
        <v>8201719187</v>
      </c>
      <c r="C286" s="18">
        <v>46041</v>
      </c>
      <c r="D286" s="31">
        <v>24</v>
      </c>
      <c r="E286" s="19">
        <v>12</v>
      </c>
      <c r="F286" s="22" t="s">
        <v>32</v>
      </c>
      <c r="G286" s="22" t="s">
        <v>78</v>
      </c>
      <c r="H286" s="16" t="s">
        <v>99</v>
      </c>
      <c r="I286" s="22" t="s">
        <v>284</v>
      </c>
      <c r="J286" s="15">
        <v>20109072177</v>
      </c>
      <c r="K286" s="11"/>
      <c r="L286" s="22" t="s">
        <v>974</v>
      </c>
      <c r="M286" s="11"/>
      <c r="N286" s="11"/>
      <c r="O286" s="11"/>
      <c r="P286" s="22" t="s">
        <v>971</v>
      </c>
      <c r="Q286" s="16" t="s">
        <v>294</v>
      </c>
      <c r="R286" s="22" t="s">
        <v>289</v>
      </c>
      <c r="S286" s="11" t="s">
        <v>976</v>
      </c>
    </row>
    <row r="287" spans="1:19" ht="21.75" hidden="1" customHeight="1" x14ac:dyDescent="0.25">
      <c r="A287" s="22" t="s">
        <v>965</v>
      </c>
      <c r="B287" s="15" t="s">
        <v>73</v>
      </c>
      <c r="C287" s="18">
        <v>46041</v>
      </c>
      <c r="D287" s="31">
        <v>48</v>
      </c>
      <c r="E287" s="19">
        <v>1</v>
      </c>
      <c r="F287" s="22" t="s">
        <v>159</v>
      </c>
      <c r="G287" s="22" t="s">
        <v>140</v>
      </c>
      <c r="H287" s="26" t="s">
        <v>1544</v>
      </c>
      <c r="I287" s="22" t="s">
        <v>970</v>
      </c>
      <c r="J287" s="15">
        <v>20447849047</v>
      </c>
      <c r="K287" s="11"/>
      <c r="L287" s="22" t="s">
        <v>975</v>
      </c>
      <c r="M287" s="11"/>
      <c r="N287" s="11"/>
      <c r="O287" s="11"/>
      <c r="P287" s="22" t="s">
        <v>972</v>
      </c>
      <c r="Q287" s="22" t="s">
        <v>973</v>
      </c>
      <c r="R287" s="22" t="s">
        <v>142</v>
      </c>
      <c r="S287" s="11" t="s">
        <v>977</v>
      </c>
    </row>
    <row r="288" spans="1:19" ht="21.75" hidden="1" customHeight="1" x14ac:dyDescent="0.25">
      <c r="A288" s="22" t="s">
        <v>965</v>
      </c>
      <c r="B288" s="15" t="s">
        <v>73</v>
      </c>
      <c r="C288" s="18">
        <v>46041</v>
      </c>
      <c r="D288" s="31">
        <v>30</v>
      </c>
      <c r="E288" s="19">
        <v>5</v>
      </c>
      <c r="F288" s="22" t="s">
        <v>174</v>
      </c>
      <c r="G288" s="22" t="s">
        <v>130</v>
      </c>
      <c r="H288" s="26" t="s">
        <v>1544</v>
      </c>
      <c r="I288" s="22" t="s">
        <v>970</v>
      </c>
      <c r="J288" s="15">
        <v>20447849047</v>
      </c>
      <c r="K288" s="11"/>
      <c r="L288" s="22" t="s">
        <v>975</v>
      </c>
      <c r="M288" s="11"/>
      <c r="N288" s="11"/>
      <c r="O288" s="11"/>
      <c r="P288" s="22" t="s">
        <v>972</v>
      </c>
      <c r="Q288" s="22" t="s">
        <v>973</v>
      </c>
      <c r="R288" s="22" t="s">
        <v>142</v>
      </c>
      <c r="S288" s="11" t="s">
        <v>977</v>
      </c>
    </row>
    <row r="289" spans="1:19" ht="21.75" hidden="1" customHeight="1" x14ac:dyDescent="0.25">
      <c r="A289" s="22" t="s">
        <v>965</v>
      </c>
      <c r="B289" s="15" t="s">
        <v>73</v>
      </c>
      <c r="C289" s="18">
        <v>46041</v>
      </c>
      <c r="D289" s="31">
        <v>12</v>
      </c>
      <c r="E289" s="19">
        <v>2</v>
      </c>
      <c r="F289" s="22" t="s">
        <v>822</v>
      </c>
      <c r="G289" s="22" t="s">
        <v>824</v>
      </c>
      <c r="H289" s="26" t="s">
        <v>1544</v>
      </c>
      <c r="I289" s="22" t="s">
        <v>970</v>
      </c>
      <c r="J289" s="15">
        <v>20447849047</v>
      </c>
      <c r="K289" s="11"/>
      <c r="L289" s="22" t="s">
        <v>975</v>
      </c>
      <c r="M289" s="11"/>
      <c r="N289" s="11"/>
      <c r="O289" s="11"/>
      <c r="P289" s="22" t="s">
        <v>972</v>
      </c>
      <c r="Q289" s="22" t="s">
        <v>973</v>
      </c>
      <c r="R289" s="22" t="s">
        <v>142</v>
      </c>
      <c r="S289" s="11" t="s">
        <v>977</v>
      </c>
    </row>
    <row r="290" spans="1:19" ht="21.75" hidden="1" customHeight="1" x14ac:dyDescent="0.25">
      <c r="A290" s="22" t="s">
        <v>965</v>
      </c>
      <c r="B290" s="15" t="s">
        <v>73</v>
      </c>
      <c r="C290" s="18">
        <v>46041</v>
      </c>
      <c r="D290" s="31">
        <v>24</v>
      </c>
      <c r="E290" s="19">
        <v>2</v>
      </c>
      <c r="F290" s="22" t="s">
        <v>24</v>
      </c>
      <c r="G290" s="22" t="s">
        <v>112</v>
      </c>
      <c r="H290" s="26" t="s">
        <v>1544</v>
      </c>
      <c r="I290" s="22" t="s">
        <v>970</v>
      </c>
      <c r="J290" s="15">
        <v>20447849047</v>
      </c>
      <c r="K290" s="11"/>
      <c r="L290" s="22" t="s">
        <v>975</v>
      </c>
      <c r="M290" s="11"/>
      <c r="N290" s="11"/>
      <c r="O290" s="11"/>
      <c r="P290" s="22" t="s">
        <v>972</v>
      </c>
      <c r="Q290" s="22" t="s">
        <v>973</v>
      </c>
      <c r="R290" s="22" t="s">
        <v>142</v>
      </c>
      <c r="S290" s="11" t="s">
        <v>977</v>
      </c>
    </row>
    <row r="291" spans="1:19" ht="21.75" hidden="1" customHeight="1" x14ac:dyDescent="0.25">
      <c r="A291" s="22" t="s">
        <v>965</v>
      </c>
      <c r="B291" s="15" t="s">
        <v>73</v>
      </c>
      <c r="C291" s="18">
        <v>46041</v>
      </c>
      <c r="D291" s="31">
        <v>24</v>
      </c>
      <c r="E291" s="19">
        <v>2</v>
      </c>
      <c r="F291" s="22" t="s">
        <v>20</v>
      </c>
      <c r="G291" s="22" t="s">
        <v>113</v>
      </c>
      <c r="H291" s="26" t="s">
        <v>1544</v>
      </c>
      <c r="I291" s="22" t="s">
        <v>970</v>
      </c>
      <c r="J291" s="15">
        <v>20447849047</v>
      </c>
      <c r="K291" s="11"/>
      <c r="L291" s="22" t="s">
        <v>975</v>
      </c>
      <c r="M291" s="11"/>
      <c r="N291" s="11"/>
      <c r="O291" s="11"/>
      <c r="P291" s="22" t="s">
        <v>972</v>
      </c>
      <c r="Q291" s="22" t="s">
        <v>973</v>
      </c>
      <c r="R291" s="22" t="s">
        <v>142</v>
      </c>
      <c r="S291" s="11" t="s">
        <v>977</v>
      </c>
    </row>
    <row r="292" spans="1:19" ht="21.75" hidden="1" customHeight="1" x14ac:dyDescent="0.25">
      <c r="A292" s="22" t="s">
        <v>965</v>
      </c>
      <c r="B292" s="15" t="s">
        <v>73</v>
      </c>
      <c r="C292" s="18">
        <v>46041</v>
      </c>
      <c r="D292" s="31">
        <v>48</v>
      </c>
      <c r="E292" s="19">
        <v>2</v>
      </c>
      <c r="F292" s="22" t="s">
        <v>52</v>
      </c>
      <c r="G292" s="22" t="s">
        <v>110</v>
      </c>
      <c r="H292" s="26" t="s">
        <v>1544</v>
      </c>
      <c r="I292" s="22" t="s">
        <v>970</v>
      </c>
      <c r="J292" s="15">
        <v>20447849047</v>
      </c>
      <c r="K292" s="11"/>
      <c r="L292" s="22" t="s">
        <v>975</v>
      </c>
      <c r="M292" s="11"/>
      <c r="N292" s="11"/>
      <c r="O292" s="11"/>
      <c r="P292" s="22" t="s">
        <v>972</v>
      </c>
      <c r="Q292" s="22" t="s">
        <v>973</v>
      </c>
      <c r="R292" s="22" t="s">
        <v>142</v>
      </c>
      <c r="S292" s="11" t="s">
        <v>977</v>
      </c>
    </row>
    <row r="293" spans="1:19" ht="21.75" hidden="1" customHeight="1" x14ac:dyDescent="0.25">
      <c r="A293" s="22" t="s">
        <v>965</v>
      </c>
      <c r="B293" s="15" t="s">
        <v>73</v>
      </c>
      <c r="C293" s="18">
        <v>46041</v>
      </c>
      <c r="D293" s="31">
        <v>12</v>
      </c>
      <c r="E293" s="19">
        <v>1</v>
      </c>
      <c r="F293" s="22" t="s">
        <v>46</v>
      </c>
      <c r="G293" s="22" t="s">
        <v>104</v>
      </c>
      <c r="H293" s="26" t="s">
        <v>1544</v>
      </c>
      <c r="I293" s="22" t="s">
        <v>970</v>
      </c>
      <c r="J293" s="15">
        <v>20447849047</v>
      </c>
      <c r="K293" s="11"/>
      <c r="L293" s="22" t="s">
        <v>975</v>
      </c>
      <c r="M293" s="11"/>
      <c r="N293" s="11"/>
      <c r="O293" s="11"/>
      <c r="P293" s="22" t="s">
        <v>972</v>
      </c>
      <c r="Q293" s="22" t="s">
        <v>973</v>
      </c>
      <c r="R293" s="22" t="s">
        <v>142</v>
      </c>
      <c r="S293" s="11" t="s">
        <v>977</v>
      </c>
    </row>
    <row r="294" spans="1:19" ht="21.75" hidden="1" customHeight="1" x14ac:dyDescent="0.25">
      <c r="A294" s="16" t="s">
        <v>980</v>
      </c>
      <c r="B294" s="17">
        <v>3221945194</v>
      </c>
      <c r="C294" s="18">
        <v>46042</v>
      </c>
      <c r="D294" s="21">
        <v>1</v>
      </c>
      <c r="E294" s="19">
        <v>1</v>
      </c>
      <c r="F294" s="16" t="s">
        <v>69</v>
      </c>
      <c r="G294" s="16" t="s">
        <v>195</v>
      </c>
      <c r="H294" s="16" t="s">
        <v>99</v>
      </c>
      <c r="I294" s="16" t="s">
        <v>985</v>
      </c>
      <c r="J294" s="17">
        <v>73229621</v>
      </c>
      <c r="K294" s="16" t="s">
        <v>990</v>
      </c>
      <c r="L294" s="16" t="s">
        <v>988</v>
      </c>
      <c r="M294" s="16" t="s">
        <v>347</v>
      </c>
      <c r="N294" s="11"/>
      <c r="O294" s="11"/>
      <c r="P294" s="16" t="s">
        <v>382</v>
      </c>
      <c r="Q294" s="16"/>
      <c r="R294" s="16" t="s">
        <v>394</v>
      </c>
      <c r="S294" s="11" t="s">
        <v>993</v>
      </c>
    </row>
    <row r="295" spans="1:19" ht="21.75" hidden="1" customHeight="1" x14ac:dyDescent="0.25">
      <c r="A295" s="16" t="s">
        <v>981</v>
      </c>
      <c r="B295" s="17">
        <v>3222167036</v>
      </c>
      <c r="C295" s="18">
        <v>46042</v>
      </c>
      <c r="D295" s="21">
        <v>1</v>
      </c>
      <c r="E295" s="19">
        <v>1</v>
      </c>
      <c r="F295" s="16" t="s">
        <v>983</v>
      </c>
      <c r="G295" s="16" t="s">
        <v>984</v>
      </c>
      <c r="H295" s="16" t="s">
        <v>99</v>
      </c>
      <c r="I295" s="16" t="s">
        <v>986</v>
      </c>
      <c r="J295" s="17">
        <v>10735336</v>
      </c>
      <c r="K295" s="16" t="s">
        <v>991</v>
      </c>
      <c r="L295" s="16" t="s">
        <v>989</v>
      </c>
      <c r="M295" s="16" t="s">
        <v>299</v>
      </c>
      <c r="N295" s="11"/>
      <c r="O295" s="11"/>
      <c r="P295" s="16" t="s">
        <v>382</v>
      </c>
      <c r="Q295" s="16"/>
      <c r="R295" s="16" t="s">
        <v>394</v>
      </c>
      <c r="S295" s="11" t="s">
        <v>994</v>
      </c>
    </row>
    <row r="296" spans="1:19" ht="21.75" hidden="1" customHeight="1" x14ac:dyDescent="0.25">
      <c r="A296" s="16" t="s">
        <v>982</v>
      </c>
      <c r="B296" s="17"/>
      <c r="C296" s="18">
        <v>46042</v>
      </c>
      <c r="D296" s="21">
        <v>30</v>
      </c>
      <c r="E296" s="19">
        <v>10</v>
      </c>
      <c r="F296" s="16" t="s">
        <v>362</v>
      </c>
      <c r="G296" s="16" t="s">
        <v>374</v>
      </c>
      <c r="H296" s="16" t="s">
        <v>1650</v>
      </c>
      <c r="I296" s="16" t="s">
        <v>380</v>
      </c>
      <c r="J296" s="17">
        <v>10009600111</v>
      </c>
      <c r="K296" s="17">
        <v>933366745</v>
      </c>
      <c r="L296" s="16" t="s">
        <v>390</v>
      </c>
      <c r="M296" s="16" t="s">
        <v>393</v>
      </c>
      <c r="N296" s="11"/>
      <c r="O296" s="11"/>
      <c r="P296" s="16" t="s">
        <v>987</v>
      </c>
      <c r="Q296" s="16"/>
      <c r="R296" s="16" t="s">
        <v>397</v>
      </c>
      <c r="S296" s="11" t="s">
        <v>995</v>
      </c>
    </row>
    <row r="297" spans="1:19" s="20" customFormat="1" ht="21.75" hidden="1" customHeight="1" x14ac:dyDescent="0.2">
      <c r="A297" s="16" t="s">
        <v>996</v>
      </c>
      <c r="B297" s="14"/>
      <c r="C297" s="18">
        <v>46043</v>
      </c>
      <c r="D297" s="19">
        <v>240</v>
      </c>
      <c r="E297" s="19">
        <v>20</v>
      </c>
      <c r="F297" s="16" t="s">
        <v>19</v>
      </c>
      <c r="G297" s="14" t="s">
        <v>120</v>
      </c>
      <c r="H297" s="16" t="s">
        <v>1650</v>
      </c>
      <c r="I297" s="16" t="s">
        <v>997</v>
      </c>
      <c r="J297" s="17">
        <v>20100632480</v>
      </c>
      <c r="K297" s="14">
        <v>998186487</v>
      </c>
      <c r="L297" s="11" t="s">
        <v>998</v>
      </c>
      <c r="M297" s="16" t="s">
        <v>347</v>
      </c>
      <c r="N297" s="11"/>
      <c r="O297" s="11"/>
      <c r="P297" s="16" t="s">
        <v>1001</v>
      </c>
      <c r="Q297" s="11" t="s">
        <v>1000</v>
      </c>
      <c r="R297" s="11" t="s">
        <v>396</v>
      </c>
      <c r="S297" s="11" t="s">
        <v>999</v>
      </c>
    </row>
    <row r="298" spans="1:19" s="20" customFormat="1" ht="21.75" hidden="1" customHeight="1" x14ac:dyDescent="0.2">
      <c r="A298" s="16" t="s">
        <v>996</v>
      </c>
      <c r="B298" s="14"/>
      <c r="C298" s="18">
        <v>46043</v>
      </c>
      <c r="D298" s="19">
        <v>480</v>
      </c>
      <c r="E298" s="19">
        <v>20</v>
      </c>
      <c r="F298" s="16" t="s">
        <v>36</v>
      </c>
      <c r="G298" s="14" t="s">
        <v>128</v>
      </c>
      <c r="H298" s="16" t="s">
        <v>1650</v>
      </c>
      <c r="I298" s="16" t="s">
        <v>997</v>
      </c>
      <c r="J298" s="17">
        <v>20100632480</v>
      </c>
      <c r="K298" s="14">
        <v>998186487</v>
      </c>
      <c r="L298" s="11" t="s">
        <v>998</v>
      </c>
      <c r="M298" s="16" t="s">
        <v>347</v>
      </c>
      <c r="N298" s="11"/>
      <c r="O298" s="11"/>
      <c r="P298" s="16" t="s">
        <v>1001</v>
      </c>
      <c r="Q298" s="11" t="s">
        <v>1000</v>
      </c>
      <c r="R298" s="11" t="s">
        <v>396</v>
      </c>
      <c r="S298" s="11" t="s">
        <v>999</v>
      </c>
    </row>
    <row r="299" spans="1:19" s="20" customFormat="1" ht="21.75" hidden="1" customHeight="1" x14ac:dyDescent="0.2">
      <c r="A299" s="16" t="s">
        <v>996</v>
      </c>
      <c r="B299" s="14"/>
      <c r="C299" s="18">
        <v>46043</v>
      </c>
      <c r="D299" s="19">
        <v>1200</v>
      </c>
      <c r="E299" s="19">
        <v>25</v>
      </c>
      <c r="F299" s="16" t="s">
        <v>22</v>
      </c>
      <c r="G299" s="14" t="s">
        <v>108</v>
      </c>
      <c r="H299" s="16" t="s">
        <v>1650</v>
      </c>
      <c r="I299" s="16" t="s">
        <v>997</v>
      </c>
      <c r="J299" s="17">
        <v>20100632480</v>
      </c>
      <c r="K299" s="14">
        <v>998186487</v>
      </c>
      <c r="L299" s="11" t="s">
        <v>998</v>
      </c>
      <c r="M299" s="16" t="s">
        <v>347</v>
      </c>
      <c r="N299" s="11"/>
      <c r="O299" s="11"/>
      <c r="P299" s="16" t="s">
        <v>1001</v>
      </c>
      <c r="Q299" s="11" t="s">
        <v>1000</v>
      </c>
      <c r="R299" s="11" t="s">
        <v>396</v>
      </c>
      <c r="S299" s="11" t="s">
        <v>999</v>
      </c>
    </row>
    <row r="300" spans="1:19" s="20" customFormat="1" ht="21.75" hidden="1" customHeight="1" x14ac:dyDescent="0.2">
      <c r="A300" s="16" t="s">
        <v>996</v>
      </c>
      <c r="B300" s="14"/>
      <c r="C300" s="18">
        <v>46043</v>
      </c>
      <c r="D300" s="19">
        <v>1200</v>
      </c>
      <c r="E300" s="19">
        <v>25</v>
      </c>
      <c r="F300" s="16" t="s">
        <v>48</v>
      </c>
      <c r="G300" s="14" t="s">
        <v>160</v>
      </c>
      <c r="H300" s="16" t="s">
        <v>1650</v>
      </c>
      <c r="I300" s="16" t="s">
        <v>997</v>
      </c>
      <c r="J300" s="17">
        <v>20100632480</v>
      </c>
      <c r="K300" s="14">
        <v>998186487</v>
      </c>
      <c r="L300" s="11" t="s">
        <v>998</v>
      </c>
      <c r="M300" s="16" t="s">
        <v>347</v>
      </c>
      <c r="N300" s="11"/>
      <c r="O300" s="11"/>
      <c r="P300" s="16" t="s">
        <v>1001</v>
      </c>
      <c r="Q300" s="11" t="s">
        <v>1000</v>
      </c>
      <c r="R300" s="11" t="s">
        <v>396</v>
      </c>
      <c r="S300" s="11" t="s">
        <v>999</v>
      </c>
    </row>
    <row r="301" spans="1:19" s="20" customFormat="1" ht="21.75" hidden="1" customHeight="1" x14ac:dyDescent="0.2">
      <c r="A301" s="16" t="s">
        <v>996</v>
      </c>
      <c r="B301" s="14"/>
      <c r="C301" s="18">
        <v>46043</v>
      </c>
      <c r="D301" s="19">
        <v>120</v>
      </c>
      <c r="E301" s="19">
        <v>10</v>
      </c>
      <c r="F301" s="16" t="s">
        <v>34</v>
      </c>
      <c r="G301" s="14" t="s">
        <v>93</v>
      </c>
      <c r="H301" s="16" t="s">
        <v>1650</v>
      </c>
      <c r="I301" s="16" t="s">
        <v>997</v>
      </c>
      <c r="J301" s="17">
        <v>20100632480</v>
      </c>
      <c r="K301" s="14">
        <v>998186487</v>
      </c>
      <c r="L301" s="11" t="s">
        <v>998</v>
      </c>
      <c r="M301" s="16" t="s">
        <v>347</v>
      </c>
      <c r="N301" s="11"/>
      <c r="O301" s="11"/>
      <c r="P301" s="16" t="s">
        <v>1001</v>
      </c>
      <c r="Q301" s="11" t="s">
        <v>1000</v>
      </c>
      <c r="R301" s="11" t="s">
        <v>396</v>
      </c>
      <c r="S301" s="11" t="s">
        <v>999</v>
      </c>
    </row>
    <row r="302" spans="1:19" ht="21.75" hidden="1" customHeight="1" x14ac:dyDescent="0.25">
      <c r="A302" s="16" t="s">
        <v>1002</v>
      </c>
      <c r="B302" s="14"/>
      <c r="C302" s="18">
        <v>46043</v>
      </c>
      <c r="D302" s="19">
        <v>18</v>
      </c>
      <c r="E302" s="19">
        <v>2</v>
      </c>
      <c r="F302" s="11" t="s">
        <v>911</v>
      </c>
      <c r="G302" s="14" t="s">
        <v>928</v>
      </c>
      <c r="H302" s="16" t="s">
        <v>1650</v>
      </c>
      <c r="I302" s="11" t="s">
        <v>47</v>
      </c>
      <c r="J302" s="14">
        <v>20609731070</v>
      </c>
      <c r="K302" s="14">
        <v>996752772</v>
      </c>
      <c r="L302" s="11" t="s">
        <v>1009</v>
      </c>
      <c r="M302" s="16" t="s">
        <v>347</v>
      </c>
      <c r="N302" s="11"/>
      <c r="O302" s="11"/>
      <c r="P302" s="16" t="s">
        <v>1001</v>
      </c>
      <c r="Q302" s="11" t="s">
        <v>1003</v>
      </c>
      <c r="R302" s="11" t="s">
        <v>396</v>
      </c>
      <c r="S302" s="11" t="s">
        <v>1004</v>
      </c>
    </row>
    <row r="303" spans="1:19" ht="21.75" hidden="1" customHeight="1" x14ac:dyDescent="0.25">
      <c r="A303" s="16" t="s">
        <v>1002</v>
      </c>
      <c r="B303" s="14"/>
      <c r="C303" s="18">
        <v>46043</v>
      </c>
      <c r="D303" s="19">
        <v>1</v>
      </c>
      <c r="E303" s="205">
        <v>1</v>
      </c>
      <c r="F303" s="11" t="s">
        <v>1005</v>
      </c>
      <c r="G303" s="14" t="s">
        <v>1007</v>
      </c>
      <c r="H303" s="16" t="s">
        <v>1650</v>
      </c>
      <c r="I303" s="11" t="s">
        <v>47</v>
      </c>
      <c r="J303" s="14">
        <v>20609731070</v>
      </c>
      <c r="K303" s="14">
        <v>996752772</v>
      </c>
      <c r="L303" s="11" t="s">
        <v>1009</v>
      </c>
      <c r="M303" s="16" t="s">
        <v>347</v>
      </c>
      <c r="N303" s="11"/>
      <c r="O303" s="11"/>
      <c r="P303" s="16" t="s">
        <v>1001</v>
      </c>
      <c r="Q303" s="11" t="s">
        <v>1003</v>
      </c>
      <c r="R303" s="11" t="s">
        <v>396</v>
      </c>
      <c r="S303" s="11" t="s">
        <v>1004</v>
      </c>
    </row>
    <row r="304" spans="1:19" ht="21.75" hidden="1" customHeight="1" x14ac:dyDescent="0.25">
      <c r="A304" s="16" t="s">
        <v>1002</v>
      </c>
      <c r="B304" s="14"/>
      <c r="C304" s="18">
        <v>46043</v>
      </c>
      <c r="D304" s="19">
        <v>1</v>
      </c>
      <c r="E304" s="207"/>
      <c r="F304" s="11" t="s">
        <v>1006</v>
      </c>
      <c r="G304" s="14" t="s">
        <v>1008</v>
      </c>
      <c r="H304" s="16" t="s">
        <v>1650</v>
      </c>
      <c r="I304" s="11" t="s">
        <v>47</v>
      </c>
      <c r="J304" s="14">
        <v>20609731070</v>
      </c>
      <c r="K304" s="14">
        <v>996752772</v>
      </c>
      <c r="L304" s="11" t="s">
        <v>1009</v>
      </c>
      <c r="M304" s="16" t="s">
        <v>347</v>
      </c>
      <c r="N304" s="11"/>
      <c r="O304" s="11"/>
      <c r="P304" s="16" t="s">
        <v>1001</v>
      </c>
      <c r="Q304" s="11" t="s">
        <v>1003</v>
      </c>
      <c r="R304" s="11" t="s">
        <v>396</v>
      </c>
      <c r="S304" s="11" t="s">
        <v>1004</v>
      </c>
    </row>
    <row r="305" spans="1:19" ht="21.75" hidden="1" customHeight="1" x14ac:dyDescent="0.25">
      <c r="A305" s="16" t="s">
        <v>1010</v>
      </c>
      <c r="B305" s="17" t="s">
        <v>260</v>
      </c>
      <c r="C305" s="18">
        <v>46043</v>
      </c>
      <c r="D305" s="21">
        <v>1</v>
      </c>
      <c r="E305" s="19">
        <v>1</v>
      </c>
      <c r="F305" s="16" t="s">
        <v>362</v>
      </c>
      <c r="G305" s="16" t="s">
        <v>374</v>
      </c>
      <c r="H305" s="16" t="s">
        <v>1650</v>
      </c>
      <c r="I305" s="16" t="s">
        <v>380</v>
      </c>
      <c r="J305" s="17">
        <v>10009600111</v>
      </c>
      <c r="K305" s="17">
        <v>933366745</v>
      </c>
      <c r="L305" s="16" t="s">
        <v>390</v>
      </c>
      <c r="M305" s="16" t="s">
        <v>393</v>
      </c>
      <c r="N305" s="11"/>
      <c r="O305" s="11"/>
      <c r="P305" s="16" t="s">
        <v>987</v>
      </c>
      <c r="Q305" s="46" t="s">
        <v>425</v>
      </c>
      <c r="R305" s="16" t="s">
        <v>397</v>
      </c>
      <c r="S305" s="11" t="s">
        <v>995</v>
      </c>
    </row>
    <row r="306" spans="1:19" s="20" customFormat="1" ht="21.75" hidden="1" customHeight="1" x14ac:dyDescent="0.2">
      <c r="A306" s="84" t="s">
        <v>1011</v>
      </c>
      <c r="B306" s="17">
        <v>4512322327</v>
      </c>
      <c r="C306" s="18">
        <v>46044</v>
      </c>
      <c r="D306" s="21">
        <v>6</v>
      </c>
      <c r="E306" s="19">
        <v>3</v>
      </c>
      <c r="F306" s="16" t="s">
        <v>296</v>
      </c>
      <c r="G306" s="16" t="s">
        <v>297</v>
      </c>
      <c r="H306" s="56" t="s">
        <v>76</v>
      </c>
      <c r="I306" s="16" t="s">
        <v>284</v>
      </c>
      <c r="J306" s="17">
        <v>20109072177</v>
      </c>
      <c r="K306" s="17" t="s">
        <v>73</v>
      </c>
      <c r="L306" s="16" t="s">
        <v>1015</v>
      </c>
      <c r="M306" s="16" t="s">
        <v>474</v>
      </c>
      <c r="N306" s="11"/>
      <c r="O306" s="11"/>
      <c r="P306" s="16" t="s">
        <v>634</v>
      </c>
      <c r="Q306" s="16" t="s">
        <v>641</v>
      </c>
      <c r="R306" s="16" t="s">
        <v>289</v>
      </c>
      <c r="S306" s="11" t="s">
        <v>1024</v>
      </c>
    </row>
    <row r="307" spans="1:19" s="20" customFormat="1" ht="21.75" hidden="1" customHeight="1" x14ac:dyDescent="0.2">
      <c r="A307" s="84" t="s">
        <v>1011</v>
      </c>
      <c r="B307" s="17">
        <v>4512322327</v>
      </c>
      <c r="C307" s="18">
        <v>46044</v>
      </c>
      <c r="D307" s="21">
        <v>6</v>
      </c>
      <c r="E307" s="19">
        <v>3</v>
      </c>
      <c r="F307" s="16" t="s">
        <v>1017</v>
      </c>
      <c r="G307" s="16" t="s">
        <v>1016</v>
      </c>
      <c r="H307" s="56" t="s">
        <v>76</v>
      </c>
      <c r="I307" s="16" t="s">
        <v>284</v>
      </c>
      <c r="J307" s="17">
        <v>20109072177</v>
      </c>
      <c r="K307" s="17" t="s">
        <v>73</v>
      </c>
      <c r="L307" s="16" t="s">
        <v>1015</v>
      </c>
      <c r="M307" s="16" t="s">
        <v>474</v>
      </c>
      <c r="N307" s="11"/>
      <c r="O307" s="11"/>
      <c r="P307" s="16" t="s">
        <v>634</v>
      </c>
      <c r="Q307" s="16" t="s">
        <v>641</v>
      </c>
      <c r="R307" s="16" t="s">
        <v>289</v>
      </c>
      <c r="S307" s="11" t="s">
        <v>1024</v>
      </c>
    </row>
    <row r="308" spans="1:19" s="20" customFormat="1" ht="21.75" hidden="1" customHeight="1" x14ac:dyDescent="0.2">
      <c r="A308" s="84" t="s">
        <v>1011</v>
      </c>
      <c r="B308" s="17">
        <v>4512322327</v>
      </c>
      <c r="C308" s="18">
        <v>46044</v>
      </c>
      <c r="D308" s="21">
        <v>8</v>
      </c>
      <c r="E308" s="19">
        <v>2</v>
      </c>
      <c r="F308" s="16" t="s">
        <v>15</v>
      </c>
      <c r="G308" s="16" t="s">
        <v>96</v>
      </c>
      <c r="H308" s="56" t="s">
        <v>76</v>
      </c>
      <c r="I308" s="16" t="s">
        <v>284</v>
      </c>
      <c r="J308" s="17">
        <v>20109072177</v>
      </c>
      <c r="K308" s="17" t="s">
        <v>73</v>
      </c>
      <c r="L308" s="16" t="s">
        <v>1015</v>
      </c>
      <c r="M308" s="16" t="s">
        <v>474</v>
      </c>
      <c r="N308" s="11"/>
      <c r="O308" s="11"/>
      <c r="P308" s="16" t="s">
        <v>634</v>
      </c>
      <c r="Q308" s="16" t="s">
        <v>641</v>
      </c>
      <c r="R308" s="16" t="s">
        <v>289</v>
      </c>
      <c r="S308" s="11" t="s">
        <v>1024</v>
      </c>
    </row>
    <row r="309" spans="1:19" s="20" customFormat="1" ht="21.75" hidden="1" customHeight="1" x14ac:dyDescent="0.2">
      <c r="A309" s="84" t="s">
        <v>1011</v>
      </c>
      <c r="B309" s="17">
        <v>4512322327</v>
      </c>
      <c r="C309" s="18">
        <v>46044</v>
      </c>
      <c r="D309" s="21">
        <v>4</v>
      </c>
      <c r="E309" s="19">
        <v>1</v>
      </c>
      <c r="F309" s="16" t="s">
        <v>28</v>
      </c>
      <c r="G309" s="16" t="s">
        <v>95</v>
      </c>
      <c r="H309" s="56" t="s">
        <v>76</v>
      </c>
      <c r="I309" s="16" t="s">
        <v>284</v>
      </c>
      <c r="J309" s="17">
        <v>20109072177</v>
      </c>
      <c r="K309" s="17" t="s">
        <v>73</v>
      </c>
      <c r="L309" s="16" t="s">
        <v>1015</v>
      </c>
      <c r="M309" s="16" t="s">
        <v>474</v>
      </c>
      <c r="N309" s="11"/>
      <c r="O309" s="11"/>
      <c r="P309" s="16" t="s">
        <v>634</v>
      </c>
      <c r="Q309" s="16" t="s">
        <v>641</v>
      </c>
      <c r="R309" s="16" t="s">
        <v>289</v>
      </c>
      <c r="S309" s="11" t="s">
        <v>1024</v>
      </c>
    </row>
    <row r="310" spans="1:19" s="20" customFormat="1" ht="21.75" hidden="1" customHeight="1" x14ac:dyDescent="0.2">
      <c r="A310" s="84" t="s">
        <v>1011</v>
      </c>
      <c r="B310" s="17">
        <v>4512322327</v>
      </c>
      <c r="C310" s="18">
        <v>46044</v>
      </c>
      <c r="D310" s="21">
        <v>8</v>
      </c>
      <c r="E310" s="19">
        <v>2</v>
      </c>
      <c r="F310" s="16" t="s">
        <v>302</v>
      </c>
      <c r="G310" s="16" t="s">
        <v>303</v>
      </c>
      <c r="H310" s="56" t="s">
        <v>76</v>
      </c>
      <c r="I310" s="16" t="s">
        <v>284</v>
      </c>
      <c r="J310" s="17">
        <v>20109072177</v>
      </c>
      <c r="K310" s="17" t="s">
        <v>73</v>
      </c>
      <c r="L310" s="16" t="s">
        <v>1015</v>
      </c>
      <c r="M310" s="16" t="s">
        <v>474</v>
      </c>
      <c r="N310" s="11"/>
      <c r="O310" s="11"/>
      <c r="P310" s="16" t="s">
        <v>634</v>
      </c>
      <c r="Q310" s="16" t="s">
        <v>641</v>
      </c>
      <c r="R310" s="16" t="s">
        <v>289</v>
      </c>
      <c r="S310" s="11" t="s">
        <v>1024</v>
      </c>
    </row>
    <row r="311" spans="1:19" s="20" customFormat="1" ht="21.75" hidden="1" customHeight="1" x14ac:dyDescent="0.2">
      <c r="A311" s="84" t="s">
        <v>1011</v>
      </c>
      <c r="B311" s="17">
        <v>4512322327</v>
      </c>
      <c r="C311" s="18">
        <v>46044</v>
      </c>
      <c r="D311" s="21">
        <v>4</v>
      </c>
      <c r="E311" s="19">
        <v>1</v>
      </c>
      <c r="F311" s="16" t="s">
        <v>325</v>
      </c>
      <c r="G311" s="16" t="s">
        <v>338</v>
      </c>
      <c r="H311" s="56" t="s">
        <v>76</v>
      </c>
      <c r="I311" s="16" t="s">
        <v>284</v>
      </c>
      <c r="J311" s="17">
        <v>20109072177</v>
      </c>
      <c r="K311" s="17" t="s">
        <v>73</v>
      </c>
      <c r="L311" s="16" t="s">
        <v>1015</v>
      </c>
      <c r="M311" s="16" t="s">
        <v>474</v>
      </c>
      <c r="N311" s="11"/>
      <c r="O311" s="11"/>
      <c r="P311" s="16" t="s">
        <v>634</v>
      </c>
      <c r="Q311" s="16" t="s">
        <v>641</v>
      </c>
      <c r="R311" s="16" t="s">
        <v>289</v>
      </c>
      <c r="S311" s="11" t="s">
        <v>1024</v>
      </c>
    </row>
    <row r="312" spans="1:19" s="20" customFormat="1" ht="21.75" hidden="1" customHeight="1" x14ac:dyDescent="0.2">
      <c r="A312" s="84" t="s">
        <v>1011</v>
      </c>
      <c r="B312" s="17">
        <v>4512322327</v>
      </c>
      <c r="C312" s="18">
        <v>46044</v>
      </c>
      <c r="D312" s="21">
        <v>4</v>
      </c>
      <c r="E312" s="19">
        <v>1</v>
      </c>
      <c r="F312" s="16" t="s">
        <v>602</v>
      </c>
      <c r="G312" s="16" t="s">
        <v>606</v>
      </c>
      <c r="H312" s="56" t="s">
        <v>76</v>
      </c>
      <c r="I312" s="16" t="s">
        <v>284</v>
      </c>
      <c r="J312" s="17">
        <v>20109072177</v>
      </c>
      <c r="K312" s="17" t="s">
        <v>73</v>
      </c>
      <c r="L312" s="16" t="s">
        <v>1015</v>
      </c>
      <c r="M312" s="16" t="s">
        <v>474</v>
      </c>
      <c r="N312" s="11"/>
      <c r="O312" s="11"/>
      <c r="P312" s="16" t="s">
        <v>634</v>
      </c>
      <c r="Q312" s="16" t="s">
        <v>641</v>
      </c>
      <c r="R312" s="16" t="s">
        <v>289</v>
      </c>
      <c r="S312" s="11" t="s">
        <v>1024</v>
      </c>
    </row>
    <row r="313" spans="1:19" s="20" customFormat="1" ht="21.75" hidden="1" customHeight="1" x14ac:dyDescent="0.2">
      <c r="A313" s="84" t="s">
        <v>1012</v>
      </c>
      <c r="B313" s="14">
        <v>3222328630</v>
      </c>
      <c r="C313" s="18">
        <v>46044</v>
      </c>
      <c r="D313" s="19">
        <v>1</v>
      </c>
      <c r="E313" s="19">
        <v>1</v>
      </c>
      <c r="F313" s="16" t="s">
        <v>1021</v>
      </c>
      <c r="G313" s="14" t="s">
        <v>1022</v>
      </c>
      <c r="H313" s="56" t="s">
        <v>99</v>
      </c>
      <c r="I313" s="16" t="s">
        <v>1018</v>
      </c>
      <c r="J313" s="11" t="s">
        <v>1023</v>
      </c>
      <c r="K313" s="11"/>
      <c r="L313" s="16" t="s">
        <v>1019</v>
      </c>
      <c r="M313" s="16" t="s">
        <v>1020</v>
      </c>
      <c r="N313" s="11"/>
      <c r="O313" s="11"/>
      <c r="P313" s="11"/>
      <c r="Q313" s="11"/>
      <c r="R313" s="11" t="s">
        <v>933</v>
      </c>
      <c r="S313" s="11" t="s">
        <v>1028</v>
      </c>
    </row>
    <row r="314" spans="1:19" s="20" customFormat="1" ht="21.75" hidden="1" customHeight="1" x14ac:dyDescent="0.2">
      <c r="A314" s="84" t="s">
        <v>1013</v>
      </c>
      <c r="B314" s="14">
        <v>3222329511</v>
      </c>
      <c r="C314" s="18">
        <v>46044</v>
      </c>
      <c r="D314" s="19">
        <v>1</v>
      </c>
      <c r="E314" s="19">
        <v>1</v>
      </c>
      <c r="F314" s="16" t="s">
        <v>1021</v>
      </c>
      <c r="G314" s="14" t="s">
        <v>1022</v>
      </c>
      <c r="H314" s="56" t="s">
        <v>99</v>
      </c>
      <c r="I314" s="16" t="s">
        <v>1018</v>
      </c>
      <c r="J314" s="11" t="s">
        <v>1023</v>
      </c>
      <c r="K314" s="11"/>
      <c r="L314" s="16" t="s">
        <v>1019</v>
      </c>
      <c r="M314" s="16" t="s">
        <v>1020</v>
      </c>
      <c r="N314" s="11"/>
      <c r="O314" s="11"/>
      <c r="P314" s="11"/>
      <c r="Q314" s="11"/>
      <c r="R314" s="11" t="s">
        <v>933</v>
      </c>
      <c r="S314" s="11" t="s">
        <v>1029</v>
      </c>
    </row>
    <row r="315" spans="1:19" s="20" customFormat="1" ht="21.75" hidden="1" customHeight="1" x14ac:dyDescent="0.2">
      <c r="A315" s="84" t="s">
        <v>1014</v>
      </c>
      <c r="B315" s="14">
        <v>3222329670</v>
      </c>
      <c r="C315" s="18">
        <v>46044</v>
      </c>
      <c r="D315" s="19">
        <v>1</v>
      </c>
      <c r="E315" s="19">
        <v>1</v>
      </c>
      <c r="F315" s="16" t="s">
        <v>1021</v>
      </c>
      <c r="G315" s="14" t="s">
        <v>1022</v>
      </c>
      <c r="H315" s="56" t="s">
        <v>99</v>
      </c>
      <c r="I315" s="16" t="s">
        <v>1018</v>
      </c>
      <c r="J315" s="11" t="s">
        <v>1023</v>
      </c>
      <c r="K315" s="11"/>
      <c r="L315" s="16" t="s">
        <v>1019</v>
      </c>
      <c r="M315" s="16" t="s">
        <v>1020</v>
      </c>
      <c r="N315" s="11"/>
      <c r="O315" s="11"/>
      <c r="P315" s="11"/>
      <c r="Q315" s="11"/>
      <c r="R315" s="11" t="s">
        <v>933</v>
      </c>
      <c r="S315" s="11" t="s">
        <v>1030</v>
      </c>
    </row>
    <row r="316" spans="1:19" s="20" customFormat="1" ht="21.75" hidden="1" customHeight="1" x14ac:dyDescent="0.2">
      <c r="A316" s="16" t="s">
        <v>1026</v>
      </c>
      <c r="B316" s="17"/>
      <c r="C316" s="18">
        <v>46044</v>
      </c>
      <c r="D316" s="21">
        <v>12</v>
      </c>
      <c r="E316" s="19">
        <v>4</v>
      </c>
      <c r="F316" s="16" t="s">
        <v>362</v>
      </c>
      <c r="G316" s="16" t="s">
        <v>374</v>
      </c>
      <c r="H316" s="16" t="s">
        <v>1650</v>
      </c>
      <c r="I316" s="16" t="s">
        <v>380</v>
      </c>
      <c r="J316" s="17">
        <v>10009600111</v>
      </c>
      <c r="K316" s="17">
        <v>933366745</v>
      </c>
      <c r="L316" s="16" t="s">
        <v>390</v>
      </c>
      <c r="M316" s="16" t="s">
        <v>393</v>
      </c>
      <c r="N316" s="11"/>
      <c r="O316" s="11"/>
      <c r="P316" s="16" t="s">
        <v>987</v>
      </c>
      <c r="Q316" s="16"/>
      <c r="R316" s="16" t="s">
        <v>397</v>
      </c>
      <c r="S316" s="11" t="s">
        <v>1027</v>
      </c>
    </row>
    <row r="317" spans="1:19" s="20" customFormat="1" ht="21.75" hidden="1" customHeight="1" x14ac:dyDescent="0.2">
      <c r="A317" s="16" t="s">
        <v>1026</v>
      </c>
      <c r="B317" s="17"/>
      <c r="C317" s="18">
        <v>46044</v>
      </c>
      <c r="D317" s="21">
        <v>12</v>
      </c>
      <c r="E317" s="19">
        <v>1</v>
      </c>
      <c r="F317" s="16" t="s">
        <v>21</v>
      </c>
      <c r="G317" s="16" t="s">
        <v>115</v>
      </c>
      <c r="H317" s="16" t="s">
        <v>1650</v>
      </c>
      <c r="I317" s="16" t="s">
        <v>380</v>
      </c>
      <c r="J317" s="17">
        <v>10009600111</v>
      </c>
      <c r="K317" s="17">
        <v>933366745</v>
      </c>
      <c r="L317" s="16" t="s">
        <v>390</v>
      </c>
      <c r="M317" s="16" t="s">
        <v>393</v>
      </c>
      <c r="N317" s="11"/>
      <c r="O317" s="11"/>
      <c r="P317" s="16" t="s">
        <v>987</v>
      </c>
      <c r="Q317" s="16"/>
      <c r="R317" s="16" t="s">
        <v>397</v>
      </c>
      <c r="S317" s="11" t="s">
        <v>1027</v>
      </c>
    </row>
    <row r="318" spans="1:19" s="20" customFormat="1" ht="21.75" hidden="1" customHeight="1" x14ac:dyDescent="0.2">
      <c r="A318" s="84" t="s">
        <v>1025</v>
      </c>
      <c r="B318" s="17">
        <v>4512322464</v>
      </c>
      <c r="C318" s="18">
        <v>46044</v>
      </c>
      <c r="D318" s="21">
        <v>4</v>
      </c>
      <c r="E318" s="19">
        <v>1</v>
      </c>
      <c r="F318" s="16" t="s">
        <v>37</v>
      </c>
      <c r="G318" s="16" t="s">
        <v>133</v>
      </c>
      <c r="H318" s="56" t="s">
        <v>76</v>
      </c>
      <c r="I318" s="16" t="s">
        <v>284</v>
      </c>
      <c r="J318" s="17">
        <v>20109072177</v>
      </c>
      <c r="K318" s="17" t="s">
        <v>73</v>
      </c>
      <c r="L318" s="16" t="s">
        <v>1031</v>
      </c>
      <c r="M318" s="16" t="s">
        <v>474</v>
      </c>
      <c r="N318" s="11"/>
      <c r="O318" s="11"/>
      <c r="P318" s="16" t="s">
        <v>255</v>
      </c>
      <c r="Q318" s="16" t="s">
        <v>1032</v>
      </c>
      <c r="R318" s="16" t="s">
        <v>289</v>
      </c>
      <c r="S318" s="11" t="s">
        <v>1033</v>
      </c>
    </row>
    <row r="319" spans="1:19" s="20" customFormat="1" ht="21.75" hidden="1" customHeight="1" x14ac:dyDescent="0.2">
      <c r="A319" s="84" t="s">
        <v>1025</v>
      </c>
      <c r="B319" s="17">
        <v>4512322464</v>
      </c>
      <c r="C319" s="18">
        <v>46044</v>
      </c>
      <c r="D319" s="21">
        <v>8</v>
      </c>
      <c r="E319" s="19">
        <v>2</v>
      </c>
      <c r="F319" s="16" t="s">
        <v>602</v>
      </c>
      <c r="G319" s="16" t="s">
        <v>606</v>
      </c>
      <c r="H319" s="56" t="s">
        <v>76</v>
      </c>
      <c r="I319" s="16" t="s">
        <v>284</v>
      </c>
      <c r="J319" s="17">
        <v>20109072177</v>
      </c>
      <c r="K319" s="17" t="s">
        <v>73</v>
      </c>
      <c r="L319" s="16" t="s">
        <v>1031</v>
      </c>
      <c r="M319" s="16" t="s">
        <v>474</v>
      </c>
      <c r="N319" s="11"/>
      <c r="O319" s="11"/>
      <c r="P319" s="16" t="s">
        <v>255</v>
      </c>
      <c r="Q319" s="16" t="s">
        <v>1032</v>
      </c>
      <c r="R319" s="16" t="s">
        <v>289</v>
      </c>
      <c r="S319" s="11" t="s">
        <v>1033</v>
      </c>
    </row>
    <row r="320" spans="1:19" s="20" customFormat="1" ht="21.75" hidden="1" customHeight="1" x14ac:dyDescent="0.2">
      <c r="A320" s="84" t="s">
        <v>1025</v>
      </c>
      <c r="B320" s="17">
        <v>4512322464</v>
      </c>
      <c r="C320" s="18">
        <v>46044</v>
      </c>
      <c r="D320" s="21">
        <v>4</v>
      </c>
      <c r="E320" s="19">
        <v>1</v>
      </c>
      <c r="F320" s="16" t="s">
        <v>38</v>
      </c>
      <c r="G320" s="16" t="s">
        <v>97</v>
      </c>
      <c r="H320" s="56" t="s">
        <v>76</v>
      </c>
      <c r="I320" s="16" t="s">
        <v>284</v>
      </c>
      <c r="J320" s="17">
        <v>20109072177</v>
      </c>
      <c r="K320" s="17" t="s">
        <v>73</v>
      </c>
      <c r="L320" s="16" t="s">
        <v>1031</v>
      </c>
      <c r="M320" s="16" t="s">
        <v>474</v>
      </c>
      <c r="N320" s="11"/>
      <c r="O320" s="11"/>
      <c r="P320" s="16" t="s">
        <v>255</v>
      </c>
      <c r="Q320" s="16" t="s">
        <v>1032</v>
      </c>
      <c r="R320" s="16" t="s">
        <v>289</v>
      </c>
      <c r="S320" s="11" t="s">
        <v>1033</v>
      </c>
    </row>
    <row r="321" spans="1:19" s="20" customFormat="1" ht="21.75" hidden="1" customHeight="1" x14ac:dyDescent="0.2">
      <c r="A321" s="84" t="s">
        <v>1025</v>
      </c>
      <c r="B321" s="17">
        <v>4512322464</v>
      </c>
      <c r="C321" s="18">
        <v>46044</v>
      </c>
      <c r="D321" s="21">
        <v>2</v>
      </c>
      <c r="E321" s="19">
        <v>1</v>
      </c>
      <c r="F321" s="16" t="s">
        <v>327</v>
      </c>
      <c r="G321" s="16" t="s">
        <v>340</v>
      </c>
      <c r="H321" s="56" t="s">
        <v>76</v>
      </c>
      <c r="I321" s="16" t="s">
        <v>284</v>
      </c>
      <c r="J321" s="17">
        <v>20109072177</v>
      </c>
      <c r="K321" s="17" t="s">
        <v>73</v>
      </c>
      <c r="L321" s="16" t="s">
        <v>1031</v>
      </c>
      <c r="M321" s="16" t="s">
        <v>474</v>
      </c>
      <c r="N321" s="11"/>
      <c r="O321" s="11"/>
      <c r="P321" s="16" t="s">
        <v>255</v>
      </c>
      <c r="Q321" s="16" t="s">
        <v>1032</v>
      </c>
      <c r="R321" s="16" t="s">
        <v>289</v>
      </c>
      <c r="S321" s="11" t="s">
        <v>1033</v>
      </c>
    </row>
    <row r="322" spans="1:19" s="20" customFormat="1" ht="21.75" hidden="1" customHeight="1" x14ac:dyDescent="0.2">
      <c r="A322" s="84" t="s">
        <v>1037</v>
      </c>
      <c r="B322" s="76">
        <v>4512322237</v>
      </c>
      <c r="C322" s="18">
        <v>46044</v>
      </c>
      <c r="D322" s="21">
        <v>6</v>
      </c>
      <c r="E322" s="19">
        <v>3</v>
      </c>
      <c r="F322" s="16" t="s">
        <v>1017</v>
      </c>
      <c r="G322" s="16" t="s">
        <v>1016</v>
      </c>
      <c r="H322" s="56" t="s">
        <v>76</v>
      </c>
      <c r="I322" s="16" t="s">
        <v>1034</v>
      </c>
      <c r="J322" s="16">
        <v>20109072177</v>
      </c>
      <c r="K322" s="16"/>
      <c r="L322" s="16" t="s">
        <v>1035</v>
      </c>
      <c r="M322" s="16" t="s">
        <v>533</v>
      </c>
      <c r="N322" s="16"/>
      <c r="O322" s="16"/>
      <c r="P322" s="56" t="s">
        <v>1036</v>
      </c>
      <c r="Q322" s="11" t="s">
        <v>1038</v>
      </c>
      <c r="R322" s="16" t="s">
        <v>289</v>
      </c>
      <c r="S322" s="11" t="s">
        <v>1039</v>
      </c>
    </row>
    <row r="323" spans="1:19" s="20" customFormat="1" ht="21.75" hidden="1" customHeight="1" x14ac:dyDescent="0.2">
      <c r="A323" s="84" t="s">
        <v>1037</v>
      </c>
      <c r="B323" s="76">
        <v>4512322237</v>
      </c>
      <c r="C323" s="18">
        <v>46044</v>
      </c>
      <c r="D323" s="21">
        <v>4</v>
      </c>
      <c r="E323" s="19">
        <v>1</v>
      </c>
      <c r="F323" s="16" t="s">
        <v>302</v>
      </c>
      <c r="G323" s="16" t="s">
        <v>303</v>
      </c>
      <c r="H323" s="56" t="s">
        <v>76</v>
      </c>
      <c r="I323" s="16" t="s">
        <v>1034</v>
      </c>
      <c r="J323" s="16">
        <v>20109072177</v>
      </c>
      <c r="K323" s="16"/>
      <c r="L323" s="16" t="s">
        <v>1035</v>
      </c>
      <c r="M323" s="16" t="s">
        <v>533</v>
      </c>
      <c r="N323" s="16"/>
      <c r="O323" s="16"/>
      <c r="P323" s="56" t="s">
        <v>1036</v>
      </c>
      <c r="Q323" s="11" t="s">
        <v>1038</v>
      </c>
      <c r="R323" s="16" t="s">
        <v>289</v>
      </c>
      <c r="S323" s="11" t="s">
        <v>1039</v>
      </c>
    </row>
    <row r="324" spans="1:19" s="20" customFormat="1" ht="21.75" hidden="1" customHeight="1" x14ac:dyDescent="0.2">
      <c r="A324" s="84" t="s">
        <v>1040</v>
      </c>
      <c r="B324" s="17">
        <v>4512322495</v>
      </c>
      <c r="C324" s="18">
        <v>46044</v>
      </c>
      <c r="D324" s="21">
        <v>4</v>
      </c>
      <c r="E324" s="19">
        <v>1</v>
      </c>
      <c r="F324" s="16" t="s">
        <v>326</v>
      </c>
      <c r="G324" s="16" t="s">
        <v>339</v>
      </c>
      <c r="H324" s="56" t="s">
        <v>76</v>
      </c>
      <c r="I324" s="16" t="s">
        <v>284</v>
      </c>
      <c r="J324" s="17">
        <v>20109072177</v>
      </c>
      <c r="K324" s="17" t="s">
        <v>73</v>
      </c>
      <c r="L324" s="16" t="s">
        <v>659</v>
      </c>
      <c r="M324" s="16" t="s">
        <v>474</v>
      </c>
      <c r="N324" s="11"/>
      <c r="O324" s="11"/>
      <c r="P324" s="16" t="s">
        <v>635</v>
      </c>
      <c r="Q324" s="16" t="s">
        <v>646</v>
      </c>
      <c r="R324" s="16" t="s">
        <v>289</v>
      </c>
      <c r="S324" s="11" t="s">
        <v>1041</v>
      </c>
    </row>
    <row r="325" spans="1:19" s="20" customFormat="1" ht="21.75" hidden="1" customHeight="1" x14ac:dyDescent="0.2">
      <c r="A325" s="16" t="s">
        <v>1042</v>
      </c>
      <c r="B325" s="17">
        <v>4512322523</v>
      </c>
      <c r="C325" s="18">
        <v>46048</v>
      </c>
      <c r="D325" s="21">
        <v>8</v>
      </c>
      <c r="E325" s="19">
        <v>2</v>
      </c>
      <c r="F325" s="16" t="s">
        <v>302</v>
      </c>
      <c r="G325" s="16" t="s">
        <v>303</v>
      </c>
      <c r="H325" s="56" t="s">
        <v>76</v>
      </c>
      <c r="I325" s="16" t="s">
        <v>284</v>
      </c>
      <c r="J325" s="17">
        <v>20109072177</v>
      </c>
      <c r="K325" s="11"/>
      <c r="L325" s="16" t="s">
        <v>974</v>
      </c>
      <c r="M325" s="11"/>
      <c r="N325" s="11"/>
      <c r="O325" s="11"/>
      <c r="P325" s="16" t="s">
        <v>971</v>
      </c>
      <c r="Q325" s="16" t="s">
        <v>294</v>
      </c>
      <c r="R325" s="16" t="s">
        <v>289</v>
      </c>
      <c r="S325" s="11" t="s">
        <v>1170</v>
      </c>
    </row>
    <row r="326" spans="1:19" s="20" customFormat="1" ht="21.75" hidden="1" customHeight="1" x14ac:dyDescent="0.2">
      <c r="A326" s="16" t="s">
        <v>1042</v>
      </c>
      <c r="B326" s="17">
        <v>4512322523</v>
      </c>
      <c r="C326" s="18">
        <v>46048</v>
      </c>
      <c r="D326" s="21">
        <v>8</v>
      </c>
      <c r="E326" s="19">
        <v>3</v>
      </c>
      <c r="F326" s="16" t="s">
        <v>29</v>
      </c>
      <c r="G326" s="16" t="s">
        <v>94</v>
      </c>
      <c r="H326" s="56" t="s">
        <v>76</v>
      </c>
      <c r="I326" s="16" t="s">
        <v>284</v>
      </c>
      <c r="J326" s="17">
        <v>20109072177</v>
      </c>
      <c r="K326" s="11"/>
      <c r="L326" s="16" t="s">
        <v>974</v>
      </c>
      <c r="M326" s="11"/>
      <c r="N326" s="11"/>
      <c r="O326" s="11"/>
      <c r="P326" s="16" t="s">
        <v>971</v>
      </c>
      <c r="Q326" s="16" t="s">
        <v>294</v>
      </c>
      <c r="R326" s="16" t="s">
        <v>289</v>
      </c>
      <c r="S326" s="11" t="s">
        <v>1170</v>
      </c>
    </row>
    <row r="327" spans="1:19" s="20" customFormat="1" ht="21.75" hidden="1" customHeight="1" x14ac:dyDescent="0.2">
      <c r="A327" s="16" t="s">
        <v>1042</v>
      </c>
      <c r="B327" s="17">
        <v>4512322523</v>
      </c>
      <c r="C327" s="18">
        <v>46048</v>
      </c>
      <c r="D327" s="21">
        <v>8</v>
      </c>
      <c r="E327" s="19">
        <v>3</v>
      </c>
      <c r="F327" s="16" t="s">
        <v>28</v>
      </c>
      <c r="G327" s="16" t="s">
        <v>95</v>
      </c>
      <c r="H327" s="56" t="s">
        <v>76</v>
      </c>
      <c r="I327" s="16" t="s">
        <v>284</v>
      </c>
      <c r="J327" s="17">
        <v>20109072177</v>
      </c>
      <c r="K327" s="11"/>
      <c r="L327" s="16" t="s">
        <v>974</v>
      </c>
      <c r="M327" s="11"/>
      <c r="N327" s="11"/>
      <c r="O327" s="11"/>
      <c r="P327" s="16" t="s">
        <v>971</v>
      </c>
      <c r="Q327" s="16" t="s">
        <v>294</v>
      </c>
      <c r="R327" s="16" t="s">
        <v>289</v>
      </c>
      <c r="S327" s="11" t="s">
        <v>1170</v>
      </c>
    </row>
    <row r="328" spans="1:19" s="20" customFormat="1" ht="21.75" hidden="1" customHeight="1" x14ac:dyDescent="0.2">
      <c r="A328" s="16" t="s">
        <v>1042</v>
      </c>
      <c r="B328" s="17">
        <v>4512322523</v>
      </c>
      <c r="C328" s="18">
        <v>46048</v>
      </c>
      <c r="D328" s="21">
        <v>12</v>
      </c>
      <c r="E328" s="19">
        <v>3</v>
      </c>
      <c r="F328" s="16" t="s">
        <v>15</v>
      </c>
      <c r="G328" s="16" t="s">
        <v>96</v>
      </c>
      <c r="H328" s="56" t="s">
        <v>76</v>
      </c>
      <c r="I328" s="16" t="s">
        <v>284</v>
      </c>
      <c r="J328" s="17">
        <v>20109072177</v>
      </c>
      <c r="K328" s="11"/>
      <c r="L328" s="16" t="s">
        <v>974</v>
      </c>
      <c r="M328" s="11"/>
      <c r="N328" s="11"/>
      <c r="O328" s="11"/>
      <c r="P328" s="16" t="s">
        <v>971</v>
      </c>
      <c r="Q328" s="16" t="s">
        <v>294</v>
      </c>
      <c r="R328" s="16" t="s">
        <v>289</v>
      </c>
      <c r="S328" s="11" t="s">
        <v>1170</v>
      </c>
    </row>
    <row r="329" spans="1:19" ht="21.75" hidden="1" customHeight="1" x14ac:dyDescent="0.25">
      <c r="A329" s="85" t="s">
        <v>1043</v>
      </c>
      <c r="B329" s="77">
        <v>4512322518</v>
      </c>
      <c r="C329" s="18">
        <v>46045</v>
      </c>
      <c r="D329" s="78">
        <v>4</v>
      </c>
      <c r="E329" s="60">
        <v>1</v>
      </c>
      <c r="F329" s="16" t="s">
        <v>38</v>
      </c>
      <c r="G329" s="16" t="s">
        <v>97</v>
      </c>
      <c r="H329" s="65" t="s">
        <v>76</v>
      </c>
      <c r="I329" s="79" t="s">
        <v>284</v>
      </c>
      <c r="J329" s="77">
        <v>20109072177</v>
      </c>
      <c r="K329" s="77" t="s">
        <v>73</v>
      </c>
      <c r="L329" s="79" t="s">
        <v>660</v>
      </c>
      <c r="M329" s="79" t="s">
        <v>662</v>
      </c>
      <c r="N329" s="66"/>
      <c r="O329" s="66"/>
      <c r="P329" s="79" t="s">
        <v>636</v>
      </c>
      <c r="Q329" s="79" t="s">
        <v>647</v>
      </c>
      <c r="R329" s="79" t="s">
        <v>289</v>
      </c>
      <c r="S329" s="11" t="s">
        <v>1087</v>
      </c>
    </row>
    <row r="330" spans="1:19" ht="21.75" hidden="1" customHeight="1" x14ac:dyDescent="0.25">
      <c r="A330" s="85" t="s">
        <v>1043</v>
      </c>
      <c r="B330" s="77">
        <v>4512322518</v>
      </c>
      <c r="C330" s="18">
        <v>46045</v>
      </c>
      <c r="D330" s="21">
        <v>4</v>
      </c>
      <c r="E330" s="19">
        <v>1</v>
      </c>
      <c r="F330" s="16" t="s">
        <v>602</v>
      </c>
      <c r="G330" s="16" t="s">
        <v>606</v>
      </c>
      <c r="H330" s="56" t="s">
        <v>76</v>
      </c>
      <c r="I330" s="16" t="s">
        <v>284</v>
      </c>
      <c r="J330" s="17">
        <v>20109072177</v>
      </c>
      <c r="K330" s="17" t="s">
        <v>73</v>
      </c>
      <c r="L330" s="16" t="s">
        <v>660</v>
      </c>
      <c r="M330" s="16" t="s">
        <v>662</v>
      </c>
      <c r="N330" s="11"/>
      <c r="O330" s="11"/>
      <c r="P330" s="16" t="s">
        <v>636</v>
      </c>
      <c r="Q330" s="16" t="s">
        <v>647</v>
      </c>
      <c r="R330" s="16" t="s">
        <v>289</v>
      </c>
      <c r="S330" s="11" t="s">
        <v>1087</v>
      </c>
    </row>
    <row r="331" spans="1:19" ht="21.75" hidden="1" customHeight="1" x14ac:dyDescent="0.25">
      <c r="A331" s="85" t="s">
        <v>1044</v>
      </c>
      <c r="B331" s="17">
        <v>4512322484</v>
      </c>
      <c r="C331" s="18">
        <v>46045</v>
      </c>
      <c r="D331" s="21">
        <v>4</v>
      </c>
      <c r="E331" s="19">
        <v>1</v>
      </c>
      <c r="F331" s="16" t="s">
        <v>602</v>
      </c>
      <c r="G331" s="16" t="s">
        <v>606</v>
      </c>
      <c r="H331" s="56" t="s">
        <v>76</v>
      </c>
      <c r="I331" s="16" t="s">
        <v>284</v>
      </c>
      <c r="J331" s="17">
        <v>20109072177</v>
      </c>
      <c r="K331" s="17" t="s">
        <v>73</v>
      </c>
      <c r="L331" s="16" t="s">
        <v>298</v>
      </c>
      <c r="M331" s="16" t="s">
        <v>299</v>
      </c>
      <c r="N331" s="11"/>
      <c r="O331" s="11"/>
      <c r="P331" s="16" t="s">
        <v>300</v>
      </c>
      <c r="Q331" s="16" t="s">
        <v>301</v>
      </c>
      <c r="R331" s="16" t="s">
        <v>289</v>
      </c>
      <c r="S331" s="11" t="s">
        <v>1088</v>
      </c>
    </row>
    <row r="332" spans="1:19" ht="21.75" hidden="1" customHeight="1" x14ac:dyDescent="0.25">
      <c r="A332" s="85" t="s">
        <v>1044</v>
      </c>
      <c r="B332" s="17">
        <v>4512322484</v>
      </c>
      <c r="C332" s="18">
        <v>46045</v>
      </c>
      <c r="D332" s="21">
        <v>6</v>
      </c>
      <c r="E332" s="19">
        <v>3</v>
      </c>
      <c r="F332" s="16" t="s">
        <v>1017</v>
      </c>
      <c r="G332" s="16" t="s">
        <v>1016</v>
      </c>
      <c r="H332" s="56" t="s">
        <v>76</v>
      </c>
      <c r="I332" s="16" t="s">
        <v>284</v>
      </c>
      <c r="J332" s="17">
        <v>20109072177</v>
      </c>
      <c r="K332" s="17" t="s">
        <v>73</v>
      </c>
      <c r="L332" s="16" t="s">
        <v>298</v>
      </c>
      <c r="M332" s="16" t="s">
        <v>299</v>
      </c>
      <c r="N332" s="11"/>
      <c r="O332" s="11"/>
      <c r="P332" s="16" t="s">
        <v>300</v>
      </c>
      <c r="Q332" s="16" t="s">
        <v>301</v>
      </c>
      <c r="R332" s="16" t="s">
        <v>289</v>
      </c>
      <c r="S332" s="11" t="s">
        <v>1088</v>
      </c>
    </row>
    <row r="333" spans="1:19" ht="21.75" hidden="1" customHeight="1" x14ac:dyDescent="0.25">
      <c r="A333" s="85" t="s">
        <v>1045</v>
      </c>
      <c r="B333" s="17">
        <v>4512322442</v>
      </c>
      <c r="C333" s="18">
        <v>46045</v>
      </c>
      <c r="D333" s="21">
        <v>4</v>
      </c>
      <c r="E333" s="19">
        <v>1</v>
      </c>
      <c r="F333" s="16" t="s">
        <v>325</v>
      </c>
      <c r="G333" s="16" t="s">
        <v>338</v>
      </c>
      <c r="H333" s="56" t="s">
        <v>76</v>
      </c>
      <c r="I333" s="16" t="s">
        <v>284</v>
      </c>
      <c r="J333" s="17">
        <v>20109072177</v>
      </c>
      <c r="K333" s="17" t="s">
        <v>73</v>
      </c>
      <c r="L333" s="16" t="s">
        <v>657</v>
      </c>
      <c r="M333" s="16" t="s">
        <v>392</v>
      </c>
      <c r="N333" s="11"/>
      <c r="O333" s="11"/>
      <c r="P333" s="16" t="s">
        <v>631</v>
      </c>
      <c r="Q333" s="16" t="s">
        <v>644</v>
      </c>
      <c r="R333" s="16" t="s">
        <v>289</v>
      </c>
      <c r="S333" s="11" t="s">
        <v>1089</v>
      </c>
    </row>
    <row r="334" spans="1:19" ht="21.75" hidden="1" customHeight="1" x14ac:dyDescent="0.25">
      <c r="A334" s="85" t="s">
        <v>1045</v>
      </c>
      <c r="B334" s="17">
        <v>4512322442</v>
      </c>
      <c r="C334" s="18">
        <v>46045</v>
      </c>
      <c r="D334" s="21">
        <v>8</v>
      </c>
      <c r="E334" s="19">
        <v>2</v>
      </c>
      <c r="F334" s="16" t="s">
        <v>602</v>
      </c>
      <c r="G334" s="16" t="s">
        <v>606</v>
      </c>
      <c r="H334" s="56" t="s">
        <v>76</v>
      </c>
      <c r="I334" s="16" t="s">
        <v>284</v>
      </c>
      <c r="J334" s="17">
        <v>20109072177</v>
      </c>
      <c r="K334" s="17" t="s">
        <v>73</v>
      </c>
      <c r="L334" s="16" t="s">
        <v>657</v>
      </c>
      <c r="M334" s="16" t="s">
        <v>392</v>
      </c>
      <c r="N334" s="11"/>
      <c r="O334" s="11"/>
      <c r="P334" s="16" t="s">
        <v>631</v>
      </c>
      <c r="Q334" s="16" t="s">
        <v>644</v>
      </c>
      <c r="R334" s="16" t="s">
        <v>289</v>
      </c>
      <c r="S334" s="11" t="s">
        <v>1089</v>
      </c>
    </row>
    <row r="335" spans="1:19" ht="21.75" hidden="1" customHeight="1" x14ac:dyDescent="0.25">
      <c r="A335" s="85" t="s">
        <v>1046</v>
      </c>
      <c r="B335" s="17">
        <v>4512322421</v>
      </c>
      <c r="C335" s="18">
        <v>46046</v>
      </c>
      <c r="D335" s="21">
        <v>6</v>
      </c>
      <c r="E335" s="19">
        <v>3</v>
      </c>
      <c r="F335" s="16" t="s">
        <v>296</v>
      </c>
      <c r="G335" s="16" t="s">
        <v>297</v>
      </c>
      <c r="H335" s="56" t="s">
        <v>76</v>
      </c>
      <c r="I335" s="16" t="s">
        <v>284</v>
      </c>
      <c r="J335" s="17">
        <v>20109072177</v>
      </c>
      <c r="K335" s="17" t="s">
        <v>73</v>
      </c>
      <c r="L335" s="16" t="s">
        <v>311</v>
      </c>
      <c r="M335" s="16" t="s">
        <v>312</v>
      </c>
      <c r="N335" s="11"/>
      <c r="O335" s="11"/>
      <c r="P335" s="16" t="s">
        <v>259</v>
      </c>
      <c r="Q335" s="16" t="s">
        <v>313</v>
      </c>
      <c r="R335" s="16" t="s">
        <v>289</v>
      </c>
      <c r="S335" s="11" t="s">
        <v>1103</v>
      </c>
    </row>
    <row r="336" spans="1:19" ht="21.75" hidden="1" customHeight="1" x14ac:dyDescent="0.25">
      <c r="A336" s="85" t="s">
        <v>1046</v>
      </c>
      <c r="B336" s="17">
        <v>4512322421</v>
      </c>
      <c r="C336" s="18">
        <v>46046</v>
      </c>
      <c r="D336" s="21">
        <v>6</v>
      </c>
      <c r="E336" s="19">
        <v>3</v>
      </c>
      <c r="F336" s="16" t="s">
        <v>966</v>
      </c>
      <c r="G336" s="16" t="s">
        <v>968</v>
      </c>
      <c r="H336" s="56" t="s">
        <v>76</v>
      </c>
      <c r="I336" s="16" t="s">
        <v>284</v>
      </c>
      <c r="J336" s="17">
        <v>20109072177</v>
      </c>
      <c r="K336" s="17" t="s">
        <v>73</v>
      </c>
      <c r="L336" s="16" t="s">
        <v>311</v>
      </c>
      <c r="M336" s="16" t="s">
        <v>312</v>
      </c>
      <c r="N336" s="11"/>
      <c r="O336" s="11"/>
      <c r="P336" s="16" t="s">
        <v>259</v>
      </c>
      <c r="Q336" s="16" t="s">
        <v>313</v>
      </c>
      <c r="R336" s="16" t="s">
        <v>289</v>
      </c>
      <c r="S336" s="11" t="s">
        <v>1103</v>
      </c>
    </row>
    <row r="337" spans="1:19" ht="21.75" hidden="1" customHeight="1" x14ac:dyDescent="0.25">
      <c r="A337" s="85" t="s">
        <v>1046</v>
      </c>
      <c r="B337" s="17">
        <v>4512322421</v>
      </c>
      <c r="C337" s="18">
        <v>46046</v>
      </c>
      <c r="D337" s="21">
        <v>6</v>
      </c>
      <c r="E337" s="19">
        <v>3</v>
      </c>
      <c r="F337" s="16" t="s">
        <v>1017</v>
      </c>
      <c r="G337" s="16" t="s">
        <v>1016</v>
      </c>
      <c r="H337" s="56" t="s">
        <v>76</v>
      </c>
      <c r="I337" s="16" t="s">
        <v>284</v>
      </c>
      <c r="J337" s="17">
        <v>20109072177</v>
      </c>
      <c r="K337" s="17" t="s">
        <v>73</v>
      </c>
      <c r="L337" s="16" t="s">
        <v>311</v>
      </c>
      <c r="M337" s="16" t="s">
        <v>312</v>
      </c>
      <c r="N337" s="11"/>
      <c r="O337" s="11"/>
      <c r="P337" s="16" t="s">
        <v>259</v>
      </c>
      <c r="Q337" s="16" t="s">
        <v>313</v>
      </c>
      <c r="R337" s="16" t="s">
        <v>289</v>
      </c>
      <c r="S337" s="11" t="s">
        <v>1103</v>
      </c>
    </row>
    <row r="338" spans="1:19" ht="21.75" hidden="1" customHeight="1" x14ac:dyDescent="0.25">
      <c r="A338" s="85" t="s">
        <v>1046</v>
      </c>
      <c r="B338" s="17">
        <v>4512322421</v>
      </c>
      <c r="C338" s="18">
        <v>46046</v>
      </c>
      <c r="D338" s="21">
        <v>4</v>
      </c>
      <c r="E338" s="19">
        <v>1</v>
      </c>
      <c r="F338" s="16" t="s">
        <v>28</v>
      </c>
      <c r="G338" s="16" t="s">
        <v>95</v>
      </c>
      <c r="H338" s="56" t="s">
        <v>76</v>
      </c>
      <c r="I338" s="16" t="s">
        <v>284</v>
      </c>
      <c r="J338" s="17">
        <v>20109072177</v>
      </c>
      <c r="K338" s="17" t="s">
        <v>73</v>
      </c>
      <c r="L338" s="16" t="s">
        <v>311</v>
      </c>
      <c r="M338" s="16" t="s">
        <v>312</v>
      </c>
      <c r="N338" s="11"/>
      <c r="O338" s="11"/>
      <c r="P338" s="16" t="s">
        <v>259</v>
      </c>
      <c r="Q338" s="16" t="s">
        <v>313</v>
      </c>
      <c r="R338" s="16" t="s">
        <v>289</v>
      </c>
      <c r="S338" s="11" t="s">
        <v>1103</v>
      </c>
    </row>
    <row r="339" spans="1:19" ht="21.75" hidden="1" customHeight="1" x14ac:dyDescent="0.25">
      <c r="A339" s="85" t="s">
        <v>1046</v>
      </c>
      <c r="B339" s="17">
        <v>4512322421</v>
      </c>
      <c r="C339" s="18">
        <v>46046</v>
      </c>
      <c r="D339" s="21">
        <v>4</v>
      </c>
      <c r="E339" s="19">
        <v>1</v>
      </c>
      <c r="F339" s="16" t="s">
        <v>29</v>
      </c>
      <c r="G339" s="16" t="s">
        <v>94</v>
      </c>
      <c r="H339" s="56" t="s">
        <v>76</v>
      </c>
      <c r="I339" s="16" t="s">
        <v>284</v>
      </c>
      <c r="J339" s="17">
        <v>20109072177</v>
      </c>
      <c r="K339" s="17" t="s">
        <v>73</v>
      </c>
      <c r="L339" s="16" t="s">
        <v>311</v>
      </c>
      <c r="M339" s="16" t="s">
        <v>312</v>
      </c>
      <c r="N339" s="11"/>
      <c r="O339" s="11"/>
      <c r="P339" s="16" t="s">
        <v>259</v>
      </c>
      <c r="Q339" s="16" t="s">
        <v>313</v>
      </c>
      <c r="R339" s="16" t="s">
        <v>289</v>
      </c>
      <c r="S339" s="11" t="s">
        <v>1103</v>
      </c>
    </row>
    <row r="340" spans="1:19" s="20" customFormat="1" ht="21.75" hidden="1" customHeight="1" x14ac:dyDescent="0.2">
      <c r="A340" s="85" t="s">
        <v>1049</v>
      </c>
      <c r="B340" s="80">
        <v>4512322406</v>
      </c>
      <c r="C340" s="18">
        <v>46045</v>
      </c>
      <c r="D340" s="55">
        <v>6</v>
      </c>
      <c r="E340" s="54">
        <v>1</v>
      </c>
      <c r="F340" s="16" t="s">
        <v>32</v>
      </c>
      <c r="G340" s="16" t="s">
        <v>78</v>
      </c>
      <c r="H340" s="16" t="s">
        <v>76</v>
      </c>
      <c r="I340" s="16" t="s">
        <v>284</v>
      </c>
      <c r="J340" s="16">
        <v>20109072177</v>
      </c>
      <c r="K340" s="16" t="s">
        <v>73</v>
      </c>
      <c r="L340" s="16" t="s">
        <v>1047</v>
      </c>
      <c r="M340" s="16" t="s">
        <v>392</v>
      </c>
      <c r="N340" s="11"/>
      <c r="O340" s="11"/>
      <c r="P340" s="16" t="s">
        <v>256</v>
      </c>
      <c r="Q340" s="16" t="s">
        <v>1048</v>
      </c>
      <c r="R340" s="16" t="s">
        <v>289</v>
      </c>
      <c r="S340" s="11" t="s">
        <v>1090</v>
      </c>
    </row>
    <row r="341" spans="1:19" s="20" customFormat="1" ht="21.75" hidden="1" customHeight="1" x14ac:dyDescent="0.2">
      <c r="A341" s="85" t="s">
        <v>1049</v>
      </c>
      <c r="B341" s="80">
        <v>4512322406</v>
      </c>
      <c r="C341" s="18">
        <v>46045</v>
      </c>
      <c r="D341" s="55">
        <v>6</v>
      </c>
      <c r="E341" s="54">
        <v>1</v>
      </c>
      <c r="F341" s="16" t="s">
        <v>296</v>
      </c>
      <c r="G341" s="16" t="s">
        <v>297</v>
      </c>
      <c r="H341" s="16" t="s">
        <v>76</v>
      </c>
      <c r="I341" s="16" t="s">
        <v>284</v>
      </c>
      <c r="J341" s="16">
        <v>20109072177</v>
      </c>
      <c r="K341" s="16" t="s">
        <v>73</v>
      </c>
      <c r="L341" s="16" t="s">
        <v>1047</v>
      </c>
      <c r="M341" s="16" t="s">
        <v>392</v>
      </c>
      <c r="N341" s="11"/>
      <c r="O341" s="11"/>
      <c r="P341" s="16" t="s">
        <v>256</v>
      </c>
      <c r="Q341" s="16" t="s">
        <v>1048</v>
      </c>
      <c r="R341" s="16" t="s">
        <v>289</v>
      </c>
      <c r="S341" s="11" t="s">
        <v>1090</v>
      </c>
    </row>
    <row r="342" spans="1:19" s="20" customFormat="1" ht="21.75" hidden="1" customHeight="1" x14ac:dyDescent="0.2">
      <c r="A342" s="85" t="s">
        <v>1049</v>
      </c>
      <c r="B342" s="80">
        <v>4512322406</v>
      </c>
      <c r="C342" s="18">
        <v>46045</v>
      </c>
      <c r="D342" s="55">
        <v>4</v>
      </c>
      <c r="E342" s="54">
        <v>1</v>
      </c>
      <c r="F342" s="16" t="s">
        <v>28</v>
      </c>
      <c r="G342" s="16" t="s">
        <v>95</v>
      </c>
      <c r="H342" s="16" t="s">
        <v>76</v>
      </c>
      <c r="I342" s="16" t="s">
        <v>284</v>
      </c>
      <c r="J342" s="16">
        <v>20109072177</v>
      </c>
      <c r="K342" s="16" t="s">
        <v>73</v>
      </c>
      <c r="L342" s="16" t="s">
        <v>1047</v>
      </c>
      <c r="M342" s="16" t="s">
        <v>392</v>
      </c>
      <c r="N342" s="11"/>
      <c r="O342" s="11"/>
      <c r="P342" s="16" t="s">
        <v>256</v>
      </c>
      <c r="Q342" s="16" t="s">
        <v>1048</v>
      </c>
      <c r="R342" s="16" t="s">
        <v>289</v>
      </c>
      <c r="S342" s="11" t="s">
        <v>1090</v>
      </c>
    </row>
    <row r="343" spans="1:19" s="20" customFormat="1" ht="21.75" hidden="1" customHeight="1" x14ac:dyDescent="0.2">
      <c r="A343" s="85" t="s">
        <v>1049</v>
      </c>
      <c r="B343" s="80">
        <v>4512322406</v>
      </c>
      <c r="C343" s="18">
        <v>46045</v>
      </c>
      <c r="D343" s="55">
        <v>4</v>
      </c>
      <c r="E343" s="54">
        <v>1</v>
      </c>
      <c r="F343" s="16" t="s">
        <v>602</v>
      </c>
      <c r="G343" s="16" t="s">
        <v>606</v>
      </c>
      <c r="H343" s="16" t="s">
        <v>76</v>
      </c>
      <c r="I343" s="16" t="s">
        <v>284</v>
      </c>
      <c r="J343" s="16">
        <v>20109072177</v>
      </c>
      <c r="K343" s="16" t="s">
        <v>73</v>
      </c>
      <c r="L343" s="16" t="s">
        <v>1047</v>
      </c>
      <c r="M343" s="16" t="s">
        <v>392</v>
      </c>
      <c r="N343" s="11"/>
      <c r="O343" s="11"/>
      <c r="P343" s="16" t="s">
        <v>256</v>
      </c>
      <c r="Q343" s="16" t="s">
        <v>1048</v>
      </c>
      <c r="R343" s="16" t="s">
        <v>289</v>
      </c>
      <c r="S343" s="11" t="s">
        <v>1090</v>
      </c>
    </row>
    <row r="344" spans="1:19" ht="21.75" hidden="1" customHeight="1" x14ac:dyDescent="0.25">
      <c r="A344" s="85" t="s">
        <v>1052</v>
      </c>
      <c r="B344" s="17">
        <v>4512322380</v>
      </c>
      <c r="C344" s="18">
        <v>46045</v>
      </c>
      <c r="D344" s="21">
        <v>4</v>
      </c>
      <c r="E344" s="19">
        <v>4</v>
      </c>
      <c r="F344" s="16" t="s">
        <v>1050</v>
      </c>
      <c r="G344" s="16" t="s">
        <v>1051</v>
      </c>
      <c r="H344" s="56" t="s">
        <v>76</v>
      </c>
      <c r="I344" s="16" t="s">
        <v>284</v>
      </c>
      <c r="J344" s="17">
        <v>20109072177</v>
      </c>
      <c r="K344" s="17" t="s">
        <v>73</v>
      </c>
      <c r="L344" s="16" t="s">
        <v>655</v>
      </c>
      <c r="M344" s="16" t="s">
        <v>533</v>
      </c>
      <c r="N344" s="11"/>
      <c r="O344" s="11"/>
      <c r="P344" s="16" t="s">
        <v>257</v>
      </c>
      <c r="Q344" s="16" t="s">
        <v>642</v>
      </c>
      <c r="R344" s="16" t="s">
        <v>289</v>
      </c>
      <c r="S344" s="11" t="s">
        <v>1091</v>
      </c>
    </row>
    <row r="345" spans="1:19" ht="21.75" hidden="1" customHeight="1" x14ac:dyDescent="0.25">
      <c r="A345" s="85" t="s">
        <v>1052</v>
      </c>
      <c r="B345" s="17">
        <v>4512322380</v>
      </c>
      <c r="C345" s="18">
        <v>46045</v>
      </c>
      <c r="D345" s="21">
        <v>6</v>
      </c>
      <c r="E345" s="19">
        <v>3</v>
      </c>
      <c r="F345" s="16" t="s">
        <v>966</v>
      </c>
      <c r="G345" s="16" t="s">
        <v>968</v>
      </c>
      <c r="H345" s="56" t="s">
        <v>76</v>
      </c>
      <c r="I345" s="16" t="s">
        <v>284</v>
      </c>
      <c r="J345" s="17">
        <v>20109072177</v>
      </c>
      <c r="K345" s="17" t="s">
        <v>73</v>
      </c>
      <c r="L345" s="16" t="s">
        <v>655</v>
      </c>
      <c r="M345" s="16" t="s">
        <v>533</v>
      </c>
      <c r="N345" s="11"/>
      <c r="O345" s="11"/>
      <c r="P345" s="16" t="s">
        <v>257</v>
      </c>
      <c r="Q345" s="16" t="s">
        <v>642</v>
      </c>
      <c r="R345" s="16" t="s">
        <v>289</v>
      </c>
      <c r="S345" s="11" t="s">
        <v>1091</v>
      </c>
    </row>
    <row r="346" spans="1:19" ht="21.75" hidden="1" customHeight="1" x14ac:dyDescent="0.25">
      <c r="A346" s="85" t="s">
        <v>1052</v>
      </c>
      <c r="B346" s="17">
        <v>4512322380</v>
      </c>
      <c r="C346" s="18">
        <v>46045</v>
      </c>
      <c r="D346" s="21">
        <v>4</v>
      </c>
      <c r="E346" s="19">
        <v>1</v>
      </c>
      <c r="F346" s="16" t="s">
        <v>15</v>
      </c>
      <c r="G346" s="16" t="s">
        <v>96</v>
      </c>
      <c r="H346" s="56" t="s">
        <v>76</v>
      </c>
      <c r="I346" s="16" t="s">
        <v>284</v>
      </c>
      <c r="J346" s="17">
        <v>20109072177</v>
      </c>
      <c r="K346" s="17" t="s">
        <v>73</v>
      </c>
      <c r="L346" s="16" t="s">
        <v>655</v>
      </c>
      <c r="M346" s="16" t="s">
        <v>533</v>
      </c>
      <c r="N346" s="11"/>
      <c r="O346" s="11"/>
      <c r="P346" s="16" t="s">
        <v>257</v>
      </c>
      <c r="Q346" s="16" t="s">
        <v>642</v>
      </c>
      <c r="R346" s="16" t="s">
        <v>289</v>
      </c>
      <c r="S346" s="11" t="s">
        <v>1091</v>
      </c>
    </row>
    <row r="347" spans="1:19" ht="21.75" hidden="1" customHeight="1" x14ac:dyDescent="0.25">
      <c r="A347" s="85" t="s">
        <v>1052</v>
      </c>
      <c r="B347" s="17">
        <v>4512322380</v>
      </c>
      <c r="C347" s="18">
        <v>46045</v>
      </c>
      <c r="D347" s="21">
        <v>8</v>
      </c>
      <c r="E347" s="19">
        <v>2</v>
      </c>
      <c r="F347" s="16" t="s">
        <v>302</v>
      </c>
      <c r="G347" s="16" t="s">
        <v>303</v>
      </c>
      <c r="H347" s="56" t="s">
        <v>76</v>
      </c>
      <c r="I347" s="16" t="s">
        <v>284</v>
      </c>
      <c r="J347" s="17">
        <v>20109072177</v>
      </c>
      <c r="K347" s="17" t="s">
        <v>73</v>
      </c>
      <c r="L347" s="16" t="s">
        <v>655</v>
      </c>
      <c r="M347" s="16" t="s">
        <v>533</v>
      </c>
      <c r="N347" s="11"/>
      <c r="O347" s="11"/>
      <c r="P347" s="16" t="s">
        <v>257</v>
      </c>
      <c r="Q347" s="16" t="s">
        <v>642</v>
      </c>
      <c r="R347" s="16" t="s">
        <v>289</v>
      </c>
      <c r="S347" s="11" t="s">
        <v>1091</v>
      </c>
    </row>
    <row r="348" spans="1:19" ht="21.75" hidden="1" customHeight="1" x14ac:dyDescent="0.25">
      <c r="A348" s="85" t="s">
        <v>1052</v>
      </c>
      <c r="B348" s="17">
        <v>4512322380</v>
      </c>
      <c r="C348" s="18">
        <v>46045</v>
      </c>
      <c r="D348" s="21">
        <v>4</v>
      </c>
      <c r="E348" s="19">
        <v>1</v>
      </c>
      <c r="F348" s="16" t="s">
        <v>325</v>
      </c>
      <c r="G348" s="16" t="s">
        <v>338</v>
      </c>
      <c r="H348" s="56" t="s">
        <v>76</v>
      </c>
      <c r="I348" s="16" t="s">
        <v>284</v>
      </c>
      <c r="J348" s="17">
        <v>20109072177</v>
      </c>
      <c r="K348" s="17" t="s">
        <v>73</v>
      </c>
      <c r="L348" s="16" t="s">
        <v>655</v>
      </c>
      <c r="M348" s="16" t="s">
        <v>533</v>
      </c>
      <c r="N348" s="11"/>
      <c r="O348" s="11"/>
      <c r="P348" s="16" t="s">
        <v>257</v>
      </c>
      <c r="Q348" s="16" t="s">
        <v>642</v>
      </c>
      <c r="R348" s="16" t="s">
        <v>289</v>
      </c>
      <c r="S348" s="11" t="s">
        <v>1091</v>
      </c>
    </row>
    <row r="349" spans="1:19" ht="21.75" hidden="1" customHeight="1" x14ac:dyDescent="0.25">
      <c r="A349" s="85" t="s">
        <v>1053</v>
      </c>
      <c r="B349" s="17">
        <v>4512322278</v>
      </c>
      <c r="C349" s="18">
        <v>46045</v>
      </c>
      <c r="D349" s="21">
        <v>4</v>
      </c>
      <c r="E349" s="19">
        <v>1</v>
      </c>
      <c r="F349" s="16" t="s">
        <v>967</v>
      </c>
      <c r="G349" s="16" t="s">
        <v>969</v>
      </c>
      <c r="H349" s="56" t="s">
        <v>76</v>
      </c>
      <c r="I349" s="16" t="s">
        <v>284</v>
      </c>
      <c r="J349" s="17">
        <v>20109072177</v>
      </c>
      <c r="K349" s="17" t="s">
        <v>73</v>
      </c>
      <c r="L349" s="16" t="s">
        <v>652</v>
      </c>
      <c r="M349" s="16" t="s">
        <v>299</v>
      </c>
      <c r="N349" s="11"/>
      <c r="O349" s="11"/>
      <c r="P349" s="16" t="s">
        <v>632</v>
      </c>
      <c r="Q349" s="16" t="s">
        <v>639</v>
      </c>
      <c r="R349" s="16" t="s">
        <v>289</v>
      </c>
      <c r="S349" s="11" t="s">
        <v>1092</v>
      </c>
    </row>
    <row r="350" spans="1:19" ht="21.75" hidden="1" customHeight="1" x14ac:dyDescent="0.25">
      <c r="A350" s="85" t="s">
        <v>1053</v>
      </c>
      <c r="B350" s="17">
        <v>4512322278</v>
      </c>
      <c r="C350" s="18">
        <v>46045</v>
      </c>
      <c r="D350" s="21">
        <v>8</v>
      </c>
      <c r="E350" s="19">
        <v>1</v>
      </c>
      <c r="F350" s="16" t="s">
        <v>31</v>
      </c>
      <c r="G350" s="16" t="s">
        <v>98</v>
      </c>
      <c r="H350" s="56" t="s">
        <v>76</v>
      </c>
      <c r="I350" s="16" t="s">
        <v>284</v>
      </c>
      <c r="J350" s="17">
        <v>20109072177</v>
      </c>
      <c r="K350" s="17" t="s">
        <v>73</v>
      </c>
      <c r="L350" s="16" t="s">
        <v>652</v>
      </c>
      <c r="M350" s="16" t="s">
        <v>299</v>
      </c>
      <c r="N350" s="11"/>
      <c r="O350" s="11"/>
      <c r="P350" s="16" t="s">
        <v>632</v>
      </c>
      <c r="Q350" s="16" t="s">
        <v>639</v>
      </c>
      <c r="R350" s="16" t="s">
        <v>289</v>
      </c>
      <c r="S350" s="11" t="s">
        <v>1092</v>
      </c>
    </row>
    <row r="351" spans="1:19" ht="21.75" hidden="1" customHeight="1" x14ac:dyDescent="0.25">
      <c r="A351" s="85" t="s">
        <v>1053</v>
      </c>
      <c r="B351" s="17">
        <v>4512322278</v>
      </c>
      <c r="C351" s="18">
        <v>46045</v>
      </c>
      <c r="D351" s="21">
        <v>4</v>
      </c>
      <c r="E351" s="19">
        <v>1</v>
      </c>
      <c r="F351" s="16" t="s">
        <v>29</v>
      </c>
      <c r="G351" s="16" t="s">
        <v>94</v>
      </c>
      <c r="H351" s="56" t="s">
        <v>76</v>
      </c>
      <c r="I351" s="16" t="s">
        <v>284</v>
      </c>
      <c r="J351" s="17">
        <v>20109072177</v>
      </c>
      <c r="K351" s="17" t="s">
        <v>73</v>
      </c>
      <c r="L351" s="16" t="s">
        <v>652</v>
      </c>
      <c r="M351" s="16" t="s">
        <v>299</v>
      </c>
      <c r="N351" s="11"/>
      <c r="O351" s="11"/>
      <c r="P351" s="16" t="s">
        <v>632</v>
      </c>
      <c r="Q351" s="16" t="s">
        <v>639</v>
      </c>
      <c r="R351" s="16" t="s">
        <v>289</v>
      </c>
      <c r="S351" s="11" t="s">
        <v>1092</v>
      </c>
    </row>
    <row r="352" spans="1:19" ht="21.75" hidden="1" customHeight="1" x14ac:dyDescent="0.25">
      <c r="A352" s="85" t="s">
        <v>1054</v>
      </c>
      <c r="B352" s="17">
        <v>4512322274</v>
      </c>
      <c r="C352" s="18">
        <v>46046</v>
      </c>
      <c r="D352" s="21">
        <v>4</v>
      </c>
      <c r="E352" s="19">
        <v>1</v>
      </c>
      <c r="F352" s="16" t="s">
        <v>326</v>
      </c>
      <c r="G352" s="16" t="s">
        <v>339</v>
      </c>
      <c r="H352" s="56" t="s">
        <v>76</v>
      </c>
      <c r="I352" s="16" t="s">
        <v>284</v>
      </c>
      <c r="J352" s="17">
        <v>20109072177</v>
      </c>
      <c r="K352" s="17" t="s">
        <v>73</v>
      </c>
      <c r="L352" s="16" t="s">
        <v>653</v>
      </c>
      <c r="M352" s="16" t="s">
        <v>312</v>
      </c>
      <c r="N352" s="11"/>
      <c r="O352" s="11"/>
      <c r="P352" s="16" t="s">
        <v>633</v>
      </c>
      <c r="Q352" s="16" t="s">
        <v>640</v>
      </c>
      <c r="R352" s="16" t="s">
        <v>289</v>
      </c>
      <c r="S352" s="11" t="s">
        <v>1104</v>
      </c>
    </row>
    <row r="353" spans="1:19" ht="21.75" hidden="1" customHeight="1" x14ac:dyDescent="0.25">
      <c r="A353" s="85" t="s">
        <v>1054</v>
      </c>
      <c r="B353" s="17">
        <v>4512322274</v>
      </c>
      <c r="C353" s="18">
        <v>46046</v>
      </c>
      <c r="D353" s="21">
        <v>4</v>
      </c>
      <c r="E353" s="19">
        <v>1</v>
      </c>
      <c r="F353" s="16" t="s">
        <v>302</v>
      </c>
      <c r="G353" s="16" t="s">
        <v>303</v>
      </c>
      <c r="H353" s="56" t="s">
        <v>76</v>
      </c>
      <c r="I353" s="16" t="s">
        <v>284</v>
      </c>
      <c r="J353" s="17">
        <v>20109072177</v>
      </c>
      <c r="K353" s="17" t="s">
        <v>73</v>
      </c>
      <c r="L353" s="16" t="s">
        <v>653</v>
      </c>
      <c r="M353" s="16" t="s">
        <v>312</v>
      </c>
      <c r="N353" s="11"/>
      <c r="O353" s="11"/>
      <c r="P353" s="16" t="s">
        <v>633</v>
      </c>
      <c r="Q353" s="16" t="s">
        <v>640</v>
      </c>
      <c r="R353" s="16" t="s">
        <v>289</v>
      </c>
      <c r="S353" s="11" t="s">
        <v>1104</v>
      </c>
    </row>
    <row r="354" spans="1:19" ht="21.75" hidden="1" customHeight="1" x14ac:dyDescent="0.25">
      <c r="A354" s="85" t="s">
        <v>1055</v>
      </c>
      <c r="B354" s="17">
        <v>4512322437</v>
      </c>
      <c r="C354" s="18">
        <v>46045</v>
      </c>
      <c r="D354" s="21">
        <v>8</v>
      </c>
      <c r="E354" s="19">
        <v>2</v>
      </c>
      <c r="F354" s="16" t="s">
        <v>602</v>
      </c>
      <c r="G354" s="16" t="s">
        <v>606</v>
      </c>
      <c r="H354" s="56" t="s">
        <v>76</v>
      </c>
      <c r="I354" s="16" t="s">
        <v>284</v>
      </c>
      <c r="J354" s="17">
        <v>20109072177</v>
      </c>
      <c r="K354" s="17" t="s">
        <v>73</v>
      </c>
      <c r="L354" s="16" t="s">
        <v>656</v>
      </c>
      <c r="M354" s="16" t="s">
        <v>392</v>
      </c>
      <c r="N354" s="11"/>
      <c r="O354" s="11"/>
      <c r="P354" s="16" t="s">
        <v>63</v>
      </c>
      <c r="Q354" s="16" t="s">
        <v>643</v>
      </c>
      <c r="R354" s="16" t="s">
        <v>289</v>
      </c>
      <c r="S354" s="11" t="s">
        <v>1093</v>
      </c>
    </row>
    <row r="355" spans="1:19" ht="21.75" hidden="1" customHeight="1" x14ac:dyDescent="0.25">
      <c r="A355" s="85" t="s">
        <v>1055</v>
      </c>
      <c r="B355" s="17">
        <v>4512322437</v>
      </c>
      <c r="C355" s="18">
        <v>46045</v>
      </c>
      <c r="D355" s="21">
        <v>4</v>
      </c>
      <c r="E355" s="19">
        <v>1</v>
      </c>
      <c r="F355" s="16" t="s">
        <v>302</v>
      </c>
      <c r="G355" s="16" t="s">
        <v>303</v>
      </c>
      <c r="H355" s="56" t="s">
        <v>76</v>
      </c>
      <c r="I355" s="16" t="s">
        <v>284</v>
      </c>
      <c r="J355" s="17">
        <v>20109072177</v>
      </c>
      <c r="K355" s="17" t="s">
        <v>73</v>
      </c>
      <c r="L355" s="16" t="s">
        <v>656</v>
      </c>
      <c r="M355" s="16" t="s">
        <v>392</v>
      </c>
      <c r="N355" s="11"/>
      <c r="O355" s="11"/>
      <c r="P355" s="16" t="s">
        <v>63</v>
      </c>
      <c r="Q355" s="16" t="s">
        <v>643</v>
      </c>
      <c r="R355" s="16" t="s">
        <v>289</v>
      </c>
      <c r="S355" s="11" t="s">
        <v>1093</v>
      </c>
    </row>
    <row r="356" spans="1:19" ht="21.75" hidden="1" customHeight="1" x14ac:dyDescent="0.25">
      <c r="A356" s="85" t="s">
        <v>1055</v>
      </c>
      <c r="B356" s="17">
        <v>4512322437</v>
      </c>
      <c r="C356" s="18">
        <v>46045</v>
      </c>
      <c r="D356" s="21">
        <v>4</v>
      </c>
      <c r="E356" s="19">
        <v>1</v>
      </c>
      <c r="F356" s="16" t="s">
        <v>326</v>
      </c>
      <c r="G356" s="16" t="s">
        <v>339</v>
      </c>
      <c r="H356" s="56" t="s">
        <v>76</v>
      </c>
      <c r="I356" s="16" t="s">
        <v>284</v>
      </c>
      <c r="J356" s="17">
        <v>20109072177</v>
      </c>
      <c r="K356" s="17" t="s">
        <v>73</v>
      </c>
      <c r="L356" s="16" t="s">
        <v>656</v>
      </c>
      <c r="M356" s="16" t="s">
        <v>392</v>
      </c>
      <c r="N356" s="11"/>
      <c r="O356" s="11"/>
      <c r="P356" s="16" t="s">
        <v>63</v>
      </c>
      <c r="Q356" s="16" t="s">
        <v>643</v>
      </c>
      <c r="R356" s="16" t="s">
        <v>289</v>
      </c>
      <c r="S356" s="11" t="s">
        <v>1093</v>
      </c>
    </row>
    <row r="357" spans="1:19" ht="21.75" hidden="1" customHeight="1" x14ac:dyDescent="0.25">
      <c r="A357" s="85" t="s">
        <v>1055</v>
      </c>
      <c r="B357" s="17">
        <v>4512322437</v>
      </c>
      <c r="C357" s="18">
        <v>46045</v>
      </c>
      <c r="D357" s="21">
        <v>8</v>
      </c>
      <c r="E357" s="19">
        <v>1</v>
      </c>
      <c r="F357" s="16" t="s">
        <v>31</v>
      </c>
      <c r="G357" s="16" t="s">
        <v>98</v>
      </c>
      <c r="H357" s="56" t="s">
        <v>76</v>
      </c>
      <c r="I357" s="16" t="s">
        <v>284</v>
      </c>
      <c r="J357" s="17">
        <v>20109072177</v>
      </c>
      <c r="K357" s="17" t="s">
        <v>73</v>
      </c>
      <c r="L357" s="16" t="s">
        <v>656</v>
      </c>
      <c r="M357" s="16" t="s">
        <v>392</v>
      </c>
      <c r="N357" s="11"/>
      <c r="O357" s="11"/>
      <c r="P357" s="16" t="s">
        <v>63</v>
      </c>
      <c r="Q357" s="16" t="s">
        <v>643</v>
      </c>
      <c r="R357" s="16" t="s">
        <v>289</v>
      </c>
      <c r="S357" s="11" t="s">
        <v>1093</v>
      </c>
    </row>
    <row r="358" spans="1:19" ht="21.75" hidden="1" customHeight="1" x14ac:dyDescent="0.25">
      <c r="A358" s="85" t="s">
        <v>1056</v>
      </c>
      <c r="B358" s="17">
        <v>4512322231</v>
      </c>
      <c r="C358" s="18">
        <v>46045</v>
      </c>
      <c r="D358" s="21">
        <v>4</v>
      </c>
      <c r="E358" s="19">
        <v>1</v>
      </c>
      <c r="F358" s="16" t="s">
        <v>15</v>
      </c>
      <c r="G358" s="16" t="s">
        <v>96</v>
      </c>
      <c r="H358" s="56" t="s">
        <v>76</v>
      </c>
      <c r="I358" s="16" t="s">
        <v>284</v>
      </c>
      <c r="J358" s="17">
        <v>20109072177</v>
      </c>
      <c r="K358" s="17" t="s">
        <v>73</v>
      </c>
      <c r="L358" s="81" t="s">
        <v>651</v>
      </c>
      <c r="M358" s="16" t="s">
        <v>299</v>
      </c>
      <c r="N358" s="11"/>
      <c r="O358" s="11"/>
      <c r="P358" s="16" t="s">
        <v>631</v>
      </c>
      <c r="Q358" s="16" t="s">
        <v>638</v>
      </c>
      <c r="R358" s="16" t="s">
        <v>289</v>
      </c>
      <c r="S358" s="11" t="s">
        <v>1094</v>
      </c>
    </row>
    <row r="359" spans="1:19" s="45" customFormat="1" ht="22.5" hidden="1" customHeight="1" x14ac:dyDescent="0.2">
      <c r="A359" s="85" t="s">
        <v>1057</v>
      </c>
      <c r="B359" s="17">
        <v>4512322191</v>
      </c>
      <c r="C359" s="18">
        <v>46045</v>
      </c>
      <c r="D359" s="21">
        <v>4</v>
      </c>
      <c r="E359" s="19">
        <v>1</v>
      </c>
      <c r="F359" s="16" t="s">
        <v>15</v>
      </c>
      <c r="G359" s="16" t="s">
        <v>96</v>
      </c>
      <c r="H359" s="14" t="s">
        <v>76</v>
      </c>
      <c r="I359" s="17" t="s">
        <v>284</v>
      </c>
      <c r="J359" s="17">
        <v>20109072177</v>
      </c>
      <c r="K359" s="17" t="s">
        <v>73</v>
      </c>
      <c r="L359" s="17" t="s">
        <v>305</v>
      </c>
      <c r="M359" s="17" t="s">
        <v>306</v>
      </c>
      <c r="N359" s="19"/>
      <c r="O359" s="19"/>
      <c r="P359" s="17" t="s">
        <v>60</v>
      </c>
      <c r="Q359" s="17" t="s">
        <v>307</v>
      </c>
      <c r="R359" s="21" t="s">
        <v>289</v>
      </c>
      <c r="S359" s="11" t="s">
        <v>1096</v>
      </c>
    </row>
    <row r="360" spans="1:19" s="45" customFormat="1" ht="22.5" hidden="1" customHeight="1" x14ac:dyDescent="0.2">
      <c r="A360" s="85" t="s">
        <v>1057</v>
      </c>
      <c r="B360" s="17">
        <v>4512322191</v>
      </c>
      <c r="C360" s="18">
        <v>46045</v>
      </c>
      <c r="D360" s="21">
        <v>4</v>
      </c>
      <c r="E360" s="19">
        <v>1</v>
      </c>
      <c r="F360" s="16" t="s">
        <v>28</v>
      </c>
      <c r="G360" s="16" t="s">
        <v>95</v>
      </c>
      <c r="H360" s="14" t="s">
        <v>76</v>
      </c>
      <c r="I360" s="17" t="s">
        <v>284</v>
      </c>
      <c r="J360" s="17">
        <v>20109072177</v>
      </c>
      <c r="K360" s="17" t="s">
        <v>73</v>
      </c>
      <c r="L360" s="17" t="s">
        <v>305</v>
      </c>
      <c r="M360" s="17" t="s">
        <v>306</v>
      </c>
      <c r="N360" s="19"/>
      <c r="O360" s="19"/>
      <c r="P360" s="17" t="s">
        <v>60</v>
      </c>
      <c r="Q360" s="17" t="s">
        <v>307</v>
      </c>
      <c r="R360" s="21" t="s">
        <v>289</v>
      </c>
      <c r="S360" s="11" t="s">
        <v>1096</v>
      </c>
    </row>
    <row r="361" spans="1:19" s="45" customFormat="1" ht="22.5" hidden="1" customHeight="1" x14ac:dyDescent="0.2">
      <c r="A361" s="85" t="s">
        <v>1057</v>
      </c>
      <c r="B361" s="17">
        <v>4512322191</v>
      </c>
      <c r="C361" s="18">
        <v>46045</v>
      </c>
      <c r="D361" s="21">
        <v>4</v>
      </c>
      <c r="E361" s="19">
        <v>1</v>
      </c>
      <c r="F361" s="16" t="s">
        <v>602</v>
      </c>
      <c r="G361" s="16" t="s">
        <v>606</v>
      </c>
      <c r="H361" s="14" t="s">
        <v>76</v>
      </c>
      <c r="I361" s="17" t="s">
        <v>284</v>
      </c>
      <c r="J361" s="17">
        <v>20109072177</v>
      </c>
      <c r="K361" s="17" t="s">
        <v>73</v>
      </c>
      <c r="L361" s="17" t="s">
        <v>305</v>
      </c>
      <c r="M361" s="17" t="s">
        <v>306</v>
      </c>
      <c r="N361" s="19"/>
      <c r="O361" s="19"/>
      <c r="P361" s="17" t="s">
        <v>60</v>
      </c>
      <c r="Q361" s="17" t="s">
        <v>307</v>
      </c>
      <c r="R361" s="21" t="s">
        <v>289</v>
      </c>
      <c r="S361" s="11" t="s">
        <v>1096</v>
      </c>
    </row>
    <row r="362" spans="1:19" s="45" customFormat="1" ht="22.5" hidden="1" customHeight="1" x14ac:dyDescent="0.2">
      <c r="A362" s="85" t="s">
        <v>1057</v>
      </c>
      <c r="B362" s="17">
        <v>4512322191</v>
      </c>
      <c r="C362" s="18">
        <v>46045</v>
      </c>
      <c r="D362" s="21">
        <v>8</v>
      </c>
      <c r="E362" s="19">
        <v>1</v>
      </c>
      <c r="F362" s="17" t="s">
        <v>38</v>
      </c>
      <c r="G362" s="17" t="s">
        <v>97</v>
      </c>
      <c r="H362" s="14" t="s">
        <v>76</v>
      </c>
      <c r="I362" s="17" t="s">
        <v>284</v>
      </c>
      <c r="J362" s="17">
        <v>20109072177</v>
      </c>
      <c r="K362" s="17" t="s">
        <v>73</v>
      </c>
      <c r="L362" s="17" t="s">
        <v>305</v>
      </c>
      <c r="M362" s="17" t="s">
        <v>306</v>
      </c>
      <c r="N362" s="19"/>
      <c r="O362" s="19"/>
      <c r="P362" s="17" t="s">
        <v>60</v>
      </c>
      <c r="Q362" s="17" t="s">
        <v>307</v>
      </c>
      <c r="R362" s="21" t="s">
        <v>289</v>
      </c>
      <c r="S362" s="11" t="s">
        <v>1096</v>
      </c>
    </row>
    <row r="363" spans="1:19" ht="21.75" hidden="1" customHeight="1" x14ac:dyDescent="0.25">
      <c r="A363" s="85" t="s">
        <v>1058</v>
      </c>
      <c r="B363" s="17">
        <v>4512322220</v>
      </c>
      <c r="C363" s="18">
        <v>46045</v>
      </c>
      <c r="D363" s="21">
        <v>8</v>
      </c>
      <c r="E363" s="19">
        <v>1</v>
      </c>
      <c r="F363" s="16" t="s">
        <v>31</v>
      </c>
      <c r="G363" s="16" t="s">
        <v>98</v>
      </c>
      <c r="H363" s="56" t="s">
        <v>76</v>
      </c>
      <c r="I363" s="16" t="s">
        <v>284</v>
      </c>
      <c r="J363" s="17">
        <v>20109072177</v>
      </c>
      <c r="K363" s="16" t="s">
        <v>73</v>
      </c>
      <c r="L363" s="16" t="s">
        <v>650</v>
      </c>
      <c r="M363" s="16" t="s">
        <v>299</v>
      </c>
      <c r="N363" s="11"/>
      <c r="O363" s="11"/>
      <c r="P363" s="16" t="s">
        <v>630</v>
      </c>
      <c r="Q363" s="16" t="s">
        <v>637</v>
      </c>
      <c r="R363" s="16" t="s">
        <v>289</v>
      </c>
      <c r="S363" s="11" t="s">
        <v>1097</v>
      </c>
    </row>
    <row r="364" spans="1:19" ht="21.75" hidden="1" customHeight="1" x14ac:dyDescent="0.25">
      <c r="A364" s="85" t="s">
        <v>1058</v>
      </c>
      <c r="B364" s="17">
        <v>4512322220</v>
      </c>
      <c r="C364" s="18">
        <v>46045</v>
      </c>
      <c r="D364" s="21">
        <v>8</v>
      </c>
      <c r="E364" s="19">
        <v>1</v>
      </c>
      <c r="F364" s="16" t="s">
        <v>15</v>
      </c>
      <c r="G364" s="16" t="s">
        <v>96</v>
      </c>
      <c r="H364" s="56" t="s">
        <v>76</v>
      </c>
      <c r="I364" s="16" t="s">
        <v>284</v>
      </c>
      <c r="J364" s="17">
        <v>20109072177</v>
      </c>
      <c r="K364" s="16" t="s">
        <v>73</v>
      </c>
      <c r="L364" s="16" t="s">
        <v>650</v>
      </c>
      <c r="M364" s="16" t="s">
        <v>299</v>
      </c>
      <c r="N364" s="11"/>
      <c r="O364" s="11"/>
      <c r="P364" s="16" t="s">
        <v>630</v>
      </c>
      <c r="Q364" s="16" t="s">
        <v>637</v>
      </c>
      <c r="R364" s="16" t="s">
        <v>289</v>
      </c>
      <c r="S364" s="11" t="s">
        <v>1097</v>
      </c>
    </row>
    <row r="365" spans="1:19" ht="21.75" hidden="1" customHeight="1" x14ac:dyDescent="0.25">
      <c r="A365" s="85" t="s">
        <v>1058</v>
      </c>
      <c r="B365" s="17">
        <v>4512322220</v>
      </c>
      <c r="C365" s="18">
        <v>46045</v>
      </c>
      <c r="D365" s="21">
        <v>4</v>
      </c>
      <c r="E365" s="19">
        <v>1</v>
      </c>
      <c r="F365" s="16" t="s">
        <v>30</v>
      </c>
      <c r="G365" s="16" t="s">
        <v>122</v>
      </c>
      <c r="H365" s="56" t="s">
        <v>76</v>
      </c>
      <c r="I365" s="16" t="s">
        <v>284</v>
      </c>
      <c r="J365" s="17">
        <v>20109072177</v>
      </c>
      <c r="K365" s="16" t="s">
        <v>73</v>
      </c>
      <c r="L365" s="16" t="s">
        <v>650</v>
      </c>
      <c r="M365" s="16" t="s">
        <v>299</v>
      </c>
      <c r="N365" s="11"/>
      <c r="O365" s="11"/>
      <c r="P365" s="16" t="s">
        <v>630</v>
      </c>
      <c r="Q365" s="16" t="s">
        <v>637</v>
      </c>
      <c r="R365" s="16" t="s">
        <v>289</v>
      </c>
      <c r="S365" s="11" t="s">
        <v>1097</v>
      </c>
    </row>
    <row r="366" spans="1:19" ht="21.75" hidden="1" customHeight="1" x14ac:dyDescent="0.25">
      <c r="A366" s="85" t="s">
        <v>1058</v>
      </c>
      <c r="B366" s="17">
        <v>4512322220</v>
      </c>
      <c r="C366" s="18">
        <v>46045</v>
      </c>
      <c r="D366" s="21">
        <v>4</v>
      </c>
      <c r="E366" s="19">
        <v>1</v>
      </c>
      <c r="F366" s="16" t="s">
        <v>29</v>
      </c>
      <c r="G366" s="16" t="s">
        <v>94</v>
      </c>
      <c r="H366" s="56" t="s">
        <v>76</v>
      </c>
      <c r="I366" s="16" t="s">
        <v>284</v>
      </c>
      <c r="J366" s="17">
        <v>20109072177</v>
      </c>
      <c r="K366" s="16" t="s">
        <v>73</v>
      </c>
      <c r="L366" s="16" t="s">
        <v>650</v>
      </c>
      <c r="M366" s="16" t="s">
        <v>299</v>
      </c>
      <c r="N366" s="11"/>
      <c r="O366" s="11"/>
      <c r="P366" s="16" t="s">
        <v>630</v>
      </c>
      <c r="Q366" s="16" t="s">
        <v>637</v>
      </c>
      <c r="R366" s="16" t="s">
        <v>289</v>
      </c>
      <c r="S366" s="11" t="s">
        <v>1097</v>
      </c>
    </row>
    <row r="367" spans="1:19" ht="21.75" hidden="1" customHeight="1" x14ac:dyDescent="0.25">
      <c r="A367" s="85" t="s">
        <v>1058</v>
      </c>
      <c r="B367" s="17">
        <v>4512322220</v>
      </c>
      <c r="C367" s="18">
        <v>46045</v>
      </c>
      <c r="D367" s="21">
        <v>8</v>
      </c>
      <c r="E367" s="19">
        <v>1</v>
      </c>
      <c r="F367" s="16" t="s">
        <v>602</v>
      </c>
      <c r="G367" s="16" t="s">
        <v>606</v>
      </c>
      <c r="H367" s="56" t="s">
        <v>76</v>
      </c>
      <c r="I367" s="16" t="s">
        <v>284</v>
      </c>
      <c r="J367" s="17">
        <v>20109072177</v>
      </c>
      <c r="K367" s="16" t="s">
        <v>73</v>
      </c>
      <c r="L367" s="16" t="s">
        <v>650</v>
      </c>
      <c r="M367" s="16" t="s">
        <v>299</v>
      </c>
      <c r="N367" s="11"/>
      <c r="O367" s="11"/>
      <c r="P367" s="16" t="s">
        <v>630</v>
      </c>
      <c r="Q367" s="16" t="s">
        <v>637</v>
      </c>
      <c r="R367" s="16" t="s">
        <v>289</v>
      </c>
      <c r="S367" s="11" t="s">
        <v>1097</v>
      </c>
    </row>
    <row r="368" spans="1:19" s="20" customFormat="1" ht="22.5" hidden="1" customHeight="1" x14ac:dyDescent="0.2">
      <c r="A368" s="84" t="s">
        <v>1064</v>
      </c>
      <c r="B368" s="17">
        <v>4512322190</v>
      </c>
      <c r="C368" s="18">
        <v>46045</v>
      </c>
      <c r="D368" s="54">
        <v>8</v>
      </c>
      <c r="E368" s="54">
        <v>1</v>
      </c>
      <c r="F368" s="16" t="s">
        <v>15</v>
      </c>
      <c r="G368" s="16" t="s">
        <v>96</v>
      </c>
      <c r="H368" s="56" t="s">
        <v>76</v>
      </c>
      <c r="I368" s="82" t="s">
        <v>1062</v>
      </c>
      <c r="J368" s="17">
        <v>20109072177</v>
      </c>
      <c r="K368" s="16" t="s">
        <v>73</v>
      </c>
      <c r="L368" s="82" t="s">
        <v>1059</v>
      </c>
      <c r="M368" s="82" t="s">
        <v>1060</v>
      </c>
      <c r="N368" s="82"/>
      <c r="O368" s="82"/>
      <c r="P368" s="83" t="s">
        <v>1061</v>
      </c>
      <c r="Q368" s="11" t="s">
        <v>1063</v>
      </c>
      <c r="R368" s="16" t="s">
        <v>289</v>
      </c>
      <c r="S368" s="11" t="s">
        <v>1098</v>
      </c>
    </row>
    <row r="369" spans="1:19" s="20" customFormat="1" ht="21.75" hidden="1" customHeight="1" x14ac:dyDescent="0.2">
      <c r="A369" s="16" t="s">
        <v>1065</v>
      </c>
      <c r="B369" s="17">
        <v>4961</v>
      </c>
      <c r="C369" s="18">
        <v>46045</v>
      </c>
      <c r="D369" s="21">
        <v>72</v>
      </c>
      <c r="E369" s="19">
        <v>6</v>
      </c>
      <c r="F369" s="16" t="s">
        <v>717</v>
      </c>
      <c r="G369" s="16" t="s">
        <v>718</v>
      </c>
      <c r="H369" s="16" t="s">
        <v>1650</v>
      </c>
      <c r="I369" s="16" t="s">
        <v>41</v>
      </c>
      <c r="J369" s="17">
        <v>20513229080</v>
      </c>
      <c r="K369" s="16" t="s">
        <v>1083</v>
      </c>
      <c r="L369" s="16" t="s">
        <v>648</v>
      </c>
      <c r="M369" s="16" t="s">
        <v>420</v>
      </c>
      <c r="N369" s="11"/>
      <c r="O369" s="11"/>
      <c r="P369" s="16" t="s">
        <v>1080</v>
      </c>
      <c r="Q369" s="11"/>
      <c r="R369" s="16" t="s">
        <v>396</v>
      </c>
      <c r="S369" s="11" t="s">
        <v>1095</v>
      </c>
    </row>
    <row r="370" spans="1:19" s="20" customFormat="1" ht="21.75" hidden="1" customHeight="1" x14ac:dyDescent="0.2">
      <c r="A370" s="16" t="s">
        <v>1066</v>
      </c>
      <c r="B370" s="16"/>
      <c r="C370" s="18">
        <v>46045</v>
      </c>
      <c r="D370" s="21">
        <v>12</v>
      </c>
      <c r="E370" s="19">
        <v>2</v>
      </c>
      <c r="F370" s="16" t="s">
        <v>822</v>
      </c>
      <c r="G370" s="16" t="s">
        <v>824</v>
      </c>
      <c r="H370" s="16" t="s">
        <v>1650</v>
      </c>
      <c r="I370" s="16" t="s">
        <v>379</v>
      </c>
      <c r="J370" s="17">
        <v>20101596363</v>
      </c>
      <c r="K370" s="16" t="s">
        <v>399</v>
      </c>
      <c r="L370" s="16" t="s">
        <v>389</v>
      </c>
      <c r="M370" s="16" t="s">
        <v>347</v>
      </c>
      <c r="N370" s="11"/>
      <c r="O370" s="11"/>
      <c r="P370" s="16" t="s">
        <v>384</v>
      </c>
      <c r="Q370" s="11"/>
      <c r="R370" s="16" t="s">
        <v>396</v>
      </c>
      <c r="S370" s="11" t="s">
        <v>1099</v>
      </c>
    </row>
    <row r="371" spans="1:19" s="20" customFormat="1" ht="21.75" hidden="1" customHeight="1" x14ac:dyDescent="0.2">
      <c r="A371" s="16" t="s">
        <v>1066</v>
      </c>
      <c r="B371" s="16"/>
      <c r="C371" s="18">
        <v>46045</v>
      </c>
      <c r="D371" s="21">
        <v>6</v>
      </c>
      <c r="E371" s="19">
        <v>1</v>
      </c>
      <c r="F371" s="16" t="s">
        <v>71</v>
      </c>
      <c r="G371" s="16" t="s">
        <v>176</v>
      </c>
      <c r="H371" s="16" t="s">
        <v>1650</v>
      </c>
      <c r="I371" s="16" t="s">
        <v>379</v>
      </c>
      <c r="J371" s="17">
        <v>20101596363</v>
      </c>
      <c r="K371" s="16" t="s">
        <v>399</v>
      </c>
      <c r="L371" s="16" t="s">
        <v>389</v>
      </c>
      <c r="M371" s="16" t="s">
        <v>347</v>
      </c>
      <c r="N371" s="11"/>
      <c r="O371" s="11"/>
      <c r="P371" s="16" t="s">
        <v>384</v>
      </c>
      <c r="Q371" s="11"/>
      <c r="R371" s="16" t="s">
        <v>396</v>
      </c>
      <c r="S371" s="11" t="s">
        <v>1099</v>
      </c>
    </row>
    <row r="372" spans="1:19" s="20" customFormat="1" ht="21.75" hidden="1" customHeight="1" x14ac:dyDescent="0.2">
      <c r="A372" s="16" t="s">
        <v>1066</v>
      </c>
      <c r="B372" s="16"/>
      <c r="C372" s="18">
        <v>46045</v>
      </c>
      <c r="D372" s="21">
        <v>48</v>
      </c>
      <c r="E372" s="19">
        <v>1</v>
      </c>
      <c r="F372" s="16" t="s">
        <v>48</v>
      </c>
      <c r="G372" s="16" t="s">
        <v>160</v>
      </c>
      <c r="H372" s="16" t="s">
        <v>1650</v>
      </c>
      <c r="I372" s="16" t="s">
        <v>379</v>
      </c>
      <c r="J372" s="17">
        <v>20101596363</v>
      </c>
      <c r="K372" s="16" t="s">
        <v>399</v>
      </c>
      <c r="L372" s="16" t="s">
        <v>389</v>
      </c>
      <c r="M372" s="16" t="s">
        <v>347</v>
      </c>
      <c r="N372" s="11"/>
      <c r="O372" s="11"/>
      <c r="P372" s="16" t="s">
        <v>384</v>
      </c>
      <c r="Q372" s="11"/>
      <c r="R372" s="16" t="s">
        <v>396</v>
      </c>
      <c r="S372" s="11" t="s">
        <v>1099</v>
      </c>
    </row>
    <row r="373" spans="1:19" s="20" customFormat="1" ht="21.75" hidden="1" customHeight="1" x14ac:dyDescent="0.2">
      <c r="A373" s="16" t="s">
        <v>1066</v>
      </c>
      <c r="B373" s="16"/>
      <c r="C373" s="18">
        <v>46045</v>
      </c>
      <c r="D373" s="21">
        <v>48</v>
      </c>
      <c r="E373" s="19">
        <v>1</v>
      </c>
      <c r="F373" s="16" t="s">
        <v>1070</v>
      </c>
      <c r="G373" s="16" t="s">
        <v>1074</v>
      </c>
      <c r="H373" s="16" t="s">
        <v>1650</v>
      </c>
      <c r="I373" s="16" t="s">
        <v>379</v>
      </c>
      <c r="J373" s="17">
        <v>20101596363</v>
      </c>
      <c r="K373" s="16" t="s">
        <v>399</v>
      </c>
      <c r="L373" s="16" t="s">
        <v>389</v>
      </c>
      <c r="M373" s="16" t="s">
        <v>347</v>
      </c>
      <c r="N373" s="11"/>
      <c r="O373" s="11"/>
      <c r="P373" s="16" t="s">
        <v>384</v>
      </c>
      <c r="Q373" s="11"/>
      <c r="R373" s="16" t="s">
        <v>396</v>
      </c>
      <c r="S373" s="11" t="s">
        <v>1099</v>
      </c>
    </row>
    <row r="374" spans="1:19" s="20" customFormat="1" ht="21.75" hidden="1" customHeight="1" x14ac:dyDescent="0.2">
      <c r="A374" s="16" t="s">
        <v>1066</v>
      </c>
      <c r="B374" s="16"/>
      <c r="C374" s="18">
        <v>46045</v>
      </c>
      <c r="D374" s="21">
        <v>24</v>
      </c>
      <c r="E374" s="19">
        <v>2</v>
      </c>
      <c r="F374" s="16" t="s">
        <v>1071</v>
      </c>
      <c r="G374" s="16" t="s">
        <v>1075</v>
      </c>
      <c r="H374" s="16" t="s">
        <v>1650</v>
      </c>
      <c r="I374" s="16" t="s">
        <v>379</v>
      </c>
      <c r="J374" s="17">
        <v>20101596363</v>
      </c>
      <c r="K374" s="16" t="s">
        <v>399</v>
      </c>
      <c r="L374" s="16" t="s">
        <v>389</v>
      </c>
      <c r="M374" s="16" t="s">
        <v>347</v>
      </c>
      <c r="N374" s="11"/>
      <c r="O374" s="11"/>
      <c r="P374" s="16" t="s">
        <v>384</v>
      </c>
      <c r="Q374" s="11"/>
      <c r="R374" s="16" t="s">
        <v>396</v>
      </c>
      <c r="S374" s="11" t="s">
        <v>1099</v>
      </c>
    </row>
    <row r="375" spans="1:19" s="20" customFormat="1" ht="21.75" hidden="1" customHeight="1" x14ac:dyDescent="0.2">
      <c r="A375" s="16" t="s">
        <v>1066</v>
      </c>
      <c r="B375" s="16"/>
      <c r="C375" s="18">
        <v>46045</v>
      </c>
      <c r="D375" s="21">
        <v>24</v>
      </c>
      <c r="E375" s="19">
        <v>1</v>
      </c>
      <c r="F375" s="16" t="s">
        <v>1072</v>
      </c>
      <c r="G375" s="16" t="s">
        <v>1076</v>
      </c>
      <c r="H375" s="16" t="s">
        <v>1650</v>
      </c>
      <c r="I375" s="16" t="s">
        <v>379</v>
      </c>
      <c r="J375" s="17">
        <v>20101596363</v>
      </c>
      <c r="K375" s="16" t="s">
        <v>399</v>
      </c>
      <c r="L375" s="16" t="s">
        <v>389</v>
      </c>
      <c r="M375" s="16" t="s">
        <v>347</v>
      </c>
      <c r="N375" s="11"/>
      <c r="O375" s="11"/>
      <c r="P375" s="16" t="s">
        <v>384</v>
      </c>
      <c r="Q375" s="11"/>
      <c r="R375" s="16" t="s">
        <v>396</v>
      </c>
      <c r="S375" s="11" t="s">
        <v>1099</v>
      </c>
    </row>
    <row r="376" spans="1:19" s="20" customFormat="1" ht="21.75" hidden="1" customHeight="1" x14ac:dyDescent="0.2">
      <c r="A376" s="16" t="s">
        <v>1066</v>
      </c>
      <c r="B376" s="16"/>
      <c r="C376" s="18">
        <v>46045</v>
      </c>
      <c r="D376" s="21">
        <v>2</v>
      </c>
      <c r="E376" s="19">
        <v>1</v>
      </c>
      <c r="F376" s="16" t="s">
        <v>764</v>
      </c>
      <c r="G376" s="16" t="s">
        <v>778</v>
      </c>
      <c r="H376" s="16" t="s">
        <v>1650</v>
      </c>
      <c r="I376" s="16" t="s">
        <v>379</v>
      </c>
      <c r="J376" s="17">
        <v>20101596363</v>
      </c>
      <c r="K376" s="16" t="s">
        <v>399</v>
      </c>
      <c r="L376" s="16" t="s">
        <v>389</v>
      </c>
      <c r="M376" s="16" t="s">
        <v>347</v>
      </c>
      <c r="N376" s="11"/>
      <c r="O376" s="11"/>
      <c r="P376" s="16" t="s">
        <v>384</v>
      </c>
      <c r="Q376" s="11"/>
      <c r="R376" s="16" t="s">
        <v>396</v>
      </c>
      <c r="S376" s="11" t="s">
        <v>1099</v>
      </c>
    </row>
    <row r="377" spans="1:19" s="20" customFormat="1" ht="21.75" hidden="1" customHeight="1" x14ac:dyDescent="0.2">
      <c r="A377" s="16" t="s">
        <v>1067</v>
      </c>
      <c r="B377" s="17" t="s">
        <v>260</v>
      </c>
      <c r="C377" s="18">
        <v>46045</v>
      </c>
      <c r="D377" s="21">
        <v>31</v>
      </c>
      <c r="E377" s="19">
        <v>3</v>
      </c>
      <c r="F377" s="16" t="s">
        <v>33</v>
      </c>
      <c r="G377" s="16" t="s">
        <v>107</v>
      </c>
      <c r="H377" s="16" t="s">
        <v>1650</v>
      </c>
      <c r="I377" s="16" t="s">
        <v>719</v>
      </c>
      <c r="J377" s="17">
        <v>75138628</v>
      </c>
      <c r="K377" s="16" t="s">
        <v>1084</v>
      </c>
      <c r="L377" s="16" t="s">
        <v>724</v>
      </c>
      <c r="M377" s="16" t="s">
        <v>347</v>
      </c>
      <c r="N377" s="11"/>
      <c r="O377" s="11"/>
      <c r="P377" s="16" t="s">
        <v>721</v>
      </c>
      <c r="Q377" s="29" t="s">
        <v>425</v>
      </c>
      <c r="R377" s="16" t="s">
        <v>396</v>
      </c>
      <c r="S377" s="11" t="s">
        <v>1101</v>
      </c>
    </row>
    <row r="378" spans="1:19" s="20" customFormat="1" ht="21.75" hidden="1" customHeight="1" x14ac:dyDescent="0.2">
      <c r="A378" s="16" t="s">
        <v>1068</v>
      </c>
      <c r="B378" s="17"/>
      <c r="C378" s="18">
        <v>46045</v>
      </c>
      <c r="D378" s="21">
        <v>1</v>
      </c>
      <c r="E378" s="19">
        <v>1</v>
      </c>
      <c r="F378" s="16" t="s">
        <v>1073</v>
      </c>
      <c r="G378" s="16" t="s">
        <v>1077</v>
      </c>
      <c r="H378" s="16" t="s">
        <v>1650</v>
      </c>
      <c r="I378" s="16" t="s">
        <v>66</v>
      </c>
      <c r="J378" s="17">
        <v>20334539149</v>
      </c>
      <c r="K378" s="16" t="s">
        <v>1085</v>
      </c>
      <c r="L378" s="16" t="s">
        <v>722</v>
      </c>
      <c r="M378" s="16" t="s">
        <v>299</v>
      </c>
      <c r="N378" s="11"/>
      <c r="O378" s="11"/>
      <c r="P378" s="16"/>
      <c r="Q378" s="11"/>
      <c r="R378" s="16" t="s">
        <v>395</v>
      </c>
      <c r="S378" s="11" t="s">
        <v>1102</v>
      </c>
    </row>
    <row r="379" spans="1:19" s="20" customFormat="1" ht="21.75" hidden="1" customHeight="1" x14ac:dyDescent="0.2">
      <c r="A379" s="16" t="s">
        <v>1069</v>
      </c>
      <c r="B379" s="17">
        <v>51978189605</v>
      </c>
      <c r="C379" s="18">
        <v>46045</v>
      </c>
      <c r="D379" s="21">
        <v>1</v>
      </c>
      <c r="E379" s="19">
        <v>1</v>
      </c>
      <c r="F379" s="16" t="s">
        <v>356</v>
      </c>
      <c r="G379" s="16" t="s">
        <v>368</v>
      </c>
      <c r="H379" s="16" t="s">
        <v>1650</v>
      </c>
      <c r="I379" s="16" t="s">
        <v>1078</v>
      </c>
      <c r="J379" s="17" t="s">
        <v>1079</v>
      </c>
      <c r="K379" s="16" t="s">
        <v>1086</v>
      </c>
      <c r="L379" s="16" t="s">
        <v>1081</v>
      </c>
      <c r="M379" s="16" t="s">
        <v>1082</v>
      </c>
      <c r="N379" s="11"/>
      <c r="O379" s="11"/>
      <c r="P379" s="16" t="s">
        <v>382</v>
      </c>
      <c r="Q379" s="11"/>
      <c r="R379" s="16" t="s">
        <v>394</v>
      </c>
      <c r="S379" s="11" t="s">
        <v>1100</v>
      </c>
    </row>
    <row r="380" spans="1:19" s="20" customFormat="1" ht="21.75" hidden="1" customHeight="1" x14ac:dyDescent="0.2">
      <c r="A380" s="16" t="s">
        <v>1161</v>
      </c>
      <c r="B380" s="17"/>
      <c r="C380" s="18">
        <v>46048</v>
      </c>
      <c r="D380" s="86">
        <v>48</v>
      </c>
      <c r="E380" s="19">
        <v>4</v>
      </c>
      <c r="F380" s="87" t="s">
        <v>33</v>
      </c>
      <c r="G380" s="87" t="s">
        <v>107</v>
      </c>
      <c r="H380" s="26" t="s">
        <v>1544</v>
      </c>
      <c r="I380" s="87" t="s">
        <v>1162</v>
      </c>
      <c r="J380" s="17">
        <v>20610690336</v>
      </c>
      <c r="K380" s="16" t="s">
        <v>73</v>
      </c>
      <c r="L380" s="16" t="s">
        <v>1163</v>
      </c>
      <c r="M380" s="16" t="s">
        <v>1164</v>
      </c>
      <c r="N380" s="11"/>
      <c r="O380" s="11"/>
      <c r="P380" s="16" t="s">
        <v>1151</v>
      </c>
      <c r="Q380" s="11" t="s">
        <v>1165</v>
      </c>
      <c r="R380" s="16" t="s">
        <v>142</v>
      </c>
      <c r="S380" s="11" t="s">
        <v>1166</v>
      </c>
    </row>
    <row r="381" spans="1:19" s="20" customFormat="1" ht="21.75" hidden="1" customHeight="1" x14ac:dyDescent="0.2">
      <c r="A381" s="16" t="s">
        <v>1161</v>
      </c>
      <c r="B381" s="17"/>
      <c r="C381" s="18">
        <v>46048</v>
      </c>
      <c r="D381" s="86">
        <v>24</v>
      </c>
      <c r="E381" s="19">
        <v>2</v>
      </c>
      <c r="F381" s="87" t="s">
        <v>162</v>
      </c>
      <c r="G381" s="87" t="s">
        <v>163</v>
      </c>
      <c r="H381" s="26" t="s">
        <v>1544</v>
      </c>
      <c r="I381" s="87" t="s">
        <v>1162</v>
      </c>
      <c r="J381" s="17">
        <v>20610690336</v>
      </c>
      <c r="K381" s="16" t="s">
        <v>73</v>
      </c>
      <c r="L381" s="16" t="s">
        <v>1163</v>
      </c>
      <c r="M381" s="16" t="s">
        <v>1164</v>
      </c>
      <c r="N381" s="11"/>
      <c r="O381" s="11"/>
      <c r="P381" s="16" t="s">
        <v>1151</v>
      </c>
      <c r="Q381" s="11" t="s">
        <v>1165</v>
      </c>
      <c r="R381" s="16" t="s">
        <v>142</v>
      </c>
      <c r="S381" s="11" t="s">
        <v>1166</v>
      </c>
    </row>
    <row r="382" spans="1:19" s="20" customFormat="1" ht="21.75" hidden="1" customHeight="1" x14ac:dyDescent="0.2">
      <c r="A382" s="16" t="s">
        <v>1161</v>
      </c>
      <c r="B382" s="17"/>
      <c r="C382" s="18">
        <v>46048</v>
      </c>
      <c r="D382" s="86">
        <v>216</v>
      </c>
      <c r="E382" s="19">
        <v>9</v>
      </c>
      <c r="F382" s="87" t="s">
        <v>152</v>
      </c>
      <c r="G382" s="87" t="s">
        <v>149</v>
      </c>
      <c r="H382" s="26" t="s">
        <v>1544</v>
      </c>
      <c r="I382" s="87" t="s">
        <v>1162</v>
      </c>
      <c r="J382" s="17">
        <v>20610690336</v>
      </c>
      <c r="K382" s="16" t="s">
        <v>73</v>
      </c>
      <c r="L382" s="16" t="s">
        <v>1163</v>
      </c>
      <c r="M382" s="16" t="s">
        <v>1164</v>
      </c>
      <c r="N382" s="11"/>
      <c r="O382" s="11"/>
      <c r="P382" s="16" t="s">
        <v>1151</v>
      </c>
      <c r="Q382" s="11" t="s">
        <v>1165</v>
      </c>
      <c r="R382" s="16" t="s">
        <v>142</v>
      </c>
      <c r="S382" s="11" t="s">
        <v>1166</v>
      </c>
    </row>
    <row r="383" spans="1:19" s="20" customFormat="1" ht="21.75" hidden="1" customHeight="1" x14ac:dyDescent="0.2">
      <c r="A383" s="16" t="s">
        <v>1161</v>
      </c>
      <c r="B383" s="17"/>
      <c r="C383" s="18">
        <v>46048</v>
      </c>
      <c r="D383" s="86">
        <v>216</v>
      </c>
      <c r="E383" s="19">
        <v>9</v>
      </c>
      <c r="F383" s="87" t="s">
        <v>153</v>
      </c>
      <c r="G383" s="87" t="s">
        <v>124</v>
      </c>
      <c r="H383" s="26" t="s">
        <v>1544</v>
      </c>
      <c r="I383" s="87" t="s">
        <v>1162</v>
      </c>
      <c r="J383" s="17">
        <v>20610690336</v>
      </c>
      <c r="K383" s="16" t="s">
        <v>73</v>
      </c>
      <c r="L383" s="16" t="s">
        <v>1163</v>
      </c>
      <c r="M383" s="16" t="s">
        <v>1164</v>
      </c>
      <c r="N383" s="11"/>
      <c r="O383" s="11"/>
      <c r="P383" s="16" t="s">
        <v>1151</v>
      </c>
      <c r="Q383" s="11" t="s">
        <v>1165</v>
      </c>
      <c r="R383" s="16" t="s">
        <v>142</v>
      </c>
      <c r="S383" s="11" t="s">
        <v>1166</v>
      </c>
    </row>
    <row r="384" spans="1:19" s="20" customFormat="1" ht="21.75" hidden="1" customHeight="1" x14ac:dyDescent="0.2">
      <c r="A384" s="16" t="s">
        <v>1161</v>
      </c>
      <c r="B384" s="17"/>
      <c r="C384" s="18">
        <v>46048</v>
      </c>
      <c r="D384" s="86">
        <v>216</v>
      </c>
      <c r="E384" s="19">
        <v>9</v>
      </c>
      <c r="F384" s="87" t="s">
        <v>154</v>
      </c>
      <c r="G384" s="87" t="s">
        <v>123</v>
      </c>
      <c r="H384" s="26" t="s">
        <v>1544</v>
      </c>
      <c r="I384" s="87" t="s">
        <v>1162</v>
      </c>
      <c r="J384" s="17">
        <v>20610690336</v>
      </c>
      <c r="K384" s="16" t="s">
        <v>73</v>
      </c>
      <c r="L384" s="16" t="s">
        <v>1163</v>
      </c>
      <c r="M384" s="16" t="s">
        <v>1164</v>
      </c>
      <c r="N384" s="11"/>
      <c r="O384" s="11"/>
      <c r="P384" s="16" t="s">
        <v>1151</v>
      </c>
      <c r="Q384" s="11" t="s">
        <v>1165</v>
      </c>
      <c r="R384" s="16" t="s">
        <v>142</v>
      </c>
      <c r="S384" s="11" t="s">
        <v>1166</v>
      </c>
    </row>
    <row r="385" spans="1:19" s="20" customFormat="1" ht="21.75" hidden="1" customHeight="1" x14ac:dyDescent="0.2">
      <c r="A385" s="16" t="s">
        <v>1161</v>
      </c>
      <c r="B385" s="17"/>
      <c r="C385" s="18">
        <v>46048</v>
      </c>
      <c r="D385" s="86">
        <v>48</v>
      </c>
      <c r="E385" s="19">
        <v>4</v>
      </c>
      <c r="F385" s="87" t="s">
        <v>157</v>
      </c>
      <c r="G385" s="87" t="s">
        <v>126</v>
      </c>
      <c r="H385" s="26" t="s">
        <v>1544</v>
      </c>
      <c r="I385" s="87" t="s">
        <v>1162</v>
      </c>
      <c r="J385" s="17">
        <v>20610690336</v>
      </c>
      <c r="K385" s="16" t="s">
        <v>73</v>
      </c>
      <c r="L385" s="16" t="s">
        <v>1163</v>
      </c>
      <c r="M385" s="16" t="s">
        <v>1164</v>
      </c>
      <c r="N385" s="11"/>
      <c r="O385" s="11"/>
      <c r="P385" s="16" t="s">
        <v>1151</v>
      </c>
      <c r="Q385" s="11" t="s">
        <v>1165</v>
      </c>
      <c r="R385" s="16" t="s">
        <v>142</v>
      </c>
      <c r="S385" s="11" t="s">
        <v>1166</v>
      </c>
    </row>
    <row r="386" spans="1:19" s="20" customFormat="1" ht="21.75" hidden="1" customHeight="1" x14ac:dyDescent="0.2">
      <c r="A386" s="16" t="s">
        <v>1161</v>
      </c>
      <c r="B386" s="17"/>
      <c r="C386" s="18">
        <v>46048</v>
      </c>
      <c r="D386" s="86">
        <v>12</v>
      </c>
      <c r="E386" s="19">
        <v>2</v>
      </c>
      <c r="F386" s="87" t="s">
        <v>174</v>
      </c>
      <c r="G386" s="87" t="s">
        <v>130</v>
      </c>
      <c r="H386" s="26" t="s">
        <v>1544</v>
      </c>
      <c r="I386" s="87" t="s">
        <v>1162</v>
      </c>
      <c r="J386" s="17">
        <v>20610690336</v>
      </c>
      <c r="K386" s="16" t="s">
        <v>73</v>
      </c>
      <c r="L386" s="16" t="s">
        <v>1163</v>
      </c>
      <c r="M386" s="16" t="s">
        <v>1164</v>
      </c>
      <c r="N386" s="11"/>
      <c r="O386" s="11"/>
      <c r="P386" s="16" t="s">
        <v>1151</v>
      </c>
      <c r="Q386" s="11" t="s">
        <v>1165</v>
      </c>
      <c r="R386" s="16" t="s">
        <v>142</v>
      </c>
      <c r="S386" s="11" t="s">
        <v>1166</v>
      </c>
    </row>
    <row r="387" spans="1:19" s="20" customFormat="1" ht="21.75" hidden="1" customHeight="1" x14ac:dyDescent="0.2">
      <c r="A387" s="16" t="s">
        <v>1161</v>
      </c>
      <c r="B387" s="17"/>
      <c r="C387" s="18">
        <v>46048</v>
      </c>
      <c r="D387" s="86">
        <v>144</v>
      </c>
      <c r="E387" s="19">
        <v>3</v>
      </c>
      <c r="F387" s="87" t="s">
        <v>158</v>
      </c>
      <c r="G387" s="87" t="s">
        <v>150</v>
      </c>
      <c r="H387" s="26" t="s">
        <v>1544</v>
      </c>
      <c r="I387" s="87" t="s">
        <v>1162</v>
      </c>
      <c r="J387" s="17">
        <v>20610690336</v>
      </c>
      <c r="K387" s="16" t="s">
        <v>73</v>
      </c>
      <c r="L387" s="16" t="s">
        <v>1163</v>
      </c>
      <c r="M387" s="16" t="s">
        <v>1164</v>
      </c>
      <c r="N387" s="11"/>
      <c r="O387" s="11"/>
      <c r="P387" s="16" t="s">
        <v>1151</v>
      </c>
      <c r="Q387" s="11" t="s">
        <v>1165</v>
      </c>
      <c r="R387" s="16" t="s">
        <v>142</v>
      </c>
      <c r="S387" s="11" t="s">
        <v>1166</v>
      </c>
    </row>
    <row r="388" spans="1:19" s="20" customFormat="1" ht="21.75" hidden="1" customHeight="1" x14ac:dyDescent="0.2">
      <c r="A388" s="16" t="s">
        <v>1161</v>
      </c>
      <c r="B388" s="17"/>
      <c r="C388" s="18">
        <v>46048</v>
      </c>
      <c r="D388" s="86">
        <v>144</v>
      </c>
      <c r="E388" s="19">
        <v>3</v>
      </c>
      <c r="F388" s="87" t="s">
        <v>159</v>
      </c>
      <c r="G388" s="87" t="s">
        <v>140</v>
      </c>
      <c r="H388" s="26" t="s">
        <v>1544</v>
      </c>
      <c r="I388" s="87" t="s">
        <v>1162</v>
      </c>
      <c r="J388" s="17">
        <v>20610690336</v>
      </c>
      <c r="K388" s="16" t="s">
        <v>73</v>
      </c>
      <c r="L388" s="16" t="s">
        <v>1163</v>
      </c>
      <c r="M388" s="16" t="s">
        <v>1164</v>
      </c>
      <c r="N388" s="11"/>
      <c r="O388" s="11"/>
      <c r="P388" s="16" t="s">
        <v>1151</v>
      </c>
      <c r="Q388" s="11" t="s">
        <v>1165</v>
      </c>
      <c r="R388" s="16" t="s">
        <v>142</v>
      </c>
      <c r="S388" s="11" t="s">
        <v>1166</v>
      </c>
    </row>
    <row r="389" spans="1:19" s="20" customFormat="1" ht="21.75" hidden="1" customHeight="1" x14ac:dyDescent="0.2">
      <c r="A389" s="16" t="s">
        <v>1161</v>
      </c>
      <c r="B389" s="17"/>
      <c r="C389" s="18">
        <v>46048</v>
      </c>
      <c r="D389" s="86">
        <v>48</v>
      </c>
      <c r="E389" s="19">
        <v>4</v>
      </c>
      <c r="F389" s="87" t="s">
        <v>161</v>
      </c>
      <c r="G389" s="87" t="s">
        <v>132</v>
      </c>
      <c r="H389" s="26" t="s">
        <v>1544</v>
      </c>
      <c r="I389" s="87" t="s">
        <v>1162</v>
      </c>
      <c r="J389" s="17">
        <v>20610690336</v>
      </c>
      <c r="K389" s="16" t="s">
        <v>73</v>
      </c>
      <c r="L389" s="16" t="s">
        <v>1163</v>
      </c>
      <c r="M389" s="16" t="s">
        <v>1164</v>
      </c>
      <c r="N389" s="11"/>
      <c r="O389" s="11"/>
      <c r="P389" s="16" t="s">
        <v>1151</v>
      </c>
      <c r="Q389" s="11" t="s">
        <v>1165</v>
      </c>
      <c r="R389" s="16" t="s">
        <v>142</v>
      </c>
      <c r="S389" s="11" t="s">
        <v>1166</v>
      </c>
    </row>
    <row r="390" spans="1:19" s="20" customFormat="1" ht="21.75" hidden="1" customHeight="1" x14ac:dyDescent="0.2">
      <c r="A390" s="16" t="s">
        <v>1110</v>
      </c>
      <c r="B390" s="16" t="s">
        <v>73</v>
      </c>
      <c r="C390" s="18">
        <v>46048</v>
      </c>
      <c r="D390" s="21">
        <v>300</v>
      </c>
      <c r="E390" s="19">
        <v>50</v>
      </c>
      <c r="F390" s="16" t="s">
        <v>822</v>
      </c>
      <c r="G390" s="16" t="s">
        <v>824</v>
      </c>
      <c r="H390" s="26" t="s">
        <v>1544</v>
      </c>
      <c r="I390" s="16" t="s">
        <v>1119</v>
      </c>
      <c r="J390" s="17">
        <v>20528035869</v>
      </c>
      <c r="K390" s="16" t="s">
        <v>73</v>
      </c>
      <c r="L390" s="16" t="s">
        <v>1156</v>
      </c>
      <c r="M390" s="16" t="s">
        <v>661</v>
      </c>
      <c r="N390" s="11"/>
      <c r="O390" s="11"/>
      <c r="P390" s="16" t="s">
        <v>1151</v>
      </c>
      <c r="Q390" s="16" t="s">
        <v>1153</v>
      </c>
      <c r="R390" s="16" t="s">
        <v>142</v>
      </c>
      <c r="S390" s="11" t="s">
        <v>1167</v>
      </c>
    </row>
    <row r="391" spans="1:19" s="20" customFormat="1" ht="21.75" hidden="1" customHeight="1" x14ac:dyDescent="0.2">
      <c r="A391" s="16" t="s">
        <v>1110</v>
      </c>
      <c r="B391" s="16" t="s">
        <v>73</v>
      </c>
      <c r="C391" s="18">
        <v>46048</v>
      </c>
      <c r="D391" s="21">
        <v>120</v>
      </c>
      <c r="E391" s="19">
        <v>10</v>
      </c>
      <c r="F391" s="16" t="s">
        <v>23</v>
      </c>
      <c r="G391" s="16" t="s">
        <v>119</v>
      </c>
      <c r="H391" s="26" t="s">
        <v>1544</v>
      </c>
      <c r="I391" s="16" t="s">
        <v>1119</v>
      </c>
      <c r="J391" s="17">
        <v>20528035869</v>
      </c>
      <c r="K391" s="16" t="s">
        <v>73</v>
      </c>
      <c r="L391" s="16" t="s">
        <v>1156</v>
      </c>
      <c r="M391" s="16" t="s">
        <v>661</v>
      </c>
      <c r="N391" s="11"/>
      <c r="O391" s="11"/>
      <c r="P391" s="16" t="s">
        <v>1151</v>
      </c>
      <c r="Q391" s="16" t="s">
        <v>1153</v>
      </c>
      <c r="R391" s="16" t="s">
        <v>142</v>
      </c>
      <c r="S391" s="11" t="s">
        <v>1167</v>
      </c>
    </row>
    <row r="392" spans="1:19" s="20" customFormat="1" ht="21.75" hidden="1" customHeight="1" x14ac:dyDescent="0.2">
      <c r="A392" s="16" t="s">
        <v>1110</v>
      </c>
      <c r="B392" s="16" t="s">
        <v>73</v>
      </c>
      <c r="C392" s="18">
        <v>46048</v>
      </c>
      <c r="D392" s="21">
        <v>60</v>
      </c>
      <c r="E392" s="19">
        <v>5</v>
      </c>
      <c r="F392" s="16" t="s">
        <v>19</v>
      </c>
      <c r="G392" s="16" t="s">
        <v>120</v>
      </c>
      <c r="H392" s="26" t="s">
        <v>1544</v>
      </c>
      <c r="I392" s="16" t="s">
        <v>1119</v>
      </c>
      <c r="J392" s="17">
        <v>20528035869</v>
      </c>
      <c r="K392" s="16" t="s">
        <v>73</v>
      </c>
      <c r="L392" s="16" t="s">
        <v>1156</v>
      </c>
      <c r="M392" s="16" t="s">
        <v>661</v>
      </c>
      <c r="N392" s="11"/>
      <c r="O392" s="11"/>
      <c r="P392" s="16" t="s">
        <v>1151</v>
      </c>
      <c r="Q392" s="16" t="s">
        <v>1153</v>
      </c>
      <c r="R392" s="16" t="s">
        <v>142</v>
      </c>
      <c r="S392" s="11" t="s">
        <v>1167</v>
      </c>
    </row>
    <row r="393" spans="1:19" s="20" customFormat="1" ht="21.75" hidden="1" customHeight="1" x14ac:dyDescent="0.2">
      <c r="A393" s="16" t="s">
        <v>1110</v>
      </c>
      <c r="B393" s="16" t="s">
        <v>73</v>
      </c>
      <c r="C393" s="18">
        <v>46048</v>
      </c>
      <c r="D393" s="21">
        <v>60</v>
      </c>
      <c r="E393" s="19">
        <v>15</v>
      </c>
      <c r="F393" s="16" t="s">
        <v>1126</v>
      </c>
      <c r="G393" s="16" t="s">
        <v>1138</v>
      </c>
      <c r="H393" s="26" t="s">
        <v>1544</v>
      </c>
      <c r="I393" s="16" t="s">
        <v>1119</v>
      </c>
      <c r="J393" s="17">
        <v>20528035869</v>
      </c>
      <c r="K393" s="16" t="s">
        <v>73</v>
      </c>
      <c r="L393" s="16" t="s">
        <v>1156</v>
      </c>
      <c r="M393" s="16" t="s">
        <v>661</v>
      </c>
      <c r="N393" s="11"/>
      <c r="O393" s="11"/>
      <c r="P393" s="16" t="s">
        <v>1151</v>
      </c>
      <c r="Q393" s="16" t="s">
        <v>1153</v>
      </c>
      <c r="R393" s="16" t="s">
        <v>142</v>
      </c>
      <c r="S393" s="11" t="s">
        <v>1167</v>
      </c>
    </row>
    <row r="394" spans="1:19" s="20" customFormat="1" ht="21.75" hidden="1" customHeight="1" x14ac:dyDescent="0.2">
      <c r="A394" s="16" t="s">
        <v>1111</v>
      </c>
      <c r="B394" s="16" t="s">
        <v>73</v>
      </c>
      <c r="C394" s="18">
        <v>46048</v>
      </c>
      <c r="D394" s="21">
        <v>24</v>
      </c>
      <c r="E394" s="19">
        <v>1</v>
      </c>
      <c r="F394" s="16" t="s">
        <v>599</v>
      </c>
      <c r="G394" s="16" t="s">
        <v>604</v>
      </c>
      <c r="H394" s="26" t="s">
        <v>1544</v>
      </c>
      <c r="I394" s="16" t="s">
        <v>1120</v>
      </c>
      <c r="J394" s="17">
        <v>20605579532</v>
      </c>
      <c r="K394" s="16" t="s">
        <v>73</v>
      </c>
      <c r="L394" s="16" t="s">
        <v>1156</v>
      </c>
      <c r="M394" s="16" t="s">
        <v>661</v>
      </c>
      <c r="N394" s="11"/>
      <c r="O394" s="11"/>
      <c r="P394" s="16" t="s">
        <v>1151</v>
      </c>
      <c r="Q394" s="16" t="s">
        <v>1153</v>
      </c>
      <c r="R394" s="16" t="s">
        <v>142</v>
      </c>
      <c r="S394" s="11" t="s">
        <v>1168</v>
      </c>
    </row>
    <row r="395" spans="1:19" s="20" customFormat="1" ht="21.75" hidden="1" customHeight="1" x14ac:dyDescent="0.2">
      <c r="A395" s="16" t="s">
        <v>1111</v>
      </c>
      <c r="B395" s="16" t="s">
        <v>73</v>
      </c>
      <c r="C395" s="18">
        <v>46048</v>
      </c>
      <c r="D395" s="21">
        <v>24</v>
      </c>
      <c r="E395" s="19">
        <v>2</v>
      </c>
      <c r="F395" s="16" t="s">
        <v>1127</v>
      </c>
      <c r="G395" s="16" t="s">
        <v>1139</v>
      </c>
      <c r="H395" s="26" t="s">
        <v>1544</v>
      </c>
      <c r="I395" s="16" t="s">
        <v>1120</v>
      </c>
      <c r="J395" s="17">
        <v>20605579532</v>
      </c>
      <c r="K395" s="16" t="s">
        <v>73</v>
      </c>
      <c r="L395" s="16" t="s">
        <v>1156</v>
      </c>
      <c r="M395" s="16" t="s">
        <v>661</v>
      </c>
      <c r="N395" s="11"/>
      <c r="O395" s="11"/>
      <c r="P395" s="16" t="s">
        <v>1151</v>
      </c>
      <c r="Q395" s="16" t="s">
        <v>1153</v>
      </c>
      <c r="R395" s="16" t="s">
        <v>142</v>
      </c>
      <c r="S395" s="11" t="s">
        <v>1168</v>
      </c>
    </row>
    <row r="396" spans="1:19" s="20" customFormat="1" ht="21.75" hidden="1" customHeight="1" x14ac:dyDescent="0.2">
      <c r="A396" s="16" t="s">
        <v>1111</v>
      </c>
      <c r="B396" s="16" t="s">
        <v>73</v>
      </c>
      <c r="C396" s="18">
        <v>46048</v>
      </c>
      <c r="D396" s="21">
        <v>12</v>
      </c>
      <c r="E396" s="19">
        <v>1</v>
      </c>
      <c r="F396" s="16" t="s">
        <v>1128</v>
      </c>
      <c r="G396" s="16" t="s">
        <v>1140</v>
      </c>
      <c r="H396" s="26" t="s">
        <v>1544</v>
      </c>
      <c r="I396" s="16" t="s">
        <v>1120</v>
      </c>
      <c r="J396" s="17">
        <v>20605579532</v>
      </c>
      <c r="K396" s="16" t="s">
        <v>73</v>
      </c>
      <c r="L396" s="16" t="s">
        <v>1156</v>
      </c>
      <c r="M396" s="16" t="s">
        <v>661</v>
      </c>
      <c r="N396" s="11"/>
      <c r="O396" s="11"/>
      <c r="P396" s="16" t="s">
        <v>1151</v>
      </c>
      <c r="Q396" s="16" t="s">
        <v>1153</v>
      </c>
      <c r="R396" s="16" t="s">
        <v>142</v>
      </c>
      <c r="S396" s="11" t="s">
        <v>1168</v>
      </c>
    </row>
    <row r="397" spans="1:19" s="20" customFormat="1" ht="21.75" hidden="1" customHeight="1" x14ac:dyDescent="0.2">
      <c r="A397" s="16" t="s">
        <v>1111</v>
      </c>
      <c r="B397" s="16" t="s">
        <v>73</v>
      </c>
      <c r="C397" s="18">
        <v>46048</v>
      </c>
      <c r="D397" s="21">
        <v>12</v>
      </c>
      <c r="E397" s="19">
        <v>1</v>
      </c>
      <c r="F397" s="16" t="s">
        <v>46</v>
      </c>
      <c r="G397" s="16" t="s">
        <v>104</v>
      </c>
      <c r="H397" s="26" t="s">
        <v>1544</v>
      </c>
      <c r="I397" s="16" t="s">
        <v>1120</v>
      </c>
      <c r="J397" s="17">
        <v>20605579532</v>
      </c>
      <c r="K397" s="16" t="s">
        <v>73</v>
      </c>
      <c r="L397" s="16" t="s">
        <v>1156</v>
      </c>
      <c r="M397" s="16" t="s">
        <v>661</v>
      </c>
      <c r="N397" s="11"/>
      <c r="O397" s="11"/>
      <c r="P397" s="16" t="s">
        <v>1151</v>
      </c>
      <c r="Q397" s="16" t="s">
        <v>1153</v>
      </c>
      <c r="R397" s="16" t="s">
        <v>142</v>
      </c>
      <c r="S397" s="11" t="s">
        <v>1168</v>
      </c>
    </row>
    <row r="398" spans="1:19" s="20" customFormat="1" ht="21.75" hidden="1" customHeight="1" x14ac:dyDescent="0.2">
      <c r="A398" s="16" t="s">
        <v>1111</v>
      </c>
      <c r="B398" s="16" t="s">
        <v>73</v>
      </c>
      <c r="C398" s="18">
        <v>46048</v>
      </c>
      <c r="D398" s="21">
        <v>12</v>
      </c>
      <c r="E398" s="19">
        <v>1</v>
      </c>
      <c r="F398" s="16" t="s">
        <v>1129</v>
      </c>
      <c r="G398" s="16" t="s">
        <v>1141</v>
      </c>
      <c r="H398" s="26" t="s">
        <v>1544</v>
      </c>
      <c r="I398" s="16" t="s">
        <v>1120</v>
      </c>
      <c r="J398" s="17">
        <v>20605579532</v>
      </c>
      <c r="K398" s="16" t="s">
        <v>73</v>
      </c>
      <c r="L398" s="16" t="s">
        <v>1156</v>
      </c>
      <c r="M398" s="16" t="s">
        <v>661</v>
      </c>
      <c r="N398" s="11"/>
      <c r="O398" s="11"/>
      <c r="P398" s="16" t="s">
        <v>1151</v>
      </c>
      <c r="Q398" s="16" t="s">
        <v>1153</v>
      </c>
      <c r="R398" s="16" t="s">
        <v>142</v>
      </c>
      <c r="S398" s="11" t="s">
        <v>1168</v>
      </c>
    </row>
    <row r="399" spans="1:19" s="20" customFormat="1" ht="21.75" hidden="1" customHeight="1" x14ac:dyDescent="0.2">
      <c r="A399" s="16" t="s">
        <v>1111</v>
      </c>
      <c r="B399" s="16" t="s">
        <v>73</v>
      </c>
      <c r="C399" s="18">
        <v>46048</v>
      </c>
      <c r="D399" s="21">
        <v>10</v>
      </c>
      <c r="E399" s="19">
        <v>1</v>
      </c>
      <c r="F399" s="16" t="s">
        <v>1130</v>
      </c>
      <c r="G399" s="16" t="s">
        <v>1142</v>
      </c>
      <c r="H399" s="26" t="s">
        <v>1544</v>
      </c>
      <c r="I399" s="16" t="s">
        <v>1120</v>
      </c>
      <c r="J399" s="17">
        <v>20605579532</v>
      </c>
      <c r="K399" s="16" t="s">
        <v>73</v>
      </c>
      <c r="L399" s="16" t="s">
        <v>1156</v>
      </c>
      <c r="M399" s="16" t="s">
        <v>661</v>
      </c>
      <c r="N399" s="11"/>
      <c r="O399" s="11"/>
      <c r="P399" s="16" t="s">
        <v>1151</v>
      </c>
      <c r="Q399" s="16" t="s">
        <v>1153</v>
      </c>
      <c r="R399" s="16" t="s">
        <v>142</v>
      </c>
      <c r="S399" s="11" t="s">
        <v>1168</v>
      </c>
    </row>
    <row r="400" spans="1:19" s="20" customFormat="1" ht="21.75" hidden="1" customHeight="1" x14ac:dyDescent="0.2">
      <c r="A400" s="16" t="s">
        <v>1111</v>
      </c>
      <c r="B400" s="16" t="s">
        <v>73</v>
      </c>
      <c r="C400" s="18">
        <v>46048</v>
      </c>
      <c r="D400" s="21">
        <v>12</v>
      </c>
      <c r="E400" s="19">
        <v>2</v>
      </c>
      <c r="F400" s="16" t="s">
        <v>26</v>
      </c>
      <c r="G400" s="16" t="s">
        <v>111</v>
      </c>
      <c r="H400" s="26" t="s">
        <v>1544</v>
      </c>
      <c r="I400" s="16" t="s">
        <v>1120</v>
      </c>
      <c r="J400" s="17">
        <v>20605579532</v>
      </c>
      <c r="K400" s="16" t="s">
        <v>73</v>
      </c>
      <c r="L400" s="16" t="s">
        <v>1156</v>
      </c>
      <c r="M400" s="16" t="s">
        <v>661</v>
      </c>
      <c r="N400" s="11"/>
      <c r="O400" s="11"/>
      <c r="P400" s="16" t="s">
        <v>1151</v>
      </c>
      <c r="Q400" s="16" t="s">
        <v>1153</v>
      </c>
      <c r="R400" s="16" t="s">
        <v>142</v>
      </c>
      <c r="S400" s="11" t="s">
        <v>1168</v>
      </c>
    </row>
    <row r="401" spans="1:19" s="20" customFormat="1" ht="21.75" hidden="1" customHeight="1" x14ac:dyDescent="0.2">
      <c r="A401" s="16" t="s">
        <v>1111</v>
      </c>
      <c r="B401" s="16" t="s">
        <v>73</v>
      </c>
      <c r="C401" s="18">
        <v>46048</v>
      </c>
      <c r="D401" s="21">
        <v>24</v>
      </c>
      <c r="E401" s="19">
        <v>1</v>
      </c>
      <c r="F401" s="16" t="s">
        <v>153</v>
      </c>
      <c r="G401" s="16" t="s">
        <v>124</v>
      </c>
      <c r="H401" s="26" t="s">
        <v>1544</v>
      </c>
      <c r="I401" s="16" t="s">
        <v>1120</v>
      </c>
      <c r="J401" s="17">
        <v>20605579532</v>
      </c>
      <c r="K401" s="16" t="s">
        <v>73</v>
      </c>
      <c r="L401" s="16" t="s">
        <v>1156</v>
      </c>
      <c r="M401" s="16" t="s">
        <v>661</v>
      </c>
      <c r="N401" s="11"/>
      <c r="O401" s="11"/>
      <c r="P401" s="16" t="s">
        <v>1151</v>
      </c>
      <c r="Q401" s="16" t="s">
        <v>1153</v>
      </c>
      <c r="R401" s="16" t="s">
        <v>142</v>
      </c>
      <c r="S401" s="11" t="s">
        <v>1168</v>
      </c>
    </row>
    <row r="402" spans="1:19" s="20" customFormat="1" ht="21.75" hidden="1" customHeight="1" x14ac:dyDescent="0.2">
      <c r="A402" s="16" t="s">
        <v>1111</v>
      </c>
      <c r="B402" s="16" t="s">
        <v>73</v>
      </c>
      <c r="C402" s="18">
        <v>46048</v>
      </c>
      <c r="D402" s="21">
        <v>24</v>
      </c>
      <c r="E402" s="19">
        <v>1</v>
      </c>
      <c r="F402" s="16" t="s">
        <v>152</v>
      </c>
      <c r="G402" s="16" t="s">
        <v>149</v>
      </c>
      <c r="H402" s="26" t="s">
        <v>1544</v>
      </c>
      <c r="I402" s="16" t="s">
        <v>1120</v>
      </c>
      <c r="J402" s="17">
        <v>20605579532</v>
      </c>
      <c r="K402" s="16" t="s">
        <v>73</v>
      </c>
      <c r="L402" s="16" t="s">
        <v>1156</v>
      </c>
      <c r="M402" s="16" t="s">
        <v>661</v>
      </c>
      <c r="N402" s="11"/>
      <c r="O402" s="11"/>
      <c r="P402" s="16" t="s">
        <v>1151</v>
      </c>
      <c r="Q402" s="16" t="s">
        <v>1153</v>
      </c>
      <c r="R402" s="16" t="s">
        <v>142</v>
      </c>
      <c r="S402" s="11" t="s">
        <v>1168</v>
      </c>
    </row>
    <row r="403" spans="1:19" s="20" customFormat="1" ht="21.75" hidden="1" customHeight="1" x14ac:dyDescent="0.2">
      <c r="A403" s="16" t="s">
        <v>1111</v>
      </c>
      <c r="B403" s="16" t="s">
        <v>73</v>
      </c>
      <c r="C403" s="18">
        <v>46048</v>
      </c>
      <c r="D403" s="21">
        <v>12</v>
      </c>
      <c r="E403" s="19">
        <v>1</v>
      </c>
      <c r="F403" s="16" t="s">
        <v>1131</v>
      </c>
      <c r="G403" s="16" t="s">
        <v>1143</v>
      </c>
      <c r="H403" s="26" t="s">
        <v>1544</v>
      </c>
      <c r="I403" s="16" t="s">
        <v>1120</v>
      </c>
      <c r="J403" s="17">
        <v>20605579532</v>
      </c>
      <c r="K403" s="16" t="s">
        <v>73</v>
      </c>
      <c r="L403" s="16" t="s">
        <v>1156</v>
      </c>
      <c r="M403" s="16" t="s">
        <v>661</v>
      </c>
      <c r="N403" s="11"/>
      <c r="O403" s="11"/>
      <c r="P403" s="16" t="s">
        <v>1151</v>
      </c>
      <c r="Q403" s="16" t="s">
        <v>1153</v>
      </c>
      <c r="R403" s="16" t="s">
        <v>142</v>
      </c>
      <c r="S403" s="11" t="s">
        <v>1168</v>
      </c>
    </row>
    <row r="404" spans="1:19" s="20" customFormat="1" ht="21.75" hidden="1" customHeight="1" x14ac:dyDescent="0.2">
      <c r="A404" s="16" t="s">
        <v>2124</v>
      </c>
      <c r="B404" s="16" t="s">
        <v>73</v>
      </c>
      <c r="C404" s="52">
        <v>46112</v>
      </c>
      <c r="D404" s="21">
        <v>1</v>
      </c>
      <c r="E404" s="19">
        <v>1</v>
      </c>
      <c r="F404" s="16" t="s">
        <v>906</v>
      </c>
      <c r="G404" s="16" t="s">
        <v>923</v>
      </c>
      <c r="H404" s="26" t="s">
        <v>1544</v>
      </c>
      <c r="I404" s="16" t="s">
        <v>1327</v>
      </c>
      <c r="J404" s="17">
        <v>20322557010</v>
      </c>
      <c r="K404" s="16"/>
      <c r="L404" s="16" t="s">
        <v>975</v>
      </c>
      <c r="M404" s="16" t="s">
        <v>75</v>
      </c>
      <c r="N404" s="11"/>
      <c r="O404" s="11"/>
      <c r="P404" s="16" t="s">
        <v>271</v>
      </c>
      <c r="Q404" s="16" t="s">
        <v>973</v>
      </c>
      <c r="R404" s="16" t="s">
        <v>142</v>
      </c>
      <c r="S404" s="11"/>
    </row>
    <row r="405" spans="1:19" s="20" customFormat="1" ht="21.75" hidden="1" customHeight="1" x14ac:dyDescent="0.2">
      <c r="A405" s="16" t="s">
        <v>2124</v>
      </c>
      <c r="B405" s="16" t="s">
        <v>73</v>
      </c>
      <c r="C405" s="52">
        <v>46112</v>
      </c>
      <c r="D405" s="21">
        <v>1</v>
      </c>
      <c r="E405" s="19">
        <v>1</v>
      </c>
      <c r="F405" s="16" t="s">
        <v>907</v>
      </c>
      <c r="G405" s="16" t="s">
        <v>924</v>
      </c>
      <c r="H405" s="26" t="s">
        <v>1544</v>
      </c>
      <c r="I405" s="16" t="s">
        <v>1327</v>
      </c>
      <c r="J405" s="17">
        <v>20322557010</v>
      </c>
      <c r="K405" s="16"/>
      <c r="L405" s="16" t="s">
        <v>975</v>
      </c>
      <c r="M405" s="16" t="s">
        <v>75</v>
      </c>
      <c r="N405" s="11"/>
      <c r="O405" s="11"/>
      <c r="P405" s="16" t="s">
        <v>271</v>
      </c>
      <c r="Q405" s="16" t="s">
        <v>973</v>
      </c>
      <c r="R405" s="16" t="s">
        <v>142</v>
      </c>
      <c r="S405" s="11"/>
    </row>
    <row r="406" spans="1:19" s="20" customFormat="1" ht="21.75" hidden="1" customHeight="1" x14ac:dyDescent="0.2">
      <c r="A406" s="16" t="s">
        <v>2124</v>
      </c>
      <c r="B406" s="16" t="s">
        <v>73</v>
      </c>
      <c r="C406" s="52">
        <v>46112</v>
      </c>
      <c r="D406" s="21">
        <v>2</v>
      </c>
      <c r="E406" s="19">
        <v>2</v>
      </c>
      <c r="F406" s="16" t="s">
        <v>910</v>
      </c>
      <c r="G406" s="16" t="s">
        <v>927</v>
      </c>
      <c r="H406" s="26" t="s">
        <v>1544</v>
      </c>
      <c r="I406" s="16" t="s">
        <v>1327</v>
      </c>
      <c r="J406" s="17">
        <v>20322557010</v>
      </c>
      <c r="K406" s="16"/>
      <c r="L406" s="16" t="s">
        <v>975</v>
      </c>
      <c r="M406" s="16" t="s">
        <v>75</v>
      </c>
      <c r="N406" s="11"/>
      <c r="O406" s="11"/>
      <c r="P406" s="16" t="s">
        <v>271</v>
      </c>
      <c r="Q406" s="16" t="s">
        <v>973</v>
      </c>
      <c r="R406" s="16" t="s">
        <v>142</v>
      </c>
      <c r="S406" s="11"/>
    </row>
    <row r="407" spans="1:19" s="20" customFormat="1" ht="21.75" hidden="1" customHeight="1" x14ac:dyDescent="0.2">
      <c r="A407" s="16" t="s">
        <v>2124</v>
      </c>
      <c r="B407" s="16" t="s">
        <v>73</v>
      </c>
      <c r="C407" s="52">
        <v>46112</v>
      </c>
      <c r="D407" s="21">
        <v>2</v>
      </c>
      <c r="E407" s="19">
        <v>2</v>
      </c>
      <c r="F407" s="16" t="s">
        <v>1771</v>
      </c>
      <c r="G407" s="16" t="s">
        <v>1774</v>
      </c>
      <c r="H407" s="26" t="s">
        <v>1544</v>
      </c>
      <c r="I407" s="16" t="s">
        <v>1327</v>
      </c>
      <c r="J407" s="17">
        <v>20322557010</v>
      </c>
      <c r="K407" s="16"/>
      <c r="L407" s="16" t="s">
        <v>975</v>
      </c>
      <c r="M407" s="16" t="s">
        <v>75</v>
      </c>
      <c r="N407" s="11"/>
      <c r="O407" s="11"/>
      <c r="P407" s="16" t="s">
        <v>271</v>
      </c>
      <c r="Q407" s="16" t="s">
        <v>973</v>
      </c>
      <c r="R407" s="16" t="s">
        <v>142</v>
      </c>
      <c r="S407" s="11"/>
    </row>
    <row r="408" spans="1:19" s="20" customFormat="1" ht="21.75" hidden="1" customHeight="1" x14ac:dyDescent="0.2">
      <c r="A408" s="16" t="s">
        <v>2124</v>
      </c>
      <c r="B408" s="16" t="s">
        <v>73</v>
      </c>
      <c r="C408" s="52">
        <v>46112</v>
      </c>
      <c r="D408" s="21">
        <v>1</v>
      </c>
      <c r="E408" s="19">
        <v>1</v>
      </c>
      <c r="F408" s="16" t="s">
        <v>1769</v>
      </c>
      <c r="G408" s="16" t="s">
        <v>1772</v>
      </c>
      <c r="H408" s="26" t="s">
        <v>1544</v>
      </c>
      <c r="I408" s="16" t="s">
        <v>1327</v>
      </c>
      <c r="J408" s="17">
        <v>20322557010</v>
      </c>
      <c r="K408" s="16"/>
      <c r="L408" s="16" t="s">
        <v>975</v>
      </c>
      <c r="M408" s="16" t="s">
        <v>75</v>
      </c>
      <c r="N408" s="11"/>
      <c r="O408" s="11"/>
      <c r="P408" s="16" t="s">
        <v>271</v>
      </c>
      <c r="Q408" s="16" t="s">
        <v>973</v>
      </c>
      <c r="R408" s="16" t="s">
        <v>142</v>
      </c>
      <c r="S408" s="11"/>
    </row>
    <row r="409" spans="1:19" s="20" customFormat="1" ht="21.75" hidden="1" customHeight="1" x14ac:dyDescent="0.2">
      <c r="A409" s="16" t="s">
        <v>2124</v>
      </c>
      <c r="B409" s="16" t="s">
        <v>73</v>
      </c>
      <c r="C409" s="52">
        <v>46112</v>
      </c>
      <c r="D409" s="21">
        <v>1</v>
      </c>
      <c r="E409" s="19">
        <v>1</v>
      </c>
      <c r="F409" s="16" t="s">
        <v>1770</v>
      </c>
      <c r="G409" s="16" t="s">
        <v>1773</v>
      </c>
      <c r="H409" s="26" t="s">
        <v>1544</v>
      </c>
      <c r="I409" s="16" t="s">
        <v>1327</v>
      </c>
      <c r="J409" s="17">
        <v>20322557010</v>
      </c>
      <c r="K409" s="16"/>
      <c r="L409" s="16" t="s">
        <v>975</v>
      </c>
      <c r="M409" s="16" t="s">
        <v>75</v>
      </c>
      <c r="N409" s="11"/>
      <c r="O409" s="11"/>
      <c r="P409" s="16" t="s">
        <v>271</v>
      </c>
      <c r="Q409" s="16" t="s">
        <v>973</v>
      </c>
      <c r="R409" s="16" t="s">
        <v>142</v>
      </c>
      <c r="S409" s="11"/>
    </row>
    <row r="410" spans="1:19" s="20" customFormat="1" ht="21.75" hidden="1" customHeight="1" x14ac:dyDescent="0.2">
      <c r="A410" s="16" t="s">
        <v>2124</v>
      </c>
      <c r="B410" s="16" t="s">
        <v>73</v>
      </c>
      <c r="C410" s="52">
        <v>46112</v>
      </c>
      <c r="D410" s="21">
        <v>4</v>
      </c>
      <c r="E410" s="19">
        <v>1</v>
      </c>
      <c r="F410" s="16" t="s">
        <v>1301</v>
      </c>
      <c r="G410" s="16" t="s">
        <v>1307</v>
      </c>
      <c r="H410" s="26" t="s">
        <v>1544</v>
      </c>
      <c r="I410" s="16" t="s">
        <v>1327</v>
      </c>
      <c r="J410" s="17">
        <v>20322557010</v>
      </c>
      <c r="K410" s="16"/>
      <c r="L410" s="16" t="s">
        <v>975</v>
      </c>
      <c r="M410" s="16" t="s">
        <v>75</v>
      </c>
      <c r="N410" s="11"/>
      <c r="O410" s="11"/>
      <c r="P410" s="16" t="s">
        <v>271</v>
      </c>
      <c r="Q410" s="16" t="s">
        <v>973</v>
      </c>
      <c r="R410" s="16" t="s">
        <v>142</v>
      </c>
      <c r="S410" s="11"/>
    </row>
    <row r="411" spans="1:19" s="20" customFormat="1" ht="21.75" hidden="1" customHeight="1" x14ac:dyDescent="0.2">
      <c r="A411" s="16" t="s">
        <v>2124</v>
      </c>
      <c r="B411" s="16" t="s">
        <v>73</v>
      </c>
      <c r="C411" s="52">
        <v>46112</v>
      </c>
      <c r="D411" s="21">
        <v>2</v>
      </c>
      <c r="E411" s="19">
        <v>1</v>
      </c>
      <c r="F411" s="16" t="s">
        <v>1132</v>
      </c>
      <c r="G411" s="16" t="s">
        <v>1144</v>
      </c>
      <c r="H411" s="26" t="s">
        <v>1544</v>
      </c>
      <c r="I411" s="16" t="s">
        <v>1327</v>
      </c>
      <c r="J411" s="17">
        <v>20322557010</v>
      </c>
      <c r="K411" s="16"/>
      <c r="L411" s="16" t="s">
        <v>975</v>
      </c>
      <c r="M411" s="16" t="s">
        <v>75</v>
      </c>
      <c r="N411" s="11"/>
      <c r="O411" s="11"/>
      <c r="P411" s="16" t="s">
        <v>271</v>
      </c>
      <c r="Q411" s="16" t="s">
        <v>973</v>
      </c>
      <c r="R411" s="16" t="s">
        <v>142</v>
      </c>
      <c r="S411" s="11"/>
    </row>
    <row r="412" spans="1:19" s="20" customFormat="1" ht="21.75" hidden="1" customHeight="1" x14ac:dyDescent="0.2">
      <c r="A412" s="16" t="s">
        <v>2124</v>
      </c>
      <c r="B412" s="16" t="s">
        <v>73</v>
      </c>
      <c r="C412" s="52">
        <v>46112</v>
      </c>
      <c r="D412" s="21">
        <v>2</v>
      </c>
      <c r="E412" s="19">
        <v>1</v>
      </c>
      <c r="F412" s="16" t="s">
        <v>1134</v>
      </c>
      <c r="G412" s="16" t="s">
        <v>1146</v>
      </c>
      <c r="H412" s="26" t="s">
        <v>1544</v>
      </c>
      <c r="I412" s="16" t="s">
        <v>1327</v>
      </c>
      <c r="J412" s="17">
        <v>20322557010</v>
      </c>
      <c r="K412" s="16"/>
      <c r="L412" s="16" t="s">
        <v>975</v>
      </c>
      <c r="M412" s="16" t="s">
        <v>75</v>
      </c>
      <c r="N412" s="11"/>
      <c r="O412" s="11"/>
      <c r="P412" s="16" t="s">
        <v>271</v>
      </c>
      <c r="Q412" s="16" t="s">
        <v>973</v>
      </c>
      <c r="R412" s="16" t="s">
        <v>142</v>
      </c>
      <c r="S412" s="11"/>
    </row>
    <row r="413" spans="1:19" s="20" customFormat="1" ht="21.75" hidden="1" customHeight="1" x14ac:dyDescent="0.2">
      <c r="A413" s="16" t="s">
        <v>2124</v>
      </c>
      <c r="B413" s="16" t="s">
        <v>73</v>
      </c>
      <c r="C413" s="52">
        <v>46112</v>
      </c>
      <c r="D413" s="21">
        <v>4</v>
      </c>
      <c r="E413" s="19">
        <v>1</v>
      </c>
      <c r="F413" s="16" t="s">
        <v>899</v>
      </c>
      <c r="G413" s="16" t="s">
        <v>916</v>
      </c>
      <c r="H413" s="26" t="s">
        <v>1544</v>
      </c>
      <c r="I413" s="16" t="s">
        <v>1327</v>
      </c>
      <c r="J413" s="17">
        <v>20322557010</v>
      </c>
      <c r="K413" s="16"/>
      <c r="L413" s="16" t="s">
        <v>975</v>
      </c>
      <c r="M413" s="16" t="s">
        <v>75</v>
      </c>
      <c r="N413" s="11"/>
      <c r="O413" s="11"/>
      <c r="P413" s="16" t="s">
        <v>271</v>
      </c>
      <c r="Q413" s="16" t="s">
        <v>973</v>
      </c>
      <c r="R413" s="16" t="s">
        <v>142</v>
      </c>
      <c r="S413" s="11"/>
    </row>
    <row r="414" spans="1:19" s="20" customFormat="1" ht="21.75" hidden="1" customHeight="1" x14ac:dyDescent="0.2">
      <c r="A414" s="16" t="s">
        <v>2124</v>
      </c>
      <c r="B414" s="16" t="s">
        <v>73</v>
      </c>
      <c r="C414" s="52">
        <v>46112</v>
      </c>
      <c r="D414" s="21">
        <v>4</v>
      </c>
      <c r="E414" s="19">
        <v>1</v>
      </c>
      <c r="F414" s="16" t="s">
        <v>900</v>
      </c>
      <c r="G414" s="16" t="s">
        <v>917</v>
      </c>
      <c r="H414" s="26" t="s">
        <v>1544</v>
      </c>
      <c r="I414" s="16" t="s">
        <v>1327</v>
      </c>
      <c r="J414" s="17">
        <v>20322557010</v>
      </c>
      <c r="K414" s="16"/>
      <c r="L414" s="16" t="s">
        <v>975</v>
      </c>
      <c r="M414" s="16" t="s">
        <v>75</v>
      </c>
      <c r="N414" s="11"/>
      <c r="O414" s="11"/>
      <c r="P414" s="16" t="s">
        <v>271</v>
      </c>
      <c r="Q414" s="16" t="s">
        <v>973</v>
      </c>
      <c r="R414" s="16" t="s">
        <v>142</v>
      </c>
      <c r="S414" s="11"/>
    </row>
    <row r="415" spans="1:19" s="20" customFormat="1" ht="21.75" hidden="1" customHeight="1" x14ac:dyDescent="0.2">
      <c r="A415" s="16" t="s">
        <v>2124</v>
      </c>
      <c r="B415" s="16" t="s">
        <v>73</v>
      </c>
      <c r="C415" s="52">
        <v>46112</v>
      </c>
      <c r="D415" s="21">
        <v>4</v>
      </c>
      <c r="E415" s="19">
        <v>1</v>
      </c>
      <c r="F415" s="16" t="s">
        <v>898</v>
      </c>
      <c r="G415" s="16" t="s">
        <v>915</v>
      </c>
      <c r="H415" s="26" t="s">
        <v>1544</v>
      </c>
      <c r="I415" s="16" t="s">
        <v>1327</v>
      </c>
      <c r="J415" s="17">
        <v>20322557010</v>
      </c>
      <c r="K415" s="16"/>
      <c r="L415" s="16" t="s">
        <v>975</v>
      </c>
      <c r="M415" s="16" t="s">
        <v>75</v>
      </c>
      <c r="N415" s="11"/>
      <c r="O415" s="11"/>
      <c r="P415" s="16" t="s">
        <v>271</v>
      </c>
      <c r="Q415" s="16" t="s">
        <v>973</v>
      </c>
      <c r="R415" s="16" t="s">
        <v>142</v>
      </c>
      <c r="S415" s="11"/>
    </row>
    <row r="416" spans="1:19" s="20" customFormat="1" ht="21.75" hidden="1" customHeight="1" x14ac:dyDescent="0.2">
      <c r="A416" s="16" t="s">
        <v>2125</v>
      </c>
      <c r="B416" s="16" t="s">
        <v>73</v>
      </c>
      <c r="C416" s="52">
        <v>46112</v>
      </c>
      <c r="D416" s="21">
        <v>16</v>
      </c>
      <c r="E416" s="19">
        <v>2</v>
      </c>
      <c r="F416" s="16" t="s">
        <v>899</v>
      </c>
      <c r="G416" s="16" t="s">
        <v>916</v>
      </c>
      <c r="H416" s="26" t="s">
        <v>1544</v>
      </c>
      <c r="I416" s="16" t="s">
        <v>2129</v>
      </c>
      <c r="J416" s="17">
        <v>20519904471</v>
      </c>
      <c r="K416" s="17">
        <v>14248006</v>
      </c>
      <c r="L416" s="16" t="s">
        <v>2131</v>
      </c>
      <c r="M416" s="16" t="s">
        <v>75</v>
      </c>
      <c r="N416" s="11"/>
      <c r="O416" s="11"/>
      <c r="P416" s="16" t="s">
        <v>271</v>
      </c>
      <c r="Q416" s="16" t="s">
        <v>2130</v>
      </c>
      <c r="R416" s="16" t="s">
        <v>142</v>
      </c>
      <c r="S416" s="11"/>
    </row>
    <row r="417" spans="1:19" s="20" customFormat="1" ht="21.75" hidden="1" customHeight="1" x14ac:dyDescent="0.2">
      <c r="A417" s="16" t="s">
        <v>2125</v>
      </c>
      <c r="B417" s="16" t="s">
        <v>73</v>
      </c>
      <c r="C417" s="52">
        <v>46112</v>
      </c>
      <c r="D417" s="21">
        <v>16</v>
      </c>
      <c r="E417" s="19">
        <v>2</v>
      </c>
      <c r="F417" s="16" t="s">
        <v>900</v>
      </c>
      <c r="G417" s="16" t="s">
        <v>917</v>
      </c>
      <c r="H417" s="26" t="s">
        <v>1544</v>
      </c>
      <c r="I417" s="16" t="s">
        <v>2129</v>
      </c>
      <c r="J417" s="17">
        <v>20519904471</v>
      </c>
      <c r="K417" s="17">
        <v>14248006</v>
      </c>
      <c r="L417" s="16" t="s">
        <v>2131</v>
      </c>
      <c r="M417" s="16" t="s">
        <v>75</v>
      </c>
      <c r="N417" s="11"/>
      <c r="O417" s="11"/>
      <c r="P417" s="16" t="s">
        <v>271</v>
      </c>
      <c r="Q417" s="16" t="s">
        <v>2130</v>
      </c>
      <c r="R417" s="16" t="s">
        <v>142</v>
      </c>
      <c r="S417" s="11"/>
    </row>
    <row r="418" spans="1:19" s="20" customFormat="1" ht="21.75" hidden="1" customHeight="1" x14ac:dyDescent="0.2">
      <c r="A418" s="16" t="s">
        <v>2125</v>
      </c>
      <c r="B418" s="16" t="s">
        <v>73</v>
      </c>
      <c r="C418" s="52">
        <v>46112</v>
      </c>
      <c r="D418" s="21">
        <v>4</v>
      </c>
      <c r="E418" s="19">
        <v>1</v>
      </c>
      <c r="F418" s="16" t="s">
        <v>898</v>
      </c>
      <c r="G418" s="16" t="s">
        <v>915</v>
      </c>
      <c r="H418" s="26" t="s">
        <v>1544</v>
      </c>
      <c r="I418" s="16" t="s">
        <v>2129</v>
      </c>
      <c r="J418" s="17">
        <v>20519904471</v>
      </c>
      <c r="K418" s="17">
        <v>14248006</v>
      </c>
      <c r="L418" s="16" t="s">
        <v>2131</v>
      </c>
      <c r="M418" s="16" t="s">
        <v>75</v>
      </c>
      <c r="N418" s="11"/>
      <c r="O418" s="11"/>
      <c r="P418" s="16" t="s">
        <v>271</v>
      </c>
      <c r="Q418" s="16" t="s">
        <v>2130</v>
      </c>
      <c r="R418" s="16" t="s">
        <v>142</v>
      </c>
      <c r="S418" s="11"/>
    </row>
    <row r="419" spans="1:19" s="20" customFormat="1" ht="21.75" hidden="1" customHeight="1" x14ac:dyDescent="0.2">
      <c r="A419" s="16" t="s">
        <v>2125</v>
      </c>
      <c r="B419" s="16" t="s">
        <v>73</v>
      </c>
      <c r="C419" s="52">
        <v>46112</v>
      </c>
      <c r="D419" s="21">
        <v>5</v>
      </c>
      <c r="E419" s="19">
        <v>5</v>
      </c>
      <c r="F419" s="16" t="s">
        <v>906</v>
      </c>
      <c r="G419" s="16" t="s">
        <v>923</v>
      </c>
      <c r="H419" s="26" t="s">
        <v>1544</v>
      </c>
      <c r="I419" s="16" t="s">
        <v>2129</v>
      </c>
      <c r="J419" s="17">
        <v>20519904471</v>
      </c>
      <c r="K419" s="17">
        <v>14248006</v>
      </c>
      <c r="L419" s="16" t="s">
        <v>2131</v>
      </c>
      <c r="M419" s="16" t="s">
        <v>75</v>
      </c>
      <c r="N419" s="11"/>
      <c r="O419" s="11"/>
      <c r="P419" s="16" t="s">
        <v>271</v>
      </c>
      <c r="Q419" s="16" t="s">
        <v>2130</v>
      </c>
      <c r="R419" s="16" t="s">
        <v>142</v>
      </c>
      <c r="S419" s="11"/>
    </row>
    <row r="420" spans="1:19" s="20" customFormat="1" ht="21.75" hidden="1" customHeight="1" x14ac:dyDescent="0.2">
      <c r="A420" s="16" t="s">
        <v>2125</v>
      </c>
      <c r="B420" s="16" t="s">
        <v>73</v>
      </c>
      <c r="C420" s="52">
        <v>46112</v>
      </c>
      <c r="D420" s="21">
        <v>5</v>
      </c>
      <c r="E420" s="19">
        <v>5</v>
      </c>
      <c r="F420" s="16" t="s">
        <v>907</v>
      </c>
      <c r="G420" s="16" t="s">
        <v>924</v>
      </c>
      <c r="H420" s="26" t="s">
        <v>1544</v>
      </c>
      <c r="I420" s="16" t="s">
        <v>2129</v>
      </c>
      <c r="J420" s="17">
        <v>20519904471</v>
      </c>
      <c r="K420" s="17">
        <v>14248006</v>
      </c>
      <c r="L420" s="16" t="s">
        <v>2131</v>
      </c>
      <c r="M420" s="16" t="s">
        <v>75</v>
      </c>
      <c r="N420" s="11"/>
      <c r="O420" s="11"/>
      <c r="P420" s="16" t="s">
        <v>271</v>
      </c>
      <c r="Q420" s="16" t="s">
        <v>2130</v>
      </c>
      <c r="R420" s="16" t="s">
        <v>142</v>
      </c>
      <c r="S420" s="11"/>
    </row>
    <row r="421" spans="1:19" s="20" customFormat="1" ht="21.75" hidden="1" customHeight="1" x14ac:dyDescent="0.2">
      <c r="A421" s="16" t="s">
        <v>2125</v>
      </c>
      <c r="B421" s="16" t="s">
        <v>73</v>
      </c>
      <c r="C421" s="52">
        <v>46112</v>
      </c>
      <c r="D421" s="21">
        <v>3</v>
      </c>
      <c r="E421" s="19">
        <v>1</v>
      </c>
      <c r="F421" s="16" t="s">
        <v>904</v>
      </c>
      <c r="G421" s="16" t="s">
        <v>921</v>
      </c>
      <c r="H421" s="26" t="s">
        <v>1544</v>
      </c>
      <c r="I421" s="16" t="s">
        <v>2129</v>
      </c>
      <c r="J421" s="17">
        <v>20519904471</v>
      </c>
      <c r="K421" s="17">
        <v>14248006</v>
      </c>
      <c r="L421" s="16" t="s">
        <v>2131</v>
      </c>
      <c r="M421" s="16" t="s">
        <v>75</v>
      </c>
      <c r="N421" s="11"/>
      <c r="O421" s="11"/>
      <c r="P421" s="16" t="s">
        <v>271</v>
      </c>
      <c r="Q421" s="16" t="s">
        <v>2130</v>
      </c>
      <c r="R421" s="16" t="s">
        <v>142</v>
      </c>
      <c r="S421" s="11"/>
    </row>
    <row r="422" spans="1:19" s="20" customFormat="1" ht="21.75" hidden="1" customHeight="1" x14ac:dyDescent="0.2">
      <c r="A422" s="16" t="s">
        <v>2125</v>
      </c>
      <c r="B422" s="16" t="s">
        <v>73</v>
      </c>
      <c r="C422" s="52">
        <v>46112</v>
      </c>
      <c r="D422" s="21">
        <v>3</v>
      </c>
      <c r="E422" s="19">
        <v>1</v>
      </c>
      <c r="F422" s="16" t="s">
        <v>905</v>
      </c>
      <c r="G422" s="16" t="s">
        <v>922</v>
      </c>
      <c r="H422" s="26" t="s">
        <v>1544</v>
      </c>
      <c r="I422" s="16" t="s">
        <v>2129</v>
      </c>
      <c r="J422" s="17">
        <v>20519904471</v>
      </c>
      <c r="K422" s="17">
        <v>14248006</v>
      </c>
      <c r="L422" s="16" t="s">
        <v>2131</v>
      </c>
      <c r="M422" s="16" t="s">
        <v>75</v>
      </c>
      <c r="N422" s="11"/>
      <c r="O422" s="11"/>
      <c r="P422" s="16" t="s">
        <v>271</v>
      </c>
      <c r="Q422" s="16" t="s">
        <v>2130</v>
      </c>
      <c r="R422" s="16" t="s">
        <v>142</v>
      </c>
      <c r="S422" s="11"/>
    </row>
    <row r="423" spans="1:19" s="20" customFormat="1" ht="21.75" hidden="1" customHeight="1" x14ac:dyDescent="0.2">
      <c r="A423" s="16" t="s">
        <v>2125</v>
      </c>
      <c r="B423" s="16" t="s">
        <v>73</v>
      </c>
      <c r="C423" s="52">
        <v>46112</v>
      </c>
      <c r="D423" s="21">
        <v>2</v>
      </c>
      <c r="E423" s="19">
        <v>1</v>
      </c>
      <c r="F423" s="16" t="s">
        <v>1132</v>
      </c>
      <c r="G423" s="16" t="s">
        <v>1144</v>
      </c>
      <c r="H423" s="26" t="s">
        <v>1544</v>
      </c>
      <c r="I423" s="16" t="s">
        <v>2129</v>
      </c>
      <c r="J423" s="17">
        <v>20519904471</v>
      </c>
      <c r="K423" s="17">
        <v>14248006</v>
      </c>
      <c r="L423" s="16" t="s">
        <v>2131</v>
      </c>
      <c r="M423" s="16" t="s">
        <v>75</v>
      </c>
      <c r="N423" s="11"/>
      <c r="O423" s="11"/>
      <c r="P423" s="16" t="s">
        <v>271</v>
      </c>
      <c r="Q423" s="16" t="s">
        <v>2130</v>
      </c>
      <c r="R423" s="16" t="s">
        <v>142</v>
      </c>
      <c r="S423" s="11"/>
    </row>
    <row r="424" spans="1:19" s="20" customFormat="1" ht="21.75" hidden="1" customHeight="1" x14ac:dyDescent="0.2">
      <c r="A424" s="16" t="s">
        <v>2125</v>
      </c>
      <c r="B424" s="16" t="s">
        <v>73</v>
      </c>
      <c r="C424" s="52">
        <v>46112</v>
      </c>
      <c r="D424" s="21">
        <v>2</v>
      </c>
      <c r="E424" s="19">
        <v>1</v>
      </c>
      <c r="F424" s="16" t="s">
        <v>1134</v>
      </c>
      <c r="G424" s="16" t="s">
        <v>1146</v>
      </c>
      <c r="H424" s="26" t="s">
        <v>1544</v>
      </c>
      <c r="I424" s="16" t="s">
        <v>2129</v>
      </c>
      <c r="J424" s="17">
        <v>20519904471</v>
      </c>
      <c r="K424" s="17">
        <v>14248006</v>
      </c>
      <c r="L424" s="16" t="s">
        <v>2131</v>
      </c>
      <c r="M424" s="16" t="s">
        <v>75</v>
      </c>
      <c r="N424" s="11"/>
      <c r="O424" s="11"/>
      <c r="P424" s="16" t="s">
        <v>271</v>
      </c>
      <c r="Q424" s="16" t="s">
        <v>2130</v>
      </c>
      <c r="R424" s="16" t="s">
        <v>142</v>
      </c>
      <c r="S424" s="11"/>
    </row>
    <row r="425" spans="1:19" s="20" customFormat="1" ht="21.75" hidden="1" customHeight="1" x14ac:dyDescent="0.2">
      <c r="A425" s="16" t="s">
        <v>2125</v>
      </c>
      <c r="B425" s="16" t="s">
        <v>73</v>
      </c>
      <c r="C425" s="52">
        <v>46112</v>
      </c>
      <c r="D425" s="21">
        <v>2</v>
      </c>
      <c r="E425" s="19">
        <v>1</v>
      </c>
      <c r="F425" s="16" t="s">
        <v>1133</v>
      </c>
      <c r="G425" s="16" t="s">
        <v>1145</v>
      </c>
      <c r="H425" s="26" t="s">
        <v>1544</v>
      </c>
      <c r="I425" s="16" t="s">
        <v>2129</v>
      </c>
      <c r="J425" s="17">
        <v>20519904471</v>
      </c>
      <c r="K425" s="17">
        <v>14248006</v>
      </c>
      <c r="L425" s="16" t="s">
        <v>2131</v>
      </c>
      <c r="M425" s="16" t="s">
        <v>75</v>
      </c>
      <c r="N425" s="11"/>
      <c r="O425" s="11"/>
      <c r="P425" s="16" t="s">
        <v>271</v>
      </c>
      <c r="Q425" s="16" t="s">
        <v>2130</v>
      </c>
      <c r="R425" s="16" t="s">
        <v>142</v>
      </c>
      <c r="S425" s="11"/>
    </row>
    <row r="426" spans="1:19" s="20" customFormat="1" ht="21.75" hidden="1" customHeight="1" x14ac:dyDescent="0.2">
      <c r="A426" s="16" t="s">
        <v>2125</v>
      </c>
      <c r="B426" s="16" t="s">
        <v>73</v>
      </c>
      <c r="C426" s="52">
        <v>46112</v>
      </c>
      <c r="D426" s="21">
        <v>6</v>
      </c>
      <c r="E426" s="19">
        <v>1</v>
      </c>
      <c r="F426" s="16" t="s">
        <v>1135</v>
      </c>
      <c r="G426" s="16" t="s">
        <v>1147</v>
      </c>
      <c r="H426" s="26" t="s">
        <v>1544</v>
      </c>
      <c r="I426" s="16" t="s">
        <v>2129</v>
      </c>
      <c r="J426" s="17">
        <v>20519904471</v>
      </c>
      <c r="K426" s="17">
        <v>14248006</v>
      </c>
      <c r="L426" s="16" t="s">
        <v>2131</v>
      </c>
      <c r="M426" s="16" t="s">
        <v>75</v>
      </c>
      <c r="N426" s="11"/>
      <c r="O426" s="11"/>
      <c r="P426" s="16" t="s">
        <v>271</v>
      </c>
      <c r="Q426" s="16" t="s">
        <v>2130</v>
      </c>
      <c r="R426" s="16" t="s">
        <v>142</v>
      </c>
      <c r="S426" s="11"/>
    </row>
    <row r="427" spans="1:19" s="20" customFormat="1" ht="21.75" hidden="1" customHeight="1" x14ac:dyDescent="0.2">
      <c r="A427" s="16" t="s">
        <v>1112</v>
      </c>
      <c r="B427" s="16" t="s">
        <v>73</v>
      </c>
      <c r="C427" s="52">
        <v>46111</v>
      </c>
      <c r="D427" s="21">
        <v>6</v>
      </c>
      <c r="E427" s="19">
        <v>6</v>
      </c>
      <c r="F427" s="16" t="s">
        <v>908</v>
      </c>
      <c r="G427" s="16" t="s">
        <v>925</v>
      </c>
      <c r="H427" s="26" t="s">
        <v>1544</v>
      </c>
      <c r="I427" s="16" t="s">
        <v>1121</v>
      </c>
      <c r="J427" s="17">
        <v>20604806144</v>
      </c>
      <c r="K427" s="17">
        <v>948590221</v>
      </c>
      <c r="L427" s="16" t="s">
        <v>1281</v>
      </c>
      <c r="M427" s="16" t="s">
        <v>75</v>
      </c>
      <c r="N427" s="11"/>
      <c r="O427" s="11"/>
      <c r="P427" s="16" t="s">
        <v>2132</v>
      </c>
      <c r="Q427" s="16" t="s">
        <v>1286</v>
      </c>
      <c r="R427" s="16" t="s">
        <v>142</v>
      </c>
      <c r="S427" s="11"/>
    </row>
    <row r="428" spans="1:19" s="20" customFormat="1" ht="21.75" hidden="1" customHeight="1" x14ac:dyDescent="0.2">
      <c r="A428" s="16" t="s">
        <v>1112</v>
      </c>
      <c r="B428" s="16" t="s">
        <v>73</v>
      </c>
      <c r="C428" s="52">
        <v>46111</v>
      </c>
      <c r="D428" s="21">
        <v>6</v>
      </c>
      <c r="E428" s="19">
        <v>6</v>
      </c>
      <c r="F428" s="16" t="s">
        <v>909</v>
      </c>
      <c r="G428" s="16" t="s">
        <v>926</v>
      </c>
      <c r="H428" s="26" t="s">
        <v>1544</v>
      </c>
      <c r="I428" s="16" t="s">
        <v>1121</v>
      </c>
      <c r="J428" s="17">
        <v>20604806144</v>
      </c>
      <c r="K428" s="17">
        <v>948590221</v>
      </c>
      <c r="L428" s="16" t="s">
        <v>1281</v>
      </c>
      <c r="M428" s="16" t="s">
        <v>75</v>
      </c>
      <c r="N428" s="11"/>
      <c r="O428" s="11"/>
      <c r="P428" s="16" t="s">
        <v>2132</v>
      </c>
      <c r="Q428" s="16" t="s">
        <v>1286</v>
      </c>
      <c r="R428" s="16" t="s">
        <v>142</v>
      </c>
      <c r="S428" s="11"/>
    </row>
    <row r="429" spans="1:19" s="20" customFormat="1" ht="21.75" hidden="1" customHeight="1" x14ac:dyDescent="0.2">
      <c r="A429" s="16" t="s">
        <v>1112</v>
      </c>
      <c r="B429" s="16" t="s">
        <v>73</v>
      </c>
      <c r="C429" s="52">
        <v>46111</v>
      </c>
      <c r="D429" s="21">
        <v>12</v>
      </c>
      <c r="E429" s="19">
        <v>12</v>
      </c>
      <c r="F429" s="16" t="s">
        <v>906</v>
      </c>
      <c r="G429" s="16" t="s">
        <v>923</v>
      </c>
      <c r="H429" s="26" t="s">
        <v>1544</v>
      </c>
      <c r="I429" s="16" t="s">
        <v>1121</v>
      </c>
      <c r="J429" s="17">
        <v>20604806144</v>
      </c>
      <c r="K429" s="17">
        <v>948590221</v>
      </c>
      <c r="L429" s="16" t="s">
        <v>1281</v>
      </c>
      <c r="M429" s="16" t="s">
        <v>75</v>
      </c>
      <c r="N429" s="11"/>
      <c r="O429" s="11"/>
      <c r="P429" s="16" t="s">
        <v>2132</v>
      </c>
      <c r="Q429" s="16" t="s">
        <v>1286</v>
      </c>
      <c r="R429" s="16" t="s">
        <v>142</v>
      </c>
      <c r="S429" s="11"/>
    </row>
    <row r="430" spans="1:19" s="20" customFormat="1" ht="21.75" hidden="1" customHeight="1" x14ac:dyDescent="0.2">
      <c r="A430" s="16" t="s">
        <v>1112</v>
      </c>
      <c r="B430" s="16" t="s">
        <v>73</v>
      </c>
      <c r="C430" s="52">
        <v>46111</v>
      </c>
      <c r="D430" s="21">
        <v>12</v>
      </c>
      <c r="E430" s="19">
        <v>12</v>
      </c>
      <c r="F430" s="16" t="s">
        <v>907</v>
      </c>
      <c r="G430" s="16" t="s">
        <v>924</v>
      </c>
      <c r="H430" s="26" t="s">
        <v>1544</v>
      </c>
      <c r="I430" s="16" t="s">
        <v>1121</v>
      </c>
      <c r="J430" s="17">
        <v>20604806144</v>
      </c>
      <c r="K430" s="17">
        <v>948590221</v>
      </c>
      <c r="L430" s="16" t="s">
        <v>1281</v>
      </c>
      <c r="M430" s="16" t="s">
        <v>75</v>
      </c>
      <c r="N430" s="11"/>
      <c r="O430" s="11"/>
      <c r="P430" s="16" t="s">
        <v>2132</v>
      </c>
      <c r="Q430" s="16" t="s">
        <v>1286</v>
      </c>
      <c r="R430" s="16" t="s">
        <v>142</v>
      </c>
      <c r="S430" s="11"/>
    </row>
    <row r="431" spans="1:19" s="20" customFormat="1" ht="21.75" hidden="1" customHeight="1" x14ac:dyDescent="0.2">
      <c r="A431" s="16" t="s">
        <v>1112</v>
      </c>
      <c r="B431" s="16" t="s">
        <v>73</v>
      </c>
      <c r="C431" s="52">
        <v>46111</v>
      </c>
      <c r="D431" s="21">
        <v>8</v>
      </c>
      <c r="E431" s="19">
        <v>2</v>
      </c>
      <c r="F431" s="16" t="s">
        <v>1132</v>
      </c>
      <c r="G431" s="16" t="s">
        <v>1144</v>
      </c>
      <c r="H431" s="26" t="s">
        <v>1544</v>
      </c>
      <c r="I431" s="16" t="s">
        <v>1121</v>
      </c>
      <c r="J431" s="17">
        <v>20604806144</v>
      </c>
      <c r="K431" s="17">
        <v>948590221</v>
      </c>
      <c r="L431" s="16" t="s">
        <v>1281</v>
      </c>
      <c r="M431" s="16" t="s">
        <v>75</v>
      </c>
      <c r="N431" s="11"/>
      <c r="O431" s="11"/>
      <c r="P431" s="16" t="s">
        <v>2132</v>
      </c>
      <c r="Q431" s="16" t="s">
        <v>1286</v>
      </c>
      <c r="R431" s="16" t="s">
        <v>142</v>
      </c>
      <c r="S431" s="11"/>
    </row>
    <row r="432" spans="1:19" s="20" customFormat="1" ht="21.75" hidden="1" customHeight="1" x14ac:dyDescent="0.2">
      <c r="A432" s="16" t="s">
        <v>1112</v>
      </c>
      <c r="B432" s="16" t="s">
        <v>73</v>
      </c>
      <c r="C432" s="52">
        <v>46111</v>
      </c>
      <c r="D432" s="21">
        <v>8</v>
      </c>
      <c r="E432" s="19">
        <v>2</v>
      </c>
      <c r="F432" s="16" t="s">
        <v>1133</v>
      </c>
      <c r="G432" s="16" t="s">
        <v>1145</v>
      </c>
      <c r="H432" s="26" t="s">
        <v>1544</v>
      </c>
      <c r="I432" s="16" t="s">
        <v>1121</v>
      </c>
      <c r="J432" s="17">
        <v>20604806144</v>
      </c>
      <c r="K432" s="17">
        <v>948590221</v>
      </c>
      <c r="L432" s="16" t="s">
        <v>1281</v>
      </c>
      <c r="M432" s="16" t="s">
        <v>75</v>
      </c>
      <c r="N432" s="11"/>
      <c r="O432" s="11"/>
      <c r="P432" s="16" t="s">
        <v>2132</v>
      </c>
      <c r="Q432" s="16" t="s">
        <v>1286</v>
      </c>
      <c r="R432" s="16" t="s">
        <v>142</v>
      </c>
      <c r="S432" s="11"/>
    </row>
    <row r="433" spans="1:19" s="20" customFormat="1" ht="21.75" hidden="1" customHeight="1" x14ac:dyDescent="0.2">
      <c r="A433" s="16" t="s">
        <v>1112</v>
      </c>
      <c r="B433" s="16" t="s">
        <v>73</v>
      </c>
      <c r="C433" s="52">
        <v>46111</v>
      </c>
      <c r="D433" s="21">
        <v>8</v>
      </c>
      <c r="E433" s="19">
        <v>2</v>
      </c>
      <c r="F433" s="16" t="s">
        <v>1134</v>
      </c>
      <c r="G433" s="16" t="s">
        <v>1146</v>
      </c>
      <c r="H433" s="26" t="s">
        <v>1544</v>
      </c>
      <c r="I433" s="16" t="s">
        <v>1121</v>
      </c>
      <c r="J433" s="17">
        <v>20604806144</v>
      </c>
      <c r="K433" s="17">
        <v>948590221</v>
      </c>
      <c r="L433" s="16" t="s">
        <v>1281</v>
      </c>
      <c r="M433" s="16" t="s">
        <v>75</v>
      </c>
      <c r="N433" s="11"/>
      <c r="O433" s="11"/>
      <c r="P433" s="16" t="s">
        <v>2132</v>
      </c>
      <c r="Q433" s="16" t="s">
        <v>1286</v>
      </c>
      <c r="R433" s="16" t="s">
        <v>142</v>
      </c>
      <c r="S433" s="11"/>
    </row>
    <row r="434" spans="1:19" s="20" customFormat="1" ht="21.75" hidden="1" customHeight="1" x14ac:dyDescent="0.2">
      <c r="A434" s="16" t="s">
        <v>1112</v>
      </c>
      <c r="B434" s="16" t="s">
        <v>73</v>
      </c>
      <c r="C434" s="52">
        <v>46111</v>
      </c>
      <c r="D434" s="21">
        <v>8</v>
      </c>
      <c r="E434" s="205">
        <v>2</v>
      </c>
      <c r="F434" s="16" t="s">
        <v>899</v>
      </c>
      <c r="G434" s="16" t="s">
        <v>916</v>
      </c>
      <c r="H434" s="26" t="s">
        <v>1544</v>
      </c>
      <c r="I434" s="16" t="s">
        <v>1121</v>
      </c>
      <c r="J434" s="17">
        <v>20604806144</v>
      </c>
      <c r="K434" s="17">
        <v>948590221</v>
      </c>
      <c r="L434" s="16" t="s">
        <v>1281</v>
      </c>
      <c r="M434" s="16" t="s">
        <v>75</v>
      </c>
      <c r="N434" s="11"/>
      <c r="O434" s="11"/>
      <c r="P434" s="16" t="s">
        <v>2132</v>
      </c>
      <c r="Q434" s="16" t="s">
        <v>1286</v>
      </c>
      <c r="R434" s="16" t="s">
        <v>142</v>
      </c>
      <c r="S434" s="11"/>
    </row>
    <row r="435" spans="1:19" s="20" customFormat="1" ht="21.75" hidden="1" customHeight="1" x14ac:dyDescent="0.2">
      <c r="A435" s="16" t="s">
        <v>1112</v>
      </c>
      <c r="B435" s="16" t="s">
        <v>73</v>
      </c>
      <c r="C435" s="52">
        <v>46111</v>
      </c>
      <c r="D435" s="21">
        <v>8</v>
      </c>
      <c r="E435" s="206"/>
      <c r="F435" s="16" t="s">
        <v>900</v>
      </c>
      <c r="G435" s="16" t="s">
        <v>917</v>
      </c>
      <c r="H435" s="26" t="s">
        <v>1544</v>
      </c>
      <c r="I435" s="16" t="s">
        <v>1121</v>
      </c>
      <c r="J435" s="17">
        <v>20604806144</v>
      </c>
      <c r="K435" s="17">
        <v>948590221</v>
      </c>
      <c r="L435" s="16" t="s">
        <v>1281</v>
      </c>
      <c r="M435" s="16" t="s">
        <v>75</v>
      </c>
      <c r="N435" s="11"/>
      <c r="O435" s="11"/>
      <c r="P435" s="16" t="s">
        <v>2132</v>
      </c>
      <c r="Q435" s="16" t="s">
        <v>1286</v>
      </c>
      <c r="R435" s="16" t="s">
        <v>142</v>
      </c>
      <c r="S435" s="11"/>
    </row>
    <row r="436" spans="1:19" s="20" customFormat="1" ht="21.75" hidden="1" customHeight="1" x14ac:dyDescent="0.2">
      <c r="A436" s="16" t="s">
        <v>1112</v>
      </c>
      <c r="B436" s="16" t="s">
        <v>73</v>
      </c>
      <c r="C436" s="52">
        <v>46111</v>
      </c>
      <c r="D436" s="21">
        <v>8</v>
      </c>
      <c r="E436" s="207"/>
      <c r="F436" s="16" t="s">
        <v>898</v>
      </c>
      <c r="G436" s="16" t="s">
        <v>915</v>
      </c>
      <c r="H436" s="26" t="s">
        <v>1544</v>
      </c>
      <c r="I436" s="16" t="s">
        <v>1121</v>
      </c>
      <c r="J436" s="17">
        <v>20604806144</v>
      </c>
      <c r="K436" s="17">
        <v>948590221</v>
      </c>
      <c r="L436" s="16" t="s">
        <v>1281</v>
      </c>
      <c r="M436" s="16" t="s">
        <v>75</v>
      </c>
      <c r="N436" s="11"/>
      <c r="O436" s="11"/>
      <c r="P436" s="16" t="s">
        <v>2132</v>
      </c>
      <c r="Q436" s="16" t="s">
        <v>1286</v>
      </c>
      <c r="R436" s="16" t="s">
        <v>142</v>
      </c>
      <c r="S436" s="11"/>
    </row>
    <row r="437" spans="1:19" s="20" customFormat="1" ht="21.75" hidden="1" customHeight="1" x14ac:dyDescent="0.2">
      <c r="A437" s="16" t="s">
        <v>1112</v>
      </c>
      <c r="B437" s="16" t="s">
        <v>73</v>
      </c>
      <c r="C437" s="52">
        <v>46111</v>
      </c>
      <c r="D437" s="21">
        <v>17</v>
      </c>
      <c r="E437" s="19">
        <v>1</v>
      </c>
      <c r="F437" s="16" t="s">
        <v>1135</v>
      </c>
      <c r="G437" s="16" t="s">
        <v>1147</v>
      </c>
      <c r="H437" s="26" t="s">
        <v>1544</v>
      </c>
      <c r="I437" s="16" t="s">
        <v>1121</v>
      </c>
      <c r="J437" s="17">
        <v>20604806144</v>
      </c>
      <c r="K437" s="17">
        <v>948590221</v>
      </c>
      <c r="L437" s="16" t="s">
        <v>1281</v>
      </c>
      <c r="M437" s="16" t="s">
        <v>75</v>
      </c>
      <c r="N437" s="11"/>
      <c r="O437" s="11"/>
      <c r="P437" s="16" t="s">
        <v>2132</v>
      </c>
      <c r="Q437" s="16" t="s">
        <v>1286</v>
      </c>
      <c r="R437" s="16" t="s">
        <v>142</v>
      </c>
      <c r="S437" s="11"/>
    </row>
    <row r="438" spans="1:19" s="20" customFormat="1" ht="21.75" hidden="1" customHeight="1" x14ac:dyDescent="0.25">
      <c r="A438" s="162" t="s">
        <v>1113</v>
      </c>
      <c r="B438" s="162" t="s">
        <v>73</v>
      </c>
      <c r="C438" s="171">
        <v>46113</v>
      </c>
      <c r="D438" s="163">
        <v>6</v>
      </c>
      <c r="E438" s="217">
        <v>6</v>
      </c>
      <c r="F438" s="162" t="s">
        <v>908</v>
      </c>
      <c r="G438" s="162" t="s">
        <v>925</v>
      </c>
      <c r="H438" s="96" t="s">
        <v>1544</v>
      </c>
      <c r="I438" s="96" t="s">
        <v>1122</v>
      </c>
      <c r="J438" s="160">
        <v>10048263912</v>
      </c>
      <c r="K438" s="97">
        <v>948590221</v>
      </c>
      <c r="L438" s="164" t="s">
        <v>1281</v>
      </c>
      <c r="M438" s="96" t="s">
        <v>75</v>
      </c>
      <c r="N438" s="125"/>
      <c r="O438" s="125"/>
      <c r="P438" s="96" t="s">
        <v>2132</v>
      </c>
      <c r="Q438" s="96" t="s">
        <v>1286</v>
      </c>
      <c r="R438" s="96" t="s">
        <v>142</v>
      </c>
      <c r="S438" s="125"/>
    </row>
    <row r="439" spans="1:19" s="20" customFormat="1" ht="21.75" hidden="1" customHeight="1" x14ac:dyDescent="0.25">
      <c r="A439" s="162" t="s">
        <v>1113</v>
      </c>
      <c r="B439" s="162" t="s">
        <v>73</v>
      </c>
      <c r="C439" s="171">
        <v>46113</v>
      </c>
      <c r="D439" s="163">
        <v>6</v>
      </c>
      <c r="E439" s="217"/>
      <c r="F439" s="162" t="s">
        <v>909</v>
      </c>
      <c r="G439" s="162" t="s">
        <v>926</v>
      </c>
      <c r="H439" s="96" t="s">
        <v>1544</v>
      </c>
      <c r="I439" s="96" t="s">
        <v>1122</v>
      </c>
      <c r="J439" s="160">
        <v>10048263912</v>
      </c>
      <c r="K439" s="97">
        <v>948590221</v>
      </c>
      <c r="L439" s="164" t="s">
        <v>1281</v>
      </c>
      <c r="M439" s="96" t="s">
        <v>75</v>
      </c>
      <c r="N439" s="125"/>
      <c r="O439" s="125"/>
      <c r="P439" s="96" t="s">
        <v>2132</v>
      </c>
      <c r="Q439" s="96" t="s">
        <v>1286</v>
      </c>
      <c r="R439" s="96" t="s">
        <v>142</v>
      </c>
      <c r="S439" s="125"/>
    </row>
    <row r="440" spans="1:19" s="20" customFormat="1" ht="21.75" hidden="1" customHeight="1" x14ac:dyDescent="0.25">
      <c r="A440" s="162" t="s">
        <v>1113</v>
      </c>
      <c r="B440" s="162" t="s">
        <v>73</v>
      </c>
      <c r="C440" s="171">
        <v>46113</v>
      </c>
      <c r="D440" s="163">
        <v>6</v>
      </c>
      <c r="E440" s="217"/>
      <c r="F440" s="162" t="s">
        <v>906</v>
      </c>
      <c r="G440" s="162" t="s">
        <v>923</v>
      </c>
      <c r="H440" s="96" t="s">
        <v>1544</v>
      </c>
      <c r="I440" s="96" t="s">
        <v>1122</v>
      </c>
      <c r="J440" s="160">
        <v>10048263912</v>
      </c>
      <c r="K440" s="97">
        <v>948590221</v>
      </c>
      <c r="L440" s="164" t="s">
        <v>1281</v>
      </c>
      <c r="M440" s="96" t="s">
        <v>75</v>
      </c>
      <c r="N440" s="125"/>
      <c r="O440" s="125"/>
      <c r="P440" s="96" t="s">
        <v>2132</v>
      </c>
      <c r="Q440" s="96" t="s">
        <v>1286</v>
      </c>
      <c r="R440" s="96" t="s">
        <v>142</v>
      </c>
      <c r="S440" s="125"/>
    </row>
    <row r="441" spans="1:19" s="20" customFormat="1" ht="21.75" hidden="1" customHeight="1" x14ac:dyDescent="0.25">
      <c r="A441" s="162" t="s">
        <v>1113</v>
      </c>
      <c r="B441" s="162" t="s">
        <v>73</v>
      </c>
      <c r="C441" s="171">
        <v>46113</v>
      </c>
      <c r="D441" s="163">
        <v>6</v>
      </c>
      <c r="E441" s="217"/>
      <c r="F441" s="162" t="s">
        <v>907</v>
      </c>
      <c r="G441" s="162" t="s">
        <v>924</v>
      </c>
      <c r="H441" s="96" t="s">
        <v>1544</v>
      </c>
      <c r="I441" s="96" t="s">
        <v>1122</v>
      </c>
      <c r="J441" s="160">
        <v>10048263912</v>
      </c>
      <c r="K441" s="97">
        <v>948590221</v>
      </c>
      <c r="L441" s="164" t="s">
        <v>1281</v>
      </c>
      <c r="M441" s="96" t="s">
        <v>75</v>
      </c>
      <c r="N441" s="125"/>
      <c r="O441" s="125"/>
      <c r="P441" s="96" t="s">
        <v>2132</v>
      </c>
      <c r="Q441" s="96" t="s">
        <v>1286</v>
      </c>
      <c r="R441" s="96" t="s">
        <v>142</v>
      </c>
      <c r="S441" s="125"/>
    </row>
    <row r="442" spans="1:19" s="20" customFormat="1" ht="21.75" hidden="1" customHeight="1" x14ac:dyDescent="0.2">
      <c r="A442" s="85" t="s">
        <v>1114</v>
      </c>
      <c r="B442" s="85" t="s">
        <v>73</v>
      </c>
      <c r="C442" s="63">
        <v>46113</v>
      </c>
      <c r="D442" s="132">
        <v>8</v>
      </c>
      <c r="E442" s="214">
        <v>1</v>
      </c>
      <c r="F442" s="85" t="s">
        <v>899</v>
      </c>
      <c r="G442" s="85" t="s">
        <v>916</v>
      </c>
      <c r="H442" s="167" t="s">
        <v>1544</v>
      </c>
      <c r="I442" s="85" t="s">
        <v>1119</v>
      </c>
      <c r="J442" s="77">
        <v>20528035869</v>
      </c>
      <c r="K442" s="77">
        <v>989195529</v>
      </c>
      <c r="L442" s="168" t="s">
        <v>2133</v>
      </c>
      <c r="M442" s="79" t="s">
        <v>661</v>
      </c>
      <c r="N442" s="66"/>
      <c r="O442" s="66"/>
      <c r="P442" s="79" t="s">
        <v>271</v>
      </c>
      <c r="Q442" s="79" t="s">
        <v>2134</v>
      </c>
      <c r="R442" s="79" t="s">
        <v>142</v>
      </c>
      <c r="S442" s="66"/>
    </row>
    <row r="443" spans="1:19" s="20" customFormat="1" ht="21.75" hidden="1" customHeight="1" x14ac:dyDescent="0.2">
      <c r="A443" s="84" t="s">
        <v>1114</v>
      </c>
      <c r="B443" s="84" t="s">
        <v>73</v>
      </c>
      <c r="C443" s="52">
        <v>46113</v>
      </c>
      <c r="D443" s="55">
        <v>8</v>
      </c>
      <c r="E443" s="214"/>
      <c r="F443" s="84" t="s">
        <v>900</v>
      </c>
      <c r="G443" s="84" t="s">
        <v>917</v>
      </c>
      <c r="H443" s="118" t="s">
        <v>1544</v>
      </c>
      <c r="I443" s="84" t="s">
        <v>1119</v>
      </c>
      <c r="J443" s="17">
        <v>20528035869</v>
      </c>
      <c r="K443" s="17">
        <v>989195529</v>
      </c>
      <c r="L443" s="46" t="s">
        <v>2133</v>
      </c>
      <c r="M443" s="16" t="s">
        <v>661</v>
      </c>
      <c r="N443" s="11"/>
      <c r="O443" s="11"/>
      <c r="P443" s="16" t="s">
        <v>271</v>
      </c>
      <c r="Q443" s="16" t="s">
        <v>2134</v>
      </c>
      <c r="R443" s="16" t="s">
        <v>142</v>
      </c>
      <c r="S443" s="11"/>
    </row>
    <row r="444" spans="1:19" s="20" customFormat="1" ht="21.75" hidden="1" customHeight="1" x14ac:dyDescent="0.2">
      <c r="A444" s="84" t="s">
        <v>1114</v>
      </c>
      <c r="B444" s="84" t="s">
        <v>73</v>
      </c>
      <c r="C444" s="52">
        <v>46113</v>
      </c>
      <c r="D444" s="55">
        <v>8</v>
      </c>
      <c r="E444" s="215"/>
      <c r="F444" s="84" t="s">
        <v>898</v>
      </c>
      <c r="G444" s="84" t="s">
        <v>915</v>
      </c>
      <c r="H444" s="118" t="s">
        <v>1544</v>
      </c>
      <c r="I444" s="84" t="s">
        <v>1119</v>
      </c>
      <c r="J444" s="17">
        <v>20528035869</v>
      </c>
      <c r="K444" s="17">
        <v>989195529</v>
      </c>
      <c r="L444" s="46" t="s">
        <v>2133</v>
      </c>
      <c r="M444" s="16" t="s">
        <v>661</v>
      </c>
      <c r="N444" s="11"/>
      <c r="O444" s="11"/>
      <c r="P444" s="16" t="s">
        <v>271</v>
      </c>
      <c r="Q444" s="16" t="s">
        <v>2134</v>
      </c>
      <c r="R444" s="16" t="s">
        <v>142</v>
      </c>
      <c r="S444" s="11"/>
    </row>
    <row r="445" spans="1:19" s="20" customFormat="1" ht="21.75" hidden="1" customHeight="1" x14ac:dyDescent="0.2">
      <c r="A445" s="84" t="s">
        <v>1115</v>
      </c>
      <c r="B445" s="16" t="s">
        <v>73</v>
      </c>
      <c r="C445" s="18">
        <v>46113</v>
      </c>
      <c r="D445" s="21">
        <v>8</v>
      </c>
      <c r="E445" s="205">
        <v>4</v>
      </c>
      <c r="F445" s="16" t="s">
        <v>901</v>
      </c>
      <c r="G445" s="16" t="s">
        <v>918</v>
      </c>
      <c r="H445" s="26" t="s">
        <v>1544</v>
      </c>
      <c r="I445" s="16" t="s">
        <v>1123</v>
      </c>
      <c r="J445" s="17">
        <v>10050713631</v>
      </c>
      <c r="K445" s="17">
        <v>959431080</v>
      </c>
      <c r="L445" s="16" t="s">
        <v>2128</v>
      </c>
      <c r="M445" s="16" t="s">
        <v>75</v>
      </c>
      <c r="N445" s="11"/>
      <c r="O445" s="11"/>
      <c r="P445" s="16" t="s">
        <v>271</v>
      </c>
      <c r="Q445" s="16" t="s">
        <v>2135</v>
      </c>
      <c r="R445" s="16" t="s">
        <v>142</v>
      </c>
      <c r="S445" s="11"/>
    </row>
    <row r="446" spans="1:19" s="20" customFormat="1" ht="21.75" hidden="1" customHeight="1" x14ac:dyDescent="0.2">
      <c r="A446" s="84" t="s">
        <v>1115</v>
      </c>
      <c r="B446" s="16" t="s">
        <v>73</v>
      </c>
      <c r="C446" s="18">
        <v>46113</v>
      </c>
      <c r="D446" s="21">
        <v>8</v>
      </c>
      <c r="E446" s="206"/>
      <c r="F446" s="16" t="s">
        <v>902</v>
      </c>
      <c r="G446" s="16" t="s">
        <v>919</v>
      </c>
      <c r="H446" s="26" t="s">
        <v>1544</v>
      </c>
      <c r="I446" s="16" t="s">
        <v>1123</v>
      </c>
      <c r="J446" s="17">
        <v>10050713631</v>
      </c>
      <c r="K446" s="17">
        <v>959431080</v>
      </c>
      <c r="L446" s="16" t="s">
        <v>2128</v>
      </c>
      <c r="M446" s="16" t="s">
        <v>75</v>
      </c>
      <c r="N446" s="11"/>
      <c r="O446" s="11"/>
      <c r="P446" s="16" t="s">
        <v>271</v>
      </c>
      <c r="Q446" s="16" t="s">
        <v>2135</v>
      </c>
      <c r="R446" s="16" t="s">
        <v>142</v>
      </c>
      <c r="S446" s="11"/>
    </row>
    <row r="447" spans="1:19" s="20" customFormat="1" ht="21.75" hidden="1" customHeight="1" x14ac:dyDescent="0.2">
      <c r="A447" s="84" t="s">
        <v>1115</v>
      </c>
      <c r="B447" s="16" t="s">
        <v>73</v>
      </c>
      <c r="C447" s="18">
        <v>46113</v>
      </c>
      <c r="D447" s="21">
        <v>8</v>
      </c>
      <c r="E447" s="206"/>
      <c r="F447" s="16" t="s">
        <v>903</v>
      </c>
      <c r="G447" s="16" t="s">
        <v>920</v>
      </c>
      <c r="H447" s="26" t="s">
        <v>1544</v>
      </c>
      <c r="I447" s="16" t="s">
        <v>1123</v>
      </c>
      <c r="J447" s="17">
        <v>10050713631</v>
      </c>
      <c r="K447" s="17">
        <v>959431080</v>
      </c>
      <c r="L447" s="16" t="s">
        <v>2128</v>
      </c>
      <c r="M447" s="16" t="s">
        <v>75</v>
      </c>
      <c r="N447" s="11"/>
      <c r="O447" s="11"/>
      <c r="P447" s="16" t="s">
        <v>271</v>
      </c>
      <c r="Q447" s="16" t="s">
        <v>2135</v>
      </c>
      <c r="R447" s="16" t="s">
        <v>142</v>
      </c>
      <c r="S447" s="11"/>
    </row>
    <row r="448" spans="1:19" s="20" customFormat="1" ht="21.75" hidden="1" customHeight="1" x14ac:dyDescent="0.2">
      <c r="A448" s="84" t="s">
        <v>1115</v>
      </c>
      <c r="B448" s="16" t="s">
        <v>73</v>
      </c>
      <c r="C448" s="18">
        <v>46113</v>
      </c>
      <c r="D448" s="21">
        <v>8</v>
      </c>
      <c r="E448" s="206"/>
      <c r="F448" s="16" t="s">
        <v>899</v>
      </c>
      <c r="G448" s="16" t="s">
        <v>916</v>
      </c>
      <c r="H448" s="26" t="s">
        <v>1544</v>
      </c>
      <c r="I448" s="16" t="s">
        <v>1123</v>
      </c>
      <c r="J448" s="17">
        <v>10050713631</v>
      </c>
      <c r="K448" s="17">
        <v>959431080</v>
      </c>
      <c r="L448" s="16" t="s">
        <v>2128</v>
      </c>
      <c r="M448" s="16" t="s">
        <v>75</v>
      </c>
      <c r="N448" s="11"/>
      <c r="O448" s="11"/>
      <c r="P448" s="16" t="s">
        <v>271</v>
      </c>
      <c r="Q448" s="16" t="s">
        <v>2135</v>
      </c>
      <c r="R448" s="16" t="s">
        <v>142</v>
      </c>
      <c r="S448" s="11"/>
    </row>
    <row r="449" spans="1:19" s="20" customFormat="1" ht="21.75" hidden="1" customHeight="1" x14ac:dyDescent="0.2">
      <c r="A449" s="84" t="s">
        <v>1115</v>
      </c>
      <c r="B449" s="16" t="s">
        <v>73</v>
      </c>
      <c r="C449" s="18">
        <v>46113</v>
      </c>
      <c r="D449" s="21">
        <v>8</v>
      </c>
      <c r="E449" s="206"/>
      <c r="F449" s="16" t="s">
        <v>900</v>
      </c>
      <c r="G449" s="16" t="s">
        <v>917</v>
      </c>
      <c r="H449" s="26" t="s">
        <v>1544</v>
      </c>
      <c r="I449" s="16" t="s">
        <v>1123</v>
      </c>
      <c r="J449" s="17">
        <v>10050713631</v>
      </c>
      <c r="K449" s="17">
        <v>959431080</v>
      </c>
      <c r="L449" s="16" t="s">
        <v>2128</v>
      </c>
      <c r="M449" s="16" t="s">
        <v>75</v>
      </c>
      <c r="N449" s="11"/>
      <c r="O449" s="11"/>
      <c r="P449" s="16" t="s">
        <v>271</v>
      </c>
      <c r="Q449" s="16" t="s">
        <v>2135</v>
      </c>
      <c r="R449" s="16" t="s">
        <v>142</v>
      </c>
      <c r="S449" s="11"/>
    </row>
    <row r="450" spans="1:19" s="20" customFormat="1" ht="21.75" hidden="1" customHeight="1" x14ac:dyDescent="0.2">
      <c r="A450" s="84" t="s">
        <v>1115</v>
      </c>
      <c r="B450" s="16" t="s">
        <v>73</v>
      </c>
      <c r="C450" s="18">
        <v>46113</v>
      </c>
      <c r="D450" s="21">
        <v>8</v>
      </c>
      <c r="E450" s="206"/>
      <c r="F450" s="16" t="s">
        <v>898</v>
      </c>
      <c r="G450" s="16" t="s">
        <v>915</v>
      </c>
      <c r="H450" s="26" t="s">
        <v>1544</v>
      </c>
      <c r="I450" s="16" t="s">
        <v>1123</v>
      </c>
      <c r="J450" s="17">
        <v>10050713631</v>
      </c>
      <c r="K450" s="17">
        <v>959431080</v>
      </c>
      <c r="L450" s="16" t="s">
        <v>2128</v>
      </c>
      <c r="M450" s="16" t="s">
        <v>75</v>
      </c>
      <c r="N450" s="11"/>
      <c r="O450" s="11"/>
      <c r="P450" s="16" t="s">
        <v>271</v>
      </c>
      <c r="Q450" s="16" t="s">
        <v>2135</v>
      </c>
      <c r="R450" s="16" t="s">
        <v>142</v>
      </c>
      <c r="S450" s="11"/>
    </row>
    <row r="451" spans="1:19" s="20" customFormat="1" ht="21.75" hidden="1" customHeight="1" x14ac:dyDescent="0.2">
      <c r="A451" s="84" t="s">
        <v>1115</v>
      </c>
      <c r="B451" s="16" t="s">
        <v>73</v>
      </c>
      <c r="C451" s="18">
        <v>46113</v>
      </c>
      <c r="D451" s="21">
        <v>2</v>
      </c>
      <c r="E451" s="206"/>
      <c r="F451" s="16" t="s">
        <v>908</v>
      </c>
      <c r="G451" s="16" t="s">
        <v>925</v>
      </c>
      <c r="H451" s="26" t="s">
        <v>1544</v>
      </c>
      <c r="I451" s="16" t="s">
        <v>1123</v>
      </c>
      <c r="J451" s="17">
        <v>10050713631</v>
      </c>
      <c r="K451" s="17">
        <v>959431080</v>
      </c>
      <c r="L451" s="16" t="s">
        <v>2128</v>
      </c>
      <c r="M451" s="16" t="s">
        <v>75</v>
      </c>
      <c r="N451" s="11"/>
      <c r="O451" s="11"/>
      <c r="P451" s="16" t="s">
        <v>271</v>
      </c>
      <c r="Q451" s="16" t="s">
        <v>2135</v>
      </c>
      <c r="R451" s="16" t="s">
        <v>142</v>
      </c>
      <c r="S451" s="11"/>
    </row>
    <row r="452" spans="1:19" s="20" customFormat="1" ht="21.75" hidden="1" customHeight="1" x14ac:dyDescent="0.2">
      <c r="A452" s="84" t="s">
        <v>1115</v>
      </c>
      <c r="B452" s="16" t="s">
        <v>73</v>
      </c>
      <c r="C452" s="18">
        <v>46113</v>
      </c>
      <c r="D452" s="21">
        <v>2</v>
      </c>
      <c r="E452" s="206"/>
      <c r="F452" s="16" t="s">
        <v>909</v>
      </c>
      <c r="G452" s="16" t="s">
        <v>926</v>
      </c>
      <c r="H452" s="26" t="s">
        <v>1544</v>
      </c>
      <c r="I452" s="16" t="s">
        <v>1123</v>
      </c>
      <c r="J452" s="17">
        <v>10050713631</v>
      </c>
      <c r="K452" s="17">
        <v>959431080</v>
      </c>
      <c r="L452" s="16" t="s">
        <v>2128</v>
      </c>
      <c r="M452" s="16" t="s">
        <v>75</v>
      </c>
      <c r="N452" s="11"/>
      <c r="O452" s="11"/>
      <c r="P452" s="16" t="s">
        <v>271</v>
      </c>
      <c r="Q452" s="16" t="s">
        <v>2135</v>
      </c>
      <c r="R452" s="16" t="s">
        <v>142</v>
      </c>
      <c r="S452" s="11"/>
    </row>
    <row r="453" spans="1:19" s="20" customFormat="1" ht="21.75" hidden="1" customHeight="1" x14ac:dyDescent="0.2">
      <c r="A453" s="84" t="s">
        <v>1115</v>
      </c>
      <c r="B453" s="16" t="s">
        <v>73</v>
      </c>
      <c r="C453" s="18">
        <v>46113</v>
      </c>
      <c r="D453" s="21">
        <v>3</v>
      </c>
      <c r="E453" s="206"/>
      <c r="F453" s="16" t="s">
        <v>1136</v>
      </c>
      <c r="G453" s="16" t="s">
        <v>1148</v>
      </c>
      <c r="H453" s="26" t="s">
        <v>1544</v>
      </c>
      <c r="I453" s="16" t="s">
        <v>1123</v>
      </c>
      <c r="J453" s="17">
        <v>10050713631</v>
      </c>
      <c r="K453" s="17">
        <v>959431080</v>
      </c>
      <c r="L453" s="16" t="s">
        <v>2128</v>
      </c>
      <c r="M453" s="16" t="s">
        <v>75</v>
      </c>
      <c r="N453" s="11"/>
      <c r="O453" s="11"/>
      <c r="P453" s="16" t="s">
        <v>271</v>
      </c>
      <c r="Q453" s="16" t="s">
        <v>2135</v>
      </c>
      <c r="R453" s="16" t="s">
        <v>142</v>
      </c>
      <c r="S453" s="11"/>
    </row>
    <row r="454" spans="1:19" s="20" customFormat="1" ht="21.75" hidden="1" customHeight="1" x14ac:dyDescent="0.2">
      <c r="A454" s="84" t="s">
        <v>1115</v>
      </c>
      <c r="B454" s="16" t="s">
        <v>73</v>
      </c>
      <c r="C454" s="18">
        <v>46113</v>
      </c>
      <c r="D454" s="21">
        <v>3</v>
      </c>
      <c r="E454" s="207"/>
      <c r="F454" s="16" t="s">
        <v>1137</v>
      </c>
      <c r="G454" s="16" t="s">
        <v>1149</v>
      </c>
      <c r="H454" s="26" t="s">
        <v>1544</v>
      </c>
      <c r="I454" s="16" t="s">
        <v>1123</v>
      </c>
      <c r="J454" s="17">
        <v>10050713631</v>
      </c>
      <c r="K454" s="17">
        <v>959431080</v>
      </c>
      <c r="L454" s="16" t="s">
        <v>2128</v>
      </c>
      <c r="M454" s="16" t="s">
        <v>75</v>
      </c>
      <c r="N454" s="11"/>
      <c r="O454" s="11"/>
      <c r="P454" s="16" t="s">
        <v>271</v>
      </c>
      <c r="Q454" s="16" t="s">
        <v>2135</v>
      </c>
      <c r="R454" s="16" t="s">
        <v>142</v>
      </c>
      <c r="S454" s="11"/>
    </row>
    <row r="455" spans="1:19" s="20" customFormat="1" ht="21.75" hidden="1" customHeight="1" x14ac:dyDescent="0.2">
      <c r="A455" s="16" t="s">
        <v>1116</v>
      </c>
      <c r="B455" s="16" t="s">
        <v>73</v>
      </c>
      <c r="C455" s="18">
        <v>46053</v>
      </c>
      <c r="D455" s="21">
        <v>144</v>
      </c>
      <c r="E455" s="19">
        <v>12</v>
      </c>
      <c r="F455" s="16" t="s">
        <v>24</v>
      </c>
      <c r="G455" s="16" t="s">
        <v>112</v>
      </c>
      <c r="H455" s="26" t="s">
        <v>1544</v>
      </c>
      <c r="I455" s="16" t="s">
        <v>1124</v>
      </c>
      <c r="J455" s="17">
        <v>10028614824</v>
      </c>
      <c r="K455" s="17" t="s">
        <v>73</v>
      </c>
      <c r="L455" s="16" t="s">
        <v>1337</v>
      </c>
      <c r="M455" s="16" t="s">
        <v>75</v>
      </c>
      <c r="N455" s="11"/>
      <c r="O455" s="11"/>
      <c r="P455" s="16" t="s">
        <v>1338</v>
      </c>
      <c r="Q455" s="16" t="s">
        <v>1336</v>
      </c>
      <c r="R455" s="16" t="s">
        <v>142</v>
      </c>
      <c r="S455" s="11" t="s">
        <v>1344</v>
      </c>
    </row>
    <row r="456" spans="1:19" s="20" customFormat="1" ht="21.75" hidden="1" customHeight="1" x14ac:dyDescent="0.2">
      <c r="A456" s="16" t="s">
        <v>1117</v>
      </c>
      <c r="B456" s="16" t="s">
        <v>73</v>
      </c>
      <c r="C456" s="18">
        <v>46048</v>
      </c>
      <c r="D456" s="21">
        <v>60</v>
      </c>
      <c r="E456" s="19">
        <v>10</v>
      </c>
      <c r="F456" s="16" t="s">
        <v>155</v>
      </c>
      <c r="G456" s="16" t="s">
        <v>125</v>
      </c>
      <c r="H456" s="26" t="s">
        <v>1544</v>
      </c>
      <c r="I456" s="16" t="s">
        <v>1125</v>
      </c>
      <c r="J456" s="17">
        <v>10049638111</v>
      </c>
      <c r="K456" s="17" t="s">
        <v>73</v>
      </c>
      <c r="L456" s="16" t="s">
        <v>1158</v>
      </c>
      <c r="M456" s="16" t="s">
        <v>1155</v>
      </c>
      <c r="N456" s="11"/>
      <c r="O456" s="11"/>
      <c r="P456" s="16" t="s">
        <v>1152</v>
      </c>
      <c r="Q456" s="16" t="s">
        <v>1154</v>
      </c>
      <c r="R456" s="16" t="s">
        <v>142</v>
      </c>
      <c r="S456" s="11" t="s">
        <v>1169</v>
      </c>
    </row>
    <row r="457" spans="1:19" s="20" customFormat="1" ht="21.75" hidden="1" customHeight="1" x14ac:dyDescent="0.2">
      <c r="A457" s="16" t="s">
        <v>1117</v>
      </c>
      <c r="B457" s="16" t="s">
        <v>73</v>
      </c>
      <c r="C457" s="18">
        <v>46048</v>
      </c>
      <c r="D457" s="21">
        <v>12</v>
      </c>
      <c r="E457" s="19">
        <v>2</v>
      </c>
      <c r="F457" s="16" t="s">
        <v>174</v>
      </c>
      <c r="G457" s="16" t="s">
        <v>130</v>
      </c>
      <c r="H457" s="26" t="s">
        <v>1544</v>
      </c>
      <c r="I457" s="16" t="s">
        <v>1125</v>
      </c>
      <c r="J457" s="17">
        <v>10049638111</v>
      </c>
      <c r="K457" s="17" t="s">
        <v>73</v>
      </c>
      <c r="L457" s="16" t="s">
        <v>1158</v>
      </c>
      <c r="M457" s="16" t="s">
        <v>1155</v>
      </c>
      <c r="N457" s="11"/>
      <c r="O457" s="11"/>
      <c r="P457" s="16" t="s">
        <v>1152</v>
      </c>
      <c r="Q457" s="16" t="s">
        <v>1154</v>
      </c>
      <c r="R457" s="16" t="s">
        <v>142</v>
      </c>
      <c r="S457" s="11" t="s">
        <v>1169</v>
      </c>
    </row>
    <row r="458" spans="1:19" s="20" customFormat="1" ht="21.75" hidden="1" customHeight="1" x14ac:dyDescent="0.2">
      <c r="A458" s="16" t="s">
        <v>1117</v>
      </c>
      <c r="B458" s="16" t="s">
        <v>73</v>
      </c>
      <c r="C458" s="18">
        <v>46048</v>
      </c>
      <c r="D458" s="21">
        <v>24</v>
      </c>
      <c r="E458" s="19">
        <v>2</v>
      </c>
      <c r="F458" s="16" t="s">
        <v>766</v>
      </c>
      <c r="G458" s="16" t="s">
        <v>780</v>
      </c>
      <c r="H458" s="26" t="s">
        <v>1544</v>
      </c>
      <c r="I458" s="16" t="s">
        <v>1125</v>
      </c>
      <c r="J458" s="17">
        <v>10049638111</v>
      </c>
      <c r="K458" s="17" t="s">
        <v>73</v>
      </c>
      <c r="L458" s="16" t="s">
        <v>1158</v>
      </c>
      <c r="M458" s="16" t="s">
        <v>1155</v>
      </c>
      <c r="N458" s="11"/>
      <c r="O458" s="11"/>
      <c r="P458" s="16" t="s">
        <v>1152</v>
      </c>
      <c r="Q458" s="16" t="s">
        <v>1154</v>
      </c>
      <c r="R458" s="16" t="s">
        <v>142</v>
      </c>
      <c r="S458" s="11" t="s">
        <v>1169</v>
      </c>
    </row>
    <row r="459" spans="1:19" s="20" customFormat="1" ht="21.75" hidden="1" customHeight="1" x14ac:dyDescent="0.2">
      <c r="A459" s="16" t="s">
        <v>1117</v>
      </c>
      <c r="B459" s="16" t="s">
        <v>73</v>
      </c>
      <c r="C459" s="18">
        <v>46048</v>
      </c>
      <c r="D459" s="21">
        <v>12</v>
      </c>
      <c r="E459" s="19">
        <v>1</v>
      </c>
      <c r="F459" s="16" t="s">
        <v>33</v>
      </c>
      <c r="G459" s="16" t="s">
        <v>107</v>
      </c>
      <c r="H459" s="26" t="s">
        <v>1544</v>
      </c>
      <c r="I459" s="16" t="s">
        <v>1125</v>
      </c>
      <c r="J459" s="17">
        <v>10049638111</v>
      </c>
      <c r="K459" s="17" t="s">
        <v>73</v>
      </c>
      <c r="L459" s="16" t="s">
        <v>1158</v>
      </c>
      <c r="M459" s="16" t="s">
        <v>1155</v>
      </c>
      <c r="N459" s="11"/>
      <c r="O459" s="11"/>
      <c r="P459" s="16" t="s">
        <v>1152</v>
      </c>
      <c r="Q459" s="16" t="s">
        <v>1154</v>
      </c>
      <c r="R459" s="16" t="s">
        <v>142</v>
      </c>
      <c r="S459" s="11" t="s">
        <v>1169</v>
      </c>
    </row>
    <row r="460" spans="1:19" s="20" customFormat="1" ht="21.75" hidden="1" customHeight="1" x14ac:dyDescent="0.2">
      <c r="A460" s="16" t="s">
        <v>1117</v>
      </c>
      <c r="B460" s="16" t="s">
        <v>73</v>
      </c>
      <c r="C460" s="18">
        <v>46048</v>
      </c>
      <c r="D460" s="21">
        <v>4</v>
      </c>
      <c r="E460" s="19">
        <v>1</v>
      </c>
      <c r="F460" s="16" t="s">
        <v>40</v>
      </c>
      <c r="G460" s="16" t="s">
        <v>117</v>
      </c>
      <c r="H460" s="26" t="s">
        <v>1544</v>
      </c>
      <c r="I460" s="16" t="s">
        <v>1125</v>
      </c>
      <c r="J460" s="17">
        <v>10049638111</v>
      </c>
      <c r="K460" s="17" t="s">
        <v>73</v>
      </c>
      <c r="L460" s="16" t="s">
        <v>1158</v>
      </c>
      <c r="M460" s="16" t="s">
        <v>1155</v>
      </c>
      <c r="N460" s="11"/>
      <c r="O460" s="11"/>
      <c r="P460" s="16" t="s">
        <v>1152</v>
      </c>
      <c r="Q460" s="16" t="s">
        <v>1154</v>
      </c>
      <c r="R460" s="16" t="s">
        <v>142</v>
      </c>
      <c r="S460" s="11" t="s">
        <v>1169</v>
      </c>
    </row>
    <row r="461" spans="1:19" s="20" customFormat="1" ht="21.75" hidden="1" customHeight="1" x14ac:dyDescent="0.2">
      <c r="A461" s="16" t="s">
        <v>1117</v>
      </c>
      <c r="B461" s="16" t="s">
        <v>73</v>
      </c>
      <c r="C461" s="18">
        <v>46048</v>
      </c>
      <c r="D461" s="21">
        <v>4</v>
      </c>
      <c r="E461" s="19">
        <v>1</v>
      </c>
      <c r="F461" s="16" t="s">
        <v>44</v>
      </c>
      <c r="G461" s="16" t="s">
        <v>118</v>
      </c>
      <c r="H461" s="26" t="s">
        <v>1544</v>
      </c>
      <c r="I461" s="16" t="s">
        <v>1125</v>
      </c>
      <c r="J461" s="17">
        <v>10049638111</v>
      </c>
      <c r="K461" s="17" t="s">
        <v>73</v>
      </c>
      <c r="L461" s="16" t="s">
        <v>1158</v>
      </c>
      <c r="M461" s="16" t="s">
        <v>1155</v>
      </c>
      <c r="N461" s="11"/>
      <c r="O461" s="11"/>
      <c r="P461" s="16" t="s">
        <v>1152</v>
      </c>
      <c r="Q461" s="16" t="s">
        <v>1154</v>
      </c>
      <c r="R461" s="16" t="s">
        <v>142</v>
      </c>
      <c r="S461" s="11" t="s">
        <v>1169</v>
      </c>
    </row>
    <row r="462" spans="1:19" s="20" customFormat="1" ht="21.75" hidden="1" customHeight="1" x14ac:dyDescent="0.2">
      <c r="A462" s="16" t="s">
        <v>1117</v>
      </c>
      <c r="B462" s="17" t="s">
        <v>73</v>
      </c>
      <c r="C462" s="18">
        <v>46048</v>
      </c>
      <c r="D462" s="21">
        <v>2</v>
      </c>
      <c r="E462" s="19">
        <v>1</v>
      </c>
      <c r="F462" s="16" t="s">
        <v>446</v>
      </c>
      <c r="G462" s="16" t="s">
        <v>453</v>
      </c>
      <c r="H462" s="26" t="s">
        <v>1544</v>
      </c>
      <c r="I462" s="16" t="s">
        <v>1125</v>
      </c>
      <c r="J462" s="17">
        <v>10049638111</v>
      </c>
      <c r="K462" s="17" t="s">
        <v>73</v>
      </c>
      <c r="L462" s="16" t="s">
        <v>1158</v>
      </c>
      <c r="M462" s="16" t="s">
        <v>1155</v>
      </c>
      <c r="N462" s="11"/>
      <c r="O462" s="11"/>
      <c r="P462" s="16" t="s">
        <v>1152</v>
      </c>
      <c r="Q462" s="16" t="s">
        <v>1154</v>
      </c>
      <c r="R462" s="16" t="s">
        <v>142</v>
      </c>
      <c r="S462" s="11" t="s">
        <v>1169</v>
      </c>
    </row>
    <row r="463" spans="1:19" s="20" customFormat="1" ht="21.75" hidden="1" customHeight="1" x14ac:dyDescent="0.2">
      <c r="A463" s="22" t="s">
        <v>1105</v>
      </c>
      <c r="B463" s="15">
        <v>3222560009</v>
      </c>
      <c r="C463" s="18">
        <v>46046</v>
      </c>
      <c r="D463" s="31">
        <v>1</v>
      </c>
      <c r="E463" s="19">
        <v>1</v>
      </c>
      <c r="F463" s="22" t="s">
        <v>71</v>
      </c>
      <c r="G463" s="22" t="s">
        <v>176</v>
      </c>
      <c r="H463" s="22" t="s">
        <v>99</v>
      </c>
      <c r="I463" s="22" t="s">
        <v>1106</v>
      </c>
      <c r="J463" s="15">
        <v>10259159</v>
      </c>
      <c r="K463" s="15">
        <v>51956344688</v>
      </c>
      <c r="L463" s="22" t="s">
        <v>1159</v>
      </c>
      <c r="M463" s="22" t="s">
        <v>662</v>
      </c>
      <c r="N463" s="11"/>
      <c r="O463" s="11"/>
      <c r="P463" s="22" t="s">
        <v>1151</v>
      </c>
      <c r="Q463" s="22" t="s">
        <v>73</v>
      </c>
      <c r="R463" s="22" t="s">
        <v>394</v>
      </c>
      <c r="S463" s="11"/>
    </row>
    <row r="464" spans="1:19" s="20" customFormat="1" ht="21.75" hidden="1" customHeight="1" x14ac:dyDescent="0.2">
      <c r="A464" s="22" t="s">
        <v>1107</v>
      </c>
      <c r="B464" s="15">
        <v>3222583458</v>
      </c>
      <c r="C464" s="18">
        <v>46046</v>
      </c>
      <c r="D464" s="31">
        <v>1</v>
      </c>
      <c r="E464" s="19">
        <v>1</v>
      </c>
      <c r="F464" s="22" t="s">
        <v>1108</v>
      </c>
      <c r="G464" s="22" t="s">
        <v>1150</v>
      </c>
      <c r="H464" s="22" t="s">
        <v>99</v>
      </c>
      <c r="I464" s="11" t="s">
        <v>1109</v>
      </c>
      <c r="J464" s="15">
        <v>42723404</v>
      </c>
      <c r="K464" s="15">
        <v>51987240111</v>
      </c>
      <c r="L464" s="22" t="s">
        <v>1160</v>
      </c>
      <c r="M464" s="22" t="s">
        <v>347</v>
      </c>
      <c r="N464" s="11"/>
      <c r="O464" s="11"/>
      <c r="P464" s="22" t="s">
        <v>1151</v>
      </c>
      <c r="Q464" s="22" t="s">
        <v>73</v>
      </c>
      <c r="R464" s="22" t="s">
        <v>394</v>
      </c>
      <c r="S464" s="11"/>
    </row>
    <row r="465" spans="1:19" s="20" customFormat="1" ht="21.75" hidden="1" customHeight="1" x14ac:dyDescent="0.2">
      <c r="A465" s="16" t="s">
        <v>1118</v>
      </c>
      <c r="B465" s="17" t="s">
        <v>73</v>
      </c>
      <c r="C465" s="18">
        <v>46049</v>
      </c>
      <c r="D465" s="21">
        <v>24</v>
      </c>
      <c r="E465" s="19">
        <v>2</v>
      </c>
      <c r="F465" s="16" t="s">
        <v>567</v>
      </c>
      <c r="G465" s="16" t="s">
        <v>568</v>
      </c>
      <c r="H465" s="16" t="s">
        <v>99</v>
      </c>
      <c r="I465" s="16" t="s">
        <v>569</v>
      </c>
      <c r="J465" s="17">
        <v>20509076945</v>
      </c>
      <c r="K465" s="17" t="s">
        <v>1204</v>
      </c>
      <c r="L465" s="16" t="s">
        <v>1176</v>
      </c>
      <c r="M465" s="16" t="s">
        <v>75</v>
      </c>
      <c r="N465" s="11"/>
      <c r="O465" s="11"/>
      <c r="P465" s="16" t="s">
        <v>1202</v>
      </c>
      <c r="Q465" s="16" t="s">
        <v>1203</v>
      </c>
      <c r="R465" s="16" t="s">
        <v>144</v>
      </c>
      <c r="S465" s="11" t="s">
        <v>1201</v>
      </c>
    </row>
    <row r="466" spans="1:19" s="20" customFormat="1" ht="21.75" hidden="1" customHeight="1" x14ac:dyDescent="0.2">
      <c r="A466" s="16" t="s">
        <v>1118</v>
      </c>
      <c r="B466" s="17" t="s">
        <v>73</v>
      </c>
      <c r="C466" s="18">
        <v>46049</v>
      </c>
      <c r="D466" s="21">
        <v>6</v>
      </c>
      <c r="E466" s="19">
        <v>1</v>
      </c>
      <c r="F466" s="16" t="s">
        <v>858</v>
      </c>
      <c r="G466" s="16" t="s">
        <v>868</v>
      </c>
      <c r="H466" s="16" t="s">
        <v>99</v>
      </c>
      <c r="I466" s="16" t="s">
        <v>569</v>
      </c>
      <c r="J466" s="17">
        <v>20509076945</v>
      </c>
      <c r="K466" s="17" t="s">
        <v>1204</v>
      </c>
      <c r="L466" s="16" t="s">
        <v>1176</v>
      </c>
      <c r="M466" s="16" t="s">
        <v>75</v>
      </c>
      <c r="N466" s="11"/>
      <c r="O466" s="11"/>
      <c r="P466" s="16" t="s">
        <v>1202</v>
      </c>
      <c r="Q466" s="16" t="s">
        <v>1203</v>
      </c>
      <c r="R466" s="16" t="s">
        <v>144</v>
      </c>
      <c r="S466" s="11" t="s">
        <v>1201</v>
      </c>
    </row>
    <row r="467" spans="1:19" s="20" customFormat="1" ht="21.75" hidden="1" customHeight="1" x14ac:dyDescent="0.2">
      <c r="A467" s="16" t="s">
        <v>1118</v>
      </c>
      <c r="B467" s="17" t="s">
        <v>73</v>
      </c>
      <c r="C467" s="18">
        <v>46049</v>
      </c>
      <c r="D467" s="21">
        <v>12</v>
      </c>
      <c r="E467" s="19">
        <v>1</v>
      </c>
      <c r="F467" s="16" t="s">
        <v>859</v>
      </c>
      <c r="G467" s="16" t="s">
        <v>869</v>
      </c>
      <c r="H467" s="16" t="s">
        <v>99</v>
      </c>
      <c r="I467" s="16" t="s">
        <v>569</v>
      </c>
      <c r="J467" s="17">
        <v>20509076945</v>
      </c>
      <c r="K467" s="17" t="s">
        <v>1204</v>
      </c>
      <c r="L467" s="16" t="s">
        <v>1176</v>
      </c>
      <c r="M467" s="16" t="s">
        <v>75</v>
      </c>
      <c r="N467" s="11"/>
      <c r="O467" s="11"/>
      <c r="P467" s="16" t="s">
        <v>1202</v>
      </c>
      <c r="Q467" s="16" t="s">
        <v>1203</v>
      </c>
      <c r="R467" s="16" t="s">
        <v>144</v>
      </c>
      <c r="S467" s="11" t="s">
        <v>1201</v>
      </c>
    </row>
    <row r="468" spans="1:19" s="20" customFormat="1" ht="21.75" hidden="1" customHeight="1" x14ac:dyDescent="0.2">
      <c r="A468" s="16" t="s">
        <v>1118</v>
      </c>
      <c r="B468" s="17" t="s">
        <v>73</v>
      </c>
      <c r="C468" s="18">
        <v>46049</v>
      </c>
      <c r="D468" s="21">
        <v>12</v>
      </c>
      <c r="E468" s="19">
        <v>1</v>
      </c>
      <c r="F468" s="16" t="s">
        <v>36</v>
      </c>
      <c r="G468" s="16" t="s">
        <v>128</v>
      </c>
      <c r="H468" s="16" t="s">
        <v>99</v>
      </c>
      <c r="I468" s="16" t="s">
        <v>569</v>
      </c>
      <c r="J468" s="17">
        <v>20509076945</v>
      </c>
      <c r="K468" s="17" t="s">
        <v>1204</v>
      </c>
      <c r="L468" s="16" t="s">
        <v>1176</v>
      </c>
      <c r="M468" s="16" t="s">
        <v>75</v>
      </c>
      <c r="N468" s="11"/>
      <c r="O468" s="11"/>
      <c r="P468" s="16" t="s">
        <v>1202</v>
      </c>
      <c r="Q468" s="16" t="s">
        <v>1203</v>
      </c>
      <c r="R468" s="16" t="s">
        <v>144</v>
      </c>
      <c r="S468" s="11" t="s">
        <v>1201</v>
      </c>
    </row>
    <row r="469" spans="1:19" ht="21.75" hidden="1" customHeight="1" x14ac:dyDescent="0.25">
      <c r="A469" s="16" t="s">
        <v>1175</v>
      </c>
      <c r="B469" s="32" t="s">
        <v>260</v>
      </c>
      <c r="C469" s="18">
        <v>46048</v>
      </c>
      <c r="D469" s="21">
        <v>3</v>
      </c>
      <c r="E469" s="19">
        <v>1</v>
      </c>
      <c r="F469" s="16" t="s">
        <v>362</v>
      </c>
      <c r="G469" s="16" t="s">
        <v>374</v>
      </c>
      <c r="H469" s="16" t="s">
        <v>1650</v>
      </c>
      <c r="I469" s="16" t="s">
        <v>380</v>
      </c>
      <c r="J469" s="17">
        <v>10009600111</v>
      </c>
      <c r="K469" s="17">
        <v>933366745</v>
      </c>
      <c r="L469" s="16" t="s">
        <v>390</v>
      </c>
      <c r="M469" s="16" t="s">
        <v>393</v>
      </c>
      <c r="N469" s="11"/>
      <c r="O469" s="11"/>
      <c r="P469" s="16" t="s">
        <v>987</v>
      </c>
      <c r="Q469" s="46" t="s">
        <v>425</v>
      </c>
      <c r="R469" s="16" t="s">
        <v>397</v>
      </c>
      <c r="S469" s="11" t="s">
        <v>1171</v>
      </c>
    </row>
    <row r="470" spans="1:19" ht="21.75" hidden="1" customHeight="1" x14ac:dyDescent="0.25">
      <c r="A470" s="11" t="s">
        <v>1173</v>
      </c>
      <c r="B470" s="34" t="s">
        <v>1172</v>
      </c>
      <c r="C470" s="18">
        <v>46048</v>
      </c>
      <c r="D470" s="19">
        <v>1</v>
      </c>
      <c r="E470" s="19">
        <v>1</v>
      </c>
      <c r="F470" s="14" t="s">
        <v>494</v>
      </c>
      <c r="G470" s="14" t="s">
        <v>494</v>
      </c>
      <c r="H470" s="11" t="s">
        <v>99</v>
      </c>
      <c r="I470" s="11" t="s">
        <v>496</v>
      </c>
      <c r="J470" s="14">
        <v>20545323002</v>
      </c>
      <c r="K470" s="11"/>
      <c r="L470" s="11" t="s">
        <v>498</v>
      </c>
      <c r="M470" s="16" t="s">
        <v>306</v>
      </c>
      <c r="N470" s="11"/>
      <c r="O470" s="11"/>
      <c r="P470" s="11" t="s">
        <v>493</v>
      </c>
      <c r="Q470" s="11" t="s">
        <v>1174</v>
      </c>
      <c r="R470" s="11" t="s">
        <v>933</v>
      </c>
      <c r="S470" s="11" t="s">
        <v>497</v>
      </c>
    </row>
    <row r="471" spans="1:19" s="20" customFormat="1" ht="21.75" hidden="1" customHeight="1" x14ac:dyDescent="0.2">
      <c r="A471" s="16" t="s">
        <v>1177</v>
      </c>
      <c r="B471" s="17">
        <v>374892026</v>
      </c>
      <c r="C471" s="18">
        <v>46049</v>
      </c>
      <c r="D471" s="21">
        <v>2</v>
      </c>
      <c r="E471" s="19">
        <v>2</v>
      </c>
      <c r="F471" s="16" t="s">
        <v>443</v>
      </c>
      <c r="G471" s="16" t="s">
        <v>450</v>
      </c>
      <c r="H471" s="16" t="s">
        <v>76</v>
      </c>
      <c r="I471" s="16" t="s">
        <v>457</v>
      </c>
      <c r="J471" s="17">
        <v>20536876953</v>
      </c>
      <c r="K471" s="16" t="s">
        <v>73</v>
      </c>
      <c r="L471" s="16" t="s">
        <v>464</v>
      </c>
      <c r="M471" s="16" t="s">
        <v>472</v>
      </c>
      <c r="N471" s="11"/>
      <c r="O471" s="11"/>
      <c r="P471" s="16" t="s">
        <v>73</v>
      </c>
      <c r="Q471" s="11"/>
      <c r="R471" s="16" t="s">
        <v>439</v>
      </c>
      <c r="S471" s="11" t="s">
        <v>1197</v>
      </c>
    </row>
    <row r="472" spans="1:19" s="20" customFormat="1" ht="21.75" hidden="1" customHeight="1" x14ac:dyDescent="0.2">
      <c r="A472" s="16" t="s">
        <v>1177</v>
      </c>
      <c r="B472" s="17">
        <v>374892026</v>
      </c>
      <c r="C472" s="18">
        <v>46049</v>
      </c>
      <c r="D472" s="21">
        <v>2</v>
      </c>
      <c r="E472" s="19">
        <v>1</v>
      </c>
      <c r="F472" s="16" t="s">
        <v>356</v>
      </c>
      <c r="G472" s="16" t="s">
        <v>368</v>
      </c>
      <c r="H472" s="16" t="s">
        <v>76</v>
      </c>
      <c r="I472" s="16" t="s">
        <v>457</v>
      </c>
      <c r="J472" s="17">
        <v>20536876953</v>
      </c>
      <c r="K472" s="16" t="s">
        <v>73</v>
      </c>
      <c r="L472" s="16" t="s">
        <v>464</v>
      </c>
      <c r="M472" s="16" t="s">
        <v>472</v>
      </c>
      <c r="N472" s="11"/>
      <c r="O472" s="11"/>
      <c r="P472" s="16" t="s">
        <v>73</v>
      </c>
      <c r="Q472" s="11"/>
      <c r="R472" s="16" t="s">
        <v>439</v>
      </c>
      <c r="S472" s="11" t="s">
        <v>1197</v>
      </c>
    </row>
    <row r="473" spans="1:19" s="20" customFormat="1" ht="21.75" hidden="1" customHeight="1" x14ac:dyDescent="0.2">
      <c r="A473" s="16" t="s">
        <v>1178</v>
      </c>
      <c r="B473" s="17" t="s">
        <v>1181</v>
      </c>
      <c r="C473" s="18">
        <v>46049</v>
      </c>
      <c r="D473" s="21">
        <v>2</v>
      </c>
      <c r="E473" s="19">
        <v>1</v>
      </c>
      <c r="F473" s="16" t="s">
        <v>1182</v>
      </c>
      <c r="G473" s="16" t="s">
        <v>1185</v>
      </c>
      <c r="H473" s="11" t="s">
        <v>99</v>
      </c>
      <c r="I473" s="16" t="s">
        <v>986</v>
      </c>
      <c r="J473" s="16" t="s">
        <v>1190</v>
      </c>
      <c r="K473" s="16" t="s">
        <v>991</v>
      </c>
      <c r="L473" s="16" t="s">
        <v>989</v>
      </c>
      <c r="M473" s="16" t="s">
        <v>299</v>
      </c>
      <c r="N473" s="11"/>
      <c r="O473" s="11"/>
      <c r="P473" s="17">
        <v>51998588868</v>
      </c>
      <c r="Q473" s="11"/>
      <c r="R473" s="16" t="s">
        <v>440</v>
      </c>
      <c r="S473" s="11" t="s">
        <v>1198</v>
      </c>
    </row>
    <row r="474" spans="1:19" s="20" customFormat="1" ht="21.75" hidden="1" customHeight="1" x14ac:dyDescent="0.2">
      <c r="A474" s="16" t="s">
        <v>1179</v>
      </c>
      <c r="B474" s="17">
        <v>3222758833</v>
      </c>
      <c r="C474" s="18">
        <v>46049</v>
      </c>
      <c r="D474" s="21">
        <v>1</v>
      </c>
      <c r="E474" s="19">
        <v>1</v>
      </c>
      <c r="F474" s="16" t="s">
        <v>1183</v>
      </c>
      <c r="G474" s="16" t="s">
        <v>1186</v>
      </c>
      <c r="H474" s="11" t="s">
        <v>99</v>
      </c>
      <c r="I474" s="16" t="s">
        <v>1188</v>
      </c>
      <c r="J474" s="16" t="s">
        <v>1191</v>
      </c>
      <c r="K474" s="16" t="s">
        <v>1195</v>
      </c>
      <c r="L474" s="16" t="s">
        <v>1193</v>
      </c>
      <c r="M474" s="16" t="s">
        <v>299</v>
      </c>
      <c r="N474" s="11"/>
      <c r="O474" s="11"/>
      <c r="P474" s="17">
        <v>51967168186</v>
      </c>
      <c r="Q474" s="11"/>
      <c r="R474" s="16" t="s">
        <v>394</v>
      </c>
      <c r="S474" s="11" t="s">
        <v>1199</v>
      </c>
    </row>
    <row r="475" spans="1:19" s="20" customFormat="1" ht="21.75" hidden="1" customHeight="1" x14ac:dyDescent="0.2">
      <c r="A475" s="16" t="s">
        <v>1180</v>
      </c>
      <c r="B475" s="17">
        <v>3222850903</v>
      </c>
      <c r="C475" s="18">
        <v>46049</v>
      </c>
      <c r="D475" s="21">
        <v>1</v>
      </c>
      <c r="E475" s="19">
        <v>1</v>
      </c>
      <c r="F475" s="16" t="s">
        <v>1184</v>
      </c>
      <c r="G475" s="16" t="s">
        <v>1187</v>
      </c>
      <c r="H475" s="11" t="s">
        <v>99</v>
      </c>
      <c r="I475" s="16" t="s">
        <v>1189</v>
      </c>
      <c r="J475" s="16" t="s">
        <v>1192</v>
      </c>
      <c r="K475" s="16" t="s">
        <v>1196</v>
      </c>
      <c r="L475" s="16" t="s">
        <v>1194</v>
      </c>
      <c r="M475" s="16" t="s">
        <v>306</v>
      </c>
      <c r="N475" s="11"/>
      <c r="O475" s="11"/>
      <c r="P475" s="17">
        <v>51997541935</v>
      </c>
      <c r="Q475" s="11"/>
      <c r="R475" s="16" t="s">
        <v>394</v>
      </c>
      <c r="S475" s="11" t="s">
        <v>1200</v>
      </c>
    </row>
    <row r="476" spans="1:19" s="20" customFormat="1" ht="21.75" hidden="1" customHeight="1" x14ac:dyDescent="0.2">
      <c r="A476" s="16" t="s">
        <v>1240</v>
      </c>
      <c r="B476" s="14"/>
      <c r="C476" s="18">
        <v>46050</v>
      </c>
      <c r="D476" s="88">
        <v>48</v>
      </c>
      <c r="E476" s="19">
        <v>4</v>
      </c>
      <c r="F476" s="72" t="s">
        <v>162</v>
      </c>
      <c r="G476" s="72" t="s">
        <v>163</v>
      </c>
      <c r="H476" s="26" t="s">
        <v>1544</v>
      </c>
      <c r="I476" s="72" t="s">
        <v>1237</v>
      </c>
      <c r="J476" s="14">
        <v>10023656715</v>
      </c>
      <c r="K476" s="11"/>
      <c r="L476" s="11" t="s">
        <v>1246</v>
      </c>
      <c r="M476" s="16" t="s">
        <v>75</v>
      </c>
      <c r="N476" s="11"/>
      <c r="O476" s="11"/>
      <c r="P476" s="11" t="s">
        <v>135</v>
      </c>
      <c r="Q476" s="11" t="s">
        <v>1247</v>
      </c>
      <c r="R476" s="11" t="s">
        <v>142</v>
      </c>
      <c r="S476" s="11" t="s">
        <v>1244</v>
      </c>
    </row>
    <row r="477" spans="1:19" s="20" customFormat="1" ht="21.75" hidden="1" customHeight="1" x14ac:dyDescent="0.2">
      <c r="A477" s="16" t="s">
        <v>1240</v>
      </c>
      <c r="B477" s="14"/>
      <c r="C477" s="18">
        <v>46050</v>
      </c>
      <c r="D477" s="88">
        <v>48</v>
      </c>
      <c r="E477" s="19">
        <v>4</v>
      </c>
      <c r="F477" s="72" t="s">
        <v>172</v>
      </c>
      <c r="G477" s="72" t="s">
        <v>175</v>
      </c>
      <c r="H477" s="26" t="s">
        <v>1544</v>
      </c>
      <c r="I477" s="72" t="s">
        <v>1237</v>
      </c>
      <c r="J477" s="14">
        <v>10023656715</v>
      </c>
      <c r="K477" s="11"/>
      <c r="L477" s="11" t="s">
        <v>1246</v>
      </c>
      <c r="M477" s="16" t="s">
        <v>75</v>
      </c>
      <c r="N477" s="11"/>
      <c r="O477" s="11"/>
      <c r="P477" s="11" t="s">
        <v>135</v>
      </c>
      <c r="Q477" s="11" t="s">
        <v>1247</v>
      </c>
      <c r="R477" s="11" t="s">
        <v>142</v>
      </c>
      <c r="S477" s="11" t="s">
        <v>1244</v>
      </c>
    </row>
    <row r="478" spans="1:19" s="20" customFormat="1" ht="21.75" hidden="1" customHeight="1" x14ac:dyDescent="0.2">
      <c r="A478" s="16" t="s">
        <v>1240</v>
      </c>
      <c r="B478" s="14"/>
      <c r="C478" s="18">
        <v>46050</v>
      </c>
      <c r="D478" s="88">
        <v>192</v>
      </c>
      <c r="E478" s="19">
        <v>4</v>
      </c>
      <c r="F478" s="72" t="s">
        <v>158</v>
      </c>
      <c r="G478" s="72" t="s">
        <v>150</v>
      </c>
      <c r="H478" s="26" t="s">
        <v>1544</v>
      </c>
      <c r="I478" s="72" t="s">
        <v>1237</v>
      </c>
      <c r="J478" s="14">
        <v>10023656715</v>
      </c>
      <c r="K478" s="11"/>
      <c r="L478" s="11" t="s">
        <v>1246</v>
      </c>
      <c r="M478" s="16" t="s">
        <v>75</v>
      </c>
      <c r="N478" s="11"/>
      <c r="O478" s="11"/>
      <c r="P478" s="11" t="s">
        <v>135</v>
      </c>
      <c r="Q478" s="11" t="s">
        <v>1247</v>
      </c>
      <c r="R478" s="11" t="s">
        <v>142</v>
      </c>
      <c r="S478" s="11" t="s">
        <v>1244</v>
      </c>
    </row>
    <row r="479" spans="1:19" s="20" customFormat="1" ht="21.75" hidden="1" customHeight="1" x14ac:dyDescent="0.2">
      <c r="A479" s="16" t="s">
        <v>1240</v>
      </c>
      <c r="B479" s="14"/>
      <c r="C479" s="18">
        <v>46050</v>
      </c>
      <c r="D479" s="88">
        <v>192</v>
      </c>
      <c r="E479" s="19">
        <v>4</v>
      </c>
      <c r="F479" s="72" t="s">
        <v>159</v>
      </c>
      <c r="G479" s="72" t="s">
        <v>140</v>
      </c>
      <c r="H479" s="26" t="s">
        <v>1544</v>
      </c>
      <c r="I479" s="72" t="s">
        <v>1237</v>
      </c>
      <c r="J479" s="14">
        <v>10023656715</v>
      </c>
      <c r="K479" s="11"/>
      <c r="L479" s="11" t="s">
        <v>1246</v>
      </c>
      <c r="M479" s="16" t="s">
        <v>75</v>
      </c>
      <c r="N479" s="11"/>
      <c r="O479" s="11"/>
      <c r="P479" s="11" t="s">
        <v>135</v>
      </c>
      <c r="Q479" s="11" t="s">
        <v>1247</v>
      </c>
      <c r="R479" s="11" t="s">
        <v>142</v>
      </c>
      <c r="S479" s="11" t="s">
        <v>1244</v>
      </c>
    </row>
    <row r="480" spans="1:19" s="20" customFormat="1" ht="21.75" hidden="1" customHeight="1" x14ac:dyDescent="0.2">
      <c r="A480" s="16" t="s">
        <v>1240</v>
      </c>
      <c r="B480" s="14"/>
      <c r="C480" s="18">
        <v>46050</v>
      </c>
      <c r="D480" s="88">
        <v>120</v>
      </c>
      <c r="E480" s="19">
        <v>20</v>
      </c>
      <c r="F480" s="72" t="s">
        <v>155</v>
      </c>
      <c r="G480" s="72" t="s">
        <v>125</v>
      </c>
      <c r="H480" s="26" t="s">
        <v>1544</v>
      </c>
      <c r="I480" s="72" t="s">
        <v>1237</v>
      </c>
      <c r="J480" s="14">
        <v>10023656715</v>
      </c>
      <c r="K480" s="11"/>
      <c r="L480" s="11" t="s">
        <v>1246</v>
      </c>
      <c r="M480" s="16" t="s">
        <v>75</v>
      </c>
      <c r="N480" s="11"/>
      <c r="O480" s="11"/>
      <c r="P480" s="11" t="s">
        <v>135</v>
      </c>
      <c r="Q480" s="11" t="s">
        <v>1247</v>
      </c>
      <c r="R480" s="11" t="s">
        <v>142</v>
      </c>
      <c r="S480" s="11" t="s">
        <v>1244</v>
      </c>
    </row>
    <row r="481" spans="1:19" s="20" customFormat="1" ht="21.75" hidden="1" customHeight="1" x14ac:dyDescent="0.2">
      <c r="A481" s="16" t="s">
        <v>1240</v>
      </c>
      <c r="B481" s="14"/>
      <c r="C481" s="18">
        <v>46050</v>
      </c>
      <c r="D481" s="88">
        <v>120</v>
      </c>
      <c r="E481" s="19">
        <v>10</v>
      </c>
      <c r="F481" s="72" t="s">
        <v>161</v>
      </c>
      <c r="G481" s="72" t="s">
        <v>132</v>
      </c>
      <c r="H481" s="26" t="s">
        <v>1544</v>
      </c>
      <c r="I481" s="72" t="s">
        <v>1237</v>
      </c>
      <c r="J481" s="14">
        <v>10023656715</v>
      </c>
      <c r="K481" s="11"/>
      <c r="L481" s="11" t="s">
        <v>1246</v>
      </c>
      <c r="M481" s="16" t="s">
        <v>75</v>
      </c>
      <c r="N481" s="11"/>
      <c r="O481" s="11"/>
      <c r="P481" s="11" t="s">
        <v>135</v>
      </c>
      <c r="Q481" s="11" t="s">
        <v>1247</v>
      </c>
      <c r="R481" s="11" t="s">
        <v>142</v>
      </c>
      <c r="S481" s="11" t="s">
        <v>1244</v>
      </c>
    </row>
    <row r="482" spans="1:19" s="20" customFormat="1" ht="21.75" hidden="1" customHeight="1" x14ac:dyDescent="0.2">
      <c r="A482" s="16" t="s">
        <v>1240</v>
      </c>
      <c r="B482" s="14"/>
      <c r="C482" s="18">
        <v>46050</v>
      </c>
      <c r="D482" s="88">
        <v>36</v>
      </c>
      <c r="E482" s="19">
        <v>3</v>
      </c>
      <c r="F482" s="72" t="s">
        <v>54</v>
      </c>
      <c r="G482" s="72" t="s">
        <v>92</v>
      </c>
      <c r="H482" s="26" t="s">
        <v>1544</v>
      </c>
      <c r="I482" s="72" t="s">
        <v>1237</v>
      </c>
      <c r="J482" s="14">
        <v>10023656715</v>
      </c>
      <c r="K482" s="11"/>
      <c r="L482" s="11" t="s">
        <v>1246</v>
      </c>
      <c r="M482" s="16" t="s">
        <v>75</v>
      </c>
      <c r="N482" s="11"/>
      <c r="O482" s="11"/>
      <c r="P482" s="11" t="s">
        <v>135</v>
      </c>
      <c r="Q482" s="11" t="s">
        <v>1247</v>
      </c>
      <c r="R482" s="11" t="s">
        <v>142</v>
      </c>
      <c r="S482" s="11" t="s">
        <v>1244</v>
      </c>
    </row>
    <row r="483" spans="1:19" s="20" customFormat="1" ht="21.75" hidden="1" customHeight="1" x14ac:dyDescent="0.2">
      <c r="A483" s="16" t="s">
        <v>1240</v>
      </c>
      <c r="B483" s="14"/>
      <c r="C483" s="18">
        <v>46050</v>
      </c>
      <c r="D483" s="88">
        <v>24</v>
      </c>
      <c r="E483" s="19">
        <v>2</v>
      </c>
      <c r="F483" s="72" t="s">
        <v>1205</v>
      </c>
      <c r="G483" s="72" t="s">
        <v>1221</v>
      </c>
      <c r="H483" s="26" t="s">
        <v>1544</v>
      </c>
      <c r="I483" s="72" t="s">
        <v>1237</v>
      </c>
      <c r="J483" s="14">
        <v>10023656715</v>
      </c>
      <c r="K483" s="11"/>
      <c r="L483" s="11" t="s">
        <v>1246</v>
      </c>
      <c r="M483" s="16" t="s">
        <v>75</v>
      </c>
      <c r="N483" s="11"/>
      <c r="O483" s="11"/>
      <c r="P483" s="11" t="s">
        <v>135</v>
      </c>
      <c r="Q483" s="11" t="s">
        <v>1247</v>
      </c>
      <c r="R483" s="11" t="s">
        <v>142</v>
      </c>
      <c r="S483" s="11" t="s">
        <v>1244</v>
      </c>
    </row>
    <row r="484" spans="1:19" s="20" customFormat="1" ht="21.75" hidden="1" customHeight="1" x14ac:dyDescent="0.2">
      <c r="A484" s="16" t="s">
        <v>1240</v>
      </c>
      <c r="B484" s="14"/>
      <c r="C484" s="18">
        <v>46050</v>
      </c>
      <c r="D484" s="88">
        <v>72</v>
      </c>
      <c r="E484" s="19">
        <v>6</v>
      </c>
      <c r="F484" s="72" t="s">
        <v>46</v>
      </c>
      <c r="G484" s="72" t="s">
        <v>104</v>
      </c>
      <c r="H484" s="26" t="s">
        <v>1544</v>
      </c>
      <c r="I484" s="72" t="s">
        <v>1237</v>
      </c>
      <c r="J484" s="14">
        <v>10023656715</v>
      </c>
      <c r="K484" s="11"/>
      <c r="L484" s="11" t="s">
        <v>1246</v>
      </c>
      <c r="M484" s="16" t="s">
        <v>75</v>
      </c>
      <c r="N484" s="11"/>
      <c r="O484" s="11"/>
      <c r="P484" s="11" t="s">
        <v>135</v>
      </c>
      <c r="Q484" s="11" t="s">
        <v>1247</v>
      </c>
      <c r="R484" s="11" t="s">
        <v>142</v>
      </c>
      <c r="S484" s="11" t="s">
        <v>1244</v>
      </c>
    </row>
    <row r="485" spans="1:19" s="20" customFormat="1" ht="21.75" hidden="1" customHeight="1" x14ac:dyDescent="0.2">
      <c r="A485" s="16" t="s">
        <v>1240</v>
      </c>
      <c r="B485" s="14"/>
      <c r="C485" s="18">
        <v>46050</v>
      </c>
      <c r="D485" s="88">
        <v>60</v>
      </c>
      <c r="E485" s="19">
        <v>15</v>
      </c>
      <c r="F485" s="72" t="s">
        <v>1206</v>
      </c>
      <c r="G485" s="72" t="s">
        <v>1222</v>
      </c>
      <c r="H485" s="26" t="s">
        <v>1544</v>
      </c>
      <c r="I485" s="72" t="s">
        <v>1237</v>
      </c>
      <c r="J485" s="14">
        <v>10023656715</v>
      </c>
      <c r="K485" s="11"/>
      <c r="L485" s="11" t="s">
        <v>1246</v>
      </c>
      <c r="M485" s="16" t="s">
        <v>75</v>
      </c>
      <c r="N485" s="11"/>
      <c r="O485" s="11"/>
      <c r="P485" s="11" t="s">
        <v>135</v>
      </c>
      <c r="Q485" s="11" t="s">
        <v>1247</v>
      </c>
      <c r="R485" s="11" t="s">
        <v>142</v>
      </c>
      <c r="S485" s="11" t="s">
        <v>1244</v>
      </c>
    </row>
    <row r="486" spans="1:19" s="20" customFormat="1" ht="21.75" hidden="1" customHeight="1" x14ac:dyDescent="0.2">
      <c r="A486" s="16" t="s">
        <v>1240</v>
      </c>
      <c r="B486" s="14"/>
      <c r="C486" s="18">
        <v>46050</v>
      </c>
      <c r="D486" s="88">
        <v>36</v>
      </c>
      <c r="E486" s="19">
        <v>9</v>
      </c>
      <c r="F486" s="72" t="s">
        <v>1207</v>
      </c>
      <c r="G486" s="72" t="s">
        <v>1223</v>
      </c>
      <c r="H486" s="26" t="s">
        <v>1544</v>
      </c>
      <c r="I486" s="72" t="s">
        <v>1237</v>
      </c>
      <c r="J486" s="14">
        <v>10023656715</v>
      </c>
      <c r="K486" s="11"/>
      <c r="L486" s="11" t="s">
        <v>1246</v>
      </c>
      <c r="M486" s="16" t="s">
        <v>75</v>
      </c>
      <c r="N486" s="11"/>
      <c r="O486" s="11"/>
      <c r="P486" s="11" t="s">
        <v>135</v>
      </c>
      <c r="Q486" s="11" t="s">
        <v>1247</v>
      </c>
      <c r="R486" s="11" t="s">
        <v>142</v>
      </c>
      <c r="S486" s="11" t="s">
        <v>1244</v>
      </c>
    </row>
    <row r="487" spans="1:19" s="20" customFormat="1" ht="21.75" hidden="1" customHeight="1" x14ac:dyDescent="0.2">
      <c r="A487" s="16" t="s">
        <v>1240</v>
      </c>
      <c r="B487" s="14"/>
      <c r="C487" s="18">
        <v>46050</v>
      </c>
      <c r="D487" s="88">
        <v>6</v>
      </c>
      <c r="E487" s="19">
        <v>3</v>
      </c>
      <c r="F487" s="72" t="s">
        <v>765</v>
      </c>
      <c r="G487" s="72" t="s">
        <v>779</v>
      </c>
      <c r="H487" s="26" t="s">
        <v>1544</v>
      </c>
      <c r="I487" s="72" t="s">
        <v>1237</v>
      </c>
      <c r="J487" s="14">
        <v>10023656715</v>
      </c>
      <c r="K487" s="11"/>
      <c r="L487" s="11" t="s">
        <v>1246</v>
      </c>
      <c r="M487" s="16" t="s">
        <v>75</v>
      </c>
      <c r="N487" s="11"/>
      <c r="O487" s="11"/>
      <c r="P487" s="11" t="s">
        <v>135</v>
      </c>
      <c r="Q487" s="11" t="s">
        <v>1247</v>
      </c>
      <c r="R487" s="11" t="s">
        <v>142</v>
      </c>
      <c r="S487" s="11" t="s">
        <v>1244</v>
      </c>
    </row>
    <row r="488" spans="1:19" s="20" customFormat="1" ht="21.75" hidden="1" customHeight="1" x14ac:dyDescent="0.2">
      <c r="A488" s="16" t="s">
        <v>1240</v>
      </c>
      <c r="B488" s="14"/>
      <c r="C488" s="18">
        <v>46050</v>
      </c>
      <c r="D488" s="88">
        <v>3</v>
      </c>
      <c r="E488" s="19">
        <v>1</v>
      </c>
      <c r="F488" s="72" t="s">
        <v>1208</v>
      </c>
      <c r="G488" s="72" t="s">
        <v>1224</v>
      </c>
      <c r="H488" s="26" t="s">
        <v>1544</v>
      </c>
      <c r="I488" s="72" t="s">
        <v>1237</v>
      </c>
      <c r="J488" s="14">
        <v>10023656715</v>
      </c>
      <c r="K488" s="11"/>
      <c r="L488" s="11" t="s">
        <v>1246</v>
      </c>
      <c r="M488" s="16" t="s">
        <v>75</v>
      </c>
      <c r="N488" s="11"/>
      <c r="O488" s="11"/>
      <c r="P488" s="11" t="s">
        <v>135</v>
      </c>
      <c r="Q488" s="11" t="s">
        <v>1247</v>
      </c>
      <c r="R488" s="11" t="s">
        <v>142</v>
      </c>
      <c r="S488" s="11" t="s">
        <v>1244</v>
      </c>
    </row>
    <row r="489" spans="1:19" s="20" customFormat="1" ht="21.75" hidden="1" customHeight="1" x14ac:dyDescent="0.2">
      <c r="A489" s="16" t="s">
        <v>1240</v>
      </c>
      <c r="B489" s="14"/>
      <c r="C489" s="18">
        <v>46050</v>
      </c>
      <c r="D489" s="88">
        <v>6</v>
      </c>
      <c r="E489" s="19">
        <v>1</v>
      </c>
      <c r="F489" s="72" t="s">
        <v>1209</v>
      </c>
      <c r="G489" s="72" t="s">
        <v>1225</v>
      </c>
      <c r="H489" s="26" t="s">
        <v>1544</v>
      </c>
      <c r="I489" s="72" t="s">
        <v>1237</v>
      </c>
      <c r="J489" s="14">
        <v>10023656715</v>
      </c>
      <c r="K489" s="11"/>
      <c r="L489" s="11" t="s">
        <v>1246</v>
      </c>
      <c r="M489" s="16" t="s">
        <v>75</v>
      </c>
      <c r="N489" s="11"/>
      <c r="O489" s="11"/>
      <c r="P489" s="11" t="s">
        <v>135</v>
      </c>
      <c r="Q489" s="11" t="s">
        <v>1247</v>
      </c>
      <c r="R489" s="11" t="s">
        <v>142</v>
      </c>
      <c r="S489" s="11" t="s">
        <v>1244</v>
      </c>
    </row>
    <row r="490" spans="1:19" s="20" customFormat="1" ht="21.75" hidden="1" customHeight="1" x14ac:dyDescent="0.2">
      <c r="A490" s="16" t="s">
        <v>1240</v>
      </c>
      <c r="B490" s="14"/>
      <c r="C490" s="18">
        <v>46050</v>
      </c>
      <c r="D490" s="88">
        <v>6</v>
      </c>
      <c r="E490" s="19">
        <v>1</v>
      </c>
      <c r="F490" s="72" t="s">
        <v>71</v>
      </c>
      <c r="G490" s="72" t="s">
        <v>176</v>
      </c>
      <c r="H490" s="26" t="s">
        <v>1544</v>
      </c>
      <c r="I490" s="72" t="s">
        <v>1237</v>
      </c>
      <c r="J490" s="14">
        <v>10023656715</v>
      </c>
      <c r="K490" s="11"/>
      <c r="L490" s="11" t="s">
        <v>1246</v>
      </c>
      <c r="M490" s="16" t="s">
        <v>75</v>
      </c>
      <c r="N490" s="11"/>
      <c r="O490" s="11"/>
      <c r="P490" s="11" t="s">
        <v>135</v>
      </c>
      <c r="Q490" s="11" t="s">
        <v>1247</v>
      </c>
      <c r="R490" s="11" t="s">
        <v>142</v>
      </c>
      <c r="S490" s="11" t="s">
        <v>1244</v>
      </c>
    </row>
    <row r="491" spans="1:19" s="20" customFormat="1" ht="21.75" hidden="1" customHeight="1" x14ac:dyDescent="0.2">
      <c r="A491" s="16" t="s">
        <v>1240</v>
      </c>
      <c r="B491" s="14"/>
      <c r="C491" s="18">
        <v>46050</v>
      </c>
      <c r="D491" s="88">
        <v>60</v>
      </c>
      <c r="E491" s="19">
        <v>5</v>
      </c>
      <c r="F491" s="72" t="s">
        <v>21</v>
      </c>
      <c r="G491" s="72" t="s">
        <v>115</v>
      </c>
      <c r="H491" s="26" t="s">
        <v>1544</v>
      </c>
      <c r="I491" s="72" t="s">
        <v>1237</v>
      </c>
      <c r="J491" s="14">
        <v>10023656715</v>
      </c>
      <c r="K491" s="11"/>
      <c r="L491" s="11" t="s">
        <v>1246</v>
      </c>
      <c r="M491" s="16" t="s">
        <v>75</v>
      </c>
      <c r="N491" s="11"/>
      <c r="O491" s="11"/>
      <c r="P491" s="11" t="s">
        <v>135</v>
      </c>
      <c r="Q491" s="11" t="s">
        <v>1247</v>
      </c>
      <c r="R491" s="11" t="s">
        <v>142</v>
      </c>
      <c r="S491" s="11" t="s">
        <v>1244</v>
      </c>
    </row>
    <row r="492" spans="1:19" s="20" customFormat="1" ht="21.75" hidden="1" customHeight="1" x14ac:dyDescent="0.2">
      <c r="A492" s="16" t="s">
        <v>1240</v>
      </c>
      <c r="B492" s="14"/>
      <c r="C492" s="18">
        <v>46050</v>
      </c>
      <c r="D492" s="88">
        <v>60</v>
      </c>
      <c r="E492" s="19">
        <v>5</v>
      </c>
      <c r="F492" s="72" t="s">
        <v>20</v>
      </c>
      <c r="G492" s="72" t="s">
        <v>113</v>
      </c>
      <c r="H492" s="26" t="s">
        <v>1544</v>
      </c>
      <c r="I492" s="72" t="s">
        <v>1237</v>
      </c>
      <c r="J492" s="14">
        <v>10023656715</v>
      </c>
      <c r="K492" s="11"/>
      <c r="L492" s="11" t="s">
        <v>1246</v>
      </c>
      <c r="M492" s="16" t="s">
        <v>75</v>
      </c>
      <c r="N492" s="11"/>
      <c r="O492" s="11"/>
      <c r="P492" s="11" t="s">
        <v>135</v>
      </c>
      <c r="Q492" s="11" t="s">
        <v>1247</v>
      </c>
      <c r="R492" s="11" t="s">
        <v>142</v>
      </c>
      <c r="S492" s="11" t="s">
        <v>1244</v>
      </c>
    </row>
    <row r="493" spans="1:19" s="20" customFormat="1" ht="21.75" hidden="1" customHeight="1" x14ac:dyDescent="0.2">
      <c r="A493" s="16" t="s">
        <v>1240</v>
      </c>
      <c r="B493" s="14"/>
      <c r="C493" s="18">
        <v>46050</v>
      </c>
      <c r="D493" s="88">
        <v>48</v>
      </c>
      <c r="E493" s="19">
        <v>4</v>
      </c>
      <c r="F493" s="72" t="s">
        <v>24</v>
      </c>
      <c r="G493" s="72" t="s">
        <v>112</v>
      </c>
      <c r="H493" s="26" t="s">
        <v>1544</v>
      </c>
      <c r="I493" s="72" t="s">
        <v>1237</v>
      </c>
      <c r="J493" s="14">
        <v>10023656715</v>
      </c>
      <c r="K493" s="11"/>
      <c r="L493" s="11" t="s">
        <v>1246</v>
      </c>
      <c r="M493" s="16" t="s">
        <v>75</v>
      </c>
      <c r="N493" s="11"/>
      <c r="O493" s="11"/>
      <c r="P493" s="11" t="s">
        <v>135</v>
      </c>
      <c r="Q493" s="11" t="s">
        <v>1247</v>
      </c>
      <c r="R493" s="11" t="s">
        <v>142</v>
      </c>
      <c r="S493" s="11" t="s">
        <v>1244</v>
      </c>
    </row>
    <row r="494" spans="1:19" s="20" customFormat="1" ht="21.75" hidden="1" customHeight="1" x14ac:dyDescent="0.2">
      <c r="A494" s="16" t="s">
        <v>1240</v>
      </c>
      <c r="B494" s="14"/>
      <c r="C494" s="18">
        <v>46050</v>
      </c>
      <c r="D494" s="88">
        <v>48</v>
      </c>
      <c r="E494" s="19">
        <v>4</v>
      </c>
      <c r="F494" s="72" t="s">
        <v>1210</v>
      </c>
      <c r="G494" s="72" t="s">
        <v>1226</v>
      </c>
      <c r="H494" s="26" t="s">
        <v>1544</v>
      </c>
      <c r="I494" s="72" t="s">
        <v>1237</v>
      </c>
      <c r="J494" s="14">
        <v>10023656715</v>
      </c>
      <c r="K494" s="11"/>
      <c r="L494" s="11" t="s">
        <v>1246</v>
      </c>
      <c r="M494" s="16" t="s">
        <v>75</v>
      </c>
      <c r="N494" s="11"/>
      <c r="O494" s="11"/>
      <c r="P494" s="11" t="s">
        <v>135</v>
      </c>
      <c r="Q494" s="11" t="s">
        <v>1247</v>
      </c>
      <c r="R494" s="11" t="s">
        <v>142</v>
      </c>
      <c r="S494" s="11" t="s">
        <v>1244</v>
      </c>
    </row>
    <row r="495" spans="1:19" s="20" customFormat="1" ht="21.75" hidden="1" customHeight="1" x14ac:dyDescent="0.2">
      <c r="A495" s="16" t="s">
        <v>1240</v>
      </c>
      <c r="B495" s="14"/>
      <c r="C495" s="18">
        <v>46050</v>
      </c>
      <c r="D495" s="88">
        <v>120</v>
      </c>
      <c r="E495" s="19">
        <v>5</v>
      </c>
      <c r="F495" s="72" t="s">
        <v>1211</v>
      </c>
      <c r="G495" s="72" t="s">
        <v>1227</v>
      </c>
      <c r="H495" s="26" t="s">
        <v>1544</v>
      </c>
      <c r="I495" s="72" t="s">
        <v>1237</v>
      </c>
      <c r="J495" s="14">
        <v>10023656715</v>
      </c>
      <c r="K495" s="11"/>
      <c r="L495" s="11" t="s">
        <v>1246</v>
      </c>
      <c r="M495" s="16" t="s">
        <v>75</v>
      </c>
      <c r="N495" s="11"/>
      <c r="O495" s="11"/>
      <c r="P495" s="11" t="s">
        <v>135</v>
      </c>
      <c r="Q495" s="11" t="s">
        <v>1247</v>
      </c>
      <c r="R495" s="11" t="s">
        <v>142</v>
      </c>
      <c r="S495" s="11" t="s">
        <v>1244</v>
      </c>
    </row>
    <row r="496" spans="1:19" s="20" customFormat="1" ht="21.75" hidden="1" customHeight="1" x14ac:dyDescent="0.2">
      <c r="A496" s="16" t="s">
        <v>1240</v>
      </c>
      <c r="B496" s="14"/>
      <c r="C496" s="18">
        <v>46050</v>
      </c>
      <c r="D496" s="88">
        <v>96</v>
      </c>
      <c r="E496" s="19">
        <v>4</v>
      </c>
      <c r="F496" s="72" t="s">
        <v>1212</v>
      </c>
      <c r="G496" s="72" t="s">
        <v>1228</v>
      </c>
      <c r="H496" s="26" t="s">
        <v>1544</v>
      </c>
      <c r="I496" s="72" t="s">
        <v>1237</v>
      </c>
      <c r="J496" s="14">
        <v>10023656715</v>
      </c>
      <c r="K496" s="11"/>
      <c r="L496" s="11" t="s">
        <v>1246</v>
      </c>
      <c r="M496" s="16" t="s">
        <v>75</v>
      </c>
      <c r="N496" s="11"/>
      <c r="O496" s="11"/>
      <c r="P496" s="11" t="s">
        <v>135</v>
      </c>
      <c r="Q496" s="11" t="s">
        <v>1247</v>
      </c>
      <c r="R496" s="11" t="s">
        <v>142</v>
      </c>
      <c r="S496" s="11" t="s">
        <v>1244</v>
      </c>
    </row>
    <row r="497" spans="1:19" s="20" customFormat="1" ht="21.75" hidden="1" customHeight="1" x14ac:dyDescent="0.2">
      <c r="A497" s="16" t="s">
        <v>1240</v>
      </c>
      <c r="B497" s="14"/>
      <c r="C497" s="18">
        <v>46050</v>
      </c>
      <c r="D497" s="88">
        <v>48</v>
      </c>
      <c r="E497" s="19">
        <v>4</v>
      </c>
      <c r="F497" s="72" t="s">
        <v>27</v>
      </c>
      <c r="G497" s="72" t="s">
        <v>103</v>
      </c>
      <c r="H497" s="26" t="s">
        <v>1544</v>
      </c>
      <c r="I497" s="72" t="s">
        <v>1237</v>
      </c>
      <c r="J497" s="14">
        <v>10023656715</v>
      </c>
      <c r="K497" s="11"/>
      <c r="L497" s="11" t="s">
        <v>1246</v>
      </c>
      <c r="M497" s="16" t="s">
        <v>75</v>
      </c>
      <c r="N497" s="11"/>
      <c r="O497" s="11"/>
      <c r="P497" s="11" t="s">
        <v>135</v>
      </c>
      <c r="Q497" s="11" t="s">
        <v>1247</v>
      </c>
      <c r="R497" s="11" t="s">
        <v>142</v>
      </c>
      <c r="S497" s="11" t="s">
        <v>1244</v>
      </c>
    </row>
    <row r="498" spans="1:19" s="20" customFormat="1" ht="21.75" hidden="1" customHeight="1" x14ac:dyDescent="0.2">
      <c r="A498" s="16" t="s">
        <v>1240</v>
      </c>
      <c r="B498" s="14"/>
      <c r="C498" s="18">
        <v>46050</v>
      </c>
      <c r="D498" s="88">
        <v>12</v>
      </c>
      <c r="E498" s="19">
        <v>4</v>
      </c>
      <c r="F498" s="72" t="s">
        <v>362</v>
      </c>
      <c r="G498" s="72" t="s">
        <v>374</v>
      </c>
      <c r="H498" s="26" t="s">
        <v>1544</v>
      </c>
      <c r="I498" s="72" t="s">
        <v>1237</v>
      </c>
      <c r="J498" s="14">
        <v>10023656715</v>
      </c>
      <c r="K498" s="11"/>
      <c r="L498" s="11" t="s">
        <v>1246</v>
      </c>
      <c r="M498" s="16" t="s">
        <v>75</v>
      </c>
      <c r="N498" s="11"/>
      <c r="O498" s="11"/>
      <c r="P498" s="11" t="s">
        <v>135</v>
      </c>
      <c r="Q498" s="11" t="s">
        <v>1247</v>
      </c>
      <c r="R498" s="11" t="s">
        <v>142</v>
      </c>
      <c r="S498" s="11" t="s">
        <v>1244</v>
      </c>
    </row>
    <row r="499" spans="1:19" s="20" customFormat="1" ht="21.75" hidden="1" customHeight="1" x14ac:dyDescent="0.2">
      <c r="A499" s="16" t="s">
        <v>1240</v>
      </c>
      <c r="B499" s="14"/>
      <c r="C499" s="18">
        <v>46050</v>
      </c>
      <c r="D499" s="88">
        <v>6</v>
      </c>
      <c r="E499" s="19">
        <v>1</v>
      </c>
      <c r="F499" s="72" t="s">
        <v>318</v>
      </c>
      <c r="G499" s="72" t="s">
        <v>331</v>
      </c>
      <c r="H499" s="26" t="s">
        <v>1544</v>
      </c>
      <c r="I499" s="72" t="s">
        <v>1237</v>
      </c>
      <c r="J499" s="14">
        <v>10023656715</v>
      </c>
      <c r="K499" s="11"/>
      <c r="L499" s="11" t="s">
        <v>1246</v>
      </c>
      <c r="M499" s="16" t="s">
        <v>75</v>
      </c>
      <c r="N499" s="11"/>
      <c r="O499" s="11"/>
      <c r="P499" s="11" t="s">
        <v>135</v>
      </c>
      <c r="Q499" s="11" t="s">
        <v>1247</v>
      </c>
      <c r="R499" s="11" t="s">
        <v>142</v>
      </c>
      <c r="S499" s="11" t="s">
        <v>1244</v>
      </c>
    </row>
    <row r="500" spans="1:19" s="20" customFormat="1" ht="21.75" hidden="1" customHeight="1" x14ac:dyDescent="0.2">
      <c r="A500" s="16" t="s">
        <v>1240</v>
      </c>
      <c r="B500" s="14"/>
      <c r="C500" s="18">
        <v>46050</v>
      </c>
      <c r="D500" s="88">
        <v>120</v>
      </c>
      <c r="E500" s="19">
        <v>10</v>
      </c>
      <c r="F500" s="72" t="s">
        <v>23</v>
      </c>
      <c r="G500" s="72" t="s">
        <v>119</v>
      </c>
      <c r="H500" s="26" t="s">
        <v>1544</v>
      </c>
      <c r="I500" s="72" t="s">
        <v>1237</v>
      </c>
      <c r="J500" s="14">
        <v>10023656715</v>
      </c>
      <c r="K500" s="11"/>
      <c r="L500" s="11" t="s">
        <v>1246</v>
      </c>
      <c r="M500" s="16" t="s">
        <v>75</v>
      </c>
      <c r="N500" s="11"/>
      <c r="O500" s="11"/>
      <c r="P500" s="11" t="s">
        <v>135</v>
      </c>
      <c r="Q500" s="11" t="s">
        <v>1247</v>
      </c>
      <c r="R500" s="11" t="s">
        <v>142</v>
      </c>
      <c r="S500" s="11" t="s">
        <v>1244</v>
      </c>
    </row>
    <row r="501" spans="1:19" s="20" customFormat="1" ht="21.75" hidden="1" customHeight="1" x14ac:dyDescent="0.2">
      <c r="A501" s="16" t="s">
        <v>1240</v>
      </c>
      <c r="B501" s="14"/>
      <c r="C501" s="18">
        <v>46050</v>
      </c>
      <c r="D501" s="88">
        <v>72</v>
      </c>
      <c r="E501" s="19">
        <v>6</v>
      </c>
      <c r="F501" s="72" t="s">
        <v>19</v>
      </c>
      <c r="G501" s="72" t="s">
        <v>120</v>
      </c>
      <c r="H501" s="26" t="s">
        <v>1544</v>
      </c>
      <c r="I501" s="72" t="s">
        <v>1237</v>
      </c>
      <c r="J501" s="14">
        <v>10023656715</v>
      </c>
      <c r="K501" s="11"/>
      <c r="L501" s="11" t="s">
        <v>1246</v>
      </c>
      <c r="M501" s="16" t="s">
        <v>75</v>
      </c>
      <c r="N501" s="11"/>
      <c r="O501" s="11"/>
      <c r="P501" s="11" t="s">
        <v>135</v>
      </c>
      <c r="Q501" s="11" t="s">
        <v>1247</v>
      </c>
      <c r="R501" s="11" t="s">
        <v>142</v>
      </c>
      <c r="S501" s="11" t="s">
        <v>1244</v>
      </c>
    </row>
    <row r="502" spans="1:19" s="20" customFormat="1" ht="21.75" hidden="1" customHeight="1" x14ac:dyDescent="0.2">
      <c r="A502" s="16" t="s">
        <v>1240</v>
      </c>
      <c r="B502" s="14"/>
      <c r="C502" s="18">
        <v>46050</v>
      </c>
      <c r="D502" s="88">
        <v>120</v>
      </c>
      <c r="E502" s="19">
        <v>10</v>
      </c>
      <c r="F502" s="72" t="s">
        <v>33</v>
      </c>
      <c r="G502" s="72" t="s">
        <v>107</v>
      </c>
      <c r="H502" s="26" t="s">
        <v>1544</v>
      </c>
      <c r="I502" s="72" t="s">
        <v>1237</v>
      </c>
      <c r="J502" s="14">
        <v>10023656715</v>
      </c>
      <c r="K502" s="11"/>
      <c r="L502" s="11" t="s">
        <v>1246</v>
      </c>
      <c r="M502" s="16" t="s">
        <v>75</v>
      </c>
      <c r="N502" s="11"/>
      <c r="O502" s="11"/>
      <c r="P502" s="11" t="s">
        <v>135</v>
      </c>
      <c r="Q502" s="11" t="s">
        <v>1247</v>
      </c>
      <c r="R502" s="11" t="s">
        <v>142</v>
      </c>
      <c r="S502" s="11" t="s">
        <v>1244</v>
      </c>
    </row>
    <row r="503" spans="1:19" s="20" customFormat="1" ht="21.75" hidden="1" customHeight="1" x14ac:dyDescent="0.2">
      <c r="A503" s="16" t="s">
        <v>1240</v>
      </c>
      <c r="B503" s="14"/>
      <c r="C503" s="18">
        <v>46050</v>
      </c>
      <c r="D503" s="88">
        <v>96</v>
      </c>
      <c r="E503" s="19">
        <v>4</v>
      </c>
      <c r="F503" s="72" t="s">
        <v>911</v>
      </c>
      <c r="G503" s="72" t="s">
        <v>928</v>
      </c>
      <c r="H503" s="26" t="s">
        <v>1544</v>
      </c>
      <c r="I503" s="72" t="s">
        <v>1237</v>
      </c>
      <c r="J503" s="14">
        <v>10023656715</v>
      </c>
      <c r="K503" s="11"/>
      <c r="L503" s="11" t="s">
        <v>1246</v>
      </c>
      <c r="M503" s="16" t="s">
        <v>75</v>
      </c>
      <c r="N503" s="11"/>
      <c r="O503" s="11"/>
      <c r="P503" s="11" t="s">
        <v>135</v>
      </c>
      <c r="Q503" s="11" t="s">
        <v>1247</v>
      </c>
      <c r="R503" s="11" t="s">
        <v>142</v>
      </c>
      <c r="S503" s="11" t="s">
        <v>1244</v>
      </c>
    </row>
    <row r="504" spans="1:19" s="20" customFormat="1" ht="21.75" hidden="1" customHeight="1" x14ac:dyDescent="0.2">
      <c r="A504" s="16" t="s">
        <v>1240</v>
      </c>
      <c r="B504" s="14"/>
      <c r="C504" s="18">
        <v>46050</v>
      </c>
      <c r="D504" s="88">
        <v>48</v>
      </c>
      <c r="E504" s="19">
        <v>4</v>
      </c>
      <c r="F504" s="72" t="s">
        <v>913</v>
      </c>
      <c r="G504" s="72" t="s">
        <v>930</v>
      </c>
      <c r="H504" s="26" t="s">
        <v>1544</v>
      </c>
      <c r="I504" s="72" t="s">
        <v>1237</v>
      </c>
      <c r="J504" s="14">
        <v>10023656715</v>
      </c>
      <c r="K504" s="11"/>
      <c r="L504" s="11" t="s">
        <v>1246</v>
      </c>
      <c r="M504" s="16" t="s">
        <v>75</v>
      </c>
      <c r="N504" s="11"/>
      <c r="O504" s="11"/>
      <c r="P504" s="11" t="s">
        <v>135</v>
      </c>
      <c r="Q504" s="11" t="s">
        <v>1247</v>
      </c>
      <c r="R504" s="11" t="s">
        <v>142</v>
      </c>
      <c r="S504" s="11" t="s">
        <v>1244</v>
      </c>
    </row>
    <row r="505" spans="1:19" s="20" customFormat="1" ht="21.75" hidden="1" customHeight="1" x14ac:dyDescent="0.2">
      <c r="A505" s="16" t="s">
        <v>1240</v>
      </c>
      <c r="B505" s="14"/>
      <c r="C505" s="18">
        <v>46050</v>
      </c>
      <c r="D505" s="88">
        <v>120</v>
      </c>
      <c r="E505" s="19">
        <v>10</v>
      </c>
      <c r="F505" s="72" t="s">
        <v>766</v>
      </c>
      <c r="G505" s="72" t="s">
        <v>780</v>
      </c>
      <c r="H505" s="26" t="s">
        <v>1544</v>
      </c>
      <c r="I505" s="72" t="s">
        <v>1237</v>
      </c>
      <c r="J505" s="14">
        <v>10023656715</v>
      </c>
      <c r="K505" s="11"/>
      <c r="L505" s="11" t="s">
        <v>1246</v>
      </c>
      <c r="M505" s="16" t="s">
        <v>75</v>
      </c>
      <c r="N505" s="11"/>
      <c r="O505" s="11"/>
      <c r="P505" s="11" t="s">
        <v>135</v>
      </c>
      <c r="Q505" s="11" t="s">
        <v>1247</v>
      </c>
      <c r="R505" s="11" t="s">
        <v>142</v>
      </c>
      <c r="S505" s="11" t="s">
        <v>1244</v>
      </c>
    </row>
    <row r="506" spans="1:19" s="20" customFormat="1" ht="21.75" hidden="1" customHeight="1" x14ac:dyDescent="0.2">
      <c r="A506" s="16" t="s">
        <v>1240</v>
      </c>
      <c r="B506" s="14"/>
      <c r="C506" s="18">
        <v>46050</v>
      </c>
      <c r="D506" s="88">
        <v>48</v>
      </c>
      <c r="E506" s="19">
        <v>4</v>
      </c>
      <c r="F506" s="72" t="s">
        <v>1213</v>
      </c>
      <c r="G506" s="72" t="s">
        <v>1229</v>
      </c>
      <c r="H506" s="26" t="s">
        <v>1544</v>
      </c>
      <c r="I506" s="72" t="s">
        <v>1237</v>
      </c>
      <c r="J506" s="14">
        <v>10023656715</v>
      </c>
      <c r="K506" s="11"/>
      <c r="L506" s="11" t="s">
        <v>1246</v>
      </c>
      <c r="M506" s="16" t="s">
        <v>75</v>
      </c>
      <c r="N506" s="11"/>
      <c r="O506" s="11"/>
      <c r="P506" s="11" t="s">
        <v>135</v>
      </c>
      <c r="Q506" s="11" t="s">
        <v>1247</v>
      </c>
      <c r="R506" s="11" t="s">
        <v>142</v>
      </c>
      <c r="S506" s="11" t="s">
        <v>1244</v>
      </c>
    </row>
    <row r="507" spans="1:19" s="20" customFormat="1" ht="21.75" hidden="1" customHeight="1" x14ac:dyDescent="0.2">
      <c r="A507" s="16" t="s">
        <v>1241</v>
      </c>
      <c r="B507" s="14"/>
      <c r="C507" s="18">
        <v>46050</v>
      </c>
      <c r="D507" s="88">
        <v>60</v>
      </c>
      <c r="E507" s="19">
        <v>5</v>
      </c>
      <c r="F507" s="72" t="s">
        <v>567</v>
      </c>
      <c r="G507" s="72" t="s">
        <v>568</v>
      </c>
      <c r="H507" s="26" t="s">
        <v>1544</v>
      </c>
      <c r="I507" s="72" t="s">
        <v>1238</v>
      </c>
      <c r="J507" s="14">
        <v>20454989211</v>
      </c>
      <c r="K507" s="11"/>
      <c r="L507" s="11" t="s">
        <v>1248</v>
      </c>
      <c r="M507" s="16" t="s">
        <v>75</v>
      </c>
      <c r="N507" s="11"/>
      <c r="O507" s="11"/>
      <c r="P507" s="11" t="s">
        <v>135</v>
      </c>
      <c r="Q507" s="11" t="s">
        <v>1249</v>
      </c>
      <c r="R507" s="11" t="s">
        <v>142</v>
      </c>
      <c r="S507" s="11" t="s">
        <v>1245</v>
      </c>
    </row>
    <row r="508" spans="1:19" s="20" customFormat="1" ht="21.75" hidden="1" customHeight="1" x14ac:dyDescent="0.2">
      <c r="A508" s="16" t="s">
        <v>1241</v>
      </c>
      <c r="B508" s="14"/>
      <c r="C508" s="18">
        <v>46050</v>
      </c>
      <c r="D508" s="88">
        <v>60</v>
      </c>
      <c r="E508" s="19">
        <v>5</v>
      </c>
      <c r="F508" s="72" t="s">
        <v>33</v>
      </c>
      <c r="G508" s="72" t="s">
        <v>107</v>
      </c>
      <c r="H508" s="26" t="s">
        <v>1544</v>
      </c>
      <c r="I508" s="72" t="s">
        <v>1238</v>
      </c>
      <c r="J508" s="14">
        <v>20454989211</v>
      </c>
      <c r="K508" s="11"/>
      <c r="L508" s="11" t="s">
        <v>1248</v>
      </c>
      <c r="M508" s="16" t="s">
        <v>75</v>
      </c>
      <c r="N508" s="11"/>
      <c r="O508" s="11"/>
      <c r="P508" s="11" t="s">
        <v>135</v>
      </c>
      <c r="Q508" s="11" t="s">
        <v>1249</v>
      </c>
      <c r="R508" s="11" t="s">
        <v>142</v>
      </c>
      <c r="S508" s="11" t="s">
        <v>1245</v>
      </c>
    </row>
    <row r="509" spans="1:19" s="20" customFormat="1" ht="21.75" hidden="1" customHeight="1" x14ac:dyDescent="0.2">
      <c r="A509" s="16" t="s">
        <v>1241</v>
      </c>
      <c r="B509" s="14"/>
      <c r="C509" s="18">
        <v>46050</v>
      </c>
      <c r="D509" s="88">
        <v>96</v>
      </c>
      <c r="E509" s="19">
        <v>4</v>
      </c>
      <c r="F509" s="72" t="s">
        <v>48</v>
      </c>
      <c r="G509" s="72" t="s">
        <v>160</v>
      </c>
      <c r="H509" s="26" t="s">
        <v>1544</v>
      </c>
      <c r="I509" s="72" t="s">
        <v>1238</v>
      </c>
      <c r="J509" s="14">
        <v>20454989211</v>
      </c>
      <c r="K509" s="11"/>
      <c r="L509" s="11" t="s">
        <v>1248</v>
      </c>
      <c r="M509" s="16" t="s">
        <v>75</v>
      </c>
      <c r="N509" s="11"/>
      <c r="O509" s="11"/>
      <c r="P509" s="11" t="s">
        <v>135</v>
      </c>
      <c r="Q509" s="11" t="s">
        <v>1249</v>
      </c>
      <c r="R509" s="11" t="s">
        <v>142</v>
      </c>
      <c r="S509" s="11" t="s">
        <v>1245</v>
      </c>
    </row>
    <row r="510" spans="1:19" s="20" customFormat="1" ht="21.75" hidden="1" customHeight="1" x14ac:dyDescent="0.2">
      <c r="A510" s="16" t="s">
        <v>1241</v>
      </c>
      <c r="B510" s="14"/>
      <c r="C510" s="18">
        <v>46050</v>
      </c>
      <c r="D510" s="88">
        <v>12</v>
      </c>
      <c r="E510" s="19">
        <v>3</v>
      </c>
      <c r="F510" s="72" t="s">
        <v>1126</v>
      </c>
      <c r="G510" s="72" t="s">
        <v>1138</v>
      </c>
      <c r="H510" s="26" t="s">
        <v>1544</v>
      </c>
      <c r="I510" s="72" t="s">
        <v>1238</v>
      </c>
      <c r="J510" s="14">
        <v>20454989211</v>
      </c>
      <c r="K510" s="11"/>
      <c r="L510" s="11" t="s">
        <v>1248</v>
      </c>
      <c r="M510" s="16" t="s">
        <v>75</v>
      </c>
      <c r="N510" s="11"/>
      <c r="O510" s="11"/>
      <c r="P510" s="11" t="s">
        <v>135</v>
      </c>
      <c r="Q510" s="11" t="s">
        <v>1249</v>
      </c>
      <c r="R510" s="11" t="s">
        <v>142</v>
      </c>
      <c r="S510" s="11" t="s">
        <v>1245</v>
      </c>
    </row>
    <row r="511" spans="1:19" s="20" customFormat="1" ht="21.75" hidden="1" customHeight="1" x14ac:dyDescent="0.2">
      <c r="A511" s="16" t="s">
        <v>1241</v>
      </c>
      <c r="B511" s="14"/>
      <c r="C511" s="18">
        <v>46050</v>
      </c>
      <c r="D511" s="88">
        <v>12</v>
      </c>
      <c r="E511" s="19">
        <v>3</v>
      </c>
      <c r="F511" s="72" t="s">
        <v>1214</v>
      </c>
      <c r="G511" s="72" t="s">
        <v>1230</v>
      </c>
      <c r="H511" s="26" t="s">
        <v>1544</v>
      </c>
      <c r="I511" s="72" t="s">
        <v>1238</v>
      </c>
      <c r="J511" s="14">
        <v>20454989211</v>
      </c>
      <c r="K511" s="11"/>
      <c r="L511" s="11" t="s">
        <v>1248</v>
      </c>
      <c r="M511" s="16" t="s">
        <v>75</v>
      </c>
      <c r="N511" s="11"/>
      <c r="O511" s="11"/>
      <c r="P511" s="11" t="s">
        <v>135</v>
      </c>
      <c r="Q511" s="11" t="s">
        <v>1249</v>
      </c>
      <c r="R511" s="11" t="s">
        <v>142</v>
      </c>
      <c r="S511" s="11" t="s">
        <v>1245</v>
      </c>
    </row>
    <row r="512" spans="1:19" s="20" customFormat="1" ht="21.75" hidden="1" customHeight="1" x14ac:dyDescent="0.2">
      <c r="A512" s="16" t="s">
        <v>1241</v>
      </c>
      <c r="B512" s="14"/>
      <c r="C512" s="18">
        <v>46050</v>
      </c>
      <c r="D512" s="88">
        <v>6</v>
      </c>
      <c r="E512" s="19">
        <v>1</v>
      </c>
      <c r="F512" s="72" t="s">
        <v>1215</v>
      </c>
      <c r="G512" s="72" t="s">
        <v>1231</v>
      </c>
      <c r="H512" s="26" t="s">
        <v>1544</v>
      </c>
      <c r="I512" s="72" t="s">
        <v>1238</v>
      </c>
      <c r="J512" s="14">
        <v>20454989211</v>
      </c>
      <c r="K512" s="11"/>
      <c r="L512" s="11" t="s">
        <v>1248</v>
      </c>
      <c r="M512" s="16" t="s">
        <v>75</v>
      </c>
      <c r="N512" s="11"/>
      <c r="O512" s="11"/>
      <c r="P512" s="11" t="s">
        <v>135</v>
      </c>
      <c r="Q512" s="11" t="s">
        <v>1249</v>
      </c>
      <c r="R512" s="11" t="s">
        <v>142</v>
      </c>
      <c r="S512" s="11" t="s">
        <v>1245</v>
      </c>
    </row>
    <row r="513" spans="1:19" s="20" customFormat="1" ht="21.75" hidden="1" customHeight="1" x14ac:dyDescent="0.2">
      <c r="A513" s="16" t="s">
        <v>1241</v>
      </c>
      <c r="B513" s="14"/>
      <c r="C513" s="18">
        <v>46050</v>
      </c>
      <c r="D513" s="88">
        <v>6</v>
      </c>
      <c r="E513" s="19">
        <v>1</v>
      </c>
      <c r="F513" s="72" t="s">
        <v>318</v>
      </c>
      <c r="G513" s="72" t="s">
        <v>331</v>
      </c>
      <c r="H513" s="26" t="s">
        <v>1544</v>
      </c>
      <c r="I513" s="72" t="s">
        <v>1238</v>
      </c>
      <c r="J513" s="14">
        <v>20454989211</v>
      </c>
      <c r="K513" s="11"/>
      <c r="L513" s="11" t="s">
        <v>1248</v>
      </c>
      <c r="M513" s="16" t="s">
        <v>75</v>
      </c>
      <c r="N513" s="11"/>
      <c r="O513" s="11"/>
      <c r="P513" s="11" t="s">
        <v>135</v>
      </c>
      <c r="Q513" s="11" t="s">
        <v>1249</v>
      </c>
      <c r="R513" s="11" t="s">
        <v>142</v>
      </c>
      <c r="S513" s="11" t="s">
        <v>1245</v>
      </c>
    </row>
    <row r="514" spans="1:19" s="20" customFormat="1" ht="21.75" hidden="1" customHeight="1" x14ac:dyDescent="0.2">
      <c r="A514" s="16" t="s">
        <v>1241</v>
      </c>
      <c r="B514" s="14"/>
      <c r="C514" s="18">
        <v>46050</v>
      </c>
      <c r="D514" s="88">
        <v>12</v>
      </c>
      <c r="E514" s="19">
        <v>1</v>
      </c>
      <c r="F514" s="72" t="s">
        <v>27</v>
      </c>
      <c r="G514" s="72" t="s">
        <v>103</v>
      </c>
      <c r="H514" s="26" t="s">
        <v>1544</v>
      </c>
      <c r="I514" s="72" t="s">
        <v>1238</v>
      </c>
      <c r="J514" s="14">
        <v>20454989211</v>
      </c>
      <c r="K514" s="11"/>
      <c r="L514" s="11" t="s">
        <v>1248</v>
      </c>
      <c r="M514" s="16" t="s">
        <v>75</v>
      </c>
      <c r="N514" s="11"/>
      <c r="O514" s="11"/>
      <c r="P514" s="11" t="s">
        <v>135</v>
      </c>
      <c r="Q514" s="11" t="s">
        <v>1249</v>
      </c>
      <c r="R514" s="11" t="s">
        <v>142</v>
      </c>
      <c r="S514" s="11" t="s">
        <v>1245</v>
      </c>
    </row>
    <row r="515" spans="1:19" s="20" customFormat="1" ht="21.75" hidden="1" customHeight="1" x14ac:dyDescent="0.2">
      <c r="A515" s="16" t="s">
        <v>1241</v>
      </c>
      <c r="B515" s="14"/>
      <c r="C515" s="18">
        <v>46050</v>
      </c>
      <c r="D515" s="88">
        <v>10</v>
      </c>
      <c r="E515" s="19">
        <v>1</v>
      </c>
      <c r="F515" s="72" t="s">
        <v>1216</v>
      </c>
      <c r="G515" s="72" t="s">
        <v>1232</v>
      </c>
      <c r="H515" s="26" t="s">
        <v>1544</v>
      </c>
      <c r="I515" s="72" t="s">
        <v>1238</v>
      </c>
      <c r="J515" s="14">
        <v>20454989211</v>
      </c>
      <c r="K515" s="11"/>
      <c r="L515" s="11" t="s">
        <v>1248</v>
      </c>
      <c r="M515" s="16" t="s">
        <v>75</v>
      </c>
      <c r="N515" s="11"/>
      <c r="O515" s="11"/>
      <c r="P515" s="11" t="s">
        <v>135</v>
      </c>
      <c r="Q515" s="11" t="s">
        <v>1249</v>
      </c>
      <c r="R515" s="11" t="s">
        <v>142</v>
      </c>
      <c r="S515" s="11" t="s">
        <v>1245</v>
      </c>
    </row>
    <row r="516" spans="1:19" s="20" customFormat="1" ht="21.75" hidden="1" customHeight="1" x14ac:dyDescent="0.2">
      <c r="A516" s="16" t="s">
        <v>1241</v>
      </c>
      <c r="B516" s="14"/>
      <c r="C516" s="18">
        <v>46050</v>
      </c>
      <c r="D516" s="88">
        <v>12</v>
      </c>
      <c r="E516" s="19">
        <v>1</v>
      </c>
      <c r="F516" s="72" t="s">
        <v>34</v>
      </c>
      <c r="G516" s="72" t="s">
        <v>93</v>
      </c>
      <c r="H516" s="26" t="s">
        <v>1544</v>
      </c>
      <c r="I516" s="72" t="s">
        <v>1238</v>
      </c>
      <c r="J516" s="14">
        <v>20454989211</v>
      </c>
      <c r="K516" s="11"/>
      <c r="L516" s="11" t="s">
        <v>1248</v>
      </c>
      <c r="M516" s="16" t="s">
        <v>75</v>
      </c>
      <c r="N516" s="11"/>
      <c r="O516" s="11"/>
      <c r="P516" s="11" t="s">
        <v>135</v>
      </c>
      <c r="Q516" s="11" t="s">
        <v>1249</v>
      </c>
      <c r="R516" s="11" t="s">
        <v>142</v>
      </c>
      <c r="S516" s="11" t="s">
        <v>1245</v>
      </c>
    </row>
    <row r="517" spans="1:19" s="20" customFormat="1" ht="21.75" hidden="1" customHeight="1" x14ac:dyDescent="0.2">
      <c r="A517" s="16" t="s">
        <v>1241</v>
      </c>
      <c r="B517" s="14"/>
      <c r="C517" s="18">
        <v>46050</v>
      </c>
      <c r="D517" s="88">
        <v>48</v>
      </c>
      <c r="E517" s="19">
        <v>2</v>
      </c>
      <c r="F517" s="72" t="s">
        <v>1211</v>
      </c>
      <c r="G517" s="72" t="s">
        <v>1227</v>
      </c>
      <c r="H517" s="26" t="s">
        <v>1544</v>
      </c>
      <c r="I517" s="72" t="s">
        <v>1238</v>
      </c>
      <c r="J517" s="14">
        <v>20454989211</v>
      </c>
      <c r="K517" s="11"/>
      <c r="L517" s="11" t="s">
        <v>1248</v>
      </c>
      <c r="M517" s="16" t="s">
        <v>75</v>
      </c>
      <c r="N517" s="11"/>
      <c r="O517" s="11"/>
      <c r="P517" s="11" t="s">
        <v>135</v>
      </c>
      <c r="Q517" s="11" t="s">
        <v>1249</v>
      </c>
      <c r="R517" s="11" t="s">
        <v>142</v>
      </c>
      <c r="S517" s="11" t="s">
        <v>1245</v>
      </c>
    </row>
    <row r="518" spans="1:19" s="20" customFormat="1" ht="21.75" hidden="1" customHeight="1" x14ac:dyDescent="0.2">
      <c r="A518" s="16" t="s">
        <v>1241</v>
      </c>
      <c r="B518" s="14"/>
      <c r="C518" s="18">
        <v>46050</v>
      </c>
      <c r="D518" s="88">
        <v>24</v>
      </c>
      <c r="E518" s="19">
        <v>2</v>
      </c>
      <c r="F518" s="72" t="s">
        <v>1217</v>
      </c>
      <c r="G518" s="72" t="s">
        <v>1233</v>
      </c>
      <c r="H518" s="26" t="s">
        <v>1544</v>
      </c>
      <c r="I518" s="72" t="s">
        <v>1238</v>
      </c>
      <c r="J518" s="14">
        <v>20454989211</v>
      </c>
      <c r="K518" s="11"/>
      <c r="L518" s="11" t="s">
        <v>1248</v>
      </c>
      <c r="M518" s="16" t="s">
        <v>75</v>
      </c>
      <c r="N518" s="11"/>
      <c r="O518" s="11"/>
      <c r="P518" s="11" t="s">
        <v>135</v>
      </c>
      <c r="Q518" s="11" t="s">
        <v>1249</v>
      </c>
      <c r="R518" s="11" t="s">
        <v>142</v>
      </c>
      <c r="S518" s="11" t="s">
        <v>1245</v>
      </c>
    </row>
    <row r="519" spans="1:19" s="20" customFormat="1" ht="21.75" hidden="1" customHeight="1" x14ac:dyDescent="0.2">
      <c r="A519" s="16" t="s">
        <v>1241</v>
      </c>
      <c r="B519" s="14"/>
      <c r="C519" s="18">
        <v>46050</v>
      </c>
      <c r="D519" s="88">
        <v>12</v>
      </c>
      <c r="E519" s="19">
        <v>1</v>
      </c>
      <c r="F519" s="72" t="s">
        <v>1218</v>
      </c>
      <c r="G519" s="72" t="s">
        <v>1234</v>
      </c>
      <c r="H519" s="26" t="s">
        <v>1544</v>
      </c>
      <c r="I519" s="72" t="s">
        <v>1238</v>
      </c>
      <c r="J519" s="14">
        <v>20454989211</v>
      </c>
      <c r="K519" s="11"/>
      <c r="L519" s="11" t="s">
        <v>1248</v>
      </c>
      <c r="M519" s="16" t="s">
        <v>75</v>
      </c>
      <c r="N519" s="11"/>
      <c r="O519" s="11"/>
      <c r="P519" s="11" t="s">
        <v>135</v>
      </c>
      <c r="Q519" s="11" t="s">
        <v>1249</v>
      </c>
      <c r="R519" s="11" t="s">
        <v>142</v>
      </c>
      <c r="S519" s="11" t="s">
        <v>1245</v>
      </c>
    </row>
    <row r="520" spans="1:19" s="20" customFormat="1" ht="21.75" hidden="1" customHeight="1" x14ac:dyDescent="0.2">
      <c r="A520" s="16" t="s">
        <v>1241</v>
      </c>
      <c r="B520" s="14"/>
      <c r="C520" s="18">
        <v>46050</v>
      </c>
      <c r="D520" s="88">
        <v>4</v>
      </c>
      <c r="E520" s="19">
        <v>2</v>
      </c>
      <c r="F520" s="72" t="s">
        <v>14</v>
      </c>
      <c r="G520" s="72" t="s">
        <v>114</v>
      </c>
      <c r="H520" s="26" t="s">
        <v>1544</v>
      </c>
      <c r="I520" s="72" t="s">
        <v>1238</v>
      </c>
      <c r="J520" s="14">
        <v>20454989211</v>
      </c>
      <c r="K520" s="11"/>
      <c r="L520" s="11" t="s">
        <v>1248</v>
      </c>
      <c r="M520" s="16" t="s">
        <v>75</v>
      </c>
      <c r="N520" s="11"/>
      <c r="O520" s="11"/>
      <c r="P520" s="11" t="s">
        <v>135</v>
      </c>
      <c r="Q520" s="11" t="s">
        <v>1249</v>
      </c>
      <c r="R520" s="11" t="s">
        <v>142</v>
      </c>
      <c r="S520" s="11" t="s">
        <v>1245</v>
      </c>
    </row>
    <row r="521" spans="1:19" s="20" customFormat="1" ht="21.75" hidden="1" customHeight="1" x14ac:dyDescent="0.2">
      <c r="A521" s="16" t="s">
        <v>1241</v>
      </c>
      <c r="B521" s="14"/>
      <c r="C521" s="18">
        <v>46050</v>
      </c>
      <c r="D521" s="88">
        <v>60</v>
      </c>
      <c r="E521" s="19">
        <v>5</v>
      </c>
      <c r="F521" s="72" t="s">
        <v>46</v>
      </c>
      <c r="G521" s="72" t="s">
        <v>104</v>
      </c>
      <c r="H521" s="26" t="s">
        <v>1544</v>
      </c>
      <c r="I521" s="72" t="s">
        <v>1238</v>
      </c>
      <c r="J521" s="14">
        <v>20454989211</v>
      </c>
      <c r="K521" s="11"/>
      <c r="L521" s="11" t="s">
        <v>1248</v>
      </c>
      <c r="M521" s="16" t="s">
        <v>75</v>
      </c>
      <c r="N521" s="11"/>
      <c r="O521" s="11"/>
      <c r="P521" s="11" t="s">
        <v>135</v>
      </c>
      <c r="Q521" s="11" t="s">
        <v>1249</v>
      </c>
      <c r="R521" s="11" t="s">
        <v>142</v>
      </c>
      <c r="S521" s="11" t="s">
        <v>1245</v>
      </c>
    </row>
    <row r="522" spans="1:19" s="20" customFormat="1" ht="21.75" hidden="1" customHeight="1" x14ac:dyDescent="0.2">
      <c r="A522" s="16" t="s">
        <v>1241</v>
      </c>
      <c r="B522" s="14"/>
      <c r="C522" s="18">
        <v>46050</v>
      </c>
      <c r="D522" s="88">
        <v>36</v>
      </c>
      <c r="E522" s="19">
        <v>3</v>
      </c>
      <c r="F522" s="72" t="s">
        <v>25</v>
      </c>
      <c r="G522" s="72" t="s">
        <v>136</v>
      </c>
      <c r="H522" s="26" t="s">
        <v>1544</v>
      </c>
      <c r="I522" s="72" t="s">
        <v>1238</v>
      </c>
      <c r="J522" s="14">
        <v>20454989211</v>
      </c>
      <c r="K522" s="11"/>
      <c r="L522" s="11" t="s">
        <v>1248</v>
      </c>
      <c r="M522" s="16" t="s">
        <v>75</v>
      </c>
      <c r="N522" s="11"/>
      <c r="O522" s="11"/>
      <c r="P522" s="11" t="s">
        <v>135</v>
      </c>
      <c r="Q522" s="11" t="s">
        <v>1249</v>
      </c>
      <c r="R522" s="11" t="s">
        <v>142</v>
      </c>
      <c r="S522" s="11" t="s">
        <v>1245</v>
      </c>
    </row>
    <row r="523" spans="1:19" s="20" customFormat="1" ht="21.75" hidden="1" customHeight="1" x14ac:dyDescent="0.2">
      <c r="A523" s="16" t="s">
        <v>1241</v>
      </c>
      <c r="B523" s="14"/>
      <c r="C523" s="18">
        <v>46050</v>
      </c>
      <c r="D523" s="88">
        <v>6</v>
      </c>
      <c r="E523" s="19">
        <v>1</v>
      </c>
      <c r="F523" s="72" t="s">
        <v>1219</v>
      </c>
      <c r="G523" s="72" t="s">
        <v>1235</v>
      </c>
      <c r="H523" s="26" t="s">
        <v>1544</v>
      </c>
      <c r="I523" s="72" t="s">
        <v>1238</v>
      </c>
      <c r="J523" s="14">
        <v>20454989211</v>
      </c>
      <c r="K523" s="11"/>
      <c r="L523" s="11" t="s">
        <v>1248</v>
      </c>
      <c r="M523" s="16" t="s">
        <v>75</v>
      </c>
      <c r="N523" s="11"/>
      <c r="O523" s="11"/>
      <c r="P523" s="11" t="s">
        <v>135</v>
      </c>
      <c r="Q523" s="11" t="s">
        <v>1249</v>
      </c>
      <c r="R523" s="11" t="s">
        <v>142</v>
      </c>
      <c r="S523" s="11" t="s">
        <v>1245</v>
      </c>
    </row>
    <row r="524" spans="1:19" s="20" customFormat="1" ht="21.75" hidden="1" customHeight="1" x14ac:dyDescent="0.2">
      <c r="A524" s="16" t="s">
        <v>1241</v>
      </c>
      <c r="B524" s="14"/>
      <c r="C524" s="18">
        <v>46050</v>
      </c>
      <c r="D524" s="88">
        <v>6</v>
      </c>
      <c r="E524" s="19">
        <v>1</v>
      </c>
      <c r="F524" s="72" t="s">
        <v>71</v>
      </c>
      <c r="G524" s="72" t="s">
        <v>176</v>
      </c>
      <c r="H524" s="26" t="s">
        <v>1544</v>
      </c>
      <c r="I524" s="72" t="s">
        <v>1238</v>
      </c>
      <c r="J524" s="14">
        <v>20454989211</v>
      </c>
      <c r="K524" s="11"/>
      <c r="L524" s="11" t="s">
        <v>1248</v>
      </c>
      <c r="M524" s="16" t="s">
        <v>75</v>
      </c>
      <c r="N524" s="11"/>
      <c r="O524" s="11"/>
      <c r="P524" s="11" t="s">
        <v>135</v>
      </c>
      <c r="Q524" s="11" t="s">
        <v>1249</v>
      </c>
      <c r="R524" s="11" t="s">
        <v>142</v>
      </c>
      <c r="S524" s="11" t="s">
        <v>1245</v>
      </c>
    </row>
    <row r="525" spans="1:19" s="20" customFormat="1" ht="21.75" hidden="1" customHeight="1" x14ac:dyDescent="0.2">
      <c r="A525" s="16" t="s">
        <v>1241</v>
      </c>
      <c r="B525" s="14"/>
      <c r="C525" s="18">
        <v>46050</v>
      </c>
      <c r="D525" s="88">
        <v>12</v>
      </c>
      <c r="E525" s="19">
        <v>1</v>
      </c>
      <c r="F525" s="72" t="s">
        <v>1220</v>
      </c>
      <c r="G525" s="72" t="s">
        <v>1236</v>
      </c>
      <c r="H525" s="26" t="s">
        <v>1544</v>
      </c>
      <c r="I525" s="72" t="s">
        <v>1238</v>
      </c>
      <c r="J525" s="14">
        <v>20454989211</v>
      </c>
      <c r="K525" s="11"/>
      <c r="L525" s="11" t="s">
        <v>1248</v>
      </c>
      <c r="M525" s="16" t="s">
        <v>75</v>
      </c>
      <c r="N525" s="11"/>
      <c r="O525" s="11"/>
      <c r="P525" s="11" t="s">
        <v>135</v>
      </c>
      <c r="Q525" s="11" t="s">
        <v>1249</v>
      </c>
      <c r="R525" s="11" t="s">
        <v>142</v>
      </c>
      <c r="S525" s="11" t="s">
        <v>1245</v>
      </c>
    </row>
    <row r="526" spans="1:19" s="20" customFormat="1" ht="21.75" hidden="1" customHeight="1" x14ac:dyDescent="0.2">
      <c r="A526" s="16" t="s">
        <v>1241</v>
      </c>
      <c r="B526" s="14"/>
      <c r="C526" s="18">
        <v>46050</v>
      </c>
      <c r="D526" s="88">
        <v>2</v>
      </c>
      <c r="E526" s="19">
        <v>2</v>
      </c>
      <c r="F526" s="72" t="s">
        <v>443</v>
      </c>
      <c r="G526" s="72" t="s">
        <v>450</v>
      </c>
      <c r="H526" s="26" t="s">
        <v>1544</v>
      </c>
      <c r="I526" s="72" t="s">
        <v>1238</v>
      </c>
      <c r="J526" s="14">
        <v>20454989211</v>
      </c>
      <c r="K526" s="11"/>
      <c r="L526" s="11" t="s">
        <v>1248</v>
      </c>
      <c r="M526" s="16" t="s">
        <v>75</v>
      </c>
      <c r="N526" s="11"/>
      <c r="O526" s="11"/>
      <c r="P526" s="11" t="s">
        <v>135</v>
      </c>
      <c r="Q526" s="11" t="s">
        <v>1249</v>
      </c>
      <c r="R526" s="11" t="s">
        <v>142</v>
      </c>
      <c r="S526" s="11" t="s">
        <v>1245</v>
      </c>
    </row>
    <row r="527" spans="1:19" s="20" customFormat="1" ht="21.75" hidden="1" customHeight="1" x14ac:dyDescent="0.2">
      <c r="A527" s="16" t="s">
        <v>1242</v>
      </c>
      <c r="B527" s="14" t="s">
        <v>1252</v>
      </c>
      <c r="C527" s="18">
        <v>46050</v>
      </c>
      <c r="D527" s="88">
        <v>40</v>
      </c>
      <c r="E527" s="19">
        <v>4</v>
      </c>
      <c r="F527" s="72" t="s">
        <v>1073</v>
      </c>
      <c r="G527" s="72" t="s">
        <v>1077</v>
      </c>
      <c r="H527" s="11" t="s">
        <v>99</v>
      </c>
      <c r="I527" s="72" t="s">
        <v>66</v>
      </c>
      <c r="J527" s="14">
        <v>20334539149</v>
      </c>
      <c r="K527" s="11" t="s">
        <v>1085</v>
      </c>
      <c r="L527" s="11" t="s">
        <v>1253</v>
      </c>
      <c r="M527" s="11" t="s">
        <v>299</v>
      </c>
      <c r="N527" s="11"/>
      <c r="O527" s="11"/>
      <c r="P527" s="11" t="s">
        <v>1255</v>
      </c>
      <c r="Q527" s="11" t="s">
        <v>725</v>
      </c>
      <c r="R527" s="11" t="s">
        <v>395</v>
      </c>
      <c r="S527" s="11" t="s">
        <v>1251</v>
      </c>
    </row>
    <row r="528" spans="1:19" s="20" customFormat="1" ht="21.75" hidden="1" customHeight="1" x14ac:dyDescent="0.2">
      <c r="A528" s="16" t="s">
        <v>1243</v>
      </c>
      <c r="B528" s="14"/>
      <c r="C528" s="18">
        <v>46050</v>
      </c>
      <c r="D528" s="88">
        <v>60</v>
      </c>
      <c r="E528" s="19">
        <v>5</v>
      </c>
      <c r="F528" s="72" t="s">
        <v>33</v>
      </c>
      <c r="G528" s="72" t="s">
        <v>107</v>
      </c>
      <c r="H528" s="16" t="s">
        <v>1650</v>
      </c>
      <c r="I528" s="72" t="s">
        <v>1239</v>
      </c>
      <c r="J528" s="14">
        <v>10106005376</v>
      </c>
      <c r="K528" s="11" t="s">
        <v>1258</v>
      </c>
      <c r="L528" s="11" t="s">
        <v>1254</v>
      </c>
      <c r="M528" s="11" t="s">
        <v>347</v>
      </c>
      <c r="N528" s="11"/>
      <c r="O528" s="11"/>
      <c r="P528" s="11" t="s">
        <v>1256</v>
      </c>
      <c r="Q528" s="11" t="s">
        <v>1257</v>
      </c>
      <c r="R528" s="11" t="s">
        <v>396</v>
      </c>
      <c r="S528" s="11" t="s">
        <v>1250</v>
      </c>
    </row>
    <row r="529" spans="1:19" s="20" customFormat="1" ht="21.75" hidden="1" customHeight="1" x14ac:dyDescent="0.2">
      <c r="A529" s="16" t="s">
        <v>1243</v>
      </c>
      <c r="B529" s="14"/>
      <c r="C529" s="18">
        <v>46050</v>
      </c>
      <c r="D529" s="88">
        <v>60</v>
      </c>
      <c r="E529" s="19">
        <v>5</v>
      </c>
      <c r="F529" s="72" t="s">
        <v>27</v>
      </c>
      <c r="G529" s="72" t="s">
        <v>103</v>
      </c>
      <c r="H529" s="16" t="s">
        <v>1650</v>
      </c>
      <c r="I529" s="72" t="s">
        <v>1239</v>
      </c>
      <c r="J529" s="14">
        <v>10106005376</v>
      </c>
      <c r="K529" s="11" t="s">
        <v>1258</v>
      </c>
      <c r="L529" s="11" t="s">
        <v>1254</v>
      </c>
      <c r="M529" s="11" t="s">
        <v>347</v>
      </c>
      <c r="N529" s="11"/>
      <c r="O529" s="11"/>
      <c r="P529" s="11" t="s">
        <v>1256</v>
      </c>
      <c r="Q529" s="11" t="s">
        <v>1257</v>
      </c>
      <c r="R529" s="11" t="s">
        <v>396</v>
      </c>
      <c r="S529" s="11" t="s">
        <v>1250</v>
      </c>
    </row>
    <row r="530" spans="1:19" s="20" customFormat="1" ht="21.75" hidden="1" customHeight="1" x14ac:dyDescent="0.2">
      <c r="A530" s="84" t="s">
        <v>1259</v>
      </c>
      <c r="B530" s="84" t="s">
        <v>73</v>
      </c>
      <c r="C530" s="52">
        <v>46113</v>
      </c>
      <c r="D530" s="55">
        <v>36</v>
      </c>
      <c r="E530" s="213">
        <v>3</v>
      </c>
      <c r="F530" s="84" t="s">
        <v>155</v>
      </c>
      <c r="G530" s="84" t="s">
        <v>125</v>
      </c>
      <c r="H530" s="16" t="s">
        <v>165</v>
      </c>
      <c r="I530" s="16" t="s">
        <v>1269</v>
      </c>
      <c r="J530" s="17">
        <v>20612300942</v>
      </c>
      <c r="K530" s="17">
        <v>948590221</v>
      </c>
      <c r="L530" s="46" t="s">
        <v>1281</v>
      </c>
      <c r="M530" s="16" t="s">
        <v>75</v>
      </c>
      <c r="N530" s="11"/>
      <c r="O530" s="16"/>
      <c r="P530" s="16" t="s">
        <v>1279</v>
      </c>
      <c r="Q530" s="16" t="s">
        <v>1286</v>
      </c>
      <c r="R530" s="16" t="s">
        <v>1278</v>
      </c>
      <c r="S530" s="11"/>
    </row>
    <row r="531" spans="1:19" s="20" customFormat="1" ht="21.75" hidden="1" customHeight="1" x14ac:dyDescent="0.2">
      <c r="A531" s="84" t="s">
        <v>1259</v>
      </c>
      <c r="B531" s="84" t="s">
        <v>73</v>
      </c>
      <c r="C531" s="52">
        <v>46113</v>
      </c>
      <c r="D531" s="55">
        <v>24</v>
      </c>
      <c r="E531" s="214"/>
      <c r="F531" s="84" t="s">
        <v>172</v>
      </c>
      <c r="G531" s="84" t="s">
        <v>175</v>
      </c>
      <c r="H531" s="16" t="s">
        <v>165</v>
      </c>
      <c r="I531" s="16" t="s">
        <v>1269</v>
      </c>
      <c r="J531" s="17">
        <v>20612300942</v>
      </c>
      <c r="K531" s="17">
        <v>948590221</v>
      </c>
      <c r="L531" s="46" t="s">
        <v>1281</v>
      </c>
      <c r="M531" s="16" t="s">
        <v>75</v>
      </c>
      <c r="N531" s="11"/>
      <c r="O531" s="16"/>
      <c r="P531" s="16" t="s">
        <v>1279</v>
      </c>
      <c r="Q531" s="16" t="s">
        <v>1286</v>
      </c>
      <c r="R531" s="16" t="s">
        <v>1278</v>
      </c>
      <c r="S531" s="11"/>
    </row>
    <row r="532" spans="1:19" s="20" customFormat="1" ht="21.75" hidden="1" customHeight="1" x14ac:dyDescent="0.2">
      <c r="A532" s="84" t="s">
        <v>1259</v>
      </c>
      <c r="B532" s="84" t="s">
        <v>73</v>
      </c>
      <c r="C532" s="52">
        <v>46113</v>
      </c>
      <c r="D532" s="55">
        <v>48</v>
      </c>
      <c r="E532" s="215"/>
      <c r="F532" s="84" t="s">
        <v>151</v>
      </c>
      <c r="G532" s="84" t="s">
        <v>141</v>
      </c>
      <c r="H532" s="16" t="s">
        <v>165</v>
      </c>
      <c r="I532" s="16" t="s">
        <v>1269</v>
      </c>
      <c r="J532" s="17">
        <v>20612300942</v>
      </c>
      <c r="K532" s="17">
        <v>948590221</v>
      </c>
      <c r="L532" s="46" t="s">
        <v>1281</v>
      </c>
      <c r="M532" s="16" t="s">
        <v>75</v>
      </c>
      <c r="N532" s="11"/>
      <c r="O532" s="16"/>
      <c r="P532" s="16" t="s">
        <v>1279</v>
      </c>
      <c r="Q532" s="16" t="s">
        <v>1286</v>
      </c>
      <c r="R532" s="16" t="s">
        <v>1278</v>
      </c>
      <c r="S532" s="11"/>
    </row>
    <row r="533" spans="1:19" s="20" customFormat="1" ht="21.75" hidden="1" customHeight="1" x14ac:dyDescent="0.2">
      <c r="A533" s="84" t="s">
        <v>1260</v>
      </c>
      <c r="B533" s="84" t="s">
        <v>73</v>
      </c>
      <c r="C533" s="52">
        <v>46113</v>
      </c>
      <c r="D533" s="55">
        <v>8</v>
      </c>
      <c r="E533" s="213">
        <v>1</v>
      </c>
      <c r="F533" s="84" t="s">
        <v>899</v>
      </c>
      <c r="G533" s="84" t="s">
        <v>916</v>
      </c>
      <c r="H533" s="26" t="s">
        <v>1544</v>
      </c>
      <c r="I533" s="16" t="s">
        <v>1269</v>
      </c>
      <c r="J533" s="17">
        <v>20612300942</v>
      </c>
      <c r="K533" s="17">
        <v>948590221</v>
      </c>
      <c r="L533" s="46" t="s">
        <v>1281</v>
      </c>
      <c r="M533" s="16" t="s">
        <v>75</v>
      </c>
      <c r="N533" s="11"/>
      <c r="O533" s="16" t="s">
        <v>271</v>
      </c>
      <c r="P533" s="16" t="s">
        <v>1279</v>
      </c>
      <c r="Q533" s="16" t="s">
        <v>1286</v>
      </c>
      <c r="R533" s="16" t="s">
        <v>1278</v>
      </c>
      <c r="S533" s="11"/>
    </row>
    <row r="534" spans="1:19" s="20" customFormat="1" ht="21.75" hidden="1" customHeight="1" x14ac:dyDescent="0.2">
      <c r="A534" s="84" t="s">
        <v>1260</v>
      </c>
      <c r="B534" s="84" t="s">
        <v>73</v>
      </c>
      <c r="C534" s="52">
        <v>46113</v>
      </c>
      <c r="D534" s="55">
        <v>8</v>
      </c>
      <c r="E534" s="214"/>
      <c r="F534" s="84" t="s">
        <v>900</v>
      </c>
      <c r="G534" s="84" t="s">
        <v>917</v>
      </c>
      <c r="H534" s="26" t="s">
        <v>1544</v>
      </c>
      <c r="I534" s="16" t="s">
        <v>1269</v>
      </c>
      <c r="J534" s="17">
        <v>20612300942</v>
      </c>
      <c r="K534" s="17">
        <v>948590221</v>
      </c>
      <c r="L534" s="46" t="s">
        <v>1281</v>
      </c>
      <c r="M534" s="16" t="s">
        <v>75</v>
      </c>
      <c r="N534" s="11"/>
      <c r="O534" s="16" t="s">
        <v>271</v>
      </c>
      <c r="P534" s="16" t="s">
        <v>1279</v>
      </c>
      <c r="Q534" s="16" t="s">
        <v>1286</v>
      </c>
      <c r="R534" s="16" t="s">
        <v>1278</v>
      </c>
      <c r="S534" s="11"/>
    </row>
    <row r="535" spans="1:19" s="20" customFormat="1" ht="21.75" hidden="1" customHeight="1" x14ac:dyDescent="0.2">
      <c r="A535" s="84" t="s">
        <v>1260</v>
      </c>
      <c r="B535" s="84" t="s">
        <v>73</v>
      </c>
      <c r="C535" s="52">
        <v>46113</v>
      </c>
      <c r="D535" s="55">
        <v>8</v>
      </c>
      <c r="E535" s="214"/>
      <c r="F535" s="84" t="s">
        <v>898</v>
      </c>
      <c r="G535" s="84" t="s">
        <v>915</v>
      </c>
      <c r="H535" s="26" t="s">
        <v>1544</v>
      </c>
      <c r="I535" s="16" t="s">
        <v>1269</v>
      </c>
      <c r="J535" s="17">
        <v>20612300942</v>
      </c>
      <c r="K535" s="17">
        <v>948590221</v>
      </c>
      <c r="L535" s="46" t="s">
        <v>1281</v>
      </c>
      <c r="M535" s="16" t="s">
        <v>75</v>
      </c>
      <c r="N535" s="11"/>
      <c r="O535" s="16" t="s">
        <v>271</v>
      </c>
      <c r="P535" s="16" t="s">
        <v>1279</v>
      </c>
      <c r="Q535" s="16" t="s">
        <v>1286</v>
      </c>
      <c r="R535" s="16" t="s">
        <v>1278</v>
      </c>
      <c r="S535" s="11"/>
    </row>
    <row r="536" spans="1:19" s="20" customFormat="1" ht="21.75" hidden="1" customHeight="1" x14ac:dyDescent="0.2">
      <c r="A536" s="84" t="s">
        <v>1260</v>
      </c>
      <c r="B536" s="84" t="s">
        <v>73</v>
      </c>
      <c r="C536" s="52">
        <v>46113</v>
      </c>
      <c r="D536" s="55">
        <v>8</v>
      </c>
      <c r="E536" s="214"/>
      <c r="F536" s="84" t="s">
        <v>901</v>
      </c>
      <c r="G536" s="84" t="s">
        <v>918</v>
      </c>
      <c r="H536" s="26" t="s">
        <v>1544</v>
      </c>
      <c r="I536" s="16" t="s">
        <v>1269</v>
      </c>
      <c r="J536" s="17">
        <v>20612300942</v>
      </c>
      <c r="K536" s="17">
        <v>948590221</v>
      </c>
      <c r="L536" s="46" t="s">
        <v>1281</v>
      </c>
      <c r="M536" s="16" t="s">
        <v>75</v>
      </c>
      <c r="N536" s="11"/>
      <c r="O536" s="16" t="s">
        <v>271</v>
      </c>
      <c r="P536" s="16" t="s">
        <v>1279</v>
      </c>
      <c r="Q536" s="16" t="s">
        <v>1286</v>
      </c>
      <c r="R536" s="16" t="s">
        <v>1278</v>
      </c>
      <c r="S536" s="11"/>
    </row>
    <row r="537" spans="1:19" s="20" customFormat="1" ht="21.75" hidden="1" customHeight="1" x14ac:dyDescent="0.2">
      <c r="A537" s="84" t="s">
        <v>1260</v>
      </c>
      <c r="B537" s="84" t="s">
        <v>73</v>
      </c>
      <c r="C537" s="52">
        <v>46113</v>
      </c>
      <c r="D537" s="55">
        <v>8</v>
      </c>
      <c r="E537" s="214"/>
      <c r="F537" s="84" t="s">
        <v>902</v>
      </c>
      <c r="G537" s="84" t="s">
        <v>919</v>
      </c>
      <c r="H537" s="26" t="s">
        <v>1544</v>
      </c>
      <c r="I537" s="16" t="s">
        <v>1269</v>
      </c>
      <c r="J537" s="17">
        <v>20612300942</v>
      </c>
      <c r="K537" s="17">
        <v>948590221</v>
      </c>
      <c r="L537" s="46" t="s">
        <v>1281</v>
      </c>
      <c r="M537" s="16" t="s">
        <v>75</v>
      </c>
      <c r="N537" s="11"/>
      <c r="O537" s="16" t="s">
        <v>271</v>
      </c>
      <c r="P537" s="16" t="s">
        <v>1279</v>
      </c>
      <c r="Q537" s="16" t="s">
        <v>1286</v>
      </c>
      <c r="R537" s="16" t="s">
        <v>1278</v>
      </c>
      <c r="S537" s="11"/>
    </row>
    <row r="538" spans="1:19" s="20" customFormat="1" ht="21.75" hidden="1" customHeight="1" x14ac:dyDescent="0.2">
      <c r="A538" s="84" t="s">
        <v>1260</v>
      </c>
      <c r="B538" s="84" t="s">
        <v>73</v>
      </c>
      <c r="C538" s="52">
        <v>46113</v>
      </c>
      <c r="D538" s="55">
        <v>8</v>
      </c>
      <c r="E538" s="215"/>
      <c r="F538" s="84" t="s">
        <v>903</v>
      </c>
      <c r="G538" s="84" t="s">
        <v>920</v>
      </c>
      <c r="H538" s="26" t="s">
        <v>1544</v>
      </c>
      <c r="I538" s="16" t="s">
        <v>1269</v>
      </c>
      <c r="J538" s="17">
        <v>20612300942</v>
      </c>
      <c r="K538" s="17">
        <v>948590221</v>
      </c>
      <c r="L538" s="46" t="s">
        <v>1281</v>
      </c>
      <c r="M538" s="16" t="s">
        <v>75</v>
      </c>
      <c r="N538" s="11"/>
      <c r="O538" s="16" t="s">
        <v>271</v>
      </c>
      <c r="P538" s="16" t="s">
        <v>1279</v>
      </c>
      <c r="Q538" s="16" t="s">
        <v>1286</v>
      </c>
      <c r="R538" s="16" t="s">
        <v>1278</v>
      </c>
      <c r="S538" s="11"/>
    </row>
    <row r="539" spans="1:19" s="20" customFormat="1" ht="21.75" hidden="1" customHeight="1" x14ac:dyDescent="0.2">
      <c r="A539" s="84" t="s">
        <v>1261</v>
      </c>
      <c r="B539" s="16" t="s">
        <v>73</v>
      </c>
      <c r="C539" s="18">
        <v>46113</v>
      </c>
      <c r="D539" s="21">
        <v>2</v>
      </c>
      <c r="E539" s="205">
        <v>3</v>
      </c>
      <c r="F539" s="16" t="s">
        <v>908</v>
      </c>
      <c r="G539" s="16" t="s">
        <v>925</v>
      </c>
      <c r="H539" s="26" t="s">
        <v>1544</v>
      </c>
      <c r="I539" s="16" t="s">
        <v>1270</v>
      </c>
      <c r="J539" s="17">
        <v>20600062213</v>
      </c>
      <c r="K539" s="17">
        <v>927822281</v>
      </c>
      <c r="L539" s="17" t="s">
        <v>1282</v>
      </c>
      <c r="M539" s="16" t="s">
        <v>75</v>
      </c>
      <c r="N539" s="11"/>
      <c r="O539" s="16" t="s">
        <v>271</v>
      </c>
      <c r="P539" s="16" t="s">
        <v>1280</v>
      </c>
      <c r="Q539" s="16" t="s">
        <v>1287</v>
      </c>
      <c r="R539" s="16" t="s">
        <v>1278</v>
      </c>
      <c r="S539" s="11"/>
    </row>
    <row r="540" spans="1:19" s="20" customFormat="1" ht="21.75" hidden="1" customHeight="1" x14ac:dyDescent="0.2">
      <c r="A540" s="84" t="s">
        <v>1261</v>
      </c>
      <c r="B540" s="16" t="s">
        <v>73</v>
      </c>
      <c r="C540" s="18">
        <v>46113</v>
      </c>
      <c r="D540" s="21">
        <v>2</v>
      </c>
      <c r="E540" s="206"/>
      <c r="F540" s="16" t="s">
        <v>909</v>
      </c>
      <c r="G540" s="16" t="s">
        <v>926</v>
      </c>
      <c r="H540" s="26" t="s">
        <v>1544</v>
      </c>
      <c r="I540" s="16" t="s">
        <v>1270</v>
      </c>
      <c r="J540" s="17">
        <v>20600062213</v>
      </c>
      <c r="K540" s="17">
        <v>927822281</v>
      </c>
      <c r="L540" s="17" t="s">
        <v>1282</v>
      </c>
      <c r="M540" s="16" t="s">
        <v>75</v>
      </c>
      <c r="N540" s="11"/>
      <c r="O540" s="16" t="s">
        <v>271</v>
      </c>
      <c r="P540" s="16" t="s">
        <v>1280</v>
      </c>
      <c r="Q540" s="16" t="s">
        <v>1287</v>
      </c>
      <c r="R540" s="16" t="s">
        <v>1278</v>
      </c>
      <c r="S540" s="11"/>
    </row>
    <row r="541" spans="1:19" s="20" customFormat="1" ht="21.75" hidden="1" customHeight="1" x14ac:dyDescent="0.2">
      <c r="A541" s="84" t="s">
        <v>1261</v>
      </c>
      <c r="B541" s="16" t="s">
        <v>73</v>
      </c>
      <c r="C541" s="18">
        <v>46113</v>
      </c>
      <c r="D541" s="21">
        <v>2</v>
      </c>
      <c r="E541" s="206"/>
      <c r="F541" s="16" t="s">
        <v>906</v>
      </c>
      <c r="G541" s="16" t="s">
        <v>923</v>
      </c>
      <c r="H541" s="26" t="s">
        <v>1544</v>
      </c>
      <c r="I541" s="16" t="s">
        <v>1270</v>
      </c>
      <c r="J541" s="17">
        <v>20600062213</v>
      </c>
      <c r="K541" s="17">
        <v>927822281</v>
      </c>
      <c r="L541" s="17" t="s">
        <v>1282</v>
      </c>
      <c r="M541" s="16" t="s">
        <v>75</v>
      </c>
      <c r="N541" s="11"/>
      <c r="O541" s="16" t="s">
        <v>271</v>
      </c>
      <c r="P541" s="16" t="s">
        <v>1280</v>
      </c>
      <c r="Q541" s="16" t="s">
        <v>1287</v>
      </c>
      <c r="R541" s="16" t="s">
        <v>1278</v>
      </c>
      <c r="S541" s="11"/>
    </row>
    <row r="542" spans="1:19" s="20" customFormat="1" ht="21.75" hidden="1" customHeight="1" x14ac:dyDescent="0.2">
      <c r="A542" s="84" t="s">
        <v>1261</v>
      </c>
      <c r="B542" s="16" t="s">
        <v>73</v>
      </c>
      <c r="C542" s="18">
        <v>46113</v>
      </c>
      <c r="D542" s="21">
        <v>2</v>
      </c>
      <c r="E542" s="207"/>
      <c r="F542" s="16" t="s">
        <v>907</v>
      </c>
      <c r="G542" s="16" t="s">
        <v>924</v>
      </c>
      <c r="H542" s="26" t="s">
        <v>1544</v>
      </c>
      <c r="I542" s="16" t="s">
        <v>1270</v>
      </c>
      <c r="J542" s="17">
        <v>20600062213</v>
      </c>
      <c r="K542" s="17">
        <v>927822281</v>
      </c>
      <c r="L542" s="17" t="s">
        <v>1282</v>
      </c>
      <c r="M542" s="16" t="s">
        <v>75</v>
      </c>
      <c r="N542" s="11"/>
      <c r="O542" s="16" t="s">
        <v>271</v>
      </c>
      <c r="P542" s="16" t="s">
        <v>1280</v>
      </c>
      <c r="Q542" s="16" t="s">
        <v>1287</v>
      </c>
      <c r="R542" s="16" t="s">
        <v>1278</v>
      </c>
      <c r="S542" s="11"/>
    </row>
    <row r="543" spans="1:19" s="20" customFormat="1" ht="21.75" hidden="1" customHeight="1" x14ac:dyDescent="0.2">
      <c r="A543" s="16" t="s">
        <v>1262</v>
      </c>
      <c r="B543" s="17" t="s">
        <v>1267</v>
      </c>
      <c r="C543" s="18">
        <v>46051</v>
      </c>
      <c r="D543" s="21">
        <v>6</v>
      </c>
      <c r="E543" s="19">
        <v>1</v>
      </c>
      <c r="F543" s="16" t="s">
        <v>1272</v>
      </c>
      <c r="G543" s="16" t="s">
        <v>1275</v>
      </c>
      <c r="H543" s="16" t="s">
        <v>99</v>
      </c>
      <c r="I543" s="36" t="s">
        <v>1289</v>
      </c>
      <c r="J543" s="16">
        <v>40955836</v>
      </c>
      <c r="K543" s="16">
        <v>51987478532</v>
      </c>
      <c r="L543" s="16" t="s">
        <v>1283</v>
      </c>
      <c r="M543" s="16" t="s">
        <v>306</v>
      </c>
      <c r="N543" s="11"/>
      <c r="O543" s="89">
        <v>46056</v>
      </c>
      <c r="P543" s="16" t="s">
        <v>382</v>
      </c>
      <c r="Q543" s="16" t="s">
        <v>73</v>
      </c>
      <c r="R543" s="16" t="s">
        <v>442</v>
      </c>
      <c r="S543" s="11" t="s">
        <v>1316</v>
      </c>
    </row>
    <row r="544" spans="1:19" s="20" customFormat="1" ht="21.75" hidden="1" customHeight="1" x14ac:dyDescent="0.2">
      <c r="A544" s="16" t="s">
        <v>1263</v>
      </c>
      <c r="B544" s="17" t="s">
        <v>1268</v>
      </c>
      <c r="C544" s="18">
        <v>46051</v>
      </c>
      <c r="D544" s="21">
        <v>4</v>
      </c>
      <c r="E544" s="19">
        <v>1</v>
      </c>
      <c r="F544" s="16" t="s">
        <v>1273</v>
      </c>
      <c r="G544" s="16" t="s">
        <v>1276</v>
      </c>
      <c r="H544" s="16" t="s">
        <v>99</v>
      </c>
      <c r="I544" s="36" t="s">
        <v>1289</v>
      </c>
      <c r="J544" s="16">
        <v>40955836</v>
      </c>
      <c r="K544" s="16">
        <v>51987478532</v>
      </c>
      <c r="L544" s="16" t="s">
        <v>1283</v>
      </c>
      <c r="M544" s="16" t="s">
        <v>306</v>
      </c>
      <c r="N544" s="11"/>
      <c r="O544" s="89">
        <v>46056</v>
      </c>
      <c r="P544" s="16" t="s">
        <v>382</v>
      </c>
      <c r="Q544" s="16" t="s">
        <v>73</v>
      </c>
      <c r="R544" s="16" t="s">
        <v>441</v>
      </c>
      <c r="S544" s="11" t="s">
        <v>1317</v>
      </c>
    </row>
    <row r="545" spans="1:19" s="20" customFormat="1" ht="21.75" hidden="1" customHeight="1" x14ac:dyDescent="0.2">
      <c r="A545" s="16" t="s">
        <v>1264</v>
      </c>
      <c r="B545" s="17">
        <v>3222949070</v>
      </c>
      <c r="C545" s="18">
        <v>46051</v>
      </c>
      <c r="D545" s="21">
        <v>4</v>
      </c>
      <c r="E545" s="19">
        <v>1</v>
      </c>
      <c r="F545" s="16" t="s">
        <v>1274</v>
      </c>
      <c r="G545" s="16" t="s">
        <v>1277</v>
      </c>
      <c r="H545" s="16" t="s">
        <v>99</v>
      </c>
      <c r="I545" s="16" t="s">
        <v>1271</v>
      </c>
      <c r="J545" s="16">
        <v>76511432</v>
      </c>
      <c r="K545" s="16">
        <v>51993637088</v>
      </c>
      <c r="L545" s="16" t="s">
        <v>1284</v>
      </c>
      <c r="M545" s="16" t="s">
        <v>299</v>
      </c>
      <c r="N545" s="11"/>
      <c r="O545" s="89">
        <v>46050</v>
      </c>
      <c r="P545" s="16" t="s">
        <v>382</v>
      </c>
      <c r="Q545" s="36" t="s">
        <v>1290</v>
      </c>
      <c r="R545" s="16" t="s">
        <v>394</v>
      </c>
      <c r="S545" s="11" t="s">
        <v>1318</v>
      </c>
    </row>
    <row r="546" spans="1:19" s="20" customFormat="1" ht="21.75" hidden="1" customHeight="1" x14ac:dyDescent="0.2">
      <c r="A546" s="16" t="s">
        <v>1265</v>
      </c>
      <c r="B546" s="17">
        <v>3222995927</v>
      </c>
      <c r="C546" s="18">
        <v>46051</v>
      </c>
      <c r="D546" s="21">
        <v>4</v>
      </c>
      <c r="E546" s="19">
        <v>1</v>
      </c>
      <c r="F546" s="16" t="s">
        <v>1273</v>
      </c>
      <c r="G546" s="16" t="s">
        <v>1276</v>
      </c>
      <c r="H546" s="16" t="s">
        <v>99</v>
      </c>
      <c r="I546" s="36" t="s">
        <v>1289</v>
      </c>
      <c r="J546" s="16">
        <v>40955836</v>
      </c>
      <c r="K546" s="16">
        <v>51987478532</v>
      </c>
      <c r="L546" s="16" t="s">
        <v>1283</v>
      </c>
      <c r="M546" s="16" t="s">
        <v>306</v>
      </c>
      <c r="N546" s="11"/>
      <c r="O546" s="89">
        <v>46051</v>
      </c>
      <c r="P546" s="16" t="s">
        <v>382</v>
      </c>
      <c r="Q546" s="16" t="s">
        <v>73</v>
      </c>
      <c r="R546" s="16" t="s">
        <v>394</v>
      </c>
      <c r="S546" s="11" t="s">
        <v>1319</v>
      </c>
    </row>
    <row r="547" spans="1:19" s="20" customFormat="1" ht="21.75" hidden="1" customHeight="1" x14ac:dyDescent="0.2">
      <c r="A547" s="16" t="s">
        <v>1266</v>
      </c>
      <c r="B547" s="17">
        <v>3223048557</v>
      </c>
      <c r="C547" s="18">
        <v>46051</v>
      </c>
      <c r="D547" s="21">
        <v>1</v>
      </c>
      <c r="E547" s="19">
        <v>1</v>
      </c>
      <c r="F547" s="16" t="s">
        <v>69</v>
      </c>
      <c r="G547" s="16" t="s">
        <v>195</v>
      </c>
      <c r="H547" s="16" t="s">
        <v>99</v>
      </c>
      <c r="I547" s="36" t="s">
        <v>1288</v>
      </c>
      <c r="J547" s="16">
        <v>70939095</v>
      </c>
      <c r="K547" s="16">
        <v>51954302092</v>
      </c>
      <c r="L547" s="16" t="s">
        <v>1285</v>
      </c>
      <c r="M547" s="16" t="s">
        <v>1155</v>
      </c>
      <c r="N547" s="11"/>
      <c r="O547" s="89">
        <v>46051</v>
      </c>
      <c r="P547" s="16" t="s">
        <v>382</v>
      </c>
      <c r="Q547" s="16" t="s">
        <v>73</v>
      </c>
      <c r="R547" s="16" t="s">
        <v>394</v>
      </c>
      <c r="S547" s="11" t="s">
        <v>1320</v>
      </c>
    </row>
    <row r="548" spans="1:19" s="20" customFormat="1" ht="21.75" hidden="1" customHeight="1" x14ac:dyDescent="0.2">
      <c r="A548" s="16" t="s">
        <v>1291</v>
      </c>
      <c r="B548" s="17">
        <v>13525324</v>
      </c>
      <c r="C548" s="18">
        <v>46053</v>
      </c>
      <c r="D548" s="21">
        <v>144</v>
      </c>
      <c r="E548" s="19">
        <f>144/24</f>
        <v>6</v>
      </c>
      <c r="F548" s="16" t="s">
        <v>18</v>
      </c>
      <c r="G548" s="16" t="s">
        <v>109</v>
      </c>
      <c r="H548" s="16" t="s">
        <v>76</v>
      </c>
      <c r="I548" s="16" t="s">
        <v>134</v>
      </c>
      <c r="J548" s="17">
        <v>20100070970</v>
      </c>
      <c r="K548" s="17" t="s">
        <v>73</v>
      </c>
      <c r="L548" s="16" t="s">
        <v>1334</v>
      </c>
      <c r="M548" s="16" t="s">
        <v>77</v>
      </c>
      <c r="N548" s="11"/>
      <c r="O548" s="11"/>
      <c r="P548" s="16" t="s">
        <v>236</v>
      </c>
      <c r="Q548" s="11"/>
      <c r="R548" s="16" t="s">
        <v>143</v>
      </c>
      <c r="S548" s="11" t="s">
        <v>1335</v>
      </c>
    </row>
    <row r="549" spans="1:19" s="20" customFormat="1" ht="21.75" hidden="1" customHeight="1" x14ac:dyDescent="0.2">
      <c r="A549" s="16" t="s">
        <v>1291</v>
      </c>
      <c r="B549" s="17">
        <v>13525324</v>
      </c>
      <c r="C549" s="18">
        <v>46053</v>
      </c>
      <c r="D549" s="21">
        <v>72</v>
      </c>
      <c r="E549" s="19">
        <v>6</v>
      </c>
      <c r="F549" s="16" t="s">
        <v>19</v>
      </c>
      <c r="G549" s="16" t="s">
        <v>120</v>
      </c>
      <c r="H549" s="16" t="s">
        <v>76</v>
      </c>
      <c r="I549" s="16" t="s">
        <v>134</v>
      </c>
      <c r="J549" s="17">
        <v>20100070970</v>
      </c>
      <c r="K549" s="17" t="s">
        <v>73</v>
      </c>
      <c r="L549" s="16" t="s">
        <v>1334</v>
      </c>
      <c r="M549" s="16" t="s">
        <v>77</v>
      </c>
      <c r="N549" s="11"/>
      <c r="O549" s="11"/>
      <c r="P549" s="16" t="s">
        <v>236</v>
      </c>
      <c r="Q549" s="11"/>
      <c r="R549" s="16" t="s">
        <v>143</v>
      </c>
      <c r="S549" s="11" t="s">
        <v>1335</v>
      </c>
    </row>
    <row r="550" spans="1:19" s="20" customFormat="1" ht="21.75" hidden="1" customHeight="1" x14ac:dyDescent="0.2">
      <c r="A550" s="16" t="s">
        <v>1291</v>
      </c>
      <c r="B550" s="17">
        <v>13525324</v>
      </c>
      <c r="C550" s="18">
        <v>46053</v>
      </c>
      <c r="D550" s="21">
        <v>36</v>
      </c>
      <c r="E550" s="19">
        <v>3</v>
      </c>
      <c r="F550" s="16" t="s">
        <v>20</v>
      </c>
      <c r="G550" s="16" t="s">
        <v>113</v>
      </c>
      <c r="H550" s="16" t="s">
        <v>76</v>
      </c>
      <c r="I550" s="16" t="s">
        <v>134</v>
      </c>
      <c r="J550" s="17">
        <v>20100070970</v>
      </c>
      <c r="K550" s="17" t="s">
        <v>73</v>
      </c>
      <c r="L550" s="16" t="s">
        <v>1334</v>
      </c>
      <c r="M550" s="16" t="s">
        <v>77</v>
      </c>
      <c r="N550" s="11"/>
      <c r="O550" s="11"/>
      <c r="P550" s="16" t="s">
        <v>236</v>
      </c>
      <c r="Q550" s="11"/>
      <c r="R550" s="16" t="s">
        <v>143</v>
      </c>
      <c r="S550" s="11" t="s">
        <v>1335</v>
      </c>
    </row>
    <row r="551" spans="1:19" s="20" customFormat="1" ht="21.75" hidden="1" customHeight="1" x14ac:dyDescent="0.2">
      <c r="A551" s="16" t="s">
        <v>1291</v>
      </c>
      <c r="B551" s="17">
        <v>13525324</v>
      </c>
      <c r="C551" s="18">
        <v>46053</v>
      </c>
      <c r="D551" s="21">
        <v>96</v>
      </c>
      <c r="E551" s="19">
        <f>96/12</f>
        <v>8</v>
      </c>
      <c r="F551" s="16" t="s">
        <v>21</v>
      </c>
      <c r="G551" s="16" t="s">
        <v>115</v>
      </c>
      <c r="H551" s="16" t="s">
        <v>76</v>
      </c>
      <c r="I551" s="16" t="s">
        <v>134</v>
      </c>
      <c r="J551" s="17">
        <v>20100070970</v>
      </c>
      <c r="K551" s="17" t="s">
        <v>73</v>
      </c>
      <c r="L551" s="16" t="s">
        <v>1334</v>
      </c>
      <c r="M551" s="16" t="s">
        <v>77</v>
      </c>
      <c r="N551" s="11"/>
      <c r="O551" s="11"/>
      <c r="P551" s="16" t="s">
        <v>236</v>
      </c>
      <c r="Q551" s="11"/>
      <c r="R551" s="16" t="s">
        <v>143</v>
      </c>
      <c r="S551" s="11" t="s">
        <v>1335</v>
      </c>
    </row>
    <row r="552" spans="1:19" s="20" customFormat="1" ht="21.75" hidden="1" customHeight="1" x14ac:dyDescent="0.2">
      <c r="A552" s="16" t="s">
        <v>1291</v>
      </c>
      <c r="B552" s="17">
        <v>13525324</v>
      </c>
      <c r="C552" s="18">
        <v>46053</v>
      </c>
      <c r="D552" s="21">
        <v>768</v>
      </c>
      <c r="E552" s="19">
        <f>768/48</f>
        <v>16</v>
      </c>
      <c r="F552" s="16" t="s">
        <v>22</v>
      </c>
      <c r="G552" s="16" t="s">
        <v>108</v>
      </c>
      <c r="H552" s="16" t="s">
        <v>76</v>
      </c>
      <c r="I552" s="16" t="s">
        <v>134</v>
      </c>
      <c r="J552" s="17">
        <v>20100070970</v>
      </c>
      <c r="K552" s="17" t="s">
        <v>73</v>
      </c>
      <c r="L552" s="16" t="s">
        <v>1334</v>
      </c>
      <c r="M552" s="16" t="s">
        <v>77</v>
      </c>
      <c r="N552" s="11"/>
      <c r="O552" s="11"/>
      <c r="P552" s="16" t="s">
        <v>236</v>
      </c>
      <c r="Q552" s="11"/>
      <c r="R552" s="16" t="s">
        <v>143</v>
      </c>
      <c r="S552" s="11" t="s">
        <v>1335</v>
      </c>
    </row>
    <row r="553" spans="1:19" s="20" customFormat="1" ht="21.75" hidden="1" customHeight="1" x14ac:dyDescent="0.2">
      <c r="A553" s="16" t="s">
        <v>1291</v>
      </c>
      <c r="B553" s="17">
        <v>13525324</v>
      </c>
      <c r="C553" s="18">
        <v>46053</v>
      </c>
      <c r="D553" s="21">
        <v>612</v>
      </c>
      <c r="E553" s="19">
        <f>612/12</f>
        <v>51</v>
      </c>
      <c r="F553" s="16" t="s">
        <v>23</v>
      </c>
      <c r="G553" s="16" t="s">
        <v>119</v>
      </c>
      <c r="H553" s="16" t="s">
        <v>76</v>
      </c>
      <c r="I553" s="16" t="s">
        <v>134</v>
      </c>
      <c r="J553" s="17">
        <v>20100070970</v>
      </c>
      <c r="K553" s="17" t="s">
        <v>73</v>
      </c>
      <c r="L553" s="16" t="s">
        <v>1334</v>
      </c>
      <c r="M553" s="16" t="s">
        <v>77</v>
      </c>
      <c r="N553" s="11"/>
      <c r="O553" s="11"/>
      <c r="P553" s="16" t="s">
        <v>236</v>
      </c>
      <c r="Q553" s="11"/>
      <c r="R553" s="16" t="s">
        <v>143</v>
      </c>
      <c r="S553" s="11" t="s">
        <v>1335</v>
      </c>
    </row>
    <row r="554" spans="1:19" s="20" customFormat="1" ht="21.75" hidden="1" customHeight="1" x14ac:dyDescent="0.2">
      <c r="A554" s="16" t="s">
        <v>1291</v>
      </c>
      <c r="B554" s="17">
        <v>13525324</v>
      </c>
      <c r="C554" s="18">
        <v>46053</v>
      </c>
      <c r="D554" s="21">
        <v>204</v>
      </c>
      <c r="E554" s="19">
        <f>204/12</f>
        <v>17</v>
      </c>
      <c r="F554" s="16" t="s">
        <v>24</v>
      </c>
      <c r="G554" s="16" t="s">
        <v>112</v>
      </c>
      <c r="H554" s="16" t="s">
        <v>76</v>
      </c>
      <c r="I554" s="16" t="s">
        <v>134</v>
      </c>
      <c r="J554" s="17">
        <v>20100070970</v>
      </c>
      <c r="K554" s="17" t="s">
        <v>73</v>
      </c>
      <c r="L554" s="16" t="s">
        <v>1334</v>
      </c>
      <c r="M554" s="16" t="s">
        <v>77</v>
      </c>
      <c r="N554" s="11"/>
      <c r="O554" s="11"/>
      <c r="P554" s="16" t="s">
        <v>236</v>
      </c>
      <c r="Q554" s="11"/>
      <c r="R554" s="16" t="s">
        <v>143</v>
      </c>
      <c r="S554" s="11" t="s">
        <v>1335</v>
      </c>
    </row>
    <row r="555" spans="1:19" s="20" customFormat="1" ht="21.75" hidden="1" customHeight="1" x14ac:dyDescent="0.2">
      <c r="A555" s="16" t="s">
        <v>1291</v>
      </c>
      <c r="B555" s="17">
        <v>13525324</v>
      </c>
      <c r="C555" s="18">
        <v>46053</v>
      </c>
      <c r="D555" s="21">
        <v>120</v>
      </c>
      <c r="E555" s="19">
        <v>10</v>
      </c>
      <c r="F555" s="16" t="s">
        <v>25</v>
      </c>
      <c r="G555" s="16" t="s">
        <v>136</v>
      </c>
      <c r="H555" s="16" t="s">
        <v>76</v>
      </c>
      <c r="I555" s="16" t="s">
        <v>134</v>
      </c>
      <c r="J555" s="17">
        <v>20100070970</v>
      </c>
      <c r="K555" s="17" t="s">
        <v>73</v>
      </c>
      <c r="L555" s="16" t="s">
        <v>1334</v>
      </c>
      <c r="M555" s="16" t="s">
        <v>77</v>
      </c>
      <c r="N555" s="11"/>
      <c r="O555" s="11"/>
      <c r="P555" s="16" t="s">
        <v>236</v>
      </c>
      <c r="Q555" s="11"/>
      <c r="R555" s="16" t="s">
        <v>143</v>
      </c>
      <c r="S555" s="11" t="s">
        <v>1335</v>
      </c>
    </row>
    <row r="556" spans="1:19" s="20" customFormat="1" ht="21.75" hidden="1" customHeight="1" x14ac:dyDescent="0.2">
      <c r="A556" s="16" t="s">
        <v>1291</v>
      </c>
      <c r="B556" s="17">
        <v>13525324</v>
      </c>
      <c r="C556" s="18">
        <v>46053</v>
      </c>
      <c r="D556" s="21">
        <v>168</v>
      </c>
      <c r="E556" s="19">
        <f>168/6</f>
        <v>28</v>
      </c>
      <c r="F556" s="16" t="s">
        <v>26</v>
      </c>
      <c r="G556" s="16" t="s">
        <v>111</v>
      </c>
      <c r="H556" s="16" t="s">
        <v>76</v>
      </c>
      <c r="I556" s="16" t="s">
        <v>134</v>
      </c>
      <c r="J556" s="17">
        <v>20100070970</v>
      </c>
      <c r="K556" s="17" t="s">
        <v>73</v>
      </c>
      <c r="L556" s="16" t="s">
        <v>1334</v>
      </c>
      <c r="M556" s="16" t="s">
        <v>77</v>
      </c>
      <c r="N556" s="11"/>
      <c r="O556" s="11"/>
      <c r="P556" s="16" t="s">
        <v>236</v>
      </c>
      <c r="Q556" s="11"/>
      <c r="R556" s="16" t="s">
        <v>143</v>
      </c>
      <c r="S556" s="11" t="s">
        <v>1335</v>
      </c>
    </row>
    <row r="557" spans="1:19" s="20" customFormat="1" ht="21.75" hidden="1" customHeight="1" x14ac:dyDescent="0.2">
      <c r="A557" s="16" t="s">
        <v>1291</v>
      </c>
      <c r="B557" s="17">
        <v>13525324</v>
      </c>
      <c r="C557" s="18">
        <v>46053</v>
      </c>
      <c r="D557" s="21">
        <v>60</v>
      </c>
      <c r="E557" s="19">
        <v>5</v>
      </c>
      <c r="F557" s="16" t="s">
        <v>27</v>
      </c>
      <c r="G557" s="16" t="s">
        <v>103</v>
      </c>
      <c r="H557" s="16" t="s">
        <v>76</v>
      </c>
      <c r="I557" s="16" t="s">
        <v>134</v>
      </c>
      <c r="J557" s="17">
        <v>20100070970</v>
      </c>
      <c r="K557" s="17" t="s">
        <v>73</v>
      </c>
      <c r="L557" s="16" t="s">
        <v>1334</v>
      </c>
      <c r="M557" s="16" t="s">
        <v>77</v>
      </c>
      <c r="N557" s="11"/>
      <c r="O557" s="11"/>
      <c r="P557" s="16" t="s">
        <v>236</v>
      </c>
      <c r="Q557" s="11"/>
      <c r="R557" s="16" t="s">
        <v>143</v>
      </c>
      <c r="S557" s="11" t="s">
        <v>1335</v>
      </c>
    </row>
    <row r="558" spans="1:19" s="20" customFormat="1" ht="21.75" hidden="1" customHeight="1" x14ac:dyDescent="0.2">
      <c r="A558" s="16" t="s">
        <v>1292</v>
      </c>
      <c r="B558" s="17" t="s">
        <v>73</v>
      </c>
      <c r="C558" s="18" t="s">
        <v>2141</v>
      </c>
      <c r="D558" s="21">
        <v>240</v>
      </c>
      <c r="E558" s="19"/>
      <c r="F558" s="16" t="s">
        <v>155</v>
      </c>
      <c r="G558" s="16" t="s">
        <v>125</v>
      </c>
      <c r="H558" s="16" t="s">
        <v>165</v>
      </c>
      <c r="I558" s="16" t="s">
        <v>1310</v>
      </c>
      <c r="J558" s="17">
        <v>10413978161</v>
      </c>
      <c r="K558" s="14"/>
      <c r="L558" s="16" t="s">
        <v>271</v>
      </c>
      <c r="M558" s="16" t="s">
        <v>271</v>
      </c>
      <c r="N558" s="11"/>
      <c r="O558" s="11"/>
      <c r="P558" s="16" t="s">
        <v>271</v>
      </c>
      <c r="Q558" s="11"/>
      <c r="R558" s="16" t="s">
        <v>142</v>
      </c>
      <c r="S558" s="11" t="s">
        <v>1321</v>
      </c>
    </row>
    <row r="559" spans="1:19" s="20" customFormat="1" ht="21.75" hidden="1" customHeight="1" x14ac:dyDescent="0.2">
      <c r="A559" s="16" t="s">
        <v>1293</v>
      </c>
      <c r="B559" s="17" t="s">
        <v>73</v>
      </c>
      <c r="C559" s="52">
        <v>46111</v>
      </c>
      <c r="D559" s="21">
        <v>32</v>
      </c>
      <c r="E559" s="205">
        <v>4</v>
      </c>
      <c r="F559" s="16" t="s">
        <v>901</v>
      </c>
      <c r="G559" s="16" t="s">
        <v>918</v>
      </c>
      <c r="H559" s="26" t="s">
        <v>1544</v>
      </c>
      <c r="I559" s="16" t="s">
        <v>180</v>
      </c>
      <c r="J559" s="17">
        <v>20527551154</v>
      </c>
      <c r="K559" s="14">
        <v>983699881</v>
      </c>
      <c r="L559" s="16" t="s">
        <v>2137</v>
      </c>
      <c r="M559" s="16" t="s">
        <v>75</v>
      </c>
      <c r="N559" s="11"/>
      <c r="O559" s="11"/>
      <c r="P559" s="11" t="s">
        <v>1280</v>
      </c>
      <c r="Q559" s="11" t="s">
        <v>2136</v>
      </c>
      <c r="R559" s="16" t="s">
        <v>142</v>
      </c>
      <c r="S559" s="11"/>
    </row>
    <row r="560" spans="1:19" s="20" customFormat="1" ht="21.75" hidden="1" customHeight="1" x14ac:dyDescent="0.2">
      <c r="A560" s="16" t="s">
        <v>1293</v>
      </c>
      <c r="B560" s="17" t="s">
        <v>73</v>
      </c>
      <c r="C560" s="52">
        <v>46111</v>
      </c>
      <c r="D560" s="21">
        <v>32</v>
      </c>
      <c r="E560" s="206"/>
      <c r="F560" s="16" t="s">
        <v>902</v>
      </c>
      <c r="G560" s="16" t="s">
        <v>919</v>
      </c>
      <c r="H560" s="26" t="s">
        <v>1544</v>
      </c>
      <c r="I560" s="16" t="s">
        <v>180</v>
      </c>
      <c r="J560" s="17">
        <v>20527551154</v>
      </c>
      <c r="K560" s="14">
        <v>983699881</v>
      </c>
      <c r="L560" s="16" t="s">
        <v>2137</v>
      </c>
      <c r="M560" s="16" t="s">
        <v>75</v>
      </c>
      <c r="N560" s="11"/>
      <c r="O560" s="11"/>
      <c r="P560" s="11" t="s">
        <v>1280</v>
      </c>
      <c r="Q560" s="11" t="s">
        <v>2136</v>
      </c>
      <c r="R560" s="16" t="s">
        <v>142</v>
      </c>
      <c r="S560" s="11"/>
    </row>
    <row r="561" spans="1:19" s="20" customFormat="1" ht="21.75" hidden="1" customHeight="1" x14ac:dyDescent="0.2">
      <c r="A561" s="16" t="s">
        <v>1293</v>
      </c>
      <c r="B561" s="17" t="s">
        <v>73</v>
      </c>
      <c r="C561" s="52">
        <v>46111</v>
      </c>
      <c r="D561" s="21">
        <v>32</v>
      </c>
      <c r="E561" s="207"/>
      <c r="F561" s="16" t="s">
        <v>903</v>
      </c>
      <c r="G561" s="16" t="s">
        <v>920</v>
      </c>
      <c r="H561" s="26" t="s">
        <v>1544</v>
      </c>
      <c r="I561" s="16" t="s">
        <v>180</v>
      </c>
      <c r="J561" s="17">
        <v>20527551154</v>
      </c>
      <c r="K561" s="14">
        <v>983699881</v>
      </c>
      <c r="L561" s="16" t="s">
        <v>2137</v>
      </c>
      <c r="M561" s="16" t="s">
        <v>75</v>
      </c>
      <c r="N561" s="11"/>
      <c r="O561" s="11"/>
      <c r="P561" s="11" t="s">
        <v>1280</v>
      </c>
      <c r="Q561" s="11" t="s">
        <v>2136</v>
      </c>
      <c r="R561" s="16" t="s">
        <v>142</v>
      </c>
      <c r="S561" s="11"/>
    </row>
    <row r="562" spans="1:19" s="20" customFormat="1" ht="21.75" hidden="1" customHeight="1" x14ac:dyDescent="0.2">
      <c r="A562" s="16" t="s">
        <v>1293</v>
      </c>
      <c r="B562" s="17" t="s">
        <v>73</v>
      </c>
      <c r="C562" s="52">
        <v>46111</v>
      </c>
      <c r="D562" s="21">
        <v>20</v>
      </c>
      <c r="E562" s="205">
        <v>5</v>
      </c>
      <c r="F562" s="16" t="s">
        <v>899</v>
      </c>
      <c r="G562" s="16" t="s">
        <v>916</v>
      </c>
      <c r="H562" s="26" t="s">
        <v>1544</v>
      </c>
      <c r="I562" s="16" t="s">
        <v>180</v>
      </c>
      <c r="J562" s="17">
        <v>20527551154</v>
      </c>
      <c r="K562" s="14">
        <v>983699881</v>
      </c>
      <c r="L562" s="16" t="s">
        <v>2137</v>
      </c>
      <c r="M562" s="16" t="s">
        <v>75</v>
      </c>
      <c r="N562" s="11"/>
      <c r="O562" s="11"/>
      <c r="P562" s="11" t="s">
        <v>1280</v>
      </c>
      <c r="Q562" s="11" t="s">
        <v>2136</v>
      </c>
      <c r="R562" s="16" t="s">
        <v>142</v>
      </c>
      <c r="S562" s="11"/>
    </row>
    <row r="563" spans="1:19" s="20" customFormat="1" ht="21.75" hidden="1" customHeight="1" x14ac:dyDescent="0.2">
      <c r="A563" s="16" t="s">
        <v>1293</v>
      </c>
      <c r="B563" s="17" t="s">
        <v>73</v>
      </c>
      <c r="C563" s="52">
        <v>46111</v>
      </c>
      <c r="D563" s="21">
        <v>20</v>
      </c>
      <c r="E563" s="206"/>
      <c r="F563" s="16" t="s">
        <v>900</v>
      </c>
      <c r="G563" s="16" t="s">
        <v>917</v>
      </c>
      <c r="H563" s="26" t="s">
        <v>1544</v>
      </c>
      <c r="I563" s="16" t="s">
        <v>180</v>
      </c>
      <c r="J563" s="17">
        <v>20527551154</v>
      </c>
      <c r="K563" s="14">
        <v>983699881</v>
      </c>
      <c r="L563" s="16" t="s">
        <v>2137</v>
      </c>
      <c r="M563" s="16" t="s">
        <v>75</v>
      </c>
      <c r="N563" s="11"/>
      <c r="O563" s="11"/>
      <c r="P563" s="11" t="s">
        <v>1280</v>
      </c>
      <c r="Q563" s="11" t="s">
        <v>2136</v>
      </c>
      <c r="R563" s="16" t="s">
        <v>142</v>
      </c>
      <c r="S563" s="11"/>
    </row>
    <row r="564" spans="1:19" s="20" customFormat="1" ht="21.75" hidden="1" customHeight="1" x14ac:dyDescent="0.2">
      <c r="A564" s="16" t="s">
        <v>1293</v>
      </c>
      <c r="B564" s="17" t="s">
        <v>73</v>
      </c>
      <c r="C564" s="52">
        <v>46111</v>
      </c>
      <c r="D564" s="21">
        <v>20</v>
      </c>
      <c r="E564" s="207"/>
      <c r="F564" s="16" t="s">
        <v>898</v>
      </c>
      <c r="G564" s="16" t="s">
        <v>915</v>
      </c>
      <c r="H564" s="26" t="s">
        <v>1544</v>
      </c>
      <c r="I564" s="16" t="s">
        <v>180</v>
      </c>
      <c r="J564" s="17">
        <v>20527551154</v>
      </c>
      <c r="K564" s="14">
        <v>983699881</v>
      </c>
      <c r="L564" s="16" t="s">
        <v>2137</v>
      </c>
      <c r="M564" s="16" t="s">
        <v>75</v>
      </c>
      <c r="N564" s="11"/>
      <c r="O564" s="11"/>
      <c r="P564" s="11" t="s">
        <v>1280</v>
      </c>
      <c r="Q564" s="11" t="s">
        <v>2136</v>
      </c>
      <c r="R564" s="16" t="s">
        <v>142</v>
      </c>
      <c r="S564" s="11"/>
    </row>
    <row r="565" spans="1:19" s="20" customFormat="1" ht="21.75" hidden="1" customHeight="1" x14ac:dyDescent="0.2">
      <c r="A565" s="84" t="s">
        <v>1294</v>
      </c>
      <c r="B565" s="80" t="s">
        <v>73</v>
      </c>
      <c r="C565" s="52">
        <v>46113</v>
      </c>
      <c r="D565" s="55">
        <v>16</v>
      </c>
      <c r="E565" s="213">
        <v>2</v>
      </c>
      <c r="F565" s="84" t="s">
        <v>901</v>
      </c>
      <c r="G565" s="84" t="s">
        <v>918</v>
      </c>
      <c r="H565" s="26" t="s">
        <v>1544</v>
      </c>
      <c r="I565" s="16" t="s">
        <v>1311</v>
      </c>
      <c r="J565" s="17">
        <v>10283063831</v>
      </c>
      <c r="K565" s="14">
        <v>966129876</v>
      </c>
      <c r="L565" s="16" t="s">
        <v>1375</v>
      </c>
      <c r="M565" s="16" t="s">
        <v>75</v>
      </c>
      <c r="N565" s="11"/>
      <c r="O565" s="11"/>
      <c r="P565" s="16" t="s">
        <v>271</v>
      </c>
      <c r="Q565" s="11" t="s">
        <v>2158</v>
      </c>
      <c r="R565" s="16" t="s">
        <v>142</v>
      </c>
      <c r="S565" s="11"/>
    </row>
    <row r="566" spans="1:19" s="20" customFormat="1" ht="21.75" hidden="1" customHeight="1" x14ac:dyDescent="0.2">
      <c r="A566" s="84" t="s">
        <v>1294</v>
      </c>
      <c r="B566" s="80" t="s">
        <v>73</v>
      </c>
      <c r="C566" s="52">
        <v>46113</v>
      </c>
      <c r="D566" s="55">
        <v>16</v>
      </c>
      <c r="E566" s="214"/>
      <c r="F566" s="84" t="s">
        <v>902</v>
      </c>
      <c r="G566" s="84" t="s">
        <v>919</v>
      </c>
      <c r="H566" s="26" t="s">
        <v>1544</v>
      </c>
      <c r="I566" s="16" t="s">
        <v>1311</v>
      </c>
      <c r="J566" s="17">
        <v>10283063831</v>
      </c>
      <c r="K566" s="14">
        <v>966129876</v>
      </c>
      <c r="L566" s="16" t="s">
        <v>1375</v>
      </c>
      <c r="M566" s="16" t="s">
        <v>75</v>
      </c>
      <c r="N566" s="11"/>
      <c r="O566" s="11"/>
      <c r="P566" s="16" t="s">
        <v>271</v>
      </c>
      <c r="Q566" s="11" t="s">
        <v>2158</v>
      </c>
      <c r="R566" s="16" t="s">
        <v>142</v>
      </c>
      <c r="S566" s="11"/>
    </row>
    <row r="567" spans="1:19" s="20" customFormat="1" ht="21.75" hidden="1" customHeight="1" x14ac:dyDescent="0.2">
      <c r="A567" s="84" t="s">
        <v>1294</v>
      </c>
      <c r="B567" s="80" t="s">
        <v>73</v>
      </c>
      <c r="C567" s="52">
        <v>46113</v>
      </c>
      <c r="D567" s="55">
        <v>16</v>
      </c>
      <c r="E567" s="214"/>
      <c r="F567" s="84" t="s">
        <v>903</v>
      </c>
      <c r="G567" s="84" t="s">
        <v>920</v>
      </c>
      <c r="H567" s="26" t="s">
        <v>1544</v>
      </c>
      <c r="I567" s="16" t="s">
        <v>1311</v>
      </c>
      <c r="J567" s="17">
        <v>10283063831</v>
      </c>
      <c r="K567" s="14">
        <v>966129876</v>
      </c>
      <c r="L567" s="16" t="s">
        <v>1375</v>
      </c>
      <c r="M567" s="16" t="s">
        <v>75</v>
      </c>
      <c r="N567" s="11"/>
      <c r="O567" s="11"/>
      <c r="P567" s="16" t="s">
        <v>271</v>
      </c>
      <c r="Q567" s="11" t="s">
        <v>2158</v>
      </c>
      <c r="R567" s="16" t="s">
        <v>142</v>
      </c>
      <c r="S567" s="11"/>
    </row>
    <row r="568" spans="1:19" s="20" customFormat="1" ht="21.75" hidden="1" customHeight="1" x14ac:dyDescent="0.2">
      <c r="A568" s="84" t="s">
        <v>1294</v>
      </c>
      <c r="B568" s="80" t="s">
        <v>73</v>
      </c>
      <c r="C568" s="52">
        <v>46113</v>
      </c>
      <c r="D568" s="55">
        <v>8</v>
      </c>
      <c r="E568" s="214"/>
      <c r="F568" s="84" t="s">
        <v>899</v>
      </c>
      <c r="G568" s="84" t="s">
        <v>916</v>
      </c>
      <c r="H568" s="26" t="s">
        <v>1544</v>
      </c>
      <c r="I568" s="16" t="s">
        <v>1311</v>
      </c>
      <c r="J568" s="17">
        <v>10283063831</v>
      </c>
      <c r="K568" s="14">
        <v>966129876</v>
      </c>
      <c r="L568" s="16" t="s">
        <v>1375</v>
      </c>
      <c r="M568" s="16" t="s">
        <v>75</v>
      </c>
      <c r="N568" s="11"/>
      <c r="O568" s="11"/>
      <c r="P568" s="16" t="s">
        <v>271</v>
      </c>
      <c r="Q568" s="11" t="s">
        <v>2158</v>
      </c>
      <c r="R568" s="16" t="s">
        <v>142</v>
      </c>
      <c r="S568" s="11"/>
    </row>
    <row r="569" spans="1:19" s="20" customFormat="1" ht="21.75" hidden="1" customHeight="1" x14ac:dyDescent="0.2">
      <c r="A569" s="84" t="s">
        <v>1294</v>
      </c>
      <c r="B569" s="80" t="s">
        <v>73</v>
      </c>
      <c r="C569" s="52">
        <v>46113</v>
      </c>
      <c r="D569" s="55">
        <v>8</v>
      </c>
      <c r="E569" s="214"/>
      <c r="F569" s="84" t="s">
        <v>900</v>
      </c>
      <c r="G569" s="84" t="s">
        <v>917</v>
      </c>
      <c r="H569" s="26" t="s">
        <v>1544</v>
      </c>
      <c r="I569" s="16" t="s">
        <v>1311</v>
      </c>
      <c r="J569" s="17">
        <v>10283063831</v>
      </c>
      <c r="K569" s="14">
        <v>966129876</v>
      </c>
      <c r="L569" s="16" t="s">
        <v>1375</v>
      </c>
      <c r="M569" s="16" t="s">
        <v>75</v>
      </c>
      <c r="N569" s="11"/>
      <c r="O569" s="11"/>
      <c r="P569" s="16" t="s">
        <v>271</v>
      </c>
      <c r="Q569" s="11" t="s">
        <v>2158</v>
      </c>
      <c r="R569" s="16" t="s">
        <v>142</v>
      </c>
      <c r="S569" s="11"/>
    </row>
    <row r="570" spans="1:19" s="20" customFormat="1" ht="21.75" hidden="1" customHeight="1" x14ac:dyDescent="0.2">
      <c r="A570" s="84" t="s">
        <v>1294</v>
      </c>
      <c r="B570" s="80" t="s">
        <v>73</v>
      </c>
      <c r="C570" s="52">
        <v>46113</v>
      </c>
      <c r="D570" s="55">
        <v>8</v>
      </c>
      <c r="E570" s="215"/>
      <c r="F570" s="84" t="s">
        <v>898</v>
      </c>
      <c r="G570" s="84" t="s">
        <v>915</v>
      </c>
      <c r="H570" s="26" t="s">
        <v>1544</v>
      </c>
      <c r="I570" s="16" t="s">
        <v>1311</v>
      </c>
      <c r="J570" s="17">
        <v>10283063831</v>
      </c>
      <c r="K570" s="14">
        <v>966129876</v>
      </c>
      <c r="L570" s="16" t="s">
        <v>1375</v>
      </c>
      <c r="M570" s="16" t="s">
        <v>75</v>
      </c>
      <c r="N570" s="11"/>
      <c r="O570" s="11"/>
      <c r="P570" s="16" t="s">
        <v>271</v>
      </c>
      <c r="Q570" s="11" t="s">
        <v>2158</v>
      </c>
      <c r="R570" s="16" t="s">
        <v>142</v>
      </c>
      <c r="S570" s="11"/>
    </row>
    <row r="571" spans="1:19" s="20" customFormat="1" ht="21.75" hidden="1" customHeight="1" x14ac:dyDescent="0.2">
      <c r="A571" s="16" t="s">
        <v>1295</v>
      </c>
      <c r="B571" s="17">
        <v>4966</v>
      </c>
      <c r="C571" s="18">
        <v>46051</v>
      </c>
      <c r="D571" s="21">
        <v>24</v>
      </c>
      <c r="E571" s="19">
        <v>2</v>
      </c>
      <c r="F571" s="16" t="s">
        <v>1210</v>
      </c>
      <c r="G571" s="16" t="s">
        <v>1226</v>
      </c>
      <c r="H571" s="16" t="s">
        <v>1650</v>
      </c>
      <c r="I571" s="16" t="s">
        <v>41</v>
      </c>
      <c r="J571" s="16">
        <v>20513229080</v>
      </c>
      <c r="K571" s="16" t="s">
        <v>663</v>
      </c>
      <c r="L571" s="16" t="s">
        <v>648</v>
      </c>
      <c r="M571" s="16" t="s">
        <v>420</v>
      </c>
      <c r="N571" s="11"/>
      <c r="O571" s="11"/>
      <c r="P571" s="16" t="s">
        <v>1313</v>
      </c>
      <c r="Q571" s="17" t="s">
        <v>663</v>
      </c>
      <c r="R571" s="16" t="s">
        <v>396</v>
      </c>
      <c r="S571" s="11" t="s">
        <v>1321</v>
      </c>
    </row>
    <row r="572" spans="1:19" s="20" customFormat="1" ht="21.75" hidden="1" customHeight="1" x14ac:dyDescent="0.2">
      <c r="A572" s="16" t="s">
        <v>1295</v>
      </c>
      <c r="B572" s="17">
        <v>4966</v>
      </c>
      <c r="C572" s="18">
        <v>46051</v>
      </c>
      <c r="D572" s="21">
        <v>24</v>
      </c>
      <c r="E572" s="19">
        <v>2</v>
      </c>
      <c r="F572" s="16" t="s">
        <v>1298</v>
      </c>
      <c r="G572" s="16" t="s">
        <v>1304</v>
      </c>
      <c r="H572" s="16" t="s">
        <v>1650</v>
      </c>
      <c r="I572" s="16" t="s">
        <v>41</v>
      </c>
      <c r="J572" s="16">
        <v>20513229080</v>
      </c>
      <c r="K572" s="16" t="s">
        <v>663</v>
      </c>
      <c r="L572" s="16" t="s">
        <v>648</v>
      </c>
      <c r="M572" s="16" t="s">
        <v>420</v>
      </c>
      <c r="N572" s="11"/>
      <c r="O572" s="11"/>
      <c r="P572" s="16" t="s">
        <v>1313</v>
      </c>
      <c r="Q572" s="16"/>
      <c r="R572" s="16" t="s">
        <v>396</v>
      </c>
      <c r="S572" s="11" t="s">
        <v>1321</v>
      </c>
    </row>
    <row r="573" spans="1:19" s="20" customFormat="1" ht="21.75" hidden="1" customHeight="1" x14ac:dyDescent="0.2">
      <c r="A573" s="16" t="s">
        <v>1295</v>
      </c>
      <c r="B573" s="17">
        <v>4966</v>
      </c>
      <c r="C573" s="18">
        <v>46051</v>
      </c>
      <c r="D573" s="21">
        <v>40</v>
      </c>
      <c r="E573" s="19">
        <v>10</v>
      </c>
      <c r="F573" s="16" t="s">
        <v>1126</v>
      </c>
      <c r="G573" s="16" t="s">
        <v>1138</v>
      </c>
      <c r="H573" s="16" t="s">
        <v>1650</v>
      </c>
      <c r="I573" s="16" t="s">
        <v>41</v>
      </c>
      <c r="J573" s="16">
        <v>20513229080</v>
      </c>
      <c r="K573" s="16" t="s">
        <v>663</v>
      </c>
      <c r="L573" s="16" t="s">
        <v>648</v>
      </c>
      <c r="M573" s="16" t="s">
        <v>420</v>
      </c>
      <c r="N573" s="11"/>
      <c r="O573" s="11"/>
      <c r="P573" s="16" t="s">
        <v>1313</v>
      </c>
      <c r="Q573" s="16"/>
      <c r="R573" s="16" t="s">
        <v>396</v>
      </c>
      <c r="S573" s="11" t="s">
        <v>1321</v>
      </c>
    </row>
    <row r="574" spans="1:19" s="20" customFormat="1" ht="21.75" hidden="1" customHeight="1" x14ac:dyDescent="0.2">
      <c r="A574" s="16" t="s">
        <v>1295</v>
      </c>
      <c r="B574" s="17">
        <v>4966</v>
      </c>
      <c r="C574" s="18">
        <v>46051</v>
      </c>
      <c r="D574" s="21">
        <v>24</v>
      </c>
      <c r="E574" s="19">
        <v>4</v>
      </c>
      <c r="F574" s="16" t="s">
        <v>822</v>
      </c>
      <c r="G574" s="16" t="s">
        <v>824</v>
      </c>
      <c r="H574" s="16" t="s">
        <v>1650</v>
      </c>
      <c r="I574" s="16" t="s">
        <v>41</v>
      </c>
      <c r="J574" s="16">
        <v>20513229080</v>
      </c>
      <c r="K574" s="16" t="s">
        <v>663</v>
      </c>
      <c r="L574" s="16" t="s">
        <v>648</v>
      </c>
      <c r="M574" s="16" t="s">
        <v>420</v>
      </c>
      <c r="N574" s="11"/>
      <c r="O574" s="11"/>
      <c r="P574" s="16" t="s">
        <v>1313</v>
      </c>
      <c r="Q574" s="16"/>
      <c r="R574" s="16" t="s">
        <v>396</v>
      </c>
      <c r="S574" s="11" t="s">
        <v>1321</v>
      </c>
    </row>
    <row r="575" spans="1:19" s="20" customFormat="1" ht="21.75" hidden="1" customHeight="1" x14ac:dyDescent="0.2">
      <c r="A575" s="16" t="s">
        <v>1295</v>
      </c>
      <c r="B575" s="17">
        <v>4966</v>
      </c>
      <c r="C575" s="18">
        <v>46051</v>
      </c>
      <c r="D575" s="21">
        <v>12</v>
      </c>
      <c r="E575" s="19">
        <v>2</v>
      </c>
      <c r="F575" s="16" t="s">
        <v>26</v>
      </c>
      <c r="G575" s="16" t="s">
        <v>111</v>
      </c>
      <c r="H575" s="16" t="s">
        <v>1650</v>
      </c>
      <c r="I575" s="16" t="s">
        <v>41</v>
      </c>
      <c r="J575" s="16">
        <v>20513229080</v>
      </c>
      <c r="K575" s="16" t="s">
        <v>663</v>
      </c>
      <c r="L575" s="16" t="s">
        <v>648</v>
      </c>
      <c r="M575" s="16" t="s">
        <v>420</v>
      </c>
      <c r="N575" s="11"/>
      <c r="O575" s="11"/>
      <c r="P575" s="16" t="s">
        <v>1313</v>
      </c>
      <c r="Q575" s="16"/>
      <c r="R575" s="16" t="s">
        <v>396</v>
      </c>
      <c r="S575" s="11" t="s">
        <v>1321</v>
      </c>
    </row>
    <row r="576" spans="1:19" s="20" customFormat="1" ht="21.75" hidden="1" customHeight="1" x14ac:dyDescent="0.2">
      <c r="A576" s="16" t="s">
        <v>1295</v>
      </c>
      <c r="B576" s="17">
        <v>4966</v>
      </c>
      <c r="C576" s="18">
        <v>46051</v>
      </c>
      <c r="D576" s="21">
        <v>72</v>
      </c>
      <c r="E576" s="19">
        <v>2</v>
      </c>
      <c r="F576" s="16" t="s">
        <v>855</v>
      </c>
      <c r="G576" s="16" t="s">
        <v>865</v>
      </c>
      <c r="H576" s="16" t="s">
        <v>1650</v>
      </c>
      <c r="I576" s="16" t="s">
        <v>41</v>
      </c>
      <c r="J576" s="16">
        <v>20513229080</v>
      </c>
      <c r="K576" s="16" t="s">
        <v>663</v>
      </c>
      <c r="L576" s="16" t="s">
        <v>648</v>
      </c>
      <c r="M576" s="16" t="s">
        <v>420</v>
      </c>
      <c r="N576" s="11"/>
      <c r="O576" s="11"/>
      <c r="P576" s="16" t="s">
        <v>1313</v>
      </c>
      <c r="Q576" s="16"/>
      <c r="R576" s="16" t="s">
        <v>396</v>
      </c>
      <c r="S576" s="11" t="s">
        <v>1321</v>
      </c>
    </row>
    <row r="577" spans="1:19" s="20" customFormat="1" ht="21.75" hidden="1" customHeight="1" x14ac:dyDescent="0.2">
      <c r="A577" s="16" t="s">
        <v>1296</v>
      </c>
      <c r="B577" s="17" t="s">
        <v>73</v>
      </c>
      <c r="C577" s="18">
        <v>46050</v>
      </c>
      <c r="D577" s="21">
        <v>12</v>
      </c>
      <c r="E577" s="19">
        <v>1</v>
      </c>
      <c r="F577" s="16" t="s">
        <v>1299</v>
      </c>
      <c r="G577" s="16" t="s">
        <v>1305</v>
      </c>
      <c r="H577" s="16" t="s">
        <v>99</v>
      </c>
      <c r="I577" s="16" t="s">
        <v>845</v>
      </c>
      <c r="J577" s="17">
        <v>20615184439</v>
      </c>
      <c r="K577" s="11"/>
      <c r="L577" s="16" t="s">
        <v>1314</v>
      </c>
      <c r="M577" s="16" t="s">
        <v>292</v>
      </c>
      <c r="N577" s="11"/>
      <c r="O577" s="11"/>
      <c r="P577" s="16" t="s">
        <v>382</v>
      </c>
      <c r="Q577" s="11"/>
      <c r="R577" s="16" t="s">
        <v>144</v>
      </c>
      <c r="S577" s="11" t="s">
        <v>1315</v>
      </c>
    </row>
    <row r="578" spans="1:19" s="20" customFormat="1" ht="21.75" hidden="1" customHeight="1" x14ac:dyDescent="0.2">
      <c r="A578" s="16" t="s">
        <v>1296</v>
      </c>
      <c r="B578" s="17" t="s">
        <v>73</v>
      </c>
      <c r="C578" s="18">
        <v>46050</v>
      </c>
      <c r="D578" s="21">
        <v>12</v>
      </c>
      <c r="E578" s="19">
        <v>1</v>
      </c>
      <c r="F578" s="16" t="s">
        <v>1300</v>
      </c>
      <c r="G578" s="16" t="s">
        <v>1306</v>
      </c>
      <c r="H578" s="16" t="s">
        <v>99</v>
      </c>
      <c r="I578" s="16" t="s">
        <v>845</v>
      </c>
      <c r="J578" s="17">
        <v>20615184439</v>
      </c>
      <c r="K578" s="11"/>
      <c r="L578" s="16" t="s">
        <v>1314</v>
      </c>
      <c r="M578" s="16" t="s">
        <v>292</v>
      </c>
      <c r="N578" s="11"/>
      <c r="O578" s="11"/>
      <c r="P578" s="16" t="s">
        <v>382</v>
      </c>
      <c r="Q578" s="11"/>
      <c r="R578" s="16" t="s">
        <v>144</v>
      </c>
      <c r="S578" s="11" t="s">
        <v>1315</v>
      </c>
    </row>
    <row r="579" spans="1:19" s="20" customFormat="1" ht="21.75" hidden="1" customHeight="1" x14ac:dyDescent="0.2">
      <c r="A579" s="16" t="s">
        <v>1297</v>
      </c>
      <c r="B579" s="17" t="s">
        <v>73</v>
      </c>
      <c r="C579" s="52">
        <v>46112</v>
      </c>
      <c r="D579" s="21">
        <v>8</v>
      </c>
      <c r="E579" s="19">
        <v>1</v>
      </c>
      <c r="F579" s="16" t="s">
        <v>901</v>
      </c>
      <c r="G579" s="16" t="s">
        <v>918</v>
      </c>
      <c r="H579" s="26" t="s">
        <v>1544</v>
      </c>
      <c r="I579" s="16" t="s">
        <v>1312</v>
      </c>
      <c r="J579" s="17">
        <v>20609116448</v>
      </c>
      <c r="K579" s="14"/>
      <c r="L579" s="16" t="s">
        <v>2138</v>
      </c>
      <c r="M579" s="16" t="s">
        <v>75</v>
      </c>
      <c r="N579" s="11"/>
      <c r="O579" s="11"/>
      <c r="P579" s="16" t="s">
        <v>271</v>
      </c>
      <c r="Q579" s="11" t="s">
        <v>2139</v>
      </c>
      <c r="R579" s="16" t="s">
        <v>142</v>
      </c>
      <c r="S579" s="11"/>
    </row>
    <row r="580" spans="1:19" s="20" customFormat="1" ht="21.75" hidden="1" customHeight="1" x14ac:dyDescent="0.2">
      <c r="A580" s="16" t="s">
        <v>1297</v>
      </c>
      <c r="B580" s="17" t="s">
        <v>73</v>
      </c>
      <c r="C580" s="52">
        <v>46112</v>
      </c>
      <c r="D580" s="21">
        <v>8</v>
      </c>
      <c r="E580" s="19">
        <v>1</v>
      </c>
      <c r="F580" s="16" t="s">
        <v>902</v>
      </c>
      <c r="G580" s="16" t="s">
        <v>919</v>
      </c>
      <c r="H580" s="26" t="s">
        <v>1544</v>
      </c>
      <c r="I580" s="16" t="s">
        <v>1312</v>
      </c>
      <c r="J580" s="17">
        <v>20609116448</v>
      </c>
      <c r="K580" s="14"/>
      <c r="L580" s="16" t="s">
        <v>2138</v>
      </c>
      <c r="M580" s="16" t="s">
        <v>75</v>
      </c>
      <c r="N580" s="11"/>
      <c r="O580" s="11"/>
      <c r="P580" s="16" t="s">
        <v>271</v>
      </c>
      <c r="Q580" s="11" t="s">
        <v>2139</v>
      </c>
      <c r="R580" s="16" t="s">
        <v>142</v>
      </c>
      <c r="S580" s="11"/>
    </row>
    <row r="581" spans="1:19" s="20" customFormat="1" ht="21.75" hidden="1" customHeight="1" x14ac:dyDescent="0.2">
      <c r="A581" s="16" t="s">
        <v>1297</v>
      </c>
      <c r="B581" s="17" t="s">
        <v>73</v>
      </c>
      <c r="C581" s="52">
        <v>46112</v>
      </c>
      <c r="D581" s="21">
        <v>8</v>
      </c>
      <c r="E581" s="19">
        <v>1</v>
      </c>
      <c r="F581" s="16" t="s">
        <v>903</v>
      </c>
      <c r="G581" s="16" t="s">
        <v>920</v>
      </c>
      <c r="H581" s="26" t="s">
        <v>1544</v>
      </c>
      <c r="I581" s="16" t="s">
        <v>1312</v>
      </c>
      <c r="J581" s="17">
        <v>20609116448</v>
      </c>
      <c r="K581" s="14"/>
      <c r="L581" s="16" t="s">
        <v>2138</v>
      </c>
      <c r="M581" s="16" t="s">
        <v>75</v>
      </c>
      <c r="N581" s="11"/>
      <c r="O581" s="11"/>
      <c r="P581" s="16" t="s">
        <v>271</v>
      </c>
      <c r="Q581" s="11" t="s">
        <v>2139</v>
      </c>
      <c r="R581" s="16" t="s">
        <v>142</v>
      </c>
      <c r="S581" s="11"/>
    </row>
    <row r="582" spans="1:19" s="20" customFormat="1" ht="21.75" hidden="1" customHeight="1" x14ac:dyDescent="0.2">
      <c r="A582" s="16" t="s">
        <v>1297</v>
      </c>
      <c r="B582" s="17" t="s">
        <v>73</v>
      </c>
      <c r="C582" s="52">
        <v>46112</v>
      </c>
      <c r="D582" s="21">
        <v>8</v>
      </c>
      <c r="E582" s="19">
        <v>1</v>
      </c>
      <c r="F582" s="16" t="s">
        <v>899</v>
      </c>
      <c r="G582" s="16" t="s">
        <v>916</v>
      </c>
      <c r="H582" s="26" t="s">
        <v>1544</v>
      </c>
      <c r="I582" s="16" t="s">
        <v>1312</v>
      </c>
      <c r="J582" s="17">
        <v>20609116448</v>
      </c>
      <c r="K582" s="14"/>
      <c r="L582" s="16" t="s">
        <v>2138</v>
      </c>
      <c r="M582" s="16" t="s">
        <v>75</v>
      </c>
      <c r="N582" s="11"/>
      <c r="O582" s="11"/>
      <c r="P582" s="16" t="s">
        <v>271</v>
      </c>
      <c r="Q582" s="11" t="s">
        <v>2139</v>
      </c>
      <c r="R582" s="16" t="s">
        <v>142</v>
      </c>
      <c r="S582" s="11"/>
    </row>
    <row r="583" spans="1:19" s="20" customFormat="1" ht="21.75" hidden="1" customHeight="1" x14ac:dyDescent="0.2">
      <c r="A583" s="16" t="s">
        <v>1297</v>
      </c>
      <c r="B583" s="17" t="s">
        <v>73</v>
      </c>
      <c r="C583" s="52">
        <v>46112</v>
      </c>
      <c r="D583" s="21">
        <v>8</v>
      </c>
      <c r="E583" s="19">
        <v>1</v>
      </c>
      <c r="F583" s="16" t="s">
        <v>900</v>
      </c>
      <c r="G583" s="16" t="s">
        <v>917</v>
      </c>
      <c r="H583" s="26" t="s">
        <v>1544</v>
      </c>
      <c r="I583" s="16" t="s">
        <v>1312</v>
      </c>
      <c r="J583" s="17">
        <v>20609116448</v>
      </c>
      <c r="K583" s="14"/>
      <c r="L583" s="16" t="s">
        <v>2138</v>
      </c>
      <c r="M583" s="16" t="s">
        <v>75</v>
      </c>
      <c r="N583" s="11"/>
      <c r="O583" s="11"/>
      <c r="P583" s="16" t="s">
        <v>271</v>
      </c>
      <c r="Q583" s="11" t="s">
        <v>2139</v>
      </c>
      <c r="R583" s="16" t="s">
        <v>142</v>
      </c>
      <c r="S583" s="11"/>
    </row>
    <row r="584" spans="1:19" s="20" customFormat="1" ht="21.75" hidden="1" customHeight="1" x14ac:dyDescent="0.2">
      <c r="A584" s="16" t="s">
        <v>1297</v>
      </c>
      <c r="B584" s="17" t="s">
        <v>73</v>
      </c>
      <c r="C584" s="52">
        <v>46112</v>
      </c>
      <c r="D584" s="21">
        <v>8</v>
      </c>
      <c r="E584" s="19">
        <v>1</v>
      </c>
      <c r="F584" s="16" t="s">
        <v>898</v>
      </c>
      <c r="G584" s="16" t="s">
        <v>915</v>
      </c>
      <c r="H584" s="26" t="s">
        <v>1544</v>
      </c>
      <c r="I584" s="16" t="s">
        <v>1312</v>
      </c>
      <c r="J584" s="17">
        <v>20609116448</v>
      </c>
      <c r="K584" s="14"/>
      <c r="L584" s="16" t="s">
        <v>2138</v>
      </c>
      <c r="M584" s="16" t="s">
        <v>75</v>
      </c>
      <c r="N584" s="11"/>
      <c r="O584" s="11"/>
      <c r="P584" s="16" t="s">
        <v>271</v>
      </c>
      <c r="Q584" s="11" t="s">
        <v>2139</v>
      </c>
      <c r="R584" s="16" t="s">
        <v>142</v>
      </c>
      <c r="S584" s="11"/>
    </row>
    <row r="585" spans="1:19" s="20" customFormat="1" ht="21.75" hidden="1" customHeight="1" x14ac:dyDescent="0.2">
      <c r="A585" s="16" t="s">
        <v>1297</v>
      </c>
      <c r="B585" s="17" t="s">
        <v>73</v>
      </c>
      <c r="C585" s="52">
        <v>46112</v>
      </c>
      <c r="D585" s="21">
        <v>6</v>
      </c>
      <c r="E585" s="19">
        <v>1</v>
      </c>
      <c r="F585" s="16" t="s">
        <v>1301</v>
      </c>
      <c r="G585" s="16" t="s">
        <v>1307</v>
      </c>
      <c r="H585" s="26" t="s">
        <v>1544</v>
      </c>
      <c r="I585" s="16" t="s">
        <v>1312</v>
      </c>
      <c r="J585" s="17">
        <v>20609116448</v>
      </c>
      <c r="K585" s="14"/>
      <c r="L585" s="16" t="s">
        <v>2138</v>
      </c>
      <c r="M585" s="16" t="s">
        <v>75</v>
      </c>
      <c r="N585" s="11"/>
      <c r="O585" s="11"/>
      <c r="P585" s="16" t="s">
        <v>271</v>
      </c>
      <c r="Q585" s="11" t="s">
        <v>2139</v>
      </c>
      <c r="R585" s="16" t="s">
        <v>142</v>
      </c>
      <c r="S585" s="11"/>
    </row>
    <row r="586" spans="1:19" s="20" customFormat="1" ht="21.75" hidden="1" customHeight="1" x14ac:dyDescent="0.2">
      <c r="A586" s="16" t="s">
        <v>1297</v>
      </c>
      <c r="B586" s="17" t="s">
        <v>73</v>
      </c>
      <c r="C586" s="52">
        <v>46112</v>
      </c>
      <c r="D586" s="21">
        <v>3</v>
      </c>
      <c r="E586" s="19">
        <v>1</v>
      </c>
      <c r="F586" s="16" t="s">
        <v>1136</v>
      </c>
      <c r="G586" s="16" t="s">
        <v>1148</v>
      </c>
      <c r="H586" s="26" t="s">
        <v>1544</v>
      </c>
      <c r="I586" s="16" t="s">
        <v>1312</v>
      </c>
      <c r="J586" s="17">
        <v>20609116448</v>
      </c>
      <c r="K586" s="14"/>
      <c r="L586" s="16" t="s">
        <v>2138</v>
      </c>
      <c r="M586" s="16" t="s">
        <v>75</v>
      </c>
      <c r="N586" s="11"/>
      <c r="O586" s="11"/>
      <c r="P586" s="16" t="s">
        <v>271</v>
      </c>
      <c r="Q586" s="11" t="s">
        <v>2139</v>
      </c>
      <c r="R586" s="16" t="s">
        <v>142</v>
      </c>
      <c r="S586" s="11"/>
    </row>
    <row r="587" spans="1:19" s="20" customFormat="1" ht="21.75" hidden="1" customHeight="1" x14ac:dyDescent="0.2">
      <c r="A587" s="16" t="s">
        <v>1297</v>
      </c>
      <c r="B587" s="17" t="s">
        <v>73</v>
      </c>
      <c r="C587" s="52">
        <v>46112</v>
      </c>
      <c r="D587" s="21">
        <v>3</v>
      </c>
      <c r="E587" s="19">
        <v>1</v>
      </c>
      <c r="F587" s="16" t="s">
        <v>1137</v>
      </c>
      <c r="G587" s="16" t="s">
        <v>1149</v>
      </c>
      <c r="H587" s="26" t="s">
        <v>1544</v>
      </c>
      <c r="I587" s="16" t="s">
        <v>1312</v>
      </c>
      <c r="J587" s="17">
        <v>20609116448</v>
      </c>
      <c r="K587" s="14"/>
      <c r="L587" s="16" t="s">
        <v>2138</v>
      </c>
      <c r="M587" s="16" t="s">
        <v>75</v>
      </c>
      <c r="N587" s="11"/>
      <c r="O587" s="11"/>
      <c r="P587" s="16" t="s">
        <v>271</v>
      </c>
      <c r="Q587" s="11" t="s">
        <v>2139</v>
      </c>
      <c r="R587" s="16" t="s">
        <v>142</v>
      </c>
      <c r="S587" s="11"/>
    </row>
    <row r="588" spans="1:19" s="20" customFormat="1" ht="21.75" hidden="1" customHeight="1" x14ac:dyDescent="0.2">
      <c r="A588" s="16" t="s">
        <v>1297</v>
      </c>
      <c r="B588" s="17" t="s">
        <v>73</v>
      </c>
      <c r="C588" s="52">
        <v>46112</v>
      </c>
      <c r="D588" s="21">
        <v>2</v>
      </c>
      <c r="E588" s="19">
        <v>1</v>
      </c>
      <c r="F588" s="16" t="s">
        <v>1132</v>
      </c>
      <c r="G588" s="16" t="s">
        <v>1144</v>
      </c>
      <c r="H588" s="26" t="s">
        <v>1544</v>
      </c>
      <c r="I588" s="16" t="s">
        <v>1312</v>
      </c>
      <c r="J588" s="17">
        <v>20609116448</v>
      </c>
      <c r="K588" s="14"/>
      <c r="L588" s="16" t="s">
        <v>2138</v>
      </c>
      <c r="M588" s="16" t="s">
        <v>75</v>
      </c>
      <c r="N588" s="11"/>
      <c r="O588" s="11"/>
      <c r="P588" s="16" t="s">
        <v>271</v>
      </c>
      <c r="Q588" s="11" t="s">
        <v>2139</v>
      </c>
      <c r="R588" s="16" t="s">
        <v>142</v>
      </c>
      <c r="S588" s="11"/>
    </row>
    <row r="589" spans="1:19" s="20" customFormat="1" ht="21.75" hidden="1" customHeight="1" x14ac:dyDescent="0.2">
      <c r="A589" s="16" t="s">
        <v>1297</v>
      </c>
      <c r="B589" s="17" t="s">
        <v>73</v>
      </c>
      <c r="C589" s="52">
        <v>46112</v>
      </c>
      <c r="D589" s="21">
        <v>1</v>
      </c>
      <c r="E589" s="19">
        <v>1</v>
      </c>
      <c r="F589" s="16" t="s">
        <v>1134</v>
      </c>
      <c r="G589" s="16" t="s">
        <v>1146</v>
      </c>
      <c r="H589" s="26" t="s">
        <v>1544</v>
      </c>
      <c r="I589" s="16" t="s">
        <v>1312</v>
      </c>
      <c r="J589" s="17">
        <v>20609116448</v>
      </c>
      <c r="K589" s="14"/>
      <c r="L589" s="16" t="s">
        <v>2138</v>
      </c>
      <c r="M589" s="16" t="s">
        <v>75</v>
      </c>
      <c r="N589" s="11"/>
      <c r="O589" s="11"/>
      <c r="P589" s="16" t="s">
        <v>271</v>
      </c>
      <c r="Q589" s="11" t="s">
        <v>2139</v>
      </c>
      <c r="R589" s="16" t="s">
        <v>142</v>
      </c>
      <c r="S589" s="11"/>
    </row>
    <row r="590" spans="1:19" s="20" customFormat="1" ht="21.75" hidden="1" customHeight="1" x14ac:dyDescent="0.2">
      <c r="A590" s="16" t="s">
        <v>1297</v>
      </c>
      <c r="B590" s="17" t="s">
        <v>73</v>
      </c>
      <c r="C590" s="52">
        <v>46112</v>
      </c>
      <c r="D590" s="21">
        <v>1</v>
      </c>
      <c r="E590" s="19">
        <v>1</v>
      </c>
      <c r="F590" s="16" t="s">
        <v>1133</v>
      </c>
      <c r="G590" s="16" t="s">
        <v>1145</v>
      </c>
      <c r="H590" s="26" t="s">
        <v>1544</v>
      </c>
      <c r="I590" s="16" t="s">
        <v>1312</v>
      </c>
      <c r="J590" s="17">
        <v>20609116448</v>
      </c>
      <c r="K590" s="14"/>
      <c r="L590" s="16" t="s">
        <v>2138</v>
      </c>
      <c r="M590" s="16" t="s">
        <v>75</v>
      </c>
      <c r="N590" s="11"/>
      <c r="O590" s="11"/>
      <c r="P590" s="16" t="s">
        <v>271</v>
      </c>
      <c r="Q590" s="11" t="s">
        <v>2139</v>
      </c>
      <c r="R590" s="16" t="s">
        <v>142</v>
      </c>
      <c r="S590" s="11"/>
    </row>
    <row r="591" spans="1:19" s="20" customFormat="1" ht="21.75" hidden="1" customHeight="1" x14ac:dyDescent="0.2">
      <c r="A591" s="16" t="s">
        <v>1297</v>
      </c>
      <c r="B591" s="17" t="s">
        <v>73</v>
      </c>
      <c r="C591" s="52">
        <v>46112</v>
      </c>
      <c r="D591" s="21">
        <v>2</v>
      </c>
      <c r="E591" s="19">
        <v>2</v>
      </c>
      <c r="F591" s="16" t="s">
        <v>908</v>
      </c>
      <c r="G591" s="16" t="s">
        <v>925</v>
      </c>
      <c r="H591" s="26" t="s">
        <v>1544</v>
      </c>
      <c r="I591" s="16" t="s">
        <v>1312</v>
      </c>
      <c r="J591" s="17">
        <v>20609116448</v>
      </c>
      <c r="K591" s="14"/>
      <c r="L591" s="16" t="s">
        <v>2138</v>
      </c>
      <c r="M591" s="16" t="s">
        <v>75</v>
      </c>
      <c r="N591" s="11"/>
      <c r="O591" s="11"/>
      <c r="P591" s="16" t="s">
        <v>271</v>
      </c>
      <c r="Q591" s="11" t="s">
        <v>2139</v>
      </c>
      <c r="R591" s="16" t="s">
        <v>142</v>
      </c>
      <c r="S591" s="11"/>
    </row>
    <row r="592" spans="1:19" s="20" customFormat="1" ht="21.75" hidden="1" customHeight="1" x14ac:dyDescent="0.2">
      <c r="A592" s="16" t="s">
        <v>1297</v>
      </c>
      <c r="B592" s="17" t="s">
        <v>73</v>
      </c>
      <c r="C592" s="52">
        <v>46112</v>
      </c>
      <c r="D592" s="21">
        <v>2</v>
      </c>
      <c r="E592" s="19">
        <v>2</v>
      </c>
      <c r="F592" s="16" t="s">
        <v>909</v>
      </c>
      <c r="G592" s="16" t="s">
        <v>926</v>
      </c>
      <c r="H592" s="26" t="s">
        <v>1544</v>
      </c>
      <c r="I592" s="16" t="s">
        <v>1312</v>
      </c>
      <c r="J592" s="17">
        <v>20609116448</v>
      </c>
      <c r="K592" s="14"/>
      <c r="L592" s="16" t="s">
        <v>2138</v>
      </c>
      <c r="M592" s="16" t="s">
        <v>75</v>
      </c>
      <c r="N592" s="11"/>
      <c r="O592" s="11"/>
      <c r="P592" s="16" t="s">
        <v>271</v>
      </c>
      <c r="Q592" s="11" t="s">
        <v>2139</v>
      </c>
      <c r="R592" s="16" t="s">
        <v>142</v>
      </c>
      <c r="S592" s="11"/>
    </row>
    <row r="593" spans="1:19" s="20" customFormat="1" ht="21.75" hidden="1" customHeight="1" x14ac:dyDescent="0.2">
      <c r="A593" s="16" t="s">
        <v>1297</v>
      </c>
      <c r="B593" s="17" t="s">
        <v>73</v>
      </c>
      <c r="C593" s="52">
        <v>46112</v>
      </c>
      <c r="D593" s="21">
        <v>6</v>
      </c>
      <c r="E593" s="19">
        <v>1</v>
      </c>
      <c r="F593" s="16" t="s">
        <v>1302</v>
      </c>
      <c r="G593" s="16" t="s">
        <v>1308</v>
      </c>
      <c r="H593" s="26" t="s">
        <v>1544</v>
      </c>
      <c r="I593" s="16" t="s">
        <v>1312</v>
      </c>
      <c r="J593" s="17">
        <v>20609116448</v>
      </c>
      <c r="K593" s="14"/>
      <c r="L593" s="16" t="s">
        <v>2138</v>
      </c>
      <c r="M593" s="16" t="s">
        <v>75</v>
      </c>
      <c r="N593" s="11"/>
      <c r="O593" s="11"/>
      <c r="P593" s="16" t="s">
        <v>271</v>
      </c>
      <c r="Q593" s="11" t="s">
        <v>2139</v>
      </c>
      <c r="R593" s="16" t="s">
        <v>142</v>
      </c>
      <c r="S593" s="11"/>
    </row>
    <row r="594" spans="1:19" s="20" customFormat="1" ht="21.75" hidden="1" customHeight="1" x14ac:dyDescent="0.2">
      <c r="A594" s="16" t="s">
        <v>1297</v>
      </c>
      <c r="B594" s="17" t="s">
        <v>73</v>
      </c>
      <c r="C594" s="52">
        <v>46112</v>
      </c>
      <c r="D594" s="21">
        <v>6</v>
      </c>
      <c r="E594" s="19">
        <v>1</v>
      </c>
      <c r="F594" s="16" t="s">
        <v>1303</v>
      </c>
      <c r="G594" s="16" t="s">
        <v>1309</v>
      </c>
      <c r="H594" s="26" t="s">
        <v>1544</v>
      </c>
      <c r="I594" s="16" t="s">
        <v>1312</v>
      </c>
      <c r="J594" s="17">
        <v>20609116448</v>
      </c>
      <c r="K594" s="14"/>
      <c r="L594" s="16" t="s">
        <v>2138</v>
      </c>
      <c r="M594" s="16" t="s">
        <v>75</v>
      </c>
      <c r="N594" s="11"/>
      <c r="O594" s="11"/>
      <c r="P594" s="16" t="s">
        <v>271</v>
      </c>
      <c r="Q594" s="11" t="s">
        <v>2139</v>
      </c>
      <c r="R594" s="16" t="s">
        <v>142</v>
      </c>
      <c r="S594" s="11"/>
    </row>
    <row r="595" spans="1:19" s="20" customFormat="1" ht="21.75" hidden="1" customHeight="1" x14ac:dyDescent="0.2">
      <c r="A595" s="16" t="s">
        <v>1326</v>
      </c>
      <c r="B595" s="17"/>
      <c r="C595" s="18">
        <v>46052</v>
      </c>
      <c r="D595" s="21">
        <v>240</v>
      </c>
      <c r="E595" s="19">
        <v>10</v>
      </c>
      <c r="F595" s="16" t="s">
        <v>152</v>
      </c>
      <c r="G595" s="16" t="s">
        <v>149</v>
      </c>
      <c r="H595" s="26" t="s">
        <v>1544</v>
      </c>
      <c r="I595" s="16" t="s">
        <v>1327</v>
      </c>
      <c r="J595" s="16" t="s">
        <v>1328</v>
      </c>
      <c r="K595" s="11"/>
      <c r="L595" s="16" t="s">
        <v>1329</v>
      </c>
      <c r="M595" s="16" t="s">
        <v>75</v>
      </c>
      <c r="N595" s="11"/>
      <c r="O595" s="11"/>
      <c r="P595" s="16"/>
      <c r="Q595" s="11" t="s">
        <v>973</v>
      </c>
      <c r="R595" s="16" t="s">
        <v>1278</v>
      </c>
      <c r="S595" s="16" t="s">
        <v>1330</v>
      </c>
    </row>
    <row r="596" spans="1:19" s="20" customFormat="1" ht="21.75" hidden="1" customHeight="1" x14ac:dyDescent="0.2">
      <c r="A596" s="16" t="s">
        <v>1331</v>
      </c>
      <c r="B596" s="17"/>
      <c r="C596" s="18">
        <v>46051</v>
      </c>
      <c r="D596" s="21">
        <v>18</v>
      </c>
      <c r="E596" s="19">
        <v>6</v>
      </c>
      <c r="F596" s="16" t="s">
        <v>362</v>
      </c>
      <c r="G596" s="16" t="s">
        <v>374</v>
      </c>
      <c r="H596" s="16" t="s">
        <v>1650</v>
      </c>
      <c r="I596" s="16" t="s">
        <v>380</v>
      </c>
      <c r="J596" s="17">
        <v>10009600111</v>
      </c>
      <c r="K596" s="17">
        <v>933366745</v>
      </c>
      <c r="L596" s="16" t="s">
        <v>390</v>
      </c>
      <c r="M596" s="16" t="s">
        <v>393</v>
      </c>
      <c r="N596" s="11"/>
      <c r="O596" s="11"/>
      <c r="P596" s="16"/>
      <c r="Q596" s="16" t="s">
        <v>1332</v>
      </c>
      <c r="R596" s="16" t="s">
        <v>397</v>
      </c>
      <c r="S596" s="16" t="s">
        <v>1333</v>
      </c>
    </row>
    <row r="597" spans="1:19" ht="21.75" hidden="1" customHeight="1" x14ac:dyDescent="0.25">
      <c r="A597" s="16" t="s">
        <v>1068</v>
      </c>
      <c r="B597" s="32" t="s">
        <v>1172</v>
      </c>
      <c r="C597" s="18">
        <v>46056</v>
      </c>
      <c r="D597" s="21">
        <v>1</v>
      </c>
      <c r="E597" s="19">
        <v>1</v>
      </c>
      <c r="F597" s="16" t="s">
        <v>1073</v>
      </c>
      <c r="G597" s="16" t="s">
        <v>1077</v>
      </c>
      <c r="H597" s="16" t="s">
        <v>1650</v>
      </c>
      <c r="I597" s="16" t="s">
        <v>66</v>
      </c>
      <c r="J597" s="17">
        <v>20334539149</v>
      </c>
      <c r="K597" s="16" t="s">
        <v>1085</v>
      </c>
      <c r="L597" s="16" t="s">
        <v>722</v>
      </c>
      <c r="M597" s="16" t="s">
        <v>299</v>
      </c>
      <c r="N597" s="11"/>
      <c r="O597" s="11"/>
      <c r="P597" s="16"/>
      <c r="Q597" s="29" t="s">
        <v>1339</v>
      </c>
      <c r="R597" s="16" t="s">
        <v>395</v>
      </c>
      <c r="S597" s="11" t="s">
        <v>1102</v>
      </c>
    </row>
    <row r="598" spans="1:19" s="20" customFormat="1" ht="21.75" hidden="1" customHeight="1" x14ac:dyDescent="0.2">
      <c r="A598" s="16" t="s">
        <v>1340</v>
      </c>
      <c r="B598" s="16" t="s">
        <v>73</v>
      </c>
      <c r="C598" s="18">
        <v>46053</v>
      </c>
      <c r="D598" s="21">
        <v>6</v>
      </c>
      <c r="E598" s="21">
        <v>1</v>
      </c>
      <c r="F598" s="16" t="s">
        <v>911</v>
      </c>
      <c r="G598" s="16" t="s">
        <v>928</v>
      </c>
      <c r="H598" s="16" t="s">
        <v>99</v>
      </c>
      <c r="I598" s="37" t="s">
        <v>1345</v>
      </c>
      <c r="J598" s="37" t="s">
        <v>1347</v>
      </c>
      <c r="K598" s="92">
        <v>970030179</v>
      </c>
      <c r="L598" s="11" t="s">
        <v>1157</v>
      </c>
      <c r="M598" s="11" t="s">
        <v>960</v>
      </c>
      <c r="N598" s="11"/>
      <c r="O598" s="11"/>
      <c r="P598" s="37" t="s">
        <v>1351</v>
      </c>
      <c r="Q598" s="91" t="s">
        <v>1350</v>
      </c>
      <c r="R598" s="16" t="s">
        <v>933</v>
      </c>
      <c r="S598" s="11" t="s">
        <v>1342</v>
      </c>
    </row>
    <row r="599" spans="1:19" s="20" customFormat="1" ht="21.75" hidden="1" customHeight="1" x14ac:dyDescent="0.2">
      <c r="A599" s="16" t="s">
        <v>1341</v>
      </c>
      <c r="B599" s="16" t="s">
        <v>73</v>
      </c>
      <c r="C599" s="18">
        <v>46053</v>
      </c>
      <c r="D599" s="21">
        <v>1</v>
      </c>
      <c r="E599" s="21">
        <v>1</v>
      </c>
      <c r="F599" s="16" t="s">
        <v>53</v>
      </c>
      <c r="G599" s="16" t="s">
        <v>121</v>
      </c>
      <c r="H599" s="16" t="s">
        <v>99</v>
      </c>
      <c r="I599" s="36" t="s">
        <v>1346</v>
      </c>
      <c r="J599" s="36" t="s">
        <v>1348</v>
      </c>
      <c r="K599" s="90">
        <v>980977566</v>
      </c>
      <c r="L599" s="11" t="s">
        <v>1349</v>
      </c>
      <c r="M599" s="11" t="s">
        <v>795</v>
      </c>
      <c r="N599" s="11"/>
      <c r="O599" s="11"/>
      <c r="P599" s="36" t="s">
        <v>135</v>
      </c>
      <c r="Q599" s="11"/>
      <c r="R599" s="16" t="s">
        <v>933</v>
      </c>
      <c r="S599" s="11" t="s">
        <v>1343</v>
      </c>
    </row>
    <row r="600" spans="1:19" s="20" customFormat="1" ht="21.75" hidden="1" customHeight="1" x14ac:dyDescent="0.2">
      <c r="A600" s="16" t="s">
        <v>1352</v>
      </c>
      <c r="B600" s="16" t="s">
        <v>1357</v>
      </c>
      <c r="C600" s="18">
        <v>46053</v>
      </c>
      <c r="D600" s="21">
        <v>48</v>
      </c>
      <c r="E600" s="19">
        <v>4</v>
      </c>
      <c r="F600" s="16" t="s">
        <v>85</v>
      </c>
      <c r="G600" s="16" t="s">
        <v>90</v>
      </c>
      <c r="H600" s="16" t="s">
        <v>99</v>
      </c>
      <c r="I600" s="16" t="s">
        <v>1361</v>
      </c>
      <c r="J600" s="17">
        <v>20101904874</v>
      </c>
      <c r="K600" s="11"/>
      <c r="L600" s="16" t="s">
        <v>534</v>
      </c>
      <c r="M600" s="16" t="s">
        <v>474</v>
      </c>
      <c r="N600" s="11"/>
      <c r="O600" s="11"/>
      <c r="P600" s="16" t="s">
        <v>513</v>
      </c>
      <c r="Q600" s="16" t="s">
        <v>516</v>
      </c>
      <c r="R600" s="16" t="s">
        <v>505</v>
      </c>
      <c r="S600" s="11" t="s">
        <v>1377</v>
      </c>
    </row>
    <row r="601" spans="1:19" s="20" customFormat="1" ht="21.75" hidden="1" customHeight="1" x14ac:dyDescent="0.2">
      <c r="A601" s="16" t="s">
        <v>1353</v>
      </c>
      <c r="B601" s="16" t="s">
        <v>73</v>
      </c>
      <c r="C601" s="18">
        <v>46053</v>
      </c>
      <c r="D601" s="21">
        <v>1</v>
      </c>
      <c r="E601" s="211">
        <v>1</v>
      </c>
      <c r="F601" s="16" t="s">
        <v>155</v>
      </c>
      <c r="G601" s="16" t="s">
        <v>125</v>
      </c>
      <c r="H601" s="16" t="s">
        <v>99</v>
      </c>
      <c r="I601" s="16" t="s">
        <v>1360</v>
      </c>
      <c r="J601" s="17">
        <v>76042956</v>
      </c>
      <c r="K601" s="11"/>
      <c r="L601" s="16" t="s">
        <v>958</v>
      </c>
      <c r="M601" s="16" t="s">
        <v>1376</v>
      </c>
      <c r="N601" s="11"/>
      <c r="O601" s="11"/>
      <c r="P601" s="16" t="s">
        <v>1365</v>
      </c>
      <c r="Q601" s="16" t="s">
        <v>1367</v>
      </c>
      <c r="R601" s="16" t="s">
        <v>933</v>
      </c>
      <c r="S601" s="11" t="s">
        <v>1378</v>
      </c>
    </row>
    <row r="602" spans="1:19" s="20" customFormat="1" ht="21.75" hidden="1" customHeight="1" x14ac:dyDescent="0.2">
      <c r="A602" s="16" t="s">
        <v>1353</v>
      </c>
      <c r="B602" s="16" t="s">
        <v>73</v>
      </c>
      <c r="C602" s="18">
        <v>46053</v>
      </c>
      <c r="D602" s="21">
        <v>1</v>
      </c>
      <c r="E602" s="212"/>
      <c r="F602" s="16" t="s">
        <v>158</v>
      </c>
      <c r="G602" s="16" t="s">
        <v>150</v>
      </c>
      <c r="H602" s="16" t="s">
        <v>99</v>
      </c>
      <c r="I602" s="16" t="s">
        <v>1360</v>
      </c>
      <c r="J602" s="17">
        <v>76042956</v>
      </c>
      <c r="K602" s="11"/>
      <c r="L602" s="16" t="s">
        <v>958</v>
      </c>
      <c r="M602" s="16" t="s">
        <v>1376</v>
      </c>
      <c r="N602" s="11"/>
      <c r="O602" s="11"/>
      <c r="P602" s="16" t="s">
        <v>1365</v>
      </c>
      <c r="Q602" s="16" t="s">
        <v>1367</v>
      </c>
      <c r="R602" s="16" t="s">
        <v>933</v>
      </c>
      <c r="S602" s="11" t="s">
        <v>1378</v>
      </c>
    </row>
    <row r="603" spans="1:19" s="20" customFormat="1" ht="21.75" hidden="1" customHeight="1" x14ac:dyDescent="0.2">
      <c r="A603" s="16" t="s">
        <v>1353</v>
      </c>
      <c r="B603" s="16" t="s">
        <v>73</v>
      </c>
      <c r="C603" s="18">
        <v>46053</v>
      </c>
      <c r="D603" s="21">
        <v>1</v>
      </c>
      <c r="E603" s="216"/>
      <c r="F603" s="16" t="s">
        <v>48</v>
      </c>
      <c r="G603" s="16" t="s">
        <v>160</v>
      </c>
      <c r="H603" s="16" t="s">
        <v>99</v>
      </c>
      <c r="I603" s="16" t="s">
        <v>1361</v>
      </c>
      <c r="J603" s="17">
        <v>76042956</v>
      </c>
      <c r="K603" s="11"/>
      <c r="L603" s="16" t="s">
        <v>958</v>
      </c>
      <c r="M603" s="16" t="s">
        <v>1376</v>
      </c>
      <c r="N603" s="11"/>
      <c r="O603" s="11"/>
      <c r="P603" s="16" t="s">
        <v>1365</v>
      </c>
      <c r="Q603" s="16" t="s">
        <v>1367</v>
      </c>
      <c r="R603" s="16" t="s">
        <v>933</v>
      </c>
      <c r="S603" s="11" t="s">
        <v>1378</v>
      </c>
    </row>
    <row r="604" spans="1:19" s="20" customFormat="1" ht="21.75" hidden="1" customHeight="1" x14ac:dyDescent="0.2">
      <c r="A604" s="16" t="s">
        <v>1354</v>
      </c>
      <c r="B604" s="16" t="s">
        <v>1358</v>
      </c>
      <c r="C604" s="18">
        <v>46056</v>
      </c>
      <c r="D604" s="21">
        <v>24</v>
      </c>
      <c r="E604" s="19">
        <v>2</v>
      </c>
      <c r="F604" s="16" t="s">
        <v>85</v>
      </c>
      <c r="G604" s="16" t="s">
        <v>90</v>
      </c>
      <c r="H604" s="16" t="s">
        <v>99</v>
      </c>
      <c r="I604" s="16" t="s">
        <v>1361</v>
      </c>
      <c r="J604" s="17">
        <v>20101904874</v>
      </c>
      <c r="K604" s="11"/>
      <c r="L604" s="16" t="s">
        <v>534</v>
      </c>
      <c r="M604" s="16" t="s">
        <v>474</v>
      </c>
      <c r="N604" s="11"/>
      <c r="O604" s="11"/>
      <c r="P604" s="16" t="s">
        <v>513</v>
      </c>
      <c r="Q604" s="16" t="s">
        <v>516</v>
      </c>
      <c r="R604" s="16" t="s">
        <v>505</v>
      </c>
      <c r="S604" s="11" t="s">
        <v>1402</v>
      </c>
    </row>
    <row r="605" spans="1:19" s="20" customFormat="1" ht="21.75" hidden="1" customHeight="1" x14ac:dyDescent="0.2">
      <c r="A605" s="16" t="s">
        <v>1354</v>
      </c>
      <c r="B605" s="16" t="s">
        <v>1358</v>
      </c>
      <c r="C605" s="18">
        <v>46056</v>
      </c>
      <c r="D605" s="21">
        <v>6</v>
      </c>
      <c r="E605" s="19">
        <v>1</v>
      </c>
      <c r="F605" s="16" t="s">
        <v>506</v>
      </c>
      <c r="G605" s="16" t="s">
        <v>509</v>
      </c>
      <c r="H605" s="16" t="s">
        <v>99</v>
      </c>
      <c r="I605" s="16" t="s">
        <v>1361</v>
      </c>
      <c r="J605" s="17">
        <v>20101904874</v>
      </c>
      <c r="K605" s="11"/>
      <c r="L605" s="16" t="s">
        <v>534</v>
      </c>
      <c r="M605" s="16" t="s">
        <v>474</v>
      </c>
      <c r="N605" s="11"/>
      <c r="O605" s="11"/>
      <c r="P605" s="16" t="s">
        <v>513</v>
      </c>
      <c r="Q605" s="16" t="s">
        <v>516</v>
      </c>
      <c r="R605" s="16" t="s">
        <v>505</v>
      </c>
      <c r="S605" s="11" t="s">
        <v>1402</v>
      </c>
    </row>
    <row r="606" spans="1:19" s="20" customFormat="1" ht="21.75" hidden="1" customHeight="1" x14ac:dyDescent="0.2">
      <c r="A606" s="16" t="s">
        <v>1354</v>
      </c>
      <c r="B606" s="16" t="s">
        <v>1358</v>
      </c>
      <c r="C606" s="18">
        <v>46056</v>
      </c>
      <c r="D606" s="21">
        <v>12</v>
      </c>
      <c r="E606" s="19">
        <v>1</v>
      </c>
      <c r="F606" s="16" t="s">
        <v>85</v>
      </c>
      <c r="G606" s="16" t="s">
        <v>90</v>
      </c>
      <c r="H606" s="16" t="s">
        <v>99</v>
      </c>
      <c r="I606" s="16" t="s">
        <v>1361</v>
      </c>
      <c r="J606" s="17">
        <v>20101904874</v>
      </c>
      <c r="K606" s="11"/>
      <c r="L606" s="16" t="s">
        <v>535</v>
      </c>
      <c r="M606" s="16" t="s">
        <v>299</v>
      </c>
      <c r="N606" s="11"/>
      <c r="O606" s="11"/>
      <c r="P606" s="16" t="s">
        <v>513</v>
      </c>
      <c r="Q606" s="16" t="s">
        <v>517</v>
      </c>
      <c r="R606" s="16" t="s">
        <v>505</v>
      </c>
      <c r="S606" s="11" t="s">
        <v>1403</v>
      </c>
    </row>
    <row r="607" spans="1:19" s="20" customFormat="1" ht="21.75" hidden="1" customHeight="1" x14ac:dyDescent="0.2">
      <c r="A607" s="16" t="s">
        <v>1354</v>
      </c>
      <c r="B607" s="16" t="s">
        <v>1358</v>
      </c>
      <c r="C607" s="18">
        <v>46056</v>
      </c>
      <c r="D607" s="21">
        <v>36</v>
      </c>
      <c r="E607" s="19">
        <v>3</v>
      </c>
      <c r="F607" s="16" t="s">
        <v>85</v>
      </c>
      <c r="G607" s="16" t="s">
        <v>90</v>
      </c>
      <c r="H607" s="16" t="s">
        <v>99</v>
      </c>
      <c r="I607" s="16" t="s">
        <v>1361</v>
      </c>
      <c r="J607" s="17">
        <v>20101904874</v>
      </c>
      <c r="K607" s="11"/>
      <c r="L607" s="16" t="s">
        <v>536</v>
      </c>
      <c r="M607" s="16" t="s">
        <v>312</v>
      </c>
      <c r="N607" s="11"/>
      <c r="O607" s="11"/>
      <c r="P607" s="16" t="s">
        <v>514</v>
      </c>
      <c r="Q607" s="16" t="s">
        <v>518</v>
      </c>
      <c r="R607" s="16" t="s">
        <v>505</v>
      </c>
      <c r="S607" s="11" t="s">
        <v>1404</v>
      </c>
    </row>
    <row r="608" spans="1:19" s="20" customFormat="1" ht="21.75" hidden="1" customHeight="1" x14ac:dyDescent="0.2">
      <c r="A608" s="16" t="s">
        <v>1354</v>
      </c>
      <c r="B608" s="16" t="s">
        <v>1358</v>
      </c>
      <c r="C608" s="18">
        <v>46056</v>
      </c>
      <c r="D608" s="21">
        <v>12</v>
      </c>
      <c r="E608" s="19">
        <v>1</v>
      </c>
      <c r="F608" s="16" t="s">
        <v>506</v>
      </c>
      <c r="G608" s="16" t="s">
        <v>509</v>
      </c>
      <c r="H608" s="16" t="s">
        <v>99</v>
      </c>
      <c r="I608" s="16" t="s">
        <v>1361</v>
      </c>
      <c r="J608" s="17">
        <v>20101904874</v>
      </c>
      <c r="K608" s="11"/>
      <c r="L608" s="16" t="s">
        <v>536</v>
      </c>
      <c r="M608" s="16" t="s">
        <v>312</v>
      </c>
      <c r="N608" s="11"/>
      <c r="O608" s="11"/>
      <c r="P608" s="16" t="s">
        <v>514</v>
      </c>
      <c r="Q608" s="16" t="s">
        <v>518</v>
      </c>
      <c r="R608" s="16" t="s">
        <v>505</v>
      </c>
      <c r="S608" s="11" t="s">
        <v>1404</v>
      </c>
    </row>
    <row r="609" spans="1:19" s="20" customFormat="1" ht="21.75" hidden="1" customHeight="1" x14ac:dyDescent="0.2">
      <c r="A609" s="16" t="s">
        <v>1354</v>
      </c>
      <c r="B609" s="16" t="s">
        <v>1358</v>
      </c>
      <c r="C609" s="18">
        <v>46056</v>
      </c>
      <c r="D609" s="21">
        <v>24</v>
      </c>
      <c r="E609" s="19">
        <v>2</v>
      </c>
      <c r="F609" s="16" t="s">
        <v>85</v>
      </c>
      <c r="G609" s="16" t="s">
        <v>90</v>
      </c>
      <c r="H609" s="16" t="s">
        <v>99</v>
      </c>
      <c r="I609" s="16" t="s">
        <v>1361</v>
      </c>
      <c r="J609" s="17">
        <v>20101904874</v>
      </c>
      <c r="K609" s="11"/>
      <c r="L609" s="16" t="s">
        <v>537</v>
      </c>
      <c r="M609" s="16" t="s">
        <v>299</v>
      </c>
      <c r="N609" s="11"/>
      <c r="O609" s="11"/>
      <c r="P609" s="16" t="s">
        <v>514</v>
      </c>
      <c r="Q609" s="16" t="s">
        <v>519</v>
      </c>
      <c r="R609" s="16" t="s">
        <v>505</v>
      </c>
      <c r="S609" s="11" t="s">
        <v>1405</v>
      </c>
    </row>
    <row r="610" spans="1:19" s="20" customFormat="1" ht="21.75" hidden="1" customHeight="1" x14ac:dyDescent="0.2">
      <c r="A610" s="16" t="s">
        <v>1354</v>
      </c>
      <c r="B610" s="16" t="s">
        <v>1358</v>
      </c>
      <c r="C610" s="18">
        <v>46056</v>
      </c>
      <c r="D610" s="21">
        <v>12</v>
      </c>
      <c r="E610" s="19">
        <v>1</v>
      </c>
      <c r="F610" s="16" t="s">
        <v>85</v>
      </c>
      <c r="G610" s="16" t="s">
        <v>90</v>
      </c>
      <c r="H610" s="16" t="s">
        <v>99</v>
      </c>
      <c r="I610" s="16" t="s">
        <v>1361</v>
      </c>
      <c r="J610" s="17">
        <v>20101904874</v>
      </c>
      <c r="K610" s="11"/>
      <c r="L610" s="16" t="s">
        <v>538</v>
      </c>
      <c r="M610" s="16" t="s">
        <v>474</v>
      </c>
      <c r="N610" s="11"/>
      <c r="O610" s="11"/>
      <c r="P610" s="16" t="s">
        <v>513</v>
      </c>
      <c r="Q610" s="16" t="s">
        <v>520</v>
      </c>
      <c r="R610" s="16" t="s">
        <v>505</v>
      </c>
      <c r="S610" s="11" t="s">
        <v>1406</v>
      </c>
    </row>
    <row r="611" spans="1:19" s="20" customFormat="1" ht="21.75" hidden="1" customHeight="1" x14ac:dyDescent="0.2">
      <c r="A611" s="16" t="s">
        <v>1354</v>
      </c>
      <c r="B611" s="16" t="s">
        <v>1358</v>
      </c>
      <c r="C611" s="18">
        <v>46056</v>
      </c>
      <c r="D611" s="21">
        <v>24</v>
      </c>
      <c r="E611" s="19">
        <v>2</v>
      </c>
      <c r="F611" s="16" t="s">
        <v>85</v>
      </c>
      <c r="G611" s="16" t="s">
        <v>90</v>
      </c>
      <c r="H611" s="16" t="s">
        <v>99</v>
      </c>
      <c r="I611" s="16" t="s">
        <v>1361</v>
      </c>
      <c r="J611" s="17">
        <v>20101904874</v>
      </c>
      <c r="K611" s="11"/>
      <c r="L611" s="16" t="s">
        <v>539</v>
      </c>
      <c r="M611" s="16" t="s">
        <v>306</v>
      </c>
      <c r="N611" s="11"/>
      <c r="O611" s="11"/>
      <c r="P611" s="16" t="s">
        <v>513</v>
      </c>
      <c r="Q611" s="16" t="s">
        <v>521</v>
      </c>
      <c r="R611" s="16" t="s">
        <v>505</v>
      </c>
      <c r="S611" s="11" t="s">
        <v>1407</v>
      </c>
    </row>
    <row r="612" spans="1:19" s="20" customFormat="1" ht="21.75" hidden="1" customHeight="1" x14ac:dyDescent="0.2">
      <c r="A612" s="16" t="s">
        <v>1354</v>
      </c>
      <c r="B612" s="16" t="s">
        <v>1358</v>
      </c>
      <c r="C612" s="18">
        <v>46056</v>
      </c>
      <c r="D612" s="21">
        <v>48</v>
      </c>
      <c r="E612" s="19">
        <v>4</v>
      </c>
      <c r="F612" s="16" t="s">
        <v>85</v>
      </c>
      <c r="G612" s="16" t="s">
        <v>90</v>
      </c>
      <c r="H612" s="16" t="s">
        <v>99</v>
      </c>
      <c r="I612" s="16" t="s">
        <v>1361</v>
      </c>
      <c r="J612" s="17">
        <v>20101904874</v>
      </c>
      <c r="K612" s="11"/>
      <c r="L612" s="16" t="s">
        <v>540</v>
      </c>
      <c r="M612" s="16" t="s">
        <v>299</v>
      </c>
      <c r="N612" s="11"/>
      <c r="O612" s="11"/>
      <c r="P612" s="16" t="s">
        <v>513</v>
      </c>
      <c r="Q612" s="16" t="s">
        <v>522</v>
      </c>
      <c r="R612" s="16" t="s">
        <v>505</v>
      </c>
      <c r="S612" s="11" t="s">
        <v>1408</v>
      </c>
    </row>
    <row r="613" spans="1:19" s="20" customFormat="1" ht="21.75" hidden="1" customHeight="1" x14ac:dyDescent="0.2">
      <c r="A613" s="16" t="s">
        <v>1354</v>
      </c>
      <c r="B613" s="16" t="s">
        <v>1358</v>
      </c>
      <c r="C613" s="18">
        <v>46056</v>
      </c>
      <c r="D613" s="21">
        <v>12</v>
      </c>
      <c r="E613" s="19">
        <v>1</v>
      </c>
      <c r="F613" s="16" t="s">
        <v>85</v>
      </c>
      <c r="G613" s="16" t="s">
        <v>90</v>
      </c>
      <c r="H613" s="16" t="s">
        <v>99</v>
      </c>
      <c r="I613" s="16" t="s">
        <v>1361</v>
      </c>
      <c r="J613" s="17">
        <v>20101904874</v>
      </c>
      <c r="K613" s="11"/>
      <c r="L613" s="16" t="s">
        <v>541</v>
      </c>
      <c r="M613" s="16" t="s">
        <v>347</v>
      </c>
      <c r="N613" s="11"/>
      <c r="O613" s="11"/>
      <c r="P613" s="16" t="s">
        <v>514</v>
      </c>
      <c r="Q613" s="16" t="s">
        <v>523</v>
      </c>
      <c r="R613" s="16" t="s">
        <v>505</v>
      </c>
      <c r="S613" s="11" t="s">
        <v>1410</v>
      </c>
    </row>
    <row r="614" spans="1:19" s="20" customFormat="1" ht="21.75" hidden="1" customHeight="1" x14ac:dyDescent="0.2">
      <c r="A614" s="16" t="s">
        <v>1354</v>
      </c>
      <c r="B614" s="16" t="s">
        <v>1358</v>
      </c>
      <c r="C614" s="18">
        <v>46056</v>
      </c>
      <c r="D614" s="21">
        <v>6</v>
      </c>
      <c r="E614" s="19">
        <v>1</v>
      </c>
      <c r="F614" s="16" t="s">
        <v>506</v>
      </c>
      <c r="G614" s="16" t="s">
        <v>509</v>
      </c>
      <c r="H614" s="16" t="s">
        <v>99</v>
      </c>
      <c r="I614" s="16" t="s">
        <v>1361</v>
      </c>
      <c r="J614" s="17">
        <v>20101904874</v>
      </c>
      <c r="K614" s="11"/>
      <c r="L614" s="16" t="s">
        <v>541</v>
      </c>
      <c r="M614" s="16" t="s">
        <v>347</v>
      </c>
      <c r="N614" s="11"/>
      <c r="O614" s="11"/>
      <c r="P614" s="16" t="s">
        <v>514</v>
      </c>
      <c r="Q614" s="16" t="s">
        <v>523</v>
      </c>
      <c r="R614" s="16" t="s">
        <v>505</v>
      </c>
      <c r="S614" s="11" t="s">
        <v>1410</v>
      </c>
    </row>
    <row r="615" spans="1:19" s="20" customFormat="1" ht="21.75" hidden="1" customHeight="1" x14ac:dyDescent="0.2">
      <c r="A615" s="16" t="s">
        <v>1354</v>
      </c>
      <c r="B615" s="16" t="s">
        <v>1358</v>
      </c>
      <c r="C615" s="18">
        <v>46056</v>
      </c>
      <c r="D615" s="21">
        <v>12</v>
      </c>
      <c r="E615" s="19">
        <v>1</v>
      </c>
      <c r="F615" s="16" t="s">
        <v>85</v>
      </c>
      <c r="G615" s="16" t="s">
        <v>90</v>
      </c>
      <c r="H615" s="16" t="s">
        <v>99</v>
      </c>
      <c r="I615" s="16" t="s">
        <v>1361</v>
      </c>
      <c r="J615" s="17">
        <v>20101904874</v>
      </c>
      <c r="K615" s="11"/>
      <c r="L615" s="16" t="s">
        <v>542</v>
      </c>
      <c r="M615" s="16" t="s">
        <v>299</v>
      </c>
      <c r="N615" s="11"/>
      <c r="O615" s="11"/>
      <c r="P615" s="16" t="s">
        <v>513</v>
      </c>
      <c r="Q615" s="16" t="s">
        <v>524</v>
      </c>
      <c r="R615" s="16" t="s">
        <v>505</v>
      </c>
      <c r="S615" s="11" t="s">
        <v>1412</v>
      </c>
    </row>
    <row r="616" spans="1:19" s="20" customFormat="1" ht="21.75" hidden="1" customHeight="1" x14ac:dyDescent="0.2">
      <c r="A616" s="16" t="s">
        <v>1354</v>
      </c>
      <c r="B616" s="16" t="s">
        <v>1358</v>
      </c>
      <c r="C616" s="18">
        <v>46056</v>
      </c>
      <c r="D616" s="21">
        <v>24</v>
      </c>
      <c r="E616" s="19">
        <v>2</v>
      </c>
      <c r="F616" s="16" t="s">
        <v>85</v>
      </c>
      <c r="G616" s="16" t="s">
        <v>90</v>
      </c>
      <c r="H616" s="16" t="s">
        <v>99</v>
      </c>
      <c r="I616" s="16" t="s">
        <v>1361</v>
      </c>
      <c r="J616" s="17">
        <v>20101904874</v>
      </c>
      <c r="K616" s="11"/>
      <c r="L616" s="16" t="s">
        <v>543</v>
      </c>
      <c r="M616" s="16" t="s">
        <v>474</v>
      </c>
      <c r="N616" s="11"/>
      <c r="O616" s="11"/>
      <c r="P616" s="16" t="s">
        <v>513</v>
      </c>
      <c r="Q616" s="16" t="s">
        <v>525</v>
      </c>
      <c r="R616" s="16" t="s">
        <v>505</v>
      </c>
      <c r="S616" s="11" t="s">
        <v>1413</v>
      </c>
    </row>
    <row r="617" spans="1:19" s="20" customFormat="1" ht="21.75" hidden="1" customHeight="1" x14ac:dyDescent="0.2">
      <c r="A617" s="16" t="s">
        <v>1354</v>
      </c>
      <c r="B617" s="16" t="s">
        <v>1358</v>
      </c>
      <c r="C617" s="18">
        <v>46056</v>
      </c>
      <c r="D617" s="21">
        <v>6</v>
      </c>
      <c r="E617" s="19">
        <v>1</v>
      </c>
      <c r="F617" s="16" t="s">
        <v>506</v>
      </c>
      <c r="G617" s="16" t="s">
        <v>509</v>
      </c>
      <c r="H617" s="16" t="s">
        <v>99</v>
      </c>
      <c r="I617" s="16" t="s">
        <v>1361</v>
      </c>
      <c r="J617" s="17">
        <v>20101904874</v>
      </c>
      <c r="K617" s="11"/>
      <c r="L617" s="16" t="s">
        <v>543</v>
      </c>
      <c r="M617" s="16" t="s">
        <v>474</v>
      </c>
      <c r="N617" s="11"/>
      <c r="O617" s="11"/>
      <c r="P617" s="16" t="s">
        <v>513</v>
      </c>
      <c r="Q617" s="16" t="s">
        <v>525</v>
      </c>
      <c r="R617" s="16" t="s">
        <v>505</v>
      </c>
      <c r="S617" s="11" t="s">
        <v>1413</v>
      </c>
    </row>
    <row r="618" spans="1:19" s="20" customFormat="1" ht="21.75" hidden="1" customHeight="1" x14ac:dyDescent="0.2">
      <c r="A618" s="16" t="s">
        <v>1354</v>
      </c>
      <c r="B618" s="16" t="s">
        <v>1358</v>
      </c>
      <c r="C618" s="18">
        <v>46056</v>
      </c>
      <c r="D618" s="21">
        <v>48</v>
      </c>
      <c r="E618" s="19">
        <v>4</v>
      </c>
      <c r="F618" s="16" t="s">
        <v>85</v>
      </c>
      <c r="G618" s="16" t="s">
        <v>90</v>
      </c>
      <c r="H618" s="16" t="s">
        <v>99</v>
      </c>
      <c r="I618" s="16" t="s">
        <v>1361</v>
      </c>
      <c r="J618" s="17">
        <v>20101904874</v>
      </c>
      <c r="K618" s="11"/>
      <c r="L618" s="16" t="s">
        <v>1372</v>
      </c>
      <c r="M618" s="16" t="s">
        <v>533</v>
      </c>
      <c r="N618" s="11"/>
      <c r="O618" s="11"/>
      <c r="P618" s="16" t="s">
        <v>515</v>
      </c>
      <c r="Q618" s="16" t="s">
        <v>1368</v>
      </c>
      <c r="R618" s="16" t="s">
        <v>505</v>
      </c>
      <c r="S618" s="11" t="s">
        <v>1415</v>
      </c>
    </row>
    <row r="619" spans="1:19" s="20" customFormat="1" ht="21.75" hidden="1" customHeight="1" x14ac:dyDescent="0.2">
      <c r="A619" s="16" t="s">
        <v>1355</v>
      </c>
      <c r="B619" s="16" t="s">
        <v>1359</v>
      </c>
      <c r="C619" s="18">
        <v>46056</v>
      </c>
      <c r="D619" s="21">
        <v>24</v>
      </c>
      <c r="E619" s="19">
        <v>2</v>
      </c>
      <c r="F619" s="16" t="s">
        <v>85</v>
      </c>
      <c r="G619" s="16" t="s">
        <v>90</v>
      </c>
      <c r="H619" s="16" t="s">
        <v>99</v>
      </c>
      <c r="I619" s="16" t="s">
        <v>1361</v>
      </c>
      <c r="J619" s="17">
        <v>20101904874</v>
      </c>
      <c r="K619" s="11"/>
      <c r="L619" s="16" t="s">
        <v>1373</v>
      </c>
      <c r="M619" s="16" t="s">
        <v>299</v>
      </c>
      <c r="N619" s="11"/>
      <c r="O619" s="11"/>
      <c r="P619" s="16" t="s">
        <v>513</v>
      </c>
      <c r="Q619" s="16" t="s">
        <v>1369</v>
      </c>
      <c r="R619" s="16" t="s">
        <v>505</v>
      </c>
      <c r="S619" s="11" t="s">
        <v>1416</v>
      </c>
    </row>
    <row r="620" spans="1:19" s="20" customFormat="1" ht="21.75" hidden="1" customHeight="1" x14ac:dyDescent="0.2">
      <c r="A620" s="16" t="s">
        <v>1355</v>
      </c>
      <c r="B620" s="16" t="s">
        <v>1359</v>
      </c>
      <c r="C620" s="18">
        <v>46056</v>
      </c>
      <c r="D620" s="21">
        <v>24</v>
      </c>
      <c r="E620" s="19">
        <v>2</v>
      </c>
      <c r="F620" s="16" t="s">
        <v>85</v>
      </c>
      <c r="G620" s="16" t="s">
        <v>90</v>
      </c>
      <c r="H620" s="16" t="s">
        <v>99</v>
      </c>
      <c r="I620" s="16" t="s">
        <v>1361</v>
      </c>
      <c r="J620" s="17">
        <v>20101904874</v>
      </c>
      <c r="K620" s="11"/>
      <c r="L620" s="16" t="s">
        <v>544</v>
      </c>
      <c r="M620" s="16" t="s">
        <v>474</v>
      </c>
      <c r="N620" s="11"/>
      <c r="O620" s="11"/>
      <c r="P620" s="16" t="s">
        <v>513</v>
      </c>
      <c r="Q620" s="16" t="s">
        <v>526</v>
      </c>
      <c r="R620" s="16" t="s">
        <v>505</v>
      </c>
      <c r="S620" s="11" t="s">
        <v>1417</v>
      </c>
    </row>
    <row r="621" spans="1:19" s="20" customFormat="1" ht="21.75" hidden="1" customHeight="1" x14ac:dyDescent="0.2">
      <c r="A621" s="16" t="s">
        <v>1355</v>
      </c>
      <c r="B621" s="16" t="s">
        <v>1359</v>
      </c>
      <c r="C621" s="18">
        <v>46056</v>
      </c>
      <c r="D621" s="21">
        <v>24</v>
      </c>
      <c r="E621" s="19">
        <v>2</v>
      </c>
      <c r="F621" s="16" t="s">
        <v>85</v>
      </c>
      <c r="G621" s="16" t="s">
        <v>90</v>
      </c>
      <c r="H621" s="16" t="s">
        <v>99</v>
      </c>
      <c r="I621" s="16" t="s">
        <v>1361</v>
      </c>
      <c r="J621" s="17">
        <v>20101904874</v>
      </c>
      <c r="K621" s="11"/>
      <c r="L621" s="16" t="s">
        <v>545</v>
      </c>
      <c r="M621" s="16" t="s">
        <v>299</v>
      </c>
      <c r="N621" s="11"/>
      <c r="O621" s="11"/>
      <c r="P621" s="16" t="s">
        <v>513</v>
      </c>
      <c r="Q621" s="16" t="s">
        <v>527</v>
      </c>
      <c r="R621" s="16" t="s">
        <v>505</v>
      </c>
      <c r="S621" s="11" t="s">
        <v>1418</v>
      </c>
    </row>
    <row r="622" spans="1:19" s="20" customFormat="1" ht="21.75" hidden="1" customHeight="1" x14ac:dyDescent="0.2">
      <c r="A622" s="16" t="s">
        <v>1355</v>
      </c>
      <c r="B622" s="16" t="s">
        <v>1359</v>
      </c>
      <c r="C622" s="18">
        <v>46056</v>
      </c>
      <c r="D622" s="21">
        <v>36</v>
      </c>
      <c r="E622" s="19">
        <v>3</v>
      </c>
      <c r="F622" s="16" t="s">
        <v>85</v>
      </c>
      <c r="G622" s="16" t="s">
        <v>90</v>
      </c>
      <c r="H622" s="16" t="s">
        <v>99</v>
      </c>
      <c r="I622" s="16" t="s">
        <v>1361</v>
      </c>
      <c r="J622" s="17">
        <v>20101904874</v>
      </c>
      <c r="K622" s="11"/>
      <c r="L622" s="16" t="s">
        <v>547</v>
      </c>
      <c r="M622" s="16" t="s">
        <v>474</v>
      </c>
      <c r="N622" s="11"/>
      <c r="O622" s="11"/>
      <c r="P622" s="16" t="s">
        <v>513</v>
      </c>
      <c r="Q622" s="16" t="s">
        <v>529</v>
      </c>
      <c r="R622" s="16" t="s">
        <v>505</v>
      </c>
      <c r="S622" s="11" t="s">
        <v>1419</v>
      </c>
    </row>
    <row r="623" spans="1:19" s="20" customFormat="1" ht="21.75" hidden="1" customHeight="1" x14ac:dyDescent="0.2">
      <c r="A623" s="16" t="s">
        <v>1355</v>
      </c>
      <c r="B623" s="16" t="s">
        <v>1359</v>
      </c>
      <c r="C623" s="18">
        <v>46056</v>
      </c>
      <c r="D623" s="21">
        <v>24</v>
      </c>
      <c r="E623" s="19">
        <v>2</v>
      </c>
      <c r="F623" s="16" t="s">
        <v>85</v>
      </c>
      <c r="G623" s="16" t="s">
        <v>90</v>
      </c>
      <c r="H623" s="16" t="s">
        <v>99</v>
      </c>
      <c r="I623" s="16" t="s">
        <v>1361</v>
      </c>
      <c r="J623" s="17">
        <v>20101904874</v>
      </c>
      <c r="K623" s="11"/>
      <c r="L623" s="16" t="s">
        <v>548</v>
      </c>
      <c r="M623" s="16" t="s">
        <v>312</v>
      </c>
      <c r="N623" s="11"/>
      <c r="O623" s="11"/>
      <c r="P623" s="16" t="s">
        <v>514</v>
      </c>
      <c r="Q623" s="16" t="s">
        <v>530</v>
      </c>
      <c r="R623" s="16" t="s">
        <v>505</v>
      </c>
      <c r="S623" s="11" t="s">
        <v>1420</v>
      </c>
    </row>
    <row r="624" spans="1:19" s="20" customFormat="1" ht="21.75" hidden="1" customHeight="1" x14ac:dyDescent="0.2">
      <c r="A624" s="16" t="s">
        <v>1355</v>
      </c>
      <c r="B624" s="16" t="s">
        <v>1359</v>
      </c>
      <c r="C624" s="18">
        <v>46056</v>
      </c>
      <c r="D624" s="21">
        <v>24</v>
      </c>
      <c r="E624" s="19">
        <v>2</v>
      </c>
      <c r="F624" s="16" t="s">
        <v>85</v>
      </c>
      <c r="G624" s="16" t="s">
        <v>90</v>
      </c>
      <c r="H624" s="16" t="s">
        <v>99</v>
      </c>
      <c r="I624" s="16" t="s">
        <v>1361</v>
      </c>
      <c r="J624" s="17">
        <v>20101904874</v>
      </c>
      <c r="K624" s="11"/>
      <c r="L624" s="16" t="s">
        <v>1374</v>
      </c>
      <c r="M624" s="16" t="s">
        <v>286</v>
      </c>
      <c r="N624" s="11"/>
      <c r="O624" s="11"/>
      <c r="P624" s="16" t="s">
        <v>514</v>
      </c>
      <c r="Q624" s="16" t="s">
        <v>1370</v>
      </c>
      <c r="R624" s="16" t="s">
        <v>505</v>
      </c>
      <c r="S624" s="11" t="s">
        <v>1421</v>
      </c>
    </row>
    <row r="625" spans="1:19" s="20" customFormat="1" ht="21.75" hidden="1" customHeight="1" x14ac:dyDescent="0.2">
      <c r="A625" s="16" t="s">
        <v>1355</v>
      </c>
      <c r="B625" s="16" t="s">
        <v>1359</v>
      </c>
      <c r="C625" s="18">
        <v>46056</v>
      </c>
      <c r="D625" s="21">
        <v>24</v>
      </c>
      <c r="E625" s="19">
        <v>2</v>
      </c>
      <c r="F625" s="16" t="s">
        <v>85</v>
      </c>
      <c r="G625" s="16" t="s">
        <v>90</v>
      </c>
      <c r="H625" s="16" t="s">
        <v>99</v>
      </c>
      <c r="I625" s="16" t="s">
        <v>1361</v>
      </c>
      <c r="J625" s="17">
        <v>20101904874</v>
      </c>
      <c r="K625" s="11"/>
      <c r="L625" s="16" t="s">
        <v>549</v>
      </c>
      <c r="M625" s="16" t="s">
        <v>533</v>
      </c>
      <c r="N625" s="11"/>
      <c r="O625" s="11"/>
      <c r="P625" s="16" t="s">
        <v>515</v>
      </c>
      <c r="Q625" s="16" t="s">
        <v>531</v>
      </c>
      <c r="R625" s="16" t="s">
        <v>505</v>
      </c>
      <c r="S625" s="11" t="s">
        <v>1411</v>
      </c>
    </row>
    <row r="626" spans="1:19" s="20" customFormat="1" ht="21.75" hidden="1" customHeight="1" x14ac:dyDescent="0.2">
      <c r="A626" s="16" t="s">
        <v>1355</v>
      </c>
      <c r="B626" s="16" t="s">
        <v>1359</v>
      </c>
      <c r="C626" s="18">
        <v>46056</v>
      </c>
      <c r="D626" s="21">
        <v>12</v>
      </c>
      <c r="E626" s="19">
        <v>1</v>
      </c>
      <c r="F626" s="16" t="s">
        <v>85</v>
      </c>
      <c r="G626" s="16" t="s">
        <v>90</v>
      </c>
      <c r="H626" s="26" t="s">
        <v>1544</v>
      </c>
      <c r="I626" s="16" t="s">
        <v>1362</v>
      </c>
      <c r="J626" s="17">
        <v>20101904874</v>
      </c>
      <c r="K626" s="11"/>
      <c r="L626" s="16" t="s">
        <v>550</v>
      </c>
      <c r="M626" s="16" t="s">
        <v>533</v>
      </c>
      <c r="N626" s="11"/>
      <c r="O626" s="11"/>
      <c r="P626" s="16" t="s">
        <v>515</v>
      </c>
      <c r="Q626" s="16" t="s">
        <v>532</v>
      </c>
      <c r="R626" s="16" t="s">
        <v>505</v>
      </c>
      <c r="S626" s="11" t="s">
        <v>1422</v>
      </c>
    </row>
    <row r="627" spans="1:19" s="20" customFormat="1" ht="21.75" hidden="1" customHeight="1" x14ac:dyDescent="0.2">
      <c r="A627" s="16" t="s">
        <v>1356</v>
      </c>
      <c r="B627" s="16" t="s">
        <v>73</v>
      </c>
      <c r="C627" s="18">
        <v>46056</v>
      </c>
      <c r="D627" s="21">
        <v>60</v>
      </c>
      <c r="E627" s="19">
        <v>10</v>
      </c>
      <c r="F627" s="16" t="s">
        <v>155</v>
      </c>
      <c r="G627" s="16" t="s">
        <v>125</v>
      </c>
      <c r="H627" s="26" t="s">
        <v>1544</v>
      </c>
      <c r="I627" s="16" t="s">
        <v>1362</v>
      </c>
      <c r="J627" s="17">
        <v>45551035</v>
      </c>
      <c r="K627" s="11"/>
      <c r="L627" s="16" t="s">
        <v>1375</v>
      </c>
      <c r="M627" s="16" t="s">
        <v>75</v>
      </c>
      <c r="N627" s="11"/>
      <c r="O627" s="11"/>
      <c r="P627" s="16" t="s">
        <v>1366</v>
      </c>
      <c r="Q627" s="16" t="s">
        <v>1371</v>
      </c>
      <c r="R627" s="16" t="s">
        <v>142</v>
      </c>
      <c r="S627" s="11" t="s">
        <v>1423</v>
      </c>
    </row>
    <row r="628" spans="1:19" s="20" customFormat="1" ht="21.75" hidden="1" customHeight="1" x14ac:dyDescent="0.2">
      <c r="A628" s="16" t="s">
        <v>1356</v>
      </c>
      <c r="B628" s="16" t="s">
        <v>73</v>
      </c>
      <c r="C628" s="18">
        <v>46056</v>
      </c>
      <c r="D628" s="21">
        <v>30</v>
      </c>
      <c r="E628" s="19">
        <v>5</v>
      </c>
      <c r="F628" s="16" t="s">
        <v>174</v>
      </c>
      <c r="G628" s="16" t="s">
        <v>130</v>
      </c>
      <c r="H628" s="26" t="s">
        <v>1544</v>
      </c>
      <c r="I628" s="16" t="s">
        <v>1362</v>
      </c>
      <c r="J628" s="17">
        <v>45551035</v>
      </c>
      <c r="K628" s="11"/>
      <c r="L628" s="16" t="s">
        <v>1375</v>
      </c>
      <c r="M628" s="16" t="s">
        <v>75</v>
      </c>
      <c r="N628" s="11"/>
      <c r="O628" s="11"/>
      <c r="P628" s="16" t="s">
        <v>1366</v>
      </c>
      <c r="Q628" s="16" t="s">
        <v>1371</v>
      </c>
      <c r="R628" s="16" t="s">
        <v>142</v>
      </c>
      <c r="S628" s="11" t="s">
        <v>1423</v>
      </c>
    </row>
    <row r="629" spans="1:19" s="20" customFormat="1" ht="21.75" hidden="1" customHeight="1" x14ac:dyDescent="0.2">
      <c r="A629" s="16" t="s">
        <v>1356</v>
      </c>
      <c r="B629" s="16" t="s">
        <v>73</v>
      </c>
      <c r="C629" s="18">
        <v>46056</v>
      </c>
      <c r="D629" s="21">
        <v>30</v>
      </c>
      <c r="E629" s="19">
        <v>5</v>
      </c>
      <c r="F629" s="16" t="s">
        <v>822</v>
      </c>
      <c r="G629" s="16" t="s">
        <v>824</v>
      </c>
      <c r="H629" s="26" t="s">
        <v>1544</v>
      </c>
      <c r="I629" s="16" t="s">
        <v>1362</v>
      </c>
      <c r="J629" s="17">
        <v>45551035</v>
      </c>
      <c r="K629" s="11"/>
      <c r="L629" s="16" t="s">
        <v>1375</v>
      </c>
      <c r="M629" s="16" t="s">
        <v>75</v>
      </c>
      <c r="N629" s="11"/>
      <c r="O629" s="11"/>
      <c r="P629" s="16" t="s">
        <v>1366</v>
      </c>
      <c r="Q629" s="16" t="s">
        <v>1371</v>
      </c>
      <c r="R629" s="16" t="s">
        <v>142</v>
      </c>
      <c r="S629" s="11" t="s">
        <v>1423</v>
      </c>
    </row>
    <row r="630" spans="1:19" s="20" customFormat="1" ht="21.75" hidden="1" customHeight="1" x14ac:dyDescent="0.2">
      <c r="A630" s="16" t="s">
        <v>1356</v>
      </c>
      <c r="B630" s="16" t="s">
        <v>73</v>
      </c>
      <c r="C630" s="18">
        <v>46056</v>
      </c>
      <c r="D630" s="21">
        <v>60</v>
      </c>
      <c r="E630" s="19">
        <v>5</v>
      </c>
      <c r="F630" s="16" t="s">
        <v>1363</v>
      </c>
      <c r="G630" s="16" t="s">
        <v>1364</v>
      </c>
      <c r="H630" s="26" t="s">
        <v>1544</v>
      </c>
      <c r="I630" s="16" t="s">
        <v>1362</v>
      </c>
      <c r="J630" s="17">
        <v>45551035</v>
      </c>
      <c r="K630" s="11"/>
      <c r="L630" s="16" t="s">
        <v>1375</v>
      </c>
      <c r="M630" s="16" t="s">
        <v>75</v>
      </c>
      <c r="N630" s="11"/>
      <c r="O630" s="11"/>
      <c r="P630" s="16" t="s">
        <v>1366</v>
      </c>
      <c r="Q630" s="16" t="s">
        <v>1371</v>
      </c>
      <c r="R630" s="16" t="s">
        <v>142</v>
      </c>
      <c r="S630" s="11" t="s">
        <v>1423</v>
      </c>
    </row>
    <row r="631" spans="1:19" s="20" customFormat="1" ht="21.75" hidden="1" customHeight="1" x14ac:dyDescent="0.2">
      <c r="A631" s="16" t="s">
        <v>1379</v>
      </c>
      <c r="B631" s="17" t="s">
        <v>1383</v>
      </c>
      <c r="C631" s="18">
        <v>46056</v>
      </c>
      <c r="D631" s="21">
        <v>36</v>
      </c>
      <c r="E631" s="19">
        <v>3</v>
      </c>
      <c r="F631" s="16" t="s">
        <v>85</v>
      </c>
      <c r="G631" s="16" t="s">
        <v>90</v>
      </c>
      <c r="H631" s="16" t="s">
        <v>99</v>
      </c>
      <c r="I631" s="16" t="s">
        <v>1361</v>
      </c>
      <c r="J631" s="17">
        <v>20101904874</v>
      </c>
      <c r="K631" s="17" t="s">
        <v>73</v>
      </c>
      <c r="L631" s="16" t="s">
        <v>543</v>
      </c>
      <c r="M631" s="16" t="s">
        <v>474</v>
      </c>
      <c r="N631" s="11"/>
      <c r="O631" s="11"/>
      <c r="P631" s="16" t="s">
        <v>513</v>
      </c>
      <c r="Q631" s="16" t="s">
        <v>525</v>
      </c>
      <c r="R631" s="16" t="s">
        <v>505</v>
      </c>
      <c r="S631" s="11" t="s">
        <v>1414</v>
      </c>
    </row>
    <row r="632" spans="1:19" s="20" customFormat="1" ht="21.75" hidden="1" customHeight="1" x14ac:dyDescent="0.2">
      <c r="A632" s="16" t="s">
        <v>1380</v>
      </c>
      <c r="B632" s="17" t="s">
        <v>1384</v>
      </c>
      <c r="C632" s="18">
        <v>46056</v>
      </c>
      <c r="D632" s="21">
        <v>1</v>
      </c>
      <c r="E632" s="19">
        <v>1</v>
      </c>
      <c r="F632" s="16" t="s">
        <v>16</v>
      </c>
      <c r="G632" s="16" t="s">
        <v>89</v>
      </c>
      <c r="H632" s="16" t="s">
        <v>99</v>
      </c>
      <c r="I632" s="16" t="s">
        <v>1388</v>
      </c>
      <c r="J632" s="17" t="s">
        <v>1394</v>
      </c>
      <c r="K632" s="17" t="s">
        <v>1400</v>
      </c>
      <c r="L632" s="16" t="s">
        <v>1397</v>
      </c>
      <c r="M632" s="16" t="s">
        <v>474</v>
      </c>
      <c r="N632" s="11"/>
      <c r="O632" s="11"/>
      <c r="P632" s="16" t="s">
        <v>135</v>
      </c>
      <c r="Q632" s="16" t="s">
        <v>73</v>
      </c>
      <c r="R632" s="16" t="s">
        <v>442</v>
      </c>
      <c r="S632" s="11" t="s">
        <v>1424</v>
      </c>
    </row>
    <row r="633" spans="1:19" s="20" customFormat="1" ht="21.75" hidden="1" customHeight="1" x14ac:dyDescent="0.2">
      <c r="A633" s="16" t="s">
        <v>1381</v>
      </c>
      <c r="B633" s="17">
        <v>3223553185</v>
      </c>
      <c r="C633" s="18">
        <v>46056</v>
      </c>
      <c r="D633" s="21">
        <v>1</v>
      </c>
      <c r="E633" s="19">
        <v>1</v>
      </c>
      <c r="F633" s="16" t="s">
        <v>38</v>
      </c>
      <c r="G633" s="16" t="s">
        <v>97</v>
      </c>
      <c r="H633" s="16" t="s">
        <v>99</v>
      </c>
      <c r="I633" s="16" t="s">
        <v>1389</v>
      </c>
      <c r="J633" s="17" t="s">
        <v>1395</v>
      </c>
      <c r="K633" s="17" t="s">
        <v>1401</v>
      </c>
      <c r="L633" s="16" t="s">
        <v>1398</v>
      </c>
      <c r="M633" s="16" t="s">
        <v>347</v>
      </c>
      <c r="N633" s="11"/>
      <c r="O633" s="11"/>
      <c r="P633" s="16" t="s">
        <v>135</v>
      </c>
      <c r="Q633" s="16" t="s">
        <v>73</v>
      </c>
      <c r="R633" s="16" t="s">
        <v>394</v>
      </c>
      <c r="S633" s="11" t="s">
        <v>1425</v>
      </c>
    </row>
    <row r="634" spans="1:19" s="20" customFormat="1" ht="21.75" hidden="1" customHeight="1" x14ac:dyDescent="0.2">
      <c r="A634" s="16" t="s">
        <v>1382</v>
      </c>
      <c r="B634" s="16" t="s">
        <v>73</v>
      </c>
      <c r="C634" s="18">
        <v>46056</v>
      </c>
      <c r="D634" s="21">
        <v>3</v>
      </c>
      <c r="E634" s="209">
        <v>1</v>
      </c>
      <c r="F634" s="16" t="s">
        <v>1385</v>
      </c>
      <c r="G634" s="16" t="s">
        <v>1391</v>
      </c>
      <c r="H634" s="16" t="s">
        <v>99</v>
      </c>
      <c r="I634" s="16" t="s">
        <v>1390</v>
      </c>
      <c r="J634" s="17">
        <v>20536563823</v>
      </c>
      <c r="K634" s="17">
        <v>947903949</v>
      </c>
      <c r="L634" s="17" t="s">
        <v>1399</v>
      </c>
      <c r="M634" s="16" t="s">
        <v>299</v>
      </c>
      <c r="N634" s="11"/>
      <c r="O634" s="11"/>
      <c r="P634" s="16" t="s">
        <v>1396</v>
      </c>
      <c r="Q634" s="16" t="s">
        <v>73</v>
      </c>
      <c r="R634" s="16" t="s">
        <v>144</v>
      </c>
      <c r="S634" s="11" t="s">
        <v>1409</v>
      </c>
    </row>
    <row r="635" spans="1:19" s="20" customFormat="1" ht="21.75" hidden="1" customHeight="1" x14ac:dyDescent="0.2">
      <c r="A635" s="16" t="s">
        <v>1382</v>
      </c>
      <c r="B635" s="16" t="s">
        <v>73</v>
      </c>
      <c r="C635" s="18">
        <v>46056</v>
      </c>
      <c r="D635" s="21">
        <v>3</v>
      </c>
      <c r="E635" s="209"/>
      <c r="F635" s="16" t="s">
        <v>1386</v>
      </c>
      <c r="G635" s="16" t="s">
        <v>1392</v>
      </c>
      <c r="H635" s="16" t="s">
        <v>99</v>
      </c>
      <c r="I635" s="16" t="s">
        <v>1390</v>
      </c>
      <c r="J635" s="17">
        <v>20536563823</v>
      </c>
      <c r="K635" s="17">
        <v>947903949</v>
      </c>
      <c r="L635" s="17" t="s">
        <v>1399</v>
      </c>
      <c r="M635" s="16" t="s">
        <v>299</v>
      </c>
      <c r="N635" s="11"/>
      <c r="O635" s="11"/>
      <c r="P635" s="16" t="s">
        <v>1396</v>
      </c>
      <c r="Q635" s="16" t="s">
        <v>73</v>
      </c>
      <c r="R635" s="16" t="s">
        <v>144</v>
      </c>
      <c r="S635" s="11" t="s">
        <v>1409</v>
      </c>
    </row>
    <row r="636" spans="1:19" s="20" customFormat="1" ht="21.75" hidden="1" customHeight="1" x14ac:dyDescent="0.2">
      <c r="A636" s="16" t="s">
        <v>1382</v>
      </c>
      <c r="B636" s="16" t="s">
        <v>73</v>
      </c>
      <c r="C636" s="18">
        <v>46056</v>
      </c>
      <c r="D636" s="21">
        <v>3</v>
      </c>
      <c r="E636" s="209"/>
      <c r="F636" s="16" t="s">
        <v>1387</v>
      </c>
      <c r="G636" s="16" t="s">
        <v>1393</v>
      </c>
      <c r="H636" s="16" t="s">
        <v>99</v>
      </c>
      <c r="I636" s="16" t="s">
        <v>1390</v>
      </c>
      <c r="J636" s="17">
        <v>20536563823</v>
      </c>
      <c r="K636" s="17">
        <v>947903949</v>
      </c>
      <c r="L636" s="17" t="s">
        <v>1399</v>
      </c>
      <c r="M636" s="16" t="s">
        <v>299</v>
      </c>
      <c r="N636" s="11"/>
      <c r="O636" s="11"/>
      <c r="P636" s="16" t="s">
        <v>1396</v>
      </c>
      <c r="Q636" s="16" t="s">
        <v>73</v>
      </c>
      <c r="R636" s="16" t="s">
        <v>144</v>
      </c>
      <c r="S636" s="11" t="s">
        <v>1409</v>
      </c>
    </row>
    <row r="637" spans="1:19" s="20" customFormat="1" ht="21.75" hidden="1" customHeight="1" x14ac:dyDescent="0.2">
      <c r="A637" s="16" t="s">
        <v>1426</v>
      </c>
      <c r="B637" s="17" t="s">
        <v>73</v>
      </c>
      <c r="C637" s="18">
        <v>46056</v>
      </c>
      <c r="D637" s="21">
        <v>60</v>
      </c>
      <c r="E637" s="19">
        <v>5</v>
      </c>
      <c r="F637" s="16" t="s">
        <v>24</v>
      </c>
      <c r="G637" s="16" t="s">
        <v>112</v>
      </c>
      <c r="H637" s="16" t="s">
        <v>99</v>
      </c>
      <c r="I637" s="16" t="s">
        <v>1433</v>
      </c>
      <c r="J637" s="17">
        <v>20609357917</v>
      </c>
      <c r="K637" s="11"/>
      <c r="L637" s="11"/>
      <c r="M637" s="11"/>
      <c r="N637" s="11"/>
      <c r="O637" s="11"/>
      <c r="P637" s="16" t="s">
        <v>1446</v>
      </c>
      <c r="Q637" s="16" t="s">
        <v>1332</v>
      </c>
      <c r="R637" s="16" t="s">
        <v>396</v>
      </c>
      <c r="S637" s="11"/>
    </row>
    <row r="638" spans="1:19" s="20" customFormat="1" ht="21.75" hidden="1" customHeight="1" x14ac:dyDescent="0.2">
      <c r="A638" s="16" t="s">
        <v>1427</v>
      </c>
      <c r="B638" s="16" t="s">
        <v>73</v>
      </c>
      <c r="C638" s="18">
        <v>46066</v>
      </c>
      <c r="D638" s="21">
        <v>120</v>
      </c>
      <c r="E638" s="19">
        <v>20</v>
      </c>
      <c r="F638" s="16" t="s">
        <v>822</v>
      </c>
      <c r="G638" s="16" t="s">
        <v>824</v>
      </c>
      <c r="H638" s="16" t="s">
        <v>1650</v>
      </c>
      <c r="I638" s="16" t="s">
        <v>1434</v>
      </c>
      <c r="J638" s="17">
        <v>20609429659</v>
      </c>
      <c r="K638" s="17">
        <v>989372072</v>
      </c>
      <c r="L638" s="16" t="s">
        <v>1637</v>
      </c>
      <c r="M638" s="16" t="s">
        <v>75</v>
      </c>
      <c r="N638" s="11"/>
      <c r="O638" s="11"/>
      <c r="P638" s="16" t="s">
        <v>1638</v>
      </c>
      <c r="Q638" s="11" t="s">
        <v>1639</v>
      </c>
      <c r="R638" s="16" t="s">
        <v>396</v>
      </c>
      <c r="S638" s="11" t="s">
        <v>1661</v>
      </c>
    </row>
    <row r="639" spans="1:19" s="20" customFormat="1" ht="21.75" hidden="1" customHeight="1" x14ac:dyDescent="0.2">
      <c r="A639" s="16" t="s">
        <v>1427</v>
      </c>
      <c r="B639" s="16" t="s">
        <v>73</v>
      </c>
      <c r="C639" s="18">
        <v>46066</v>
      </c>
      <c r="D639" s="21">
        <v>120</v>
      </c>
      <c r="E639" s="19">
        <v>20</v>
      </c>
      <c r="F639" s="16" t="s">
        <v>26</v>
      </c>
      <c r="G639" s="16" t="s">
        <v>111</v>
      </c>
      <c r="H639" s="16" t="s">
        <v>1650</v>
      </c>
      <c r="I639" s="16" t="s">
        <v>1434</v>
      </c>
      <c r="J639" s="17">
        <v>20609429659</v>
      </c>
      <c r="K639" s="17">
        <v>989372072</v>
      </c>
      <c r="L639" s="16" t="s">
        <v>1637</v>
      </c>
      <c r="M639" s="16" t="s">
        <v>75</v>
      </c>
      <c r="N639" s="11"/>
      <c r="O639" s="11"/>
      <c r="P639" s="16" t="s">
        <v>1638</v>
      </c>
      <c r="Q639" s="11" t="s">
        <v>1639</v>
      </c>
      <c r="R639" s="16" t="s">
        <v>396</v>
      </c>
      <c r="S639" s="11" t="s">
        <v>1661</v>
      </c>
    </row>
    <row r="640" spans="1:19" s="20" customFormat="1" ht="21.75" hidden="1" customHeight="1" x14ac:dyDescent="0.2">
      <c r="A640" s="16" t="s">
        <v>1427</v>
      </c>
      <c r="B640" s="16" t="s">
        <v>73</v>
      </c>
      <c r="C640" s="18">
        <v>46066</v>
      </c>
      <c r="D640" s="21">
        <v>120</v>
      </c>
      <c r="E640" s="19">
        <v>10</v>
      </c>
      <c r="F640" s="16" t="s">
        <v>33</v>
      </c>
      <c r="G640" s="16" t="s">
        <v>107</v>
      </c>
      <c r="H640" s="16" t="s">
        <v>1650</v>
      </c>
      <c r="I640" s="16" t="s">
        <v>1434</v>
      </c>
      <c r="J640" s="17">
        <v>20609429659</v>
      </c>
      <c r="K640" s="17">
        <v>989372072</v>
      </c>
      <c r="L640" s="16" t="s">
        <v>1637</v>
      </c>
      <c r="M640" s="16" t="s">
        <v>75</v>
      </c>
      <c r="N640" s="11"/>
      <c r="O640" s="11"/>
      <c r="P640" s="16" t="s">
        <v>1638</v>
      </c>
      <c r="Q640" s="11" t="s">
        <v>1639</v>
      </c>
      <c r="R640" s="16" t="s">
        <v>396</v>
      </c>
      <c r="S640" s="11" t="s">
        <v>1661</v>
      </c>
    </row>
    <row r="641" spans="1:19" s="20" customFormat="1" ht="21.75" hidden="1" customHeight="1" x14ac:dyDescent="0.2">
      <c r="A641" s="16" t="s">
        <v>1427</v>
      </c>
      <c r="B641" s="16" t="s">
        <v>73</v>
      </c>
      <c r="C641" s="18">
        <v>46066</v>
      </c>
      <c r="D641" s="21">
        <v>360</v>
      </c>
      <c r="E641" s="19">
        <v>30</v>
      </c>
      <c r="F641" s="16" t="s">
        <v>23</v>
      </c>
      <c r="G641" s="16" t="s">
        <v>119</v>
      </c>
      <c r="H641" s="16" t="s">
        <v>1650</v>
      </c>
      <c r="I641" s="16" t="s">
        <v>1434</v>
      </c>
      <c r="J641" s="17">
        <v>20609429659</v>
      </c>
      <c r="K641" s="17">
        <v>989372072</v>
      </c>
      <c r="L641" s="16" t="s">
        <v>1637</v>
      </c>
      <c r="M641" s="16" t="s">
        <v>75</v>
      </c>
      <c r="N641" s="11"/>
      <c r="O641" s="11"/>
      <c r="P641" s="16" t="s">
        <v>1638</v>
      </c>
      <c r="Q641" s="11" t="s">
        <v>1639</v>
      </c>
      <c r="R641" s="16" t="s">
        <v>396</v>
      </c>
      <c r="S641" s="11" t="s">
        <v>1661</v>
      </c>
    </row>
    <row r="642" spans="1:19" s="20" customFormat="1" ht="21.75" hidden="1" customHeight="1" x14ac:dyDescent="0.2">
      <c r="A642" s="16" t="s">
        <v>1427</v>
      </c>
      <c r="B642" s="16" t="s">
        <v>73</v>
      </c>
      <c r="C642" s="18">
        <v>46066</v>
      </c>
      <c r="D642" s="21">
        <v>200</v>
      </c>
      <c r="E642" s="19">
        <v>50</v>
      </c>
      <c r="F642" s="16" t="s">
        <v>1126</v>
      </c>
      <c r="G642" s="16" t="s">
        <v>1138</v>
      </c>
      <c r="H642" s="16" t="s">
        <v>1650</v>
      </c>
      <c r="I642" s="16" t="s">
        <v>1434</v>
      </c>
      <c r="J642" s="17">
        <v>20609429659</v>
      </c>
      <c r="K642" s="17">
        <v>989372072</v>
      </c>
      <c r="L642" s="16" t="s">
        <v>1637</v>
      </c>
      <c r="M642" s="16" t="s">
        <v>75</v>
      </c>
      <c r="N642" s="11"/>
      <c r="O642" s="11"/>
      <c r="P642" s="16" t="s">
        <v>1638</v>
      </c>
      <c r="Q642" s="11" t="s">
        <v>1639</v>
      </c>
      <c r="R642" s="16" t="s">
        <v>396</v>
      </c>
      <c r="S642" s="11" t="s">
        <v>1661</v>
      </c>
    </row>
    <row r="643" spans="1:19" s="20" customFormat="1" ht="21.75" hidden="1" customHeight="1" x14ac:dyDescent="0.2">
      <c r="A643" s="16" t="s">
        <v>1427</v>
      </c>
      <c r="B643" s="16" t="s">
        <v>73</v>
      </c>
      <c r="C643" s="18">
        <v>46066</v>
      </c>
      <c r="D643" s="21">
        <v>240</v>
      </c>
      <c r="E643" s="19">
        <v>20</v>
      </c>
      <c r="F643" s="16" t="s">
        <v>567</v>
      </c>
      <c r="G643" s="16" t="s">
        <v>568</v>
      </c>
      <c r="H643" s="16" t="s">
        <v>1650</v>
      </c>
      <c r="I643" s="16" t="s">
        <v>1434</v>
      </c>
      <c r="J643" s="17">
        <v>20609429659</v>
      </c>
      <c r="K643" s="17">
        <v>989372072</v>
      </c>
      <c r="L643" s="16" t="s">
        <v>1637</v>
      </c>
      <c r="M643" s="16" t="s">
        <v>75</v>
      </c>
      <c r="N643" s="11"/>
      <c r="O643" s="11"/>
      <c r="P643" s="16" t="s">
        <v>1638</v>
      </c>
      <c r="Q643" s="11" t="s">
        <v>1639</v>
      </c>
      <c r="R643" s="16" t="s">
        <v>396</v>
      </c>
      <c r="S643" s="11" t="s">
        <v>1661</v>
      </c>
    </row>
    <row r="644" spans="1:19" s="20" customFormat="1" ht="21.75" hidden="1" customHeight="1" x14ac:dyDescent="0.2">
      <c r="A644" s="16" t="s">
        <v>1428</v>
      </c>
      <c r="B644" s="17" t="s">
        <v>1432</v>
      </c>
      <c r="C644" s="18">
        <v>46057</v>
      </c>
      <c r="D644" s="21">
        <v>1</v>
      </c>
      <c r="E644" s="19">
        <v>1</v>
      </c>
      <c r="F644" s="16" t="s">
        <v>1442</v>
      </c>
      <c r="G644" s="16" t="s">
        <v>1444</v>
      </c>
      <c r="H644" s="16" t="s">
        <v>99</v>
      </c>
      <c r="I644" s="16" t="s">
        <v>1435</v>
      </c>
      <c r="J644" s="17" t="s">
        <v>1439</v>
      </c>
      <c r="K644" s="17" t="s">
        <v>1454</v>
      </c>
      <c r="L644" s="16" t="s">
        <v>1447</v>
      </c>
      <c r="M644" s="16" t="s">
        <v>393</v>
      </c>
      <c r="N644" s="11"/>
      <c r="O644" s="11"/>
      <c r="P644" s="16" t="s">
        <v>135</v>
      </c>
      <c r="Q644" s="11"/>
      <c r="R644" s="16" t="s">
        <v>1453</v>
      </c>
      <c r="S644" s="11" t="s">
        <v>1458</v>
      </c>
    </row>
    <row r="645" spans="1:19" s="20" customFormat="1" ht="21.75" hidden="1" customHeight="1" x14ac:dyDescent="0.2">
      <c r="A645" s="16" t="s">
        <v>1429</v>
      </c>
      <c r="B645" s="17">
        <v>3223794572</v>
      </c>
      <c r="C645" s="18">
        <v>46057</v>
      </c>
      <c r="D645" s="21">
        <v>1</v>
      </c>
      <c r="E645" s="19">
        <v>1</v>
      </c>
      <c r="F645" s="16" t="s">
        <v>17</v>
      </c>
      <c r="G645" s="16" t="s">
        <v>91</v>
      </c>
      <c r="H645" s="16" t="s">
        <v>99</v>
      </c>
      <c r="I645" s="16" t="s">
        <v>1436</v>
      </c>
      <c r="J645" s="17" t="s">
        <v>1440</v>
      </c>
      <c r="K645" s="17" t="s">
        <v>1455</v>
      </c>
      <c r="L645" s="16" t="s">
        <v>1448</v>
      </c>
      <c r="M645" s="16" t="s">
        <v>1451</v>
      </c>
      <c r="N645" s="11"/>
      <c r="O645" s="11"/>
      <c r="P645" s="16" t="s">
        <v>135</v>
      </c>
      <c r="Q645" s="11"/>
      <c r="R645" s="16" t="s">
        <v>394</v>
      </c>
      <c r="S645" s="11" t="s">
        <v>1459</v>
      </c>
    </row>
    <row r="646" spans="1:19" s="20" customFormat="1" ht="21.75" hidden="1" customHeight="1" x14ac:dyDescent="0.2">
      <c r="A646" s="16" t="s">
        <v>1430</v>
      </c>
      <c r="B646" s="17">
        <v>3223816180</v>
      </c>
      <c r="C646" s="18">
        <v>46057</v>
      </c>
      <c r="D646" s="21">
        <v>1</v>
      </c>
      <c r="E646" s="19">
        <v>1</v>
      </c>
      <c r="F646" s="16" t="s">
        <v>17</v>
      </c>
      <c r="G646" s="16" t="s">
        <v>91</v>
      </c>
      <c r="H646" s="16" t="s">
        <v>99</v>
      </c>
      <c r="I646" s="16" t="s">
        <v>1437</v>
      </c>
      <c r="J646" s="17">
        <v>3552684</v>
      </c>
      <c r="K646" s="17" t="s">
        <v>1456</v>
      </c>
      <c r="L646" s="16" t="s">
        <v>1449</v>
      </c>
      <c r="M646" s="16" t="s">
        <v>1452</v>
      </c>
      <c r="N646" s="11"/>
      <c r="O646" s="11"/>
      <c r="P646" s="16" t="s">
        <v>135</v>
      </c>
      <c r="Q646" s="11"/>
      <c r="R646" s="16" t="s">
        <v>394</v>
      </c>
      <c r="S646" s="11" t="s">
        <v>1460</v>
      </c>
    </row>
    <row r="647" spans="1:19" s="20" customFormat="1" ht="21.75" hidden="1" customHeight="1" x14ac:dyDescent="0.2">
      <c r="A647" s="16" t="s">
        <v>1431</v>
      </c>
      <c r="B647" s="17">
        <v>3223834364</v>
      </c>
      <c r="C647" s="18">
        <v>46057</v>
      </c>
      <c r="D647" s="21">
        <v>1</v>
      </c>
      <c r="E647" s="19">
        <v>1</v>
      </c>
      <c r="F647" s="16" t="s">
        <v>1443</v>
      </c>
      <c r="G647" s="16" t="s">
        <v>1445</v>
      </c>
      <c r="H647" s="16" t="s">
        <v>99</v>
      </c>
      <c r="I647" s="16" t="s">
        <v>1438</v>
      </c>
      <c r="J647" s="17" t="s">
        <v>1441</v>
      </c>
      <c r="K647" s="17" t="s">
        <v>1457</v>
      </c>
      <c r="L647" s="16" t="s">
        <v>1450</v>
      </c>
      <c r="M647" s="16" t="s">
        <v>1020</v>
      </c>
      <c r="N647" s="11"/>
      <c r="O647" s="11"/>
      <c r="P647" s="16" t="s">
        <v>135</v>
      </c>
      <c r="Q647" s="11"/>
      <c r="R647" s="16" t="s">
        <v>394</v>
      </c>
      <c r="S647" s="11" t="s">
        <v>1461</v>
      </c>
    </row>
    <row r="648" spans="1:19" s="20" customFormat="1" ht="21.75" hidden="1" customHeight="1" x14ac:dyDescent="0.2">
      <c r="A648" s="94" t="s">
        <v>1465</v>
      </c>
      <c r="B648" s="14">
        <v>13559203</v>
      </c>
      <c r="C648" s="18">
        <v>46060</v>
      </c>
      <c r="D648" s="71">
        <v>96</v>
      </c>
      <c r="E648" s="19">
        <v>4</v>
      </c>
      <c r="F648" s="94" t="s">
        <v>18</v>
      </c>
      <c r="G648" s="94" t="s">
        <v>109</v>
      </c>
      <c r="H648" s="16" t="s">
        <v>76</v>
      </c>
      <c r="I648" s="16" t="s">
        <v>134</v>
      </c>
      <c r="J648" s="17">
        <v>20100070970</v>
      </c>
      <c r="K648" s="17" t="s">
        <v>73</v>
      </c>
      <c r="L648" s="16" t="s">
        <v>1334</v>
      </c>
      <c r="M648" s="16" t="s">
        <v>77</v>
      </c>
      <c r="N648" s="11"/>
      <c r="O648" s="11"/>
      <c r="P648" s="16" t="s">
        <v>236</v>
      </c>
      <c r="Q648" s="11"/>
      <c r="R648" s="16" t="s">
        <v>143</v>
      </c>
      <c r="S648" s="11" t="s">
        <v>1522</v>
      </c>
    </row>
    <row r="649" spans="1:19" s="20" customFormat="1" ht="21.75" hidden="1" customHeight="1" x14ac:dyDescent="0.2">
      <c r="A649" s="94" t="s">
        <v>1465</v>
      </c>
      <c r="B649" s="14">
        <v>13559203</v>
      </c>
      <c r="C649" s="18">
        <v>46060</v>
      </c>
      <c r="D649" s="71">
        <v>60</v>
      </c>
      <c r="E649" s="19">
        <v>5</v>
      </c>
      <c r="F649" s="94" t="s">
        <v>19</v>
      </c>
      <c r="G649" s="94" t="s">
        <v>120</v>
      </c>
      <c r="H649" s="16" t="s">
        <v>76</v>
      </c>
      <c r="I649" s="16" t="s">
        <v>134</v>
      </c>
      <c r="J649" s="17">
        <v>20100070970</v>
      </c>
      <c r="K649" s="17" t="s">
        <v>73</v>
      </c>
      <c r="L649" s="16" t="s">
        <v>1334</v>
      </c>
      <c r="M649" s="16" t="s">
        <v>77</v>
      </c>
      <c r="N649" s="11"/>
      <c r="O649" s="11"/>
      <c r="P649" s="16" t="s">
        <v>236</v>
      </c>
      <c r="Q649" s="11"/>
      <c r="R649" s="16" t="s">
        <v>143</v>
      </c>
      <c r="S649" s="11" t="s">
        <v>1522</v>
      </c>
    </row>
    <row r="650" spans="1:19" s="20" customFormat="1" ht="21.75" hidden="1" customHeight="1" x14ac:dyDescent="0.2">
      <c r="A650" s="94" t="s">
        <v>1465</v>
      </c>
      <c r="B650" s="14">
        <v>13559203</v>
      </c>
      <c r="C650" s="18">
        <v>46060</v>
      </c>
      <c r="D650" s="71">
        <v>84</v>
      </c>
      <c r="E650" s="19">
        <v>7</v>
      </c>
      <c r="F650" s="94" t="s">
        <v>21</v>
      </c>
      <c r="G650" s="94" t="s">
        <v>115</v>
      </c>
      <c r="H650" s="16" t="s">
        <v>76</v>
      </c>
      <c r="I650" s="16" t="s">
        <v>134</v>
      </c>
      <c r="J650" s="17">
        <v>20100070970</v>
      </c>
      <c r="K650" s="17" t="s">
        <v>73</v>
      </c>
      <c r="L650" s="16" t="s">
        <v>1334</v>
      </c>
      <c r="M650" s="16" t="s">
        <v>77</v>
      </c>
      <c r="N650" s="11"/>
      <c r="O650" s="11"/>
      <c r="P650" s="16" t="s">
        <v>236</v>
      </c>
      <c r="Q650" s="11"/>
      <c r="R650" s="16" t="s">
        <v>143</v>
      </c>
      <c r="S650" s="11" t="s">
        <v>1522</v>
      </c>
    </row>
    <row r="651" spans="1:19" s="20" customFormat="1" ht="21.75" hidden="1" customHeight="1" x14ac:dyDescent="0.2">
      <c r="A651" s="94" t="s">
        <v>1465</v>
      </c>
      <c r="B651" s="14">
        <v>13559203</v>
      </c>
      <c r="C651" s="18">
        <v>46060</v>
      </c>
      <c r="D651" s="71">
        <v>240</v>
      </c>
      <c r="E651" s="19">
        <f>240/48</f>
        <v>5</v>
      </c>
      <c r="F651" s="94" t="s">
        <v>22</v>
      </c>
      <c r="G651" s="94" t="s">
        <v>108</v>
      </c>
      <c r="H651" s="16" t="s">
        <v>76</v>
      </c>
      <c r="I651" s="16" t="s">
        <v>134</v>
      </c>
      <c r="J651" s="17">
        <v>20100070970</v>
      </c>
      <c r="K651" s="17" t="s">
        <v>73</v>
      </c>
      <c r="L651" s="16" t="s">
        <v>1334</v>
      </c>
      <c r="M651" s="16" t="s">
        <v>77</v>
      </c>
      <c r="N651" s="11"/>
      <c r="O651" s="11"/>
      <c r="P651" s="16" t="s">
        <v>236</v>
      </c>
      <c r="Q651" s="11"/>
      <c r="R651" s="16" t="s">
        <v>143</v>
      </c>
      <c r="S651" s="11" t="s">
        <v>1522</v>
      </c>
    </row>
    <row r="652" spans="1:19" s="20" customFormat="1" ht="21.75" hidden="1" customHeight="1" x14ac:dyDescent="0.2">
      <c r="A652" s="94" t="s">
        <v>1465</v>
      </c>
      <c r="B652" s="14">
        <v>13559203</v>
      </c>
      <c r="C652" s="18">
        <v>46060</v>
      </c>
      <c r="D652" s="71">
        <v>240</v>
      </c>
      <c r="E652" s="19">
        <v>20</v>
      </c>
      <c r="F652" s="94" t="s">
        <v>23</v>
      </c>
      <c r="G652" s="94" t="s">
        <v>119</v>
      </c>
      <c r="H652" s="16" t="s">
        <v>76</v>
      </c>
      <c r="I652" s="16" t="s">
        <v>134</v>
      </c>
      <c r="J652" s="17">
        <v>20100070970</v>
      </c>
      <c r="K652" s="17" t="s">
        <v>73</v>
      </c>
      <c r="L652" s="16" t="s">
        <v>1334</v>
      </c>
      <c r="M652" s="16" t="s">
        <v>77</v>
      </c>
      <c r="N652" s="11"/>
      <c r="O652" s="11"/>
      <c r="P652" s="16" t="s">
        <v>236</v>
      </c>
      <c r="Q652" s="11"/>
      <c r="R652" s="16" t="s">
        <v>143</v>
      </c>
      <c r="S652" s="11" t="s">
        <v>1522</v>
      </c>
    </row>
    <row r="653" spans="1:19" s="20" customFormat="1" ht="21.75" hidden="1" customHeight="1" x14ac:dyDescent="0.2">
      <c r="A653" s="94" t="s">
        <v>1465</v>
      </c>
      <c r="B653" s="14">
        <v>13559203</v>
      </c>
      <c r="C653" s="18">
        <v>46060</v>
      </c>
      <c r="D653" s="71">
        <v>48</v>
      </c>
      <c r="E653" s="19">
        <v>4</v>
      </c>
      <c r="F653" s="94" t="s">
        <v>24</v>
      </c>
      <c r="G653" s="94" t="s">
        <v>112</v>
      </c>
      <c r="H653" s="16" t="s">
        <v>76</v>
      </c>
      <c r="I653" s="16" t="s">
        <v>134</v>
      </c>
      <c r="J653" s="17">
        <v>20100070970</v>
      </c>
      <c r="K653" s="17" t="s">
        <v>73</v>
      </c>
      <c r="L653" s="16" t="s">
        <v>1334</v>
      </c>
      <c r="M653" s="16" t="s">
        <v>77</v>
      </c>
      <c r="N653" s="11"/>
      <c r="O653" s="11"/>
      <c r="P653" s="16" t="s">
        <v>236</v>
      </c>
      <c r="Q653" s="11"/>
      <c r="R653" s="16" t="s">
        <v>143</v>
      </c>
      <c r="S653" s="11" t="s">
        <v>1522</v>
      </c>
    </row>
    <row r="654" spans="1:19" s="20" customFormat="1" ht="21.75" hidden="1" customHeight="1" x14ac:dyDescent="0.2">
      <c r="A654" s="94" t="s">
        <v>1465</v>
      </c>
      <c r="B654" s="14">
        <v>13559203</v>
      </c>
      <c r="C654" s="18">
        <v>46060</v>
      </c>
      <c r="D654" s="71">
        <v>36</v>
      </c>
      <c r="E654" s="19">
        <v>3</v>
      </c>
      <c r="F654" s="94" t="s">
        <v>25</v>
      </c>
      <c r="G654" s="94" t="s">
        <v>136</v>
      </c>
      <c r="H654" s="16" t="s">
        <v>76</v>
      </c>
      <c r="I654" s="16" t="s">
        <v>134</v>
      </c>
      <c r="J654" s="17">
        <v>20100070970</v>
      </c>
      <c r="K654" s="17" t="s">
        <v>73</v>
      </c>
      <c r="L654" s="16" t="s">
        <v>1334</v>
      </c>
      <c r="M654" s="16" t="s">
        <v>77</v>
      </c>
      <c r="N654" s="11"/>
      <c r="O654" s="11"/>
      <c r="P654" s="16" t="s">
        <v>236</v>
      </c>
      <c r="Q654" s="11"/>
      <c r="R654" s="16" t="s">
        <v>143</v>
      </c>
      <c r="S654" s="11" t="s">
        <v>1522</v>
      </c>
    </row>
    <row r="655" spans="1:19" s="20" customFormat="1" ht="21.75" hidden="1" customHeight="1" x14ac:dyDescent="0.2">
      <c r="A655" s="94" t="s">
        <v>1465</v>
      </c>
      <c r="B655" s="14">
        <v>13559203</v>
      </c>
      <c r="C655" s="18">
        <v>46060</v>
      </c>
      <c r="D655" s="71">
        <v>102</v>
      </c>
      <c r="E655" s="19">
        <f>102/6</f>
        <v>17</v>
      </c>
      <c r="F655" s="94" t="s">
        <v>26</v>
      </c>
      <c r="G655" s="94" t="s">
        <v>111</v>
      </c>
      <c r="H655" s="16" t="s">
        <v>76</v>
      </c>
      <c r="I655" s="16" t="s">
        <v>134</v>
      </c>
      <c r="J655" s="17">
        <v>20100070970</v>
      </c>
      <c r="K655" s="17" t="s">
        <v>73</v>
      </c>
      <c r="L655" s="16" t="s">
        <v>1334</v>
      </c>
      <c r="M655" s="16" t="s">
        <v>77</v>
      </c>
      <c r="N655" s="11"/>
      <c r="O655" s="11"/>
      <c r="P655" s="16" t="s">
        <v>236</v>
      </c>
      <c r="Q655" s="11"/>
      <c r="R655" s="16" t="s">
        <v>143</v>
      </c>
      <c r="S655" s="11" t="s">
        <v>1522</v>
      </c>
    </row>
    <row r="656" spans="1:19" s="20" customFormat="1" ht="21.75" hidden="1" customHeight="1" x14ac:dyDescent="0.2">
      <c r="A656" s="94" t="s">
        <v>1465</v>
      </c>
      <c r="B656" s="14">
        <v>13559203</v>
      </c>
      <c r="C656" s="18">
        <v>46060</v>
      </c>
      <c r="D656" s="71">
        <v>48</v>
      </c>
      <c r="E656" s="19">
        <v>4</v>
      </c>
      <c r="F656" s="94" t="s">
        <v>27</v>
      </c>
      <c r="G656" s="94" t="s">
        <v>103</v>
      </c>
      <c r="H656" s="16" t="s">
        <v>76</v>
      </c>
      <c r="I656" s="16" t="s">
        <v>134</v>
      </c>
      <c r="J656" s="17">
        <v>20100070970</v>
      </c>
      <c r="K656" s="17" t="s">
        <v>73</v>
      </c>
      <c r="L656" s="16" t="s">
        <v>1334</v>
      </c>
      <c r="M656" s="16" t="s">
        <v>77</v>
      </c>
      <c r="N656" s="11"/>
      <c r="O656" s="11"/>
      <c r="P656" s="16" t="s">
        <v>236</v>
      </c>
      <c r="Q656" s="11"/>
      <c r="R656" s="16" t="s">
        <v>143</v>
      </c>
      <c r="S656" s="11" t="s">
        <v>1522</v>
      </c>
    </row>
    <row r="657" spans="1:19" s="20" customFormat="1" ht="21.75" hidden="1" customHeight="1" x14ac:dyDescent="0.2">
      <c r="A657" s="94" t="s">
        <v>1466</v>
      </c>
      <c r="B657" s="14">
        <v>13559203</v>
      </c>
      <c r="C657" s="18">
        <v>46062</v>
      </c>
      <c r="D657" s="71">
        <v>4</v>
      </c>
      <c r="E657" s="19">
        <v>1</v>
      </c>
      <c r="F657" s="94" t="s">
        <v>15</v>
      </c>
      <c r="G657" s="94" t="s">
        <v>96</v>
      </c>
      <c r="H657" s="16" t="s">
        <v>76</v>
      </c>
      <c r="I657" s="17" t="s">
        <v>284</v>
      </c>
      <c r="J657" s="21">
        <v>20109072177</v>
      </c>
      <c r="K657" s="21" t="s">
        <v>73</v>
      </c>
      <c r="L657" s="17" t="s">
        <v>291</v>
      </c>
      <c r="M657" s="17" t="s">
        <v>292</v>
      </c>
      <c r="N657" s="19"/>
      <c r="O657" s="19"/>
      <c r="P657" s="17" t="s">
        <v>1482</v>
      </c>
      <c r="Q657" s="17" t="s">
        <v>294</v>
      </c>
      <c r="R657" s="21" t="s">
        <v>289</v>
      </c>
      <c r="S657" s="19"/>
    </row>
    <row r="658" spans="1:19" s="20" customFormat="1" ht="21.75" hidden="1" customHeight="1" x14ac:dyDescent="0.2">
      <c r="A658" s="94" t="s">
        <v>1467</v>
      </c>
      <c r="B658" s="14">
        <v>4512383027</v>
      </c>
      <c r="C658" s="18">
        <v>46058</v>
      </c>
      <c r="D658" s="71">
        <v>4</v>
      </c>
      <c r="E658" s="19">
        <v>1</v>
      </c>
      <c r="F658" s="94" t="s">
        <v>302</v>
      </c>
      <c r="G658" s="94" t="s">
        <v>303</v>
      </c>
      <c r="H658" s="16" t="s">
        <v>76</v>
      </c>
      <c r="I658" s="72" t="s">
        <v>284</v>
      </c>
      <c r="J658" s="72" t="s">
        <v>1463</v>
      </c>
      <c r="K658" s="11"/>
      <c r="L658" s="11" t="s">
        <v>1483</v>
      </c>
      <c r="M658" s="11" t="s">
        <v>392</v>
      </c>
      <c r="N658" s="11"/>
      <c r="O658" s="11"/>
      <c r="P658" s="16" t="s">
        <v>63</v>
      </c>
      <c r="Q658" s="16" t="s">
        <v>643</v>
      </c>
      <c r="R658" s="16" t="s">
        <v>289</v>
      </c>
      <c r="S658" s="11" t="s">
        <v>1484</v>
      </c>
    </row>
    <row r="659" spans="1:19" s="20" customFormat="1" ht="21.75" hidden="1" customHeight="1" x14ac:dyDescent="0.2">
      <c r="A659" s="94" t="s">
        <v>1468</v>
      </c>
      <c r="B659" s="14">
        <v>4512383415</v>
      </c>
      <c r="C659" s="18">
        <v>46058</v>
      </c>
      <c r="D659" s="71">
        <v>4</v>
      </c>
      <c r="E659" s="19">
        <v>1</v>
      </c>
      <c r="F659" s="94" t="s">
        <v>29</v>
      </c>
      <c r="G659" s="94" t="s">
        <v>94</v>
      </c>
      <c r="H659" s="16" t="s">
        <v>76</v>
      </c>
      <c r="I659" s="16" t="s">
        <v>284</v>
      </c>
      <c r="J659" s="17">
        <v>20109072177</v>
      </c>
      <c r="K659" s="17" t="s">
        <v>73</v>
      </c>
      <c r="L659" s="16" t="s">
        <v>298</v>
      </c>
      <c r="M659" s="16" t="s">
        <v>299</v>
      </c>
      <c r="N659" s="11"/>
      <c r="O659" s="11"/>
      <c r="P659" s="16" t="s">
        <v>300</v>
      </c>
      <c r="Q659" s="16" t="s">
        <v>301</v>
      </c>
      <c r="R659" s="16" t="s">
        <v>289</v>
      </c>
      <c r="S659" s="11" t="s">
        <v>1485</v>
      </c>
    </row>
    <row r="660" spans="1:19" s="20" customFormat="1" ht="21.75" hidden="1" customHeight="1" x14ac:dyDescent="0.2">
      <c r="A660" s="94" t="s">
        <v>1469</v>
      </c>
      <c r="B660" s="14">
        <v>4512383435</v>
      </c>
      <c r="C660" s="18">
        <v>46058</v>
      </c>
      <c r="D660" s="71">
        <v>4</v>
      </c>
      <c r="E660" s="19">
        <v>1</v>
      </c>
      <c r="F660" s="94" t="s">
        <v>15</v>
      </c>
      <c r="G660" s="94" t="s">
        <v>96</v>
      </c>
      <c r="H660" s="16" t="s">
        <v>76</v>
      </c>
      <c r="I660" s="16" t="s">
        <v>284</v>
      </c>
      <c r="J660" s="17">
        <v>20109072177</v>
      </c>
      <c r="K660" s="17" t="s">
        <v>73</v>
      </c>
      <c r="L660" s="16" t="s">
        <v>659</v>
      </c>
      <c r="M660" s="16" t="s">
        <v>474</v>
      </c>
      <c r="N660" s="11"/>
      <c r="O660" s="11"/>
      <c r="P660" s="16" t="s">
        <v>635</v>
      </c>
      <c r="Q660" s="16" t="s">
        <v>646</v>
      </c>
      <c r="R660" s="16" t="s">
        <v>289</v>
      </c>
      <c r="S660" s="11" t="s">
        <v>1486</v>
      </c>
    </row>
    <row r="661" spans="1:19" s="20" customFormat="1" ht="21.75" hidden="1" customHeight="1" x14ac:dyDescent="0.2">
      <c r="A661" s="94" t="s">
        <v>1470</v>
      </c>
      <c r="B661" s="14">
        <v>4512380337</v>
      </c>
      <c r="C661" s="18">
        <v>46058</v>
      </c>
      <c r="D661" s="71">
        <v>4</v>
      </c>
      <c r="E661" s="19">
        <v>1</v>
      </c>
      <c r="F661" s="94" t="s">
        <v>29</v>
      </c>
      <c r="G661" s="94" t="s">
        <v>94</v>
      </c>
      <c r="H661" s="16" t="s">
        <v>76</v>
      </c>
      <c r="I661" s="16" t="s">
        <v>284</v>
      </c>
      <c r="J661" s="17">
        <v>20109072177</v>
      </c>
      <c r="K661" s="17" t="s">
        <v>73</v>
      </c>
      <c r="L661" s="81" t="s">
        <v>651</v>
      </c>
      <c r="M661" s="16" t="s">
        <v>299</v>
      </c>
      <c r="N661" s="11"/>
      <c r="O661" s="11"/>
      <c r="P661" s="16" t="s">
        <v>631</v>
      </c>
      <c r="Q661" s="16" t="s">
        <v>638</v>
      </c>
      <c r="R661" s="16" t="s">
        <v>289</v>
      </c>
      <c r="S661" s="11" t="s">
        <v>1487</v>
      </c>
    </row>
    <row r="662" spans="1:19" s="20" customFormat="1" ht="21.75" hidden="1" customHeight="1" x14ac:dyDescent="0.2">
      <c r="A662" s="94" t="s">
        <v>1470</v>
      </c>
      <c r="B662" s="14">
        <v>4512380337</v>
      </c>
      <c r="C662" s="18">
        <v>46058</v>
      </c>
      <c r="D662" s="71">
        <v>8</v>
      </c>
      <c r="E662" s="19">
        <v>1</v>
      </c>
      <c r="F662" s="94" t="s">
        <v>31</v>
      </c>
      <c r="G662" s="94" t="s">
        <v>98</v>
      </c>
      <c r="H662" s="16" t="s">
        <v>76</v>
      </c>
      <c r="I662" s="16" t="s">
        <v>284</v>
      </c>
      <c r="J662" s="17">
        <v>20109072177</v>
      </c>
      <c r="K662" s="17" t="s">
        <v>73</v>
      </c>
      <c r="L662" s="81" t="s">
        <v>651</v>
      </c>
      <c r="M662" s="16" t="s">
        <v>299</v>
      </c>
      <c r="N662" s="11"/>
      <c r="O662" s="11"/>
      <c r="P662" s="16" t="s">
        <v>631</v>
      </c>
      <c r="Q662" s="16" t="s">
        <v>638</v>
      </c>
      <c r="R662" s="16" t="s">
        <v>289</v>
      </c>
      <c r="S662" s="11" t="s">
        <v>1487</v>
      </c>
    </row>
    <row r="663" spans="1:19" s="20" customFormat="1" ht="21.75" hidden="1" customHeight="1" x14ac:dyDescent="0.2">
      <c r="A663" s="94" t="s">
        <v>1471</v>
      </c>
      <c r="B663" s="14">
        <v>4512380317</v>
      </c>
      <c r="C663" s="18">
        <v>46058</v>
      </c>
      <c r="D663" s="71">
        <v>4</v>
      </c>
      <c r="E663" s="19">
        <v>1</v>
      </c>
      <c r="F663" s="94" t="s">
        <v>29</v>
      </c>
      <c r="G663" s="94" t="s">
        <v>94</v>
      </c>
      <c r="H663" s="16" t="s">
        <v>76</v>
      </c>
      <c r="I663" s="16" t="s">
        <v>284</v>
      </c>
      <c r="J663" s="17">
        <v>20109072177</v>
      </c>
      <c r="K663" s="16" t="s">
        <v>73</v>
      </c>
      <c r="L663" s="16" t="s">
        <v>650</v>
      </c>
      <c r="M663" s="16" t="s">
        <v>299</v>
      </c>
      <c r="N663" s="11"/>
      <c r="O663" s="11"/>
      <c r="P663" s="16" t="s">
        <v>630</v>
      </c>
      <c r="Q663" s="16" t="s">
        <v>637</v>
      </c>
      <c r="R663" s="16" t="s">
        <v>289</v>
      </c>
      <c r="S663" s="11" t="s">
        <v>1488</v>
      </c>
    </row>
    <row r="664" spans="1:19" s="20" customFormat="1" ht="21.75" hidden="1" customHeight="1" x14ac:dyDescent="0.2">
      <c r="A664" s="94" t="s">
        <v>1471</v>
      </c>
      <c r="B664" s="14">
        <v>4512380317</v>
      </c>
      <c r="C664" s="18">
        <v>46058</v>
      </c>
      <c r="D664" s="71">
        <v>4</v>
      </c>
      <c r="E664" s="19">
        <v>1</v>
      </c>
      <c r="F664" s="94" t="s">
        <v>15</v>
      </c>
      <c r="G664" s="94" t="s">
        <v>96</v>
      </c>
      <c r="H664" s="16" t="s">
        <v>76</v>
      </c>
      <c r="I664" s="16" t="s">
        <v>284</v>
      </c>
      <c r="J664" s="17">
        <v>20109072177</v>
      </c>
      <c r="K664" s="16" t="s">
        <v>73</v>
      </c>
      <c r="L664" s="16" t="s">
        <v>650</v>
      </c>
      <c r="M664" s="16" t="s">
        <v>299</v>
      </c>
      <c r="N664" s="11"/>
      <c r="O664" s="11"/>
      <c r="P664" s="16" t="s">
        <v>630</v>
      </c>
      <c r="Q664" s="16" t="s">
        <v>637</v>
      </c>
      <c r="R664" s="16" t="s">
        <v>289</v>
      </c>
      <c r="S664" s="11" t="s">
        <v>1488</v>
      </c>
    </row>
    <row r="665" spans="1:19" s="20" customFormat="1" ht="21.75" hidden="1" customHeight="1" x14ac:dyDescent="0.2">
      <c r="A665" s="94" t="s">
        <v>1472</v>
      </c>
      <c r="B665" s="14">
        <v>4512380297</v>
      </c>
      <c r="C665" s="18">
        <v>46058</v>
      </c>
      <c r="D665" s="71">
        <v>4</v>
      </c>
      <c r="E665" s="19">
        <v>1</v>
      </c>
      <c r="F665" s="94" t="s">
        <v>302</v>
      </c>
      <c r="G665" s="94" t="s">
        <v>303</v>
      </c>
      <c r="H665" s="16" t="s">
        <v>76</v>
      </c>
      <c r="I665" s="72" t="s">
        <v>284</v>
      </c>
      <c r="J665" s="72" t="s">
        <v>1463</v>
      </c>
      <c r="K665" s="16" t="s">
        <v>73</v>
      </c>
      <c r="L665" s="75" t="s">
        <v>1493</v>
      </c>
      <c r="M665" s="75" t="s">
        <v>1060</v>
      </c>
      <c r="N665" s="75"/>
      <c r="O665" s="75"/>
      <c r="P665" s="95" t="s">
        <v>1061</v>
      </c>
      <c r="Q665" s="11" t="s">
        <v>1489</v>
      </c>
      <c r="R665" s="16" t="s">
        <v>289</v>
      </c>
      <c r="S665" s="11" t="s">
        <v>1490</v>
      </c>
    </row>
    <row r="666" spans="1:19" s="20" customFormat="1" ht="21.75" hidden="1" customHeight="1" x14ac:dyDescent="0.2">
      <c r="A666" s="94" t="s">
        <v>1473</v>
      </c>
      <c r="B666" s="14">
        <v>4512380267</v>
      </c>
      <c r="C666" s="18">
        <v>46058</v>
      </c>
      <c r="D666" s="71">
        <v>4</v>
      </c>
      <c r="E666" s="19">
        <v>1</v>
      </c>
      <c r="F666" s="94" t="s">
        <v>29</v>
      </c>
      <c r="G666" s="94" t="s">
        <v>94</v>
      </c>
      <c r="H666" s="16" t="s">
        <v>76</v>
      </c>
      <c r="I666" s="17" t="s">
        <v>284</v>
      </c>
      <c r="J666" s="17">
        <v>20109072177</v>
      </c>
      <c r="K666" s="17" t="s">
        <v>73</v>
      </c>
      <c r="L666" s="17" t="s">
        <v>305</v>
      </c>
      <c r="M666" s="17" t="s">
        <v>306</v>
      </c>
      <c r="N666" s="19"/>
      <c r="O666" s="19"/>
      <c r="P666" s="17" t="s">
        <v>60</v>
      </c>
      <c r="Q666" s="17" t="s">
        <v>307</v>
      </c>
      <c r="R666" s="21" t="s">
        <v>289</v>
      </c>
      <c r="S666" s="11" t="s">
        <v>1494</v>
      </c>
    </row>
    <row r="667" spans="1:19" s="20" customFormat="1" ht="21.75" hidden="1" customHeight="1" x14ac:dyDescent="0.2">
      <c r="A667" s="94" t="s">
        <v>1473</v>
      </c>
      <c r="B667" s="14">
        <v>4512380267</v>
      </c>
      <c r="C667" s="18">
        <v>46058</v>
      </c>
      <c r="D667" s="71">
        <v>4</v>
      </c>
      <c r="E667" s="19">
        <v>1</v>
      </c>
      <c r="F667" s="94" t="s">
        <v>30</v>
      </c>
      <c r="G667" s="94" t="s">
        <v>122</v>
      </c>
      <c r="H667" s="16" t="s">
        <v>76</v>
      </c>
      <c r="I667" s="17" t="s">
        <v>284</v>
      </c>
      <c r="J667" s="17">
        <v>20109072177</v>
      </c>
      <c r="K667" s="17" t="s">
        <v>73</v>
      </c>
      <c r="L667" s="17" t="s">
        <v>305</v>
      </c>
      <c r="M667" s="17" t="s">
        <v>306</v>
      </c>
      <c r="N667" s="19"/>
      <c r="O667" s="19"/>
      <c r="P667" s="17" t="s">
        <v>60</v>
      </c>
      <c r="Q667" s="17" t="s">
        <v>307</v>
      </c>
      <c r="R667" s="21" t="s">
        <v>289</v>
      </c>
      <c r="S667" s="11" t="s">
        <v>1494</v>
      </c>
    </row>
    <row r="668" spans="1:19" s="20" customFormat="1" ht="21.75" hidden="1" customHeight="1" x14ac:dyDescent="0.2">
      <c r="A668" s="94" t="s">
        <v>1473</v>
      </c>
      <c r="B668" s="14">
        <v>4512380267</v>
      </c>
      <c r="C668" s="18">
        <v>46058</v>
      </c>
      <c r="D668" s="71">
        <v>4</v>
      </c>
      <c r="E668" s="19">
        <v>1</v>
      </c>
      <c r="F668" s="94" t="s">
        <v>37</v>
      </c>
      <c r="G668" s="94" t="s">
        <v>133</v>
      </c>
      <c r="H668" s="16" t="s">
        <v>76</v>
      </c>
      <c r="I668" s="17" t="s">
        <v>284</v>
      </c>
      <c r="J668" s="17">
        <v>20109072177</v>
      </c>
      <c r="K668" s="17" t="s">
        <v>73</v>
      </c>
      <c r="L668" s="17" t="s">
        <v>305</v>
      </c>
      <c r="M668" s="17" t="s">
        <v>306</v>
      </c>
      <c r="N668" s="19"/>
      <c r="O668" s="19"/>
      <c r="P668" s="17" t="s">
        <v>60</v>
      </c>
      <c r="Q668" s="17" t="s">
        <v>307</v>
      </c>
      <c r="R668" s="21" t="s">
        <v>289</v>
      </c>
      <c r="S668" s="11" t="s">
        <v>1494</v>
      </c>
    </row>
    <row r="669" spans="1:19" s="20" customFormat="1" ht="21.75" hidden="1" customHeight="1" x14ac:dyDescent="0.2">
      <c r="A669" s="94" t="s">
        <v>1474</v>
      </c>
      <c r="B669" s="14">
        <v>4512383050</v>
      </c>
      <c r="C669" s="18">
        <v>46058</v>
      </c>
      <c r="D669" s="71">
        <v>6</v>
      </c>
      <c r="E669" s="19">
        <v>3</v>
      </c>
      <c r="F669" s="94" t="s">
        <v>966</v>
      </c>
      <c r="G669" s="94" t="s">
        <v>968</v>
      </c>
      <c r="H669" s="16" t="s">
        <v>76</v>
      </c>
      <c r="I669" s="16" t="s">
        <v>284</v>
      </c>
      <c r="J669" s="17">
        <v>20109072177</v>
      </c>
      <c r="K669" s="17" t="s">
        <v>73</v>
      </c>
      <c r="L669" s="16" t="s">
        <v>657</v>
      </c>
      <c r="M669" s="16" t="s">
        <v>392</v>
      </c>
      <c r="N669" s="11"/>
      <c r="O669" s="11"/>
      <c r="P669" s="16" t="s">
        <v>631</v>
      </c>
      <c r="Q669" s="16" t="s">
        <v>644</v>
      </c>
      <c r="R669" s="16" t="s">
        <v>289</v>
      </c>
      <c r="S669" s="11" t="s">
        <v>1491</v>
      </c>
    </row>
    <row r="670" spans="1:19" s="20" customFormat="1" ht="21.75" hidden="1" customHeight="1" x14ac:dyDescent="0.2">
      <c r="A670" s="94" t="s">
        <v>1475</v>
      </c>
      <c r="B670" s="14">
        <v>4512383389</v>
      </c>
      <c r="C670" s="18">
        <v>46058</v>
      </c>
      <c r="D670" s="71">
        <v>4</v>
      </c>
      <c r="E670" s="19">
        <v>1</v>
      </c>
      <c r="F670" s="94" t="s">
        <v>30</v>
      </c>
      <c r="G670" s="94" t="s">
        <v>122</v>
      </c>
      <c r="H670" s="16" t="s">
        <v>76</v>
      </c>
      <c r="I670" s="16" t="s">
        <v>284</v>
      </c>
      <c r="J670" s="17">
        <v>20109072177</v>
      </c>
      <c r="K670" s="17" t="s">
        <v>73</v>
      </c>
      <c r="L670" s="16" t="s">
        <v>1031</v>
      </c>
      <c r="M670" s="16" t="s">
        <v>474</v>
      </c>
      <c r="N670" s="11"/>
      <c r="O670" s="11"/>
      <c r="P670" s="16" t="s">
        <v>255</v>
      </c>
      <c r="Q670" s="16" t="s">
        <v>1032</v>
      </c>
      <c r="R670" s="16" t="s">
        <v>289</v>
      </c>
      <c r="S670" s="11" t="s">
        <v>1495</v>
      </c>
    </row>
    <row r="671" spans="1:19" s="20" customFormat="1" ht="21.75" hidden="1" customHeight="1" x14ac:dyDescent="0.2">
      <c r="A671" s="94" t="s">
        <v>1475</v>
      </c>
      <c r="B671" s="14">
        <v>4512383389</v>
      </c>
      <c r="C671" s="18">
        <v>46058</v>
      </c>
      <c r="D671" s="71">
        <v>4</v>
      </c>
      <c r="E671" s="19">
        <v>1</v>
      </c>
      <c r="F671" s="94" t="s">
        <v>29</v>
      </c>
      <c r="G671" s="94" t="s">
        <v>94</v>
      </c>
      <c r="H671" s="16" t="s">
        <v>76</v>
      </c>
      <c r="I671" s="16" t="s">
        <v>284</v>
      </c>
      <c r="J671" s="17">
        <v>20109072177</v>
      </c>
      <c r="K671" s="17" t="s">
        <v>73</v>
      </c>
      <c r="L671" s="16" t="s">
        <v>1031</v>
      </c>
      <c r="M671" s="16" t="s">
        <v>474</v>
      </c>
      <c r="N671" s="11"/>
      <c r="O671" s="11"/>
      <c r="P671" s="16" t="s">
        <v>255</v>
      </c>
      <c r="Q671" s="16" t="s">
        <v>1032</v>
      </c>
      <c r="R671" s="16" t="s">
        <v>289</v>
      </c>
      <c r="S671" s="11" t="s">
        <v>1495</v>
      </c>
    </row>
    <row r="672" spans="1:19" s="20" customFormat="1" ht="21.75" hidden="1" customHeight="1" x14ac:dyDescent="0.2">
      <c r="A672" s="94" t="s">
        <v>1475</v>
      </c>
      <c r="B672" s="14">
        <v>4512383389</v>
      </c>
      <c r="C672" s="18">
        <v>46058</v>
      </c>
      <c r="D672" s="71">
        <v>8</v>
      </c>
      <c r="E672" s="19">
        <v>2</v>
      </c>
      <c r="F672" s="94" t="s">
        <v>302</v>
      </c>
      <c r="G672" s="94" t="s">
        <v>303</v>
      </c>
      <c r="H672" s="16" t="s">
        <v>76</v>
      </c>
      <c r="I672" s="16" t="s">
        <v>284</v>
      </c>
      <c r="J672" s="17">
        <v>20109072177</v>
      </c>
      <c r="K672" s="17" t="s">
        <v>73</v>
      </c>
      <c r="L672" s="16" t="s">
        <v>1031</v>
      </c>
      <c r="M672" s="16" t="s">
        <v>474</v>
      </c>
      <c r="N672" s="11"/>
      <c r="O672" s="11"/>
      <c r="P672" s="16" t="s">
        <v>255</v>
      </c>
      <c r="Q672" s="16" t="s">
        <v>1032</v>
      </c>
      <c r="R672" s="16" t="s">
        <v>289</v>
      </c>
      <c r="S672" s="11" t="s">
        <v>1495</v>
      </c>
    </row>
    <row r="673" spans="1:19" s="20" customFormat="1" ht="21.75" hidden="1" customHeight="1" x14ac:dyDescent="0.2">
      <c r="A673" s="94" t="s">
        <v>1476</v>
      </c>
      <c r="B673" s="14">
        <v>4512382959</v>
      </c>
      <c r="C673" s="18">
        <v>46058</v>
      </c>
      <c r="D673" s="71">
        <v>4</v>
      </c>
      <c r="E673" s="19">
        <v>1</v>
      </c>
      <c r="F673" s="94" t="s">
        <v>29</v>
      </c>
      <c r="G673" s="94" t="s">
        <v>94</v>
      </c>
      <c r="H673" s="16" t="s">
        <v>76</v>
      </c>
      <c r="I673" s="16" t="s">
        <v>284</v>
      </c>
      <c r="J673" s="17">
        <v>20109072177</v>
      </c>
      <c r="K673" s="16" t="s">
        <v>73</v>
      </c>
      <c r="L673" s="16" t="s">
        <v>1047</v>
      </c>
      <c r="M673" s="16" t="s">
        <v>392</v>
      </c>
      <c r="N673" s="11"/>
      <c r="O673" s="11"/>
      <c r="P673" s="16" t="s">
        <v>256</v>
      </c>
      <c r="Q673" s="16" t="s">
        <v>1048</v>
      </c>
      <c r="R673" s="16" t="s">
        <v>289</v>
      </c>
      <c r="S673" s="11" t="s">
        <v>1492</v>
      </c>
    </row>
    <row r="674" spans="1:19" s="20" customFormat="1" ht="21.75" hidden="1" customHeight="1" x14ac:dyDescent="0.2">
      <c r="A674" s="94" t="s">
        <v>1476</v>
      </c>
      <c r="B674" s="14">
        <v>4512382959</v>
      </c>
      <c r="C674" s="18">
        <v>46058</v>
      </c>
      <c r="D674" s="71">
        <v>4</v>
      </c>
      <c r="E674" s="19">
        <v>1</v>
      </c>
      <c r="F674" s="94" t="s">
        <v>302</v>
      </c>
      <c r="G674" s="94" t="s">
        <v>303</v>
      </c>
      <c r="H674" s="16" t="s">
        <v>76</v>
      </c>
      <c r="I674" s="16" t="s">
        <v>284</v>
      </c>
      <c r="J674" s="17">
        <v>20109072177</v>
      </c>
      <c r="K674" s="16" t="s">
        <v>73</v>
      </c>
      <c r="L674" s="16" t="s">
        <v>1047</v>
      </c>
      <c r="M674" s="16" t="s">
        <v>392</v>
      </c>
      <c r="N674" s="11"/>
      <c r="O674" s="11"/>
      <c r="P674" s="16" t="s">
        <v>256</v>
      </c>
      <c r="Q674" s="16" t="s">
        <v>1048</v>
      </c>
      <c r="R674" s="16" t="s">
        <v>289</v>
      </c>
      <c r="S674" s="11" t="s">
        <v>1492</v>
      </c>
    </row>
    <row r="675" spans="1:19" s="20" customFormat="1" ht="21.75" hidden="1" customHeight="1" x14ac:dyDescent="0.2">
      <c r="A675" s="94" t="s">
        <v>1477</v>
      </c>
      <c r="B675" s="14">
        <v>4512382992</v>
      </c>
      <c r="C675" s="18">
        <v>46058</v>
      </c>
      <c r="D675" s="71">
        <v>4</v>
      </c>
      <c r="E675" s="19">
        <v>1</v>
      </c>
      <c r="F675" s="94" t="s">
        <v>302</v>
      </c>
      <c r="G675" s="94" t="s">
        <v>303</v>
      </c>
      <c r="H675" s="16" t="s">
        <v>76</v>
      </c>
      <c r="I675" s="16" t="s">
        <v>284</v>
      </c>
      <c r="J675" s="17">
        <v>20109072177</v>
      </c>
      <c r="K675" s="17" t="s">
        <v>73</v>
      </c>
      <c r="L675" s="16" t="s">
        <v>311</v>
      </c>
      <c r="M675" s="16" t="s">
        <v>312</v>
      </c>
      <c r="N675" s="11"/>
      <c r="O675" s="11"/>
      <c r="P675" s="16" t="s">
        <v>259</v>
      </c>
      <c r="Q675" s="16" t="s">
        <v>313</v>
      </c>
      <c r="R675" s="16" t="s">
        <v>289</v>
      </c>
      <c r="S675" s="11" t="s">
        <v>1496</v>
      </c>
    </row>
    <row r="676" spans="1:19" s="20" customFormat="1" ht="21.75" hidden="1" customHeight="1" x14ac:dyDescent="0.2">
      <c r="A676" s="94" t="s">
        <v>1477</v>
      </c>
      <c r="B676" s="14">
        <v>4512382992</v>
      </c>
      <c r="C676" s="18">
        <v>46058</v>
      </c>
      <c r="D676" s="71">
        <v>4</v>
      </c>
      <c r="E676" s="19">
        <v>1</v>
      </c>
      <c r="F676" s="94" t="s">
        <v>29</v>
      </c>
      <c r="G676" s="94" t="s">
        <v>94</v>
      </c>
      <c r="H676" s="16" t="s">
        <v>76</v>
      </c>
      <c r="I676" s="16" t="s">
        <v>284</v>
      </c>
      <c r="J676" s="17">
        <v>20109072177</v>
      </c>
      <c r="K676" s="17" t="s">
        <v>73</v>
      </c>
      <c r="L676" s="16" t="s">
        <v>311</v>
      </c>
      <c r="M676" s="16" t="s">
        <v>312</v>
      </c>
      <c r="N676" s="11"/>
      <c r="O676" s="11"/>
      <c r="P676" s="16" t="s">
        <v>259</v>
      </c>
      <c r="Q676" s="16" t="s">
        <v>313</v>
      </c>
      <c r="R676" s="16" t="s">
        <v>289</v>
      </c>
      <c r="S676" s="11" t="s">
        <v>1496</v>
      </c>
    </row>
    <row r="677" spans="1:19" s="20" customFormat="1" ht="21.75" hidden="1" customHeight="1" x14ac:dyDescent="0.2">
      <c r="A677" s="94" t="s">
        <v>1477</v>
      </c>
      <c r="B677" s="14">
        <v>4512382992</v>
      </c>
      <c r="C677" s="18">
        <v>46058</v>
      </c>
      <c r="D677" s="71">
        <v>8</v>
      </c>
      <c r="E677" s="19">
        <v>2</v>
      </c>
      <c r="F677" s="94" t="s">
        <v>28</v>
      </c>
      <c r="G677" s="94" t="s">
        <v>95</v>
      </c>
      <c r="H677" s="16" t="s">
        <v>76</v>
      </c>
      <c r="I677" s="16" t="s">
        <v>284</v>
      </c>
      <c r="J677" s="17">
        <v>20109072177</v>
      </c>
      <c r="K677" s="17" t="s">
        <v>73</v>
      </c>
      <c r="L677" s="16" t="s">
        <v>311</v>
      </c>
      <c r="M677" s="16" t="s">
        <v>312</v>
      </c>
      <c r="N677" s="11"/>
      <c r="O677" s="11"/>
      <c r="P677" s="16" t="s">
        <v>259</v>
      </c>
      <c r="Q677" s="16" t="s">
        <v>313</v>
      </c>
      <c r="R677" s="16" t="s">
        <v>289</v>
      </c>
      <c r="S677" s="11" t="s">
        <v>1496</v>
      </c>
    </row>
    <row r="678" spans="1:19" s="20" customFormat="1" ht="21.75" hidden="1" customHeight="1" x14ac:dyDescent="0.2">
      <c r="A678" s="94" t="s">
        <v>1477</v>
      </c>
      <c r="B678" s="14">
        <v>4512382992</v>
      </c>
      <c r="C678" s="18">
        <v>46058</v>
      </c>
      <c r="D678" s="71">
        <v>4</v>
      </c>
      <c r="E678" s="19">
        <v>1</v>
      </c>
      <c r="F678" s="94" t="s">
        <v>15</v>
      </c>
      <c r="G678" s="94" t="s">
        <v>96</v>
      </c>
      <c r="H678" s="16" t="s">
        <v>76</v>
      </c>
      <c r="I678" s="16" t="s">
        <v>284</v>
      </c>
      <c r="J678" s="17">
        <v>20109072177</v>
      </c>
      <c r="K678" s="17" t="s">
        <v>73</v>
      </c>
      <c r="L678" s="16" t="s">
        <v>311</v>
      </c>
      <c r="M678" s="16" t="s">
        <v>312</v>
      </c>
      <c r="N678" s="11"/>
      <c r="O678" s="11"/>
      <c r="P678" s="16" t="s">
        <v>259</v>
      </c>
      <c r="Q678" s="16" t="s">
        <v>313</v>
      </c>
      <c r="R678" s="16" t="s">
        <v>289</v>
      </c>
      <c r="S678" s="11" t="s">
        <v>1496</v>
      </c>
    </row>
    <row r="679" spans="1:19" s="20" customFormat="1" ht="21.75" hidden="1" customHeight="1" x14ac:dyDescent="0.2">
      <c r="A679" s="94" t="s">
        <v>1478</v>
      </c>
      <c r="B679" s="14">
        <v>4512382815</v>
      </c>
      <c r="C679" s="18">
        <v>46058</v>
      </c>
      <c r="D679" s="71">
        <v>4</v>
      </c>
      <c r="E679" s="19">
        <v>1</v>
      </c>
      <c r="F679" s="94" t="s">
        <v>29</v>
      </c>
      <c r="G679" s="94" t="s">
        <v>94</v>
      </c>
      <c r="H679" s="16" t="s">
        <v>76</v>
      </c>
      <c r="I679" s="16" t="s">
        <v>284</v>
      </c>
      <c r="J679" s="17">
        <v>20109072177</v>
      </c>
      <c r="K679" s="17" t="s">
        <v>73</v>
      </c>
      <c r="L679" s="16" t="s">
        <v>652</v>
      </c>
      <c r="M679" s="16" t="s">
        <v>299</v>
      </c>
      <c r="N679" s="11"/>
      <c r="O679" s="11"/>
      <c r="P679" s="16" t="s">
        <v>632</v>
      </c>
      <c r="Q679" s="16" t="s">
        <v>639</v>
      </c>
      <c r="R679" s="16" t="s">
        <v>289</v>
      </c>
      <c r="S679" s="11" t="s">
        <v>1497</v>
      </c>
    </row>
    <row r="680" spans="1:19" s="20" customFormat="1" ht="21.75" hidden="1" customHeight="1" x14ac:dyDescent="0.2">
      <c r="A680" s="94" t="s">
        <v>1479</v>
      </c>
      <c r="B680" s="14">
        <v>4512382875</v>
      </c>
      <c r="C680" s="18">
        <v>46058</v>
      </c>
      <c r="D680" s="71">
        <v>6</v>
      </c>
      <c r="E680" s="19">
        <v>3</v>
      </c>
      <c r="F680" s="94" t="s">
        <v>966</v>
      </c>
      <c r="G680" s="94" t="s">
        <v>968</v>
      </c>
      <c r="H680" s="16" t="s">
        <v>76</v>
      </c>
      <c r="I680" s="16" t="s">
        <v>284</v>
      </c>
      <c r="J680" s="17">
        <v>20109072177</v>
      </c>
      <c r="K680" s="17" t="s">
        <v>73</v>
      </c>
      <c r="L680" s="16" t="s">
        <v>1015</v>
      </c>
      <c r="M680" s="16" t="s">
        <v>474</v>
      </c>
      <c r="N680" s="11"/>
      <c r="O680" s="11"/>
      <c r="P680" s="16" t="s">
        <v>634</v>
      </c>
      <c r="Q680" s="16" t="s">
        <v>641</v>
      </c>
      <c r="R680" s="16" t="s">
        <v>289</v>
      </c>
      <c r="S680" s="11" t="s">
        <v>1498</v>
      </c>
    </row>
    <row r="681" spans="1:19" s="20" customFormat="1" ht="21.75" hidden="1" customHeight="1" x14ac:dyDescent="0.2">
      <c r="A681" s="94" t="s">
        <v>1479</v>
      </c>
      <c r="B681" s="14">
        <v>4512382875</v>
      </c>
      <c r="C681" s="18">
        <v>46058</v>
      </c>
      <c r="D681" s="71">
        <v>4</v>
      </c>
      <c r="E681" s="19">
        <v>1</v>
      </c>
      <c r="F681" s="94" t="s">
        <v>37</v>
      </c>
      <c r="G681" s="94" t="s">
        <v>133</v>
      </c>
      <c r="H681" s="16" t="s">
        <v>76</v>
      </c>
      <c r="I681" s="16" t="s">
        <v>284</v>
      </c>
      <c r="J681" s="17">
        <v>20109072177</v>
      </c>
      <c r="K681" s="17" t="s">
        <v>73</v>
      </c>
      <c r="L681" s="16" t="s">
        <v>1015</v>
      </c>
      <c r="M681" s="16" t="s">
        <v>474</v>
      </c>
      <c r="N681" s="11"/>
      <c r="O681" s="11"/>
      <c r="P681" s="16" t="s">
        <v>634</v>
      </c>
      <c r="Q681" s="16" t="s">
        <v>641</v>
      </c>
      <c r="R681" s="16" t="s">
        <v>289</v>
      </c>
      <c r="S681" s="11" t="s">
        <v>1498</v>
      </c>
    </row>
    <row r="682" spans="1:19" s="20" customFormat="1" ht="21.75" hidden="1" customHeight="1" x14ac:dyDescent="0.2">
      <c r="A682" s="94" t="s">
        <v>1479</v>
      </c>
      <c r="B682" s="14">
        <v>4512382875</v>
      </c>
      <c r="C682" s="18">
        <v>46058</v>
      </c>
      <c r="D682" s="71">
        <v>4</v>
      </c>
      <c r="E682" s="19">
        <v>1</v>
      </c>
      <c r="F682" s="94" t="s">
        <v>16</v>
      </c>
      <c r="G682" s="94" t="s">
        <v>89</v>
      </c>
      <c r="H682" s="16" t="s">
        <v>76</v>
      </c>
      <c r="I682" s="16" t="s">
        <v>284</v>
      </c>
      <c r="J682" s="17">
        <v>20109072177</v>
      </c>
      <c r="K682" s="17" t="s">
        <v>73</v>
      </c>
      <c r="L682" s="16" t="s">
        <v>1015</v>
      </c>
      <c r="M682" s="16" t="s">
        <v>474</v>
      </c>
      <c r="N682" s="11"/>
      <c r="O682" s="11"/>
      <c r="P682" s="16" t="s">
        <v>634</v>
      </c>
      <c r="Q682" s="16" t="s">
        <v>641</v>
      </c>
      <c r="R682" s="16" t="s">
        <v>289</v>
      </c>
      <c r="S682" s="11" t="s">
        <v>1498</v>
      </c>
    </row>
    <row r="683" spans="1:19" s="20" customFormat="1" ht="21.75" hidden="1" customHeight="1" x14ac:dyDescent="0.2">
      <c r="A683" s="94" t="s">
        <v>1479</v>
      </c>
      <c r="B683" s="14">
        <v>4512382875</v>
      </c>
      <c r="C683" s="18">
        <v>46058</v>
      </c>
      <c r="D683" s="71">
        <v>8</v>
      </c>
      <c r="E683" s="19">
        <v>2</v>
      </c>
      <c r="F683" s="94" t="s">
        <v>15</v>
      </c>
      <c r="G683" s="94" t="s">
        <v>96</v>
      </c>
      <c r="H683" s="16" t="s">
        <v>76</v>
      </c>
      <c r="I683" s="16" t="s">
        <v>284</v>
      </c>
      <c r="J683" s="17">
        <v>20109072177</v>
      </c>
      <c r="K683" s="17" t="s">
        <v>73</v>
      </c>
      <c r="L683" s="16" t="s">
        <v>1015</v>
      </c>
      <c r="M683" s="16" t="s">
        <v>474</v>
      </c>
      <c r="N683" s="11"/>
      <c r="O683" s="11"/>
      <c r="P683" s="16" t="s">
        <v>634</v>
      </c>
      <c r="Q683" s="16" t="s">
        <v>641</v>
      </c>
      <c r="R683" s="16" t="s">
        <v>289</v>
      </c>
      <c r="S683" s="11" t="s">
        <v>1498</v>
      </c>
    </row>
    <row r="684" spans="1:19" s="20" customFormat="1" ht="21.75" hidden="1" customHeight="1" x14ac:dyDescent="0.2">
      <c r="A684" s="94" t="s">
        <v>1479</v>
      </c>
      <c r="B684" s="14">
        <v>4512382875</v>
      </c>
      <c r="C684" s="18">
        <v>46058</v>
      </c>
      <c r="D684" s="71">
        <v>4</v>
      </c>
      <c r="E684" s="19">
        <v>1</v>
      </c>
      <c r="F684" s="94" t="s">
        <v>30</v>
      </c>
      <c r="G684" s="94" t="s">
        <v>122</v>
      </c>
      <c r="H684" s="16" t="s">
        <v>76</v>
      </c>
      <c r="I684" s="16" t="s">
        <v>284</v>
      </c>
      <c r="J684" s="17">
        <v>20109072177</v>
      </c>
      <c r="K684" s="17" t="s">
        <v>73</v>
      </c>
      <c r="L684" s="16" t="s">
        <v>1015</v>
      </c>
      <c r="M684" s="16" t="s">
        <v>474</v>
      </c>
      <c r="N684" s="11"/>
      <c r="O684" s="11"/>
      <c r="P684" s="16" t="s">
        <v>634</v>
      </c>
      <c r="Q684" s="16" t="s">
        <v>641</v>
      </c>
      <c r="R684" s="16" t="s">
        <v>289</v>
      </c>
      <c r="S684" s="11" t="s">
        <v>1498</v>
      </c>
    </row>
    <row r="685" spans="1:19" s="20" customFormat="1" ht="21.75" hidden="1" customHeight="1" x14ac:dyDescent="0.2">
      <c r="A685" s="94" t="s">
        <v>1479</v>
      </c>
      <c r="B685" s="14">
        <v>4512382875</v>
      </c>
      <c r="C685" s="18">
        <v>46058</v>
      </c>
      <c r="D685" s="71">
        <v>4</v>
      </c>
      <c r="E685" s="19">
        <v>1</v>
      </c>
      <c r="F685" s="94" t="s">
        <v>325</v>
      </c>
      <c r="G685" s="94" t="s">
        <v>338</v>
      </c>
      <c r="H685" s="16" t="s">
        <v>76</v>
      </c>
      <c r="I685" s="16" t="s">
        <v>284</v>
      </c>
      <c r="J685" s="17">
        <v>20109072177</v>
      </c>
      <c r="K685" s="17" t="s">
        <v>73</v>
      </c>
      <c r="L685" s="16" t="s">
        <v>1015</v>
      </c>
      <c r="M685" s="16" t="s">
        <v>474</v>
      </c>
      <c r="N685" s="11"/>
      <c r="O685" s="11"/>
      <c r="P685" s="16" t="s">
        <v>634</v>
      </c>
      <c r="Q685" s="16" t="s">
        <v>641</v>
      </c>
      <c r="R685" s="16" t="s">
        <v>289</v>
      </c>
      <c r="S685" s="11" t="s">
        <v>1498</v>
      </c>
    </row>
    <row r="686" spans="1:19" s="20" customFormat="1" ht="21.75" hidden="1" customHeight="1" x14ac:dyDescent="0.2">
      <c r="A686" s="94" t="s">
        <v>1480</v>
      </c>
      <c r="B686" s="14">
        <v>4512382929</v>
      </c>
      <c r="C686" s="18">
        <v>46058</v>
      </c>
      <c r="D686" s="71">
        <v>4</v>
      </c>
      <c r="E686" s="19">
        <v>1</v>
      </c>
      <c r="F686" s="94" t="s">
        <v>29</v>
      </c>
      <c r="G686" s="94" t="s">
        <v>94</v>
      </c>
      <c r="H686" s="16" t="s">
        <v>76</v>
      </c>
      <c r="I686" s="16" t="s">
        <v>284</v>
      </c>
      <c r="J686" s="17">
        <v>20109072177</v>
      </c>
      <c r="K686" s="17" t="s">
        <v>73</v>
      </c>
      <c r="L686" s="16" t="s">
        <v>655</v>
      </c>
      <c r="M686" s="16" t="s">
        <v>533</v>
      </c>
      <c r="N686" s="11"/>
      <c r="O686" s="11"/>
      <c r="P686" s="16" t="s">
        <v>257</v>
      </c>
      <c r="Q686" s="16" t="s">
        <v>642</v>
      </c>
      <c r="R686" s="16" t="s">
        <v>289</v>
      </c>
      <c r="S686" s="11" t="s">
        <v>1499</v>
      </c>
    </row>
    <row r="687" spans="1:19" s="20" customFormat="1" ht="21.75" hidden="1" customHeight="1" x14ac:dyDescent="0.2">
      <c r="A687" s="94" t="s">
        <v>1480</v>
      </c>
      <c r="B687" s="14">
        <v>4512382929</v>
      </c>
      <c r="C687" s="18">
        <v>46058</v>
      </c>
      <c r="D687" s="71">
        <v>8</v>
      </c>
      <c r="E687" s="19">
        <v>1</v>
      </c>
      <c r="F687" s="94" t="s">
        <v>31</v>
      </c>
      <c r="G687" s="94" t="s">
        <v>98</v>
      </c>
      <c r="H687" s="16" t="s">
        <v>76</v>
      </c>
      <c r="I687" s="16" t="s">
        <v>284</v>
      </c>
      <c r="J687" s="17">
        <v>20109072177</v>
      </c>
      <c r="K687" s="17" t="s">
        <v>73</v>
      </c>
      <c r="L687" s="16" t="s">
        <v>655</v>
      </c>
      <c r="M687" s="16" t="s">
        <v>533</v>
      </c>
      <c r="N687" s="11"/>
      <c r="O687" s="11"/>
      <c r="P687" s="16" t="s">
        <v>257</v>
      </c>
      <c r="Q687" s="16" t="s">
        <v>642</v>
      </c>
      <c r="R687" s="16" t="s">
        <v>289</v>
      </c>
      <c r="S687" s="11" t="s">
        <v>1499</v>
      </c>
    </row>
    <row r="688" spans="1:19" s="20" customFormat="1" ht="21.75" hidden="1" customHeight="1" x14ac:dyDescent="0.2">
      <c r="A688" s="94" t="s">
        <v>1481</v>
      </c>
      <c r="B688" s="14"/>
      <c r="C688" s="18">
        <v>46058</v>
      </c>
      <c r="D688" s="71">
        <v>144</v>
      </c>
      <c r="E688" s="19">
        <v>12</v>
      </c>
      <c r="F688" s="94" t="s">
        <v>354</v>
      </c>
      <c r="G688" s="94" t="s">
        <v>366</v>
      </c>
      <c r="H688" s="16" t="s">
        <v>99</v>
      </c>
      <c r="I688" s="72" t="s">
        <v>1462</v>
      </c>
      <c r="J688" s="72" t="s">
        <v>1464</v>
      </c>
      <c r="K688" s="14" t="s">
        <v>1503</v>
      </c>
      <c r="L688" s="11" t="s">
        <v>1501</v>
      </c>
      <c r="M688" s="11" t="s">
        <v>347</v>
      </c>
      <c r="N688" s="11"/>
      <c r="O688" s="11"/>
      <c r="P688" s="16" t="s">
        <v>1502</v>
      </c>
      <c r="Q688" s="11" t="s">
        <v>1504</v>
      </c>
      <c r="R688" s="11" t="s">
        <v>395</v>
      </c>
      <c r="S688" s="11" t="s">
        <v>1500</v>
      </c>
    </row>
    <row r="689" spans="1:19" ht="21.75" hidden="1" customHeight="1" x14ac:dyDescent="0.25">
      <c r="A689" s="16" t="s">
        <v>1506</v>
      </c>
      <c r="B689" s="17" t="s">
        <v>1325</v>
      </c>
      <c r="C689" s="18">
        <v>46059</v>
      </c>
      <c r="D689" s="21">
        <v>408</v>
      </c>
      <c r="E689" s="19">
        <v>34</v>
      </c>
      <c r="F689" s="16" t="s">
        <v>1323</v>
      </c>
      <c r="G689" s="16" t="s">
        <v>1324</v>
      </c>
      <c r="H689" s="11" t="s">
        <v>99</v>
      </c>
      <c r="I689" s="16" t="s">
        <v>1322</v>
      </c>
      <c r="J689" s="17">
        <v>20298674611</v>
      </c>
      <c r="K689" s="17" t="s">
        <v>73</v>
      </c>
      <c r="L689" s="16" t="s">
        <v>1515</v>
      </c>
      <c r="M689" s="16" t="s">
        <v>1452</v>
      </c>
      <c r="N689" s="11"/>
      <c r="O689" s="11"/>
      <c r="P689" s="16" t="s">
        <v>1505</v>
      </c>
      <c r="Q689" s="16" t="s">
        <v>1514</v>
      </c>
      <c r="R689" s="16" t="s">
        <v>1511</v>
      </c>
      <c r="S689" s="11" t="s">
        <v>1518</v>
      </c>
    </row>
    <row r="690" spans="1:19" ht="21.75" hidden="1" customHeight="1" x14ac:dyDescent="0.25">
      <c r="A690" s="16" t="s">
        <v>1507</v>
      </c>
      <c r="B690" s="17" t="s">
        <v>1510</v>
      </c>
      <c r="C690" s="18">
        <v>46059</v>
      </c>
      <c r="D690" s="21">
        <v>24</v>
      </c>
      <c r="E690" s="19">
        <v>2</v>
      </c>
      <c r="F690" s="16" t="s">
        <v>85</v>
      </c>
      <c r="G690" s="16" t="s">
        <v>90</v>
      </c>
      <c r="H690" s="11" t="s">
        <v>99</v>
      </c>
      <c r="I690" s="16" t="s">
        <v>1361</v>
      </c>
      <c r="J690" s="17">
        <v>20101904874</v>
      </c>
      <c r="K690" s="17" t="s">
        <v>73</v>
      </c>
      <c r="L690" s="16" t="s">
        <v>549</v>
      </c>
      <c r="M690" s="16" t="s">
        <v>533</v>
      </c>
      <c r="N690" s="11"/>
      <c r="O690" s="11"/>
      <c r="P690" s="16" t="s">
        <v>515</v>
      </c>
      <c r="Q690" s="16" t="s">
        <v>531</v>
      </c>
      <c r="R690" s="16" t="s">
        <v>505</v>
      </c>
      <c r="S690" s="11" t="s">
        <v>1521</v>
      </c>
    </row>
    <row r="691" spans="1:19" ht="21.75" hidden="1" customHeight="1" x14ac:dyDescent="0.25">
      <c r="A691" s="16" t="s">
        <v>1508</v>
      </c>
      <c r="B691" s="17">
        <v>3223951017</v>
      </c>
      <c r="C691" s="18">
        <v>46059</v>
      </c>
      <c r="D691" s="21">
        <v>1</v>
      </c>
      <c r="E691" s="19">
        <v>1</v>
      </c>
      <c r="F691" s="16" t="s">
        <v>17</v>
      </c>
      <c r="G691" s="16" t="s">
        <v>91</v>
      </c>
      <c r="H691" s="11" t="s">
        <v>99</v>
      </c>
      <c r="I691" s="16" t="s">
        <v>1512</v>
      </c>
      <c r="J691" s="17">
        <v>48194062</v>
      </c>
      <c r="K691" s="17">
        <v>51957339332</v>
      </c>
      <c r="L691" s="16" t="s">
        <v>1516</v>
      </c>
      <c r="M691" s="16" t="s">
        <v>662</v>
      </c>
      <c r="N691" s="11"/>
      <c r="O691" s="11"/>
      <c r="P691" s="16" t="s">
        <v>135</v>
      </c>
      <c r="Q691" s="16" t="s">
        <v>73</v>
      </c>
      <c r="R691" s="16" t="s">
        <v>394</v>
      </c>
      <c r="S691" s="11" t="s">
        <v>1519</v>
      </c>
    </row>
    <row r="692" spans="1:19" ht="21.75" hidden="1" customHeight="1" x14ac:dyDescent="0.25">
      <c r="A692" s="16" t="s">
        <v>1509</v>
      </c>
      <c r="B692" s="17">
        <v>3224036701</v>
      </c>
      <c r="C692" s="18">
        <v>46059</v>
      </c>
      <c r="D692" s="21">
        <v>1</v>
      </c>
      <c r="E692" s="19">
        <v>1</v>
      </c>
      <c r="F692" s="16" t="s">
        <v>755</v>
      </c>
      <c r="G692" s="16" t="s">
        <v>769</v>
      </c>
      <c r="H692" s="11" t="s">
        <v>99</v>
      </c>
      <c r="I692" s="16" t="s">
        <v>1513</v>
      </c>
      <c r="J692" s="17">
        <v>10140072</v>
      </c>
      <c r="K692" s="17">
        <v>51986741301</v>
      </c>
      <c r="L692" s="16" t="s">
        <v>1517</v>
      </c>
      <c r="M692" s="16" t="s">
        <v>299</v>
      </c>
      <c r="N692" s="11"/>
      <c r="O692" s="11"/>
      <c r="P692" s="16" t="s">
        <v>135</v>
      </c>
      <c r="Q692" s="16" t="s">
        <v>73</v>
      </c>
      <c r="R692" s="16" t="s">
        <v>394</v>
      </c>
      <c r="S692" s="11" t="s">
        <v>1520</v>
      </c>
    </row>
    <row r="693" spans="1:19" ht="21.75" hidden="1" customHeight="1" x14ac:dyDescent="0.25">
      <c r="A693" s="16" t="s">
        <v>1523</v>
      </c>
      <c r="B693" s="16" t="s">
        <v>1533</v>
      </c>
      <c r="C693" s="18">
        <v>46060</v>
      </c>
      <c r="D693" s="21">
        <v>36</v>
      </c>
      <c r="E693" s="19">
        <v>3</v>
      </c>
      <c r="F693" s="16" t="s">
        <v>85</v>
      </c>
      <c r="G693" s="16" t="s">
        <v>90</v>
      </c>
      <c r="H693" s="16" t="s">
        <v>99</v>
      </c>
      <c r="I693" s="16" t="s">
        <v>1361</v>
      </c>
      <c r="J693" s="17">
        <v>20101904874</v>
      </c>
      <c r="K693" s="11"/>
      <c r="L693" s="16" t="s">
        <v>545</v>
      </c>
      <c r="M693" s="16" t="s">
        <v>299</v>
      </c>
      <c r="N693" s="11"/>
      <c r="O693" s="11"/>
      <c r="P693" s="16" t="s">
        <v>513</v>
      </c>
      <c r="Q693" s="16" t="s">
        <v>527</v>
      </c>
      <c r="R693" s="16" t="s">
        <v>505</v>
      </c>
      <c r="S693" s="11" t="s">
        <v>1524</v>
      </c>
    </row>
    <row r="694" spans="1:19" ht="21" hidden="1" customHeight="1" x14ac:dyDescent="0.25">
      <c r="A694" s="16" t="s">
        <v>1525</v>
      </c>
      <c r="B694" s="14" t="s">
        <v>1526</v>
      </c>
      <c r="C694" s="18">
        <v>46060</v>
      </c>
      <c r="D694" s="21">
        <v>1</v>
      </c>
      <c r="E694" s="19">
        <v>1</v>
      </c>
      <c r="F694" s="94" t="s">
        <v>1531</v>
      </c>
      <c r="G694" s="14" t="s">
        <v>1530</v>
      </c>
      <c r="H694" s="16" t="s">
        <v>99</v>
      </c>
      <c r="I694" s="16" t="s">
        <v>1527</v>
      </c>
      <c r="J694" s="11" t="s">
        <v>1529</v>
      </c>
      <c r="K694" s="14">
        <v>998149312</v>
      </c>
      <c r="L694" s="11" t="s">
        <v>1528</v>
      </c>
      <c r="M694" s="16" t="s">
        <v>306</v>
      </c>
      <c r="N694" s="11"/>
      <c r="O694" s="11"/>
      <c r="P694" s="16" t="s">
        <v>135</v>
      </c>
      <c r="Q694" s="11"/>
      <c r="R694" s="16" t="s">
        <v>442</v>
      </c>
      <c r="S694" s="11" t="s">
        <v>1532</v>
      </c>
    </row>
    <row r="695" spans="1:19" s="20" customFormat="1" ht="21.75" hidden="1" customHeight="1" x14ac:dyDescent="0.2">
      <c r="A695" s="84" t="s">
        <v>1534</v>
      </c>
      <c r="B695" s="16" t="s">
        <v>73</v>
      </c>
      <c r="C695" s="52">
        <v>46113</v>
      </c>
      <c r="D695" s="21">
        <v>3</v>
      </c>
      <c r="E695" s="205">
        <v>4</v>
      </c>
      <c r="F695" s="16" t="s">
        <v>904</v>
      </c>
      <c r="G695" s="16" t="s">
        <v>921</v>
      </c>
      <c r="H695" s="26" t="s">
        <v>1544</v>
      </c>
      <c r="I695" s="16" t="s">
        <v>1540</v>
      </c>
      <c r="J695" s="17">
        <v>20601210674</v>
      </c>
      <c r="K695" s="14">
        <v>932117308</v>
      </c>
      <c r="L695" s="16" t="s">
        <v>272</v>
      </c>
      <c r="M695" s="16" t="s">
        <v>75</v>
      </c>
      <c r="N695" s="11"/>
      <c r="O695" s="11"/>
      <c r="P695" s="16" t="s">
        <v>1551</v>
      </c>
      <c r="Q695" s="16" t="s">
        <v>2140</v>
      </c>
      <c r="R695" s="16" t="s">
        <v>142</v>
      </c>
      <c r="S695" s="11"/>
    </row>
    <row r="696" spans="1:19" s="20" customFormat="1" ht="21.75" hidden="1" customHeight="1" x14ac:dyDescent="0.2">
      <c r="A696" s="84" t="s">
        <v>1534</v>
      </c>
      <c r="B696" s="16" t="s">
        <v>73</v>
      </c>
      <c r="C696" s="52">
        <v>46113</v>
      </c>
      <c r="D696" s="21">
        <v>3</v>
      </c>
      <c r="E696" s="206"/>
      <c r="F696" s="16" t="s">
        <v>905</v>
      </c>
      <c r="G696" s="16" t="s">
        <v>922</v>
      </c>
      <c r="H696" s="26" t="s">
        <v>1544</v>
      </c>
      <c r="I696" s="16" t="s">
        <v>1540</v>
      </c>
      <c r="J696" s="17">
        <v>20601210674</v>
      </c>
      <c r="K696" s="14">
        <v>932117308</v>
      </c>
      <c r="L696" s="16" t="s">
        <v>272</v>
      </c>
      <c r="M696" s="16" t="s">
        <v>75</v>
      </c>
      <c r="N696" s="11"/>
      <c r="O696" s="11"/>
      <c r="P696" s="16" t="s">
        <v>1551</v>
      </c>
      <c r="Q696" s="16" t="s">
        <v>2140</v>
      </c>
      <c r="R696" s="16" t="s">
        <v>142</v>
      </c>
      <c r="S696" s="11"/>
    </row>
    <row r="697" spans="1:19" s="20" customFormat="1" ht="21.75" hidden="1" customHeight="1" x14ac:dyDescent="0.2">
      <c r="A697" s="84" t="s">
        <v>1534</v>
      </c>
      <c r="B697" s="16" t="s">
        <v>73</v>
      </c>
      <c r="C697" s="52">
        <v>46113</v>
      </c>
      <c r="D697" s="21">
        <v>3</v>
      </c>
      <c r="E697" s="206"/>
      <c r="F697" s="16" t="s">
        <v>906</v>
      </c>
      <c r="G697" s="16" t="s">
        <v>923</v>
      </c>
      <c r="H697" s="26" t="s">
        <v>1544</v>
      </c>
      <c r="I697" s="16" t="s">
        <v>1540</v>
      </c>
      <c r="J697" s="17">
        <v>20601210674</v>
      </c>
      <c r="K697" s="14">
        <v>932117308</v>
      </c>
      <c r="L697" s="16" t="s">
        <v>272</v>
      </c>
      <c r="M697" s="16" t="s">
        <v>75</v>
      </c>
      <c r="N697" s="11"/>
      <c r="O697" s="11"/>
      <c r="P697" s="16" t="s">
        <v>1551</v>
      </c>
      <c r="Q697" s="16" t="s">
        <v>2140</v>
      </c>
      <c r="R697" s="16" t="s">
        <v>142</v>
      </c>
      <c r="S697" s="11"/>
    </row>
    <row r="698" spans="1:19" s="20" customFormat="1" ht="21.75" hidden="1" customHeight="1" x14ac:dyDescent="0.2">
      <c r="A698" s="84" t="s">
        <v>1534</v>
      </c>
      <c r="B698" s="16" t="s">
        <v>73</v>
      </c>
      <c r="C698" s="52">
        <v>46113</v>
      </c>
      <c r="D698" s="21">
        <v>3</v>
      </c>
      <c r="E698" s="206"/>
      <c r="F698" s="16" t="s">
        <v>908</v>
      </c>
      <c r="G698" s="16" t="s">
        <v>925</v>
      </c>
      <c r="H698" s="26" t="s">
        <v>1544</v>
      </c>
      <c r="I698" s="16" t="s">
        <v>1540</v>
      </c>
      <c r="J698" s="17">
        <v>20601210674</v>
      </c>
      <c r="K698" s="14">
        <v>932117308</v>
      </c>
      <c r="L698" s="16" t="s">
        <v>272</v>
      </c>
      <c r="M698" s="16" t="s">
        <v>75</v>
      </c>
      <c r="N698" s="11"/>
      <c r="O698" s="11"/>
      <c r="P698" s="16" t="s">
        <v>1551</v>
      </c>
      <c r="Q698" s="16" t="s">
        <v>2140</v>
      </c>
      <c r="R698" s="16" t="s">
        <v>142</v>
      </c>
      <c r="S698" s="11"/>
    </row>
    <row r="699" spans="1:19" s="20" customFormat="1" ht="21.75" hidden="1" customHeight="1" x14ac:dyDescent="0.2">
      <c r="A699" s="84" t="s">
        <v>1534</v>
      </c>
      <c r="B699" s="16" t="s">
        <v>73</v>
      </c>
      <c r="C699" s="52">
        <v>46113</v>
      </c>
      <c r="D699" s="21">
        <v>6</v>
      </c>
      <c r="E699" s="206"/>
      <c r="F699" s="16" t="s">
        <v>1302</v>
      </c>
      <c r="G699" s="16" t="s">
        <v>1308</v>
      </c>
      <c r="H699" s="26" t="s">
        <v>1544</v>
      </c>
      <c r="I699" s="16" t="s">
        <v>1540</v>
      </c>
      <c r="J699" s="17">
        <v>20601210674</v>
      </c>
      <c r="K699" s="14">
        <v>932117308</v>
      </c>
      <c r="L699" s="16" t="s">
        <v>272</v>
      </c>
      <c r="M699" s="16" t="s">
        <v>75</v>
      </c>
      <c r="N699" s="11"/>
      <c r="O699" s="11"/>
      <c r="P699" s="16" t="s">
        <v>1551</v>
      </c>
      <c r="Q699" s="16" t="s">
        <v>2140</v>
      </c>
      <c r="R699" s="16" t="s">
        <v>142</v>
      </c>
      <c r="S699" s="11"/>
    </row>
    <row r="700" spans="1:19" s="20" customFormat="1" ht="21.75" hidden="1" customHeight="1" x14ac:dyDescent="0.2">
      <c r="A700" s="84" t="s">
        <v>1534</v>
      </c>
      <c r="B700" s="16" t="s">
        <v>73</v>
      </c>
      <c r="C700" s="52">
        <v>46113</v>
      </c>
      <c r="D700" s="21">
        <v>6</v>
      </c>
      <c r="E700" s="206"/>
      <c r="F700" s="16" t="s">
        <v>1303</v>
      </c>
      <c r="G700" s="16" t="s">
        <v>1309</v>
      </c>
      <c r="H700" s="26" t="s">
        <v>1544</v>
      </c>
      <c r="I700" s="16" t="s">
        <v>1540</v>
      </c>
      <c r="J700" s="17">
        <v>20601210674</v>
      </c>
      <c r="K700" s="14">
        <v>932117308</v>
      </c>
      <c r="L700" s="16" t="s">
        <v>272</v>
      </c>
      <c r="M700" s="16" t="s">
        <v>75</v>
      </c>
      <c r="N700" s="11"/>
      <c r="O700" s="11"/>
      <c r="P700" s="16" t="s">
        <v>1551</v>
      </c>
      <c r="Q700" s="16" t="s">
        <v>2140</v>
      </c>
      <c r="R700" s="16" t="s">
        <v>142</v>
      </c>
      <c r="S700" s="11"/>
    </row>
    <row r="701" spans="1:19" s="20" customFormat="1" ht="21.75" hidden="1" customHeight="1" x14ac:dyDescent="0.2">
      <c r="A701" s="84" t="s">
        <v>1534</v>
      </c>
      <c r="B701" s="16" t="s">
        <v>73</v>
      </c>
      <c r="C701" s="52">
        <v>46113</v>
      </c>
      <c r="D701" s="21">
        <v>12</v>
      </c>
      <c r="E701" s="207"/>
      <c r="F701" s="16" t="s">
        <v>1545</v>
      </c>
      <c r="G701" s="16" t="s">
        <v>1548</v>
      </c>
      <c r="H701" s="16" t="s">
        <v>1544</v>
      </c>
      <c r="I701" s="16" t="s">
        <v>1540</v>
      </c>
      <c r="J701" s="17">
        <v>20601210674</v>
      </c>
      <c r="K701" s="14">
        <v>932117308</v>
      </c>
      <c r="L701" s="16" t="s">
        <v>272</v>
      </c>
      <c r="M701" s="16" t="s">
        <v>75</v>
      </c>
      <c r="N701" s="11"/>
      <c r="O701" s="11"/>
      <c r="P701" s="16" t="s">
        <v>1551</v>
      </c>
      <c r="Q701" s="16" t="s">
        <v>2140</v>
      </c>
      <c r="R701" s="16" t="s">
        <v>142</v>
      </c>
      <c r="S701" s="11"/>
    </row>
    <row r="702" spans="1:19" s="20" customFormat="1" ht="21.75" hidden="1" customHeight="1" x14ac:dyDescent="0.2">
      <c r="A702" s="16" t="s">
        <v>1535</v>
      </c>
      <c r="B702" s="16" t="s">
        <v>73</v>
      </c>
      <c r="C702" s="18" t="s">
        <v>2141</v>
      </c>
      <c r="D702" s="21">
        <v>6</v>
      </c>
      <c r="E702" s="19">
        <v>0</v>
      </c>
      <c r="F702" s="16" t="s">
        <v>1302</v>
      </c>
      <c r="G702" s="16" t="s">
        <v>1308</v>
      </c>
      <c r="H702" s="26" t="s">
        <v>1544</v>
      </c>
      <c r="I702" s="16" t="s">
        <v>203</v>
      </c>
      <c r="J702" s="17">
        <v>10026367200</v>
      </c>
      <c r="K702" s="14"/>
      <c r="L702" s="16" t="s">
        <v>271</v>
      </c>
      <c r="M702" s="16" t="s">
        <v>271</v>
      </c>
      <c r="N702" s="11"/>
      <c r="O702" s="11"/>
      <c r="P702" s="16" t="s">
        <v>271</v>
      </c>
      <c r="Q702" s="16" t="s">
        <v>271</v>
      </c>
      <c r="R702" s="16" t="s">
        <v>142</v>
      </c>
      <c r="S702" s="11"/>
    </row>
    <row r="703" spans="1:19" s="20" customFormat="1" ht="21.75" hidden="1" customHeight="1" x14ac:dyDescent="0.2">
      <c r="A703" s="16" t="s">
        <v>1535</v>
      </c>
      <c r="B703" s="16" t="s">
        <v>73</v>
      </c>
      <c r="C703" s="18" t="s">
        <v>2141</v>
      </c>
      <c r="D703" s="21">
        <v>6</v>
      </c>
      <c r="E703" s="19">
        <v>0</v>
      </c>
      <c r="F703" s="16" t="s">
        <v>1303</v>
      </c>
      <c r="G703" s="16" t="s">
        <v>1309</v>
      </c>
      <c r="H703" s="26" t="s">
        <v>1544</v>
      </c>
      <c r="I703" s="16" t="s">
        <v>203</v>
      </c>
      <c r="J703" s="17">
        <v>10026367200</v>
      </c>
      <c r="K703" s="14"/>
      <c r="L703" s="16" t="s">
        <v>271</v>
      </c>
      <c r="M703" s="16" t="s">
        <v>271</v>
      </c>
      <c r="N703" s="11"/>
      <c r="O703" s="11"/>
      <c r="P703" s="16" t="s">
        <v>271</v>
      </c>
      <c r="Q703" s="16" t="s">
        <v>271</v>
      </c>
      <c r="R703" s="16" t="s">
        <v>142</v>
      </c>
      <c r="S703" s="11"/>
    </row>
    <row r="704" spans="1:19" s="20" customFormat="1" ht="21.75" hidden="1" customHeight="1" x14ac:dyDescent="0.2">
      <c r="A704" s="16" t="s">
        <v>1535</v>
      </c>
      <c r="B704" s="16" t="s">
        <v>73</v>
      </c>
      <c r="C704" s="18" t="s">
        <v>2141</v>
      </c>
      <c r="D704" s="21">
        <v>3</v>
      </c>
      <c r="E704" s="19">
        <v>0</v>
      </c>
      <c r="F704" s="16" t="s">
        <v>904</v>
      </c>
      <c r="G704" s="16" t="s">
        <v>921</v>
      </c>
      <c r="H704" s="26" t="s">
        <v>1544</v>
      </c>
      <c r="I704" s="16" t="s">
        <v>203</v>
      </c>
      <c r="J704" s="17">
        <v>10026367200</v>
      </c>
      <c r="K704" s="14"/>
      <c r="L704" s="16" t="s">
        <v>271</v>
      </c>
      <c r="M704" s="16" t="s">
        <v>271</v>
      </c>
      <c r="N704" s="11"/>
      <c r="O704" s="11"/>
      <c r="P704" s="16" t="s">
        <v>271</v>
      </c>
      <c r="Q704" s="16" t="s">
        <v>271</v>
      </c>
      <c r="R704" s="16" t="s">
        <v>142</v>
      </c>
      <c r="S704" s="11"/>
    </row>
    <row r="705" spans="1:19" s="20" customFormat="1" ht="21.75" hidden="1" customHeight="1" x14ac:dyDescent="0.2">
      <c r="A705" s="16" t="s">
        <v>1535</v>
      </c>
      <c r="B705" s="16" t="s">
        <v>73</v>
      </c>
      <c r="C705" s="18" t="s">
        <v>2141</v>
      </c>
      <c r="D705" s="21">
        <v>3</v>
      </c>
      <c r="E705" s="19">
        <v>0</v>
      </c>
      <c r="F705" s="16" t="s">
        <v>905</v>
      </c>
      <c r="G705" s="16" t="s">
        <v>922</v>
      </c>
      <c r="H705" s="26" t="s">
        <v>1544</v>
      </c>
      <c r="I705" s="16" t="s">
        <v>203</v>
      </c>
      <c r="J705" s="17">
        <v>10026367200</v>
      </c>
      <c r="K705" s="14"/>
      <c r="L705" s="16" t="s">
        <v>271</v>
      </c>
      <c r="M705" s="16" t="s">
        <v>271</v>
      </c>
      <c r="N705" s="11"/>
      <c r="O705" s="11"/>
      <c r="P705" s="16" t="s">
        <v>271</v>
      </c>
      <c r="Q705" s="16" t="s">
        <v>271</v>
      </c>
      <c r="R705" s="16" t="s">
        <v>142</v>
      </c>
      <c r="S705" s="11"/>
    </row>
    <row r="706" spans="1:19" s="20" customFormat="1" ht="21.75" hidden="1" customHeight="1" x14ac:dyDescent="0.2">
      <c r="A706" s="16" t="s">
        <v>1535</v>
      </c>
      <c r="B706" s="16" t="s">
        <v>73</v>
      </c>
      <c r="C706" s="18" t="s">
        <v>2141</v>
      </c>
      <c r="D706" s="21">
        <v>3</v>
      </c>
      <c r="E706" s="19">
        <v>0</v>
      </c>
      <c r="F706" s="16" t="s">
        <v>906</v>
      </c>
      <c r="G706" s="16" t="s">
        <v>923</v>
      </c>
      <c r="H706" s="26" t="s">
        <v>1544</v>
      </c>
      <c r="I706" s="16" t="s">
        <v>203</v>
      </c>
      <c r="J706" s="17">
        <v>10026367200</v>
      </c>
      <c r="K706" s="14"/>
      <c r="L706" s="16" t="s">
        <v>271</v>
      </c>
      <c r="M706" s="16" t="s">
        <v>271</v>
      </c>
      <c r="N706" s="11"/>
      <c r="O706" s="11"/>
      <c r="P706" s="16" t="s">
        <v>271</v>
      </c>
      <c r="Q706" s="16" t="s">
        <v>271</v>
      </c>
      <c r="R706" s="16" t="s">
        <v>142</v>
      </c>
      <c r="S706" s="11"/>
    </row>
    <row r="707" spans="1:19" s="20" customFormat="1" ht="21.75" hidden="1" customHeight="1" x14ac:dyDescent="0.2">
      <c r="A707" s="16" t="s">
        <v>1535</v>
      </c>
      <c r="B707" s="16" t="s">
        <v>73</v>
      </c>
      <c r="C707" s="18" t="s">
        <v>2141</v>
      </c>
      <c r="D707" s="21">
        <v>3</v>
      </c>
      <c r="E707" s="19">
        <v>0</v>
      </c>
      <c r="F707" s="16" t="s">
        <v>907</v>
      </c>
      <c r="G707" s="16" t="s">
        <v>924</v>
      </c>
      <c r="H707" s="26" t="s">
        <v>1544</v>
      </c>
      <c r="I707" s="16" t="s">
        <v>203</v>
      </c>
      <c r="J707" s="17">
        <v>10026367200</v>
      </c>
      <c r="K707" s="14"/>
      <c r="L707" s="16" t="s">
        <v>271</v>
      </c>
      <c r="M707" s="16" t="s">
        <v>271</v>
      </c>
      <c r="N707" s="11"/>
      <c r="O707" s="11"/>
      <c r="P707" s="16" t="s">
        <v>271</v>
      </c>
      <c r="Q707" s="16" t="s">
        <v>271</v>
      </c>
      <c r="R707" s="16" t="s">
        <v>142</v>
      </c>
      <c r="S707" s="11"/>
    </row>
    <row r="708" spans="1:19" s="20" customFormat="1" ht="21.75" hidden="1" customHeight="1" x14ac:dyDescent="0.2">
      <c r="A708" s="16" t="s">
        <v>1535</v>
      </c>
      <c r="B708" s="16" t="s">
        <v>73</v>
      </c>
      <c r="C708" s="18" t="s">
        <v>2141</v>
      </c>
      <c r="D708" s="21">
        <v>2</v>
      </c>
      <c r="E708" s="19">
        <v>0</v>
      </c>
      <c r="F708" s="16" t="s">
        <v>908</v>
      </c>
      <c r="G708" s="16" t="s">
        <v>925</v>
      </c>
      <c r="H708" s="26" t="s">
        <v>1544</v>
      </c>
      <c r="I708" s="16" t="s">
        <v>203</v>
      </c>
      <c r="J708" s="17">
        <v>10026367200</v>
      </c>
      <c r="K708" s="14"/>
      <c r="L708" s="16" t="s">
        <v>271</v>
      </c>
      <c r="M708" s="16" t="s">
        <v>271</v>
      </c>
      <c r="N708" s="11"/>
      <c r="O708" s="11"/>
      <c r="P708" s="16" t="s">
        <v>271</v>
      </c>
      <c r="Q708" s="16" t="s">
        <v>271</v>
      </c>
      <c r="R708" s="16" t="s">
        <v>142</v>
      </c>
      <c r="S708" s="11"/>
    </row>
    <row r="709" spans="1:19" s="20" customFormat="1" ht="21.75" hidden="1" customHeight="1" x14ac:dyDescent="0.2">
      <c r="A709" s="16" t="s">
        <v>1535</v>
      </c>
      <c r="B709" s="16" t="s">
        <v>73</v>
      </c>
      <c r="C709" s="18" t="s">
        <v>2141</v>
      </c>
      <c r="D709" s="21">
        <v>2</v>
      </c>
      <c r="E709" s="19">
        <v>0</v>
      </c>
      <c r="F709" s="16" t="s">
        <v>909</v>
      </c>
      <c r="G709" s="16" t="s">
        <v>926</v>
      </c>
      <c r="H709" s="26" t="s">
        <v>1544</v>
      </c>
      <c r="I709" s="16" t="s">
        <v>203</v>
      </c>
      <c r="J709" s="17">
        <v>10026367200</v>
      </c>
      <c r="K709" s="14"/>
      <c r="L709" s="16" t="s">
        <v>271</v>
      </c>
      <c r="M709" s="16" t="s">
        <v>271</v>
      </c>
      <c r="N709" s="11"/>
      <c r="O709" s="11"/>
      <c r="P709" s="16" t="s">
        <v>271</v>
      </c>
      <c r="Q709" s="16" t="s">
        <v>271</v>
      </c>
      <c r="R709" s="16" t="s">
        <v>142</v>
      </c>
      <c r="S709" s="11"/>
    </row>
    <row r="710" spans="1:19" s="20" customFormat="1" ht="21.75" hidden="1" customHeight="1" x14ac:dyDescent="0.2">
      <c r="A710" s="16" t="s">
        <v>1535</v>
      </c>
      <c r="B710" s="16" t="s">
        <v>73</v>
      </c>
      <c r="C710" s="18" t="s">
        <v>2141</v>
      </c>
      <c r="D710" s="21">
        <v>8</v>
      </c>
      <c r="E710" s="19">
        <v>0</v>
      </c>
      <c r="F710" s="16" t="s">
        <v>901</v>
      </c>
      <c r="G710" s="16" t="s">
        <v>918</v>
      </c>
      <c r="H710" s="26" t="s">
        <v>1544</v>
      </c>
      <c r="I710" s="16" t="s">
        <v>203</v>
      </c>
      <c r="J710" s="17">
        <v>10026367200</v>
      </c>
      <c r="K710" s="14"/>
      <c r="L710" s="16" t="s">
        <v>271</v>
      </c>
      <c r="M710" s="16" t="s">
        <v>271</v>
      </c>
      <c r="N710" s="11"/>
      <c r="O710" s="11"/>
      <c r="P710" s="16" t="s">
        <v>271</v>
      </c>
      <c r="Q710" s="16" t="s">
        <v>271</v>
      </c>
      <c r="R710" s="16" t="s">
        <v>142</v>
      </c>
      <c r="S710" s="11"/>
    </row>
    <row r="711" spans="1:19" s="20" customFormat="1" ht="21.75" hidden="1" customHeight="1" x14ac:dyDescent="0.2">
      <c r="A711" s="16" t="s">
        <v>1535</v>
      </c>
      <c r="B711" s="16" t="s">
        <v>73</v>
      </c>
      <c r="C711" s="18" t="s">
        <v>2141</v>
      </c>
      <c r="D711" s="21">
        <v>8</v>
      </c>
      <c r="E711" s="19">
        <v>0</v>
      </c>
      <c r="F711" s="16" t="s">
        <v>902</v>
      </c>
      <c r="G711" s="16" t="s">
        <v>919</v>
      </c>
      <c r="H711" s="26" t="s">
        <v>1544</v>
      </c>
      <c r="I711" s="16" t="s">
        <v>203</v>
      </c>
      <c r="J711" s="17">
        <v>10026367200</v>
      </c>
      <c r="K711" s="14"/>
      <c r="L711" s="16" t="s">
        <v>271</v>
      </c>
      <c r="M711" s="16" t="s">
        <v>271</v>
      </c>
      <c r="N711" s="11"/>
      <c r="O711" s="11"/>
      <c r="P711" s="16" t="s">
        <v>271</v>
      </c>
      <c r="Q711" s="16" t="s">
        <v>271</v>
      </c>
      <c r="R711" s="16" t="s">
        <v>142</v>
      </c>
      <c r="S711" s="11"/>
    </row>
    <row r="712" spans="1:19" s="20" customFormat="1" ht="21.75" hidden="1" customHeight="1" x14ac:dyDescent="0.2">
      <c r="A712" s="16" t="s">
        <v>1535</v>
      </c>
      <c r="B712" s="16" t="s">
        <v>73</v>
      </c>
      <c r="C712" s="18" t="s">
        <v>2141</v>
      </c>
      <c r="D712" s="21">
        <v>8</v>
      </c>
      <c r="E712" s="19">
        <v>0</v>
      </c>
      <c r="F712" s="16" t="s">
        <v>903</v>
      </c>
      <c r="G712" s="16" t="s">
        <v>920</v>
      </c>
      <c r="H712" s="26" t="s">
        <v>1544</v>
      </c>
      <c r="I712" s="16" t="s">
        <v>203</v>
      </c>
      <c r="J712" s="17">
        <v>10026367200</v>
      </c>
      <c r="K712" s="14"/>
      <c r="L712" s="16" t="s">
        <v>271</v>
      </c>
      <c r="M712" s="16" t="s">
        <v>271</v>
      </c>
      <c r="N712" s="11"/>
      <c r="O712" s="11"/>
      <c r="P712" s="16" t="s">
        <v>271</v>
      </c>
      <c r="Q712" s="16" t="s">
        <v>271</v>
      </c>
      <c r="R712" s="16" t="s">
        <v>142</v>
      </c>
      <c r="S712" s="11"/>
    </row>
    <row r="713" spans="1:19" s="20" customFormat="1" ht="21.75" hidden="1" customHeight="1" x14ac:dyDescent="0.2">
      <c r="A713" s="16" t="s">
        <v>1535</v>
      </c>
      <c r="B713" s="16" t="s">
        <v>73</v>
      </c>
      <c r="C713" s="18" t="s">
        <v>2141</v>
      </c>
      <c r="D713" s="21">
        <v>4</v>
      </c>
      <c r="E713" s="19">
        <v>0</v>
      </c>
      <c r="F713" s="16" t="s">
        <v>899</v>
      </c>
      <c r="G713" s="16" t="s">
        <v>916</v>
      </c>
      <c r="H713" s="26" t="s">
        <v>1544</v>
      </c>
      <c r="I713" s="16" t="s">
        <v>203</v>
      </c>
      <c r="J713" s="17">
        <v>10026367200</v>
      </c>
      <c r="K713" s="14"/>
      <c r="L713" s="16" t="s">
        <v>271</v>
      </c>
      <c r="M713" s="16" t="s">
        <v>271</v>
      </c>
      <c r="N713" s="11"/>
      <c r="O713" s="11"/>
      <c r="P713" s="16" t="s">
        <v>271</v>
      </c>
      <c r="Q713" s="16" t="s">
        <v>271</v>
      </c>
      <c r="R713" s="16" t="s">
        <v>142</v>
      </c>
      <c r="S713" s="11"/>
    </row>
    <row r="714" spans="1:19" s="20" customFormat="1" ht="21.75" hidden="1" customHeight="1" x14ac:dyDescent="0.2">
      <c r="A714" s="16" t="s">
        <v>1535</v>
      </c>
      <c r="B714" s="16" t="s">
        <v>73</v>
      </c>
      <c r="C714" s="18" t="s">
        <v>2141</v>
      </c>
      <c r="D714" s="21">
        <v>4</v>
      </c>
      <c r="E714" s="19">
        <v>0</v>
      </c>
      <c r="F714" s="16" t="s">
        <v>900</v>
      </c>
      <c r="G714" s="16" t="s">
        <v>917</v>
      </c>
      <c r="H714" s="26" t="s">
        <v>1544</v>
      </c>
      <c r="I714" s="16" t="s">
        <v>203</v>
      </c>
      <c r="J714" s="17">
        <v>10026367200</v>
      </c>
      <c r="K714" s="14"/>
      <c r="L714" s="16" t="s">
        <v>271</v>
      </c>
      <c r="M714" s="16" t="s">
        <v>271</v>
      </c>
      <c r="N714" s="11"/>
      <c r="O714" s="11"/>
      <c r="P714" s="16" t="s">
        <v>271</v>
      </c>
      <c r="Q714" s="16" t="s">
        <v>271</v>
      </c>
      <c r="R714" s="16" t="s">
        <v>142</v>
      </c>
      <c r="S714" s="11"/>
    </row>
    <row r="715" spans="1:19" s="20" customFormat="1" ht="21.75" hidden="1" customHeight="1" x14ac:dyDescent="0.2">
      <c r="A715" s="16" t="s">
        <v>1535</v>
      </c>
      <c r="B715" s="16" t="s">
        <v>73</v>
      </c>
      <c r="C715" s="18" t="s">
        <v>2141</v>
      </c>
      <c r="D715" s="21">
        <v>4</v>
      </c>
      <c r="E715" s="19">
        <v>0</v>
      </c>
      <c r="F715" s="16" t="s">
        <v>898</v>
      </c>
      <c r="G715" s="16" t="s">
        <v>915</v>
      </c>
      <c r="H715" s="26" t="s">
        <v>1544</v>
      </c>
      <c r="I715" s="16" t="s">
        <v>203</v>
      </c>
      <c r="J715" s="17">
        <v>10026367200</v>
      </c>
      <c r="K715" s="14"/>
      <c r="L715" s="16" t="s">
        <v>271</v>
      </c>
      <c r="M715" s="16" t="s">
        <v>271</v>
      </c>
      <c r="N715" s="11"/>
      <c r="O715" s="11"/>
      <c r="P715" s="16" t="s">
        <v>271</v>
      </c>
      <c r="Q715" s="16" t="s">
        <v>271</v>
      </c>
      <c r="R715" s="16" t="s">
        <v>142</v>
      </c>
      <c r="S715" s="11"/>
    </row>
    <row r="716" spans="1:19" s="20" customFormat="1" ht="21.75" hidden="1" customHeight="1" x14ac:dyDescent="0.2">
      <c r="A716" s="16" t="s">
        <v>1536</v>
      </c>
      <c r="B716" s="16" t="s">
        <v>73</v>
      </c>
      <c r="C716" s="18">
        <v>46062</v>
      </c>
      <c r="D716" s="21">
        <v>120</v>
      </c>
      <c r="E716" s="19">
        <v>20</v>
      </c>
      <c r="F716" s="16" t="s">
        <v>155</v>
      </c>
      <c r="G716" s="16" t="s">
        <v>125</v>
      </c>
      <c r="H716" s="16" t="s">
        <v>1544</v>
      </c>
      <c r="I716" s="16" t="s">
        <v>203</v>
      </c>
      <c r="J716" s="17">
        <v>10026367200</v>
      </c>
      <c r="K716" s="11"/>
      <c r="L716" s="16" t="s">
        <v>272</v>
      </c>
      <c r="M716" s="16" t="s">
        <v>75</v>
      </c>
      <c r="N716" s="11"/>
      <c r="O716" s="11"/>
      <c r="P716" s="16" t="s">
        <v>1551</v>
      </c>
      <c r="Q716" s="16" t="s">
        <v>1554</v>
      </c>
      <c r="R716" s="16" t="s">
        <v>142</v>
      </c>
      <c r="S716" s="11" t="s">
        <v>1586</v>
      </c>
    </row>
    <row r="717" spans="1:19" s="20" customFormat="1" ht="21.75" hidden="1" customHeight="1" x14ac:dyDescent="0.2">
      <c r="A717" s="16" t="s">
        <v>1536</v>
      </c>
      <c r="B717" s="16" t="s">
        <v>73</v>
      </c>
      <c r="C717" s="18">
        <v>46062</v>
      </c>
      <c r="D717" s="21">
        <v>72</v>
      </c>
      <c r="E717" s="19">
        <v>3</v>
      </c>
      <c r="F717" s="16" t="s">
        <v>911</v>
      </c>
      <c r="G717" s="16" t="s">
        <v>928</v>
      </c>
      <c r="H717" s="16" t="s">
        <v>1544</v>
      </c>
      <c r="I717" s="16" t="s">
        <v>203</v>
      </c>
      <c r="J717" s="17">
        <v>10026367200</v>
      </c>
      <c r="K717" s="11"/>
      <c r="L717" s="16" t="s">
        <v>272</v>
      </c>
      <c r="M717" s="16" t="s">
        <v>75</v>
      </c>
      <c r="N717" s="11"/>
      <c r="O717" s="11"/>
      <c r="P717" s="16" t="s">
        <v>1551</v>
      </c>
      <c r="Q717" s="16" t="s">
        <v>1554</v>
      </c>
      <c r="R717" s="16" t="s">
        <v>142</v>
      </c>
      <c r="S717" s="11" t="s">
        <v>1586</v>
      </c>
    </row>
    <row r="718" spans="1:19" s="20" customFormat="1" ht="21.75" hidden="1" customHeight="1" x14ac:dyDescent="0.2">
      <c r="A718" s="16" t="s">
        <v>1536</v>
      </c>
      <c r="B718" s="16" t="s">
        <v>73</v>
      </c>
      <c r="C718" s="18">
        <v>46062</v>
      </c>
      <c r="D718" s="21">
        <v>72</v>
      </c>
      <c r="E718" s="19">
        <v>6</v>
      </c>
      <c r="F718" s="16" t="s">
        <v>33</v>
      </c>
      <c r="G718" s="16" t="s">
        <v>107</v>
      </c>
      <c r="H718" s="16" t="s">
        <v>1544</v>
      </c>
      <c r="I718" s="16" t="s">
        <v>203</v>
      </c>
      <c r="J718" s="17">
        <v>10026367200</v>
      </c>
      <c r="K718" s="11"/>
      <c r="L718" s="16" t="s">
        <v>272</v>
      </c>
      <c r="M718" s="16" t="s">
        <v>75</v>
      </c>
      <c r="N718" s="11"/>
      <c r="O718" s="11"/>
      <c r="P718" s="16" t="s">
        <v>1551</v>
      </c>
      <c r="Q718" s="16" t="s">
        <v>1554</v>
      </c>
      <c r="R718" s="16" t="s">
        <v>142</v>
      </c>
      <c r="S718" s="11" t="s">
        <v>1586</v>
      </c>
    </row>
    <row r="719" spans="1:19" s="20" customFormat="1" ht="21.75" hidden="1" customHeight="1" x14ac:dyDescent="0.2">
      <c r="A719" s="16" t="s">
        <v>1536</v>
      </c>
      <c r="B719" s="16" t="s">
        <v>73</v>
      </c>
      <c r="C719" s="18">
        <v>46062</v>
      </c>
      <c r="D719" s="21">
        <v>12</v>
      </c>
      <c r="E719" s="19">
        <v>2</v>
      </c>
      <c r="F719" s="16" t="s">
        <v>364</v>
      </c>
      <c r="G719" s="16" t="s">
        <v>376</v>
      </c>
      <c r="H719" s="16" t="s">
        <v>1544</v>
      </c>
      <c r="I719" s="16" t="s">
        <v>203</v>
      </c>
      <c r="J719" s="17">
        <v>10026367200</v>
      </c>
      <c r="K719" s="11"/>
      <c r="L719" s="16" t="s">
        <v>272</v>
      </c>
      <c r="M719" s="16" t="s">
        <v>75</v>
      </c>
      <c r="N719" s="11"/>
      <c r="O719" s="11"/>
      <c r="P719" s="16" t="s">
        <v>1551</v>
      </c>
      <c r="Q719" s="16" t="s">
        <v>1554</v>
      </c>
      <c r="R719" s="16" t="s">
        <v>142</v>
      </c>
      <c r="S719" s="11" t="s">
        <v>1586</v>
      </c>
    </row>
    <row r="720" spans="1:19" s="20" customFormat="1" ht="21.75" hidden="1" customHeight="1" x14ac:dyDescent="0.2">
      <c r="A720" s="16" t="s">
        <v>1536</v>
      </c>
      <c r="B720" s="16" t="s">
        <v>73</v>
      </c>
      <c r="C720" s="18">
        <v>46062</v>
      </c>
      <c r="D720" s="21">
        <v>60</v>
      </c>
      <c r="E720" s="19">
        <v>10</v>
      </c>
      <c r="F720" s="16" t="s">
        <v>822</v>
      </c>
      <c r="G720" s="16" t="s">
        <v>824</v>
      </c>
      <c r="H720" s="16" t="s">
        <v>1544</v>
      </c>
      <c r="I720" s="16" t="s">
        <v>203</v>
      </c>
      <c r="J720" s="17">
        <v>10026367200</v>
      </c>
      <c r="K720" s="11"/>
      <c r="L720" s="16" t="s">
        <v>272</v>
      </c>
      <c r="M720" s="16" t="s">
        <v>75</v>
      </c>
      <c r="N720" s="11"/>
      <c r="O720" s="11"/>
      <c r="P720" s="16" t="s">
        <v>1551</v>
      </c>
      <c r="Q720" s="16" t="s">
        <v>1554</v>
      </c>
      <c r="R720" s="16" t="s">
        <v>142</v>
      </c>
      <c r="S720" s="11" t="s">
        <v>1586</v>
      </c>
    </row>
    <row r="721" spans="1:19" s="20" customFormat="1" ht="21.75" hidden="1" customHeight="1" x14ac:dyDescent="0.2">
      <c r="A721" s="16" t="s">
        <v>1536</v>
      </c>
      <c r="B721" s="16" t="s">
        <v>73</v>
      </c>
      <c r="C721" s="18">
        <v>46062</v>
      </c>
      <c r="D721" s="21">
        <v>60</v>
      </c>
      <c r="E721" s="19">
        <v>5</v>
      </c>
      <c r="F721" s="16" t="s">
        <v>20</v>
      </c>
      <c r="G721" s="16" t="s">
        <v>113</v>
      </c>
      <c r="H721" s="16" t="s">
        <v>1544</v>
      </c>
      <c r="I721" s="16" t="s">
        <v>203</v>
      </c>
      <c r="J721" s="17">
        <v>10026367200</v>
      </c>
      <c r="K721" s="11"/>
      <c r="L721" s="16" t="s">
        <v>272</v>
      </c>
      <c r="M721" s="16" t="s">
        <v>75</v>
      </c>
      <c r="N721" s="11"/>
      <c r="O721" s="11"/>
      <c r="P721" s="16" t="s">
        <v>1551</v>
      </c>
      <c r="Q721" s="16" t="s">
        <v>1554</v>
      </c>
      <c r="R721" s="16" t="s">
        <v>142</v>
      </c>
      <c r="S721" s="11" t="s">
        <v>1586</v>
      </c>
    </row>
    <row r="722" spans="1:19" s="20" customFormat="1" ht="21.75" hidden="1" customHeight="1" x14ac:dyDescent="0.2">
      <c r="A722" s="16" t="s">
        <v>1536</v>
      </c>
      <c r="B722" s="16" t="s">
        <v>73</v>
      </c>
      <c r="C722" s="18">
        <v>46062</v>
      </c>
      <c r="D722" s="21">
        <v>60</v>
      </c>
      <c r="E722" s="19">
        <v>5</v>
      </c>
      <c r="F722" s="16" t="s">
        <v>21</v>
      </c>
      <c r="G722" s="16" t="s">
        <v>115</v>
      </c>
      <c r="H722" s="16" t="s">
        <v>1544</v>
      </c>
      <c r="I722" s="16" t="s">
        <v>203</v>
      </c>
      <c r="J722" s="17">
        <v>10026367200</v>
      </c>
      <c r="K722" s="11"/>
      <c r="L722" s="16" t="s">
        <v>272</v>
      </c>
      <c r="M722" s="16" t="s">
        <v>75</v>
      </c>
      <c r="N722" s="11"/>
      <c r="O722" s="11"/>
      <c r="P722" s="16" t="s">
        <v>1551</v>
      </c>
      <c r="Q722" s="16" t="s">
        <v>1554</v>
      </c>
      <c r="R722" s="16" t="s">
        <v>142</v>
      </c>
      <c r="S722" s="11" t="s">
        <v>1586</v>
      </c>
    </row>
    <row r="723" spans="1:19" s="20" customFormat="1" ht="21.75" hidden="1" customHeight="1" x14ac:dyDescent="0.2">
      <c r="A723" s="16" t="s">
        <v>1536</v>
      </c>
      <c r="B723" s="16" t="s">
        <v>73</v>
      </c>
      <c r="C723" s="18">
        <v>46062</v>
      </c>
      <c r="D723" s="21">
        <v>48</v>
      </c>
      <c r="E723" s="19">
        <v>2</v>
      </c>
      <c r="F723" s="16" t="s">
        <v>18</v>
      </c>
      <c r="G723" s="16" t="s">
        <v>109</v>
      </c>
      <c r="H723" s="16" t="s">
        <v>1544</v>
      </c>
      <c r="I723" s="16" t="s">
        <v>203</v>
      </c>
      <c r="J723" s="17">
        <v>10026367200</v>
      </c>
      <c r="K723" s="11"/>
      <c r="L723" s="16" t="s">
        <v>272</v>
      </c>
      <c r="M723" s="16" t="s">
        <v>75</v>
      </c>
      <c r="N723" s="11"/>
      <c r="O723" s="11"/>
      <c r="P723" s="16" t="s">
        <v>1551</v>
      </c>
      <c r="Q723" s="16" t="s">
        <v>1554</v>
      </c>
      <c r="R723" s="16" t="s">
        <v>142</v>
      </c>
      <c r="S723" s="11" t="s">
        <v>1586</v>
      </c>
    </row>
    <row r="724" spans="1:19" s="20" customFormat="1" ht="21.75" hidden="1" customHeight="1" x14ac:dyDescent="0.2">
      <c r="A724" s="16" t="s">
        <v>1536</v>
      </c>
      <c r="B724" s="16" t="s">
        <v>73</v>
      </c>
      <c r="C724" s="18">
        <v>46062</v>
      </c>
      <c r="D724" s="21">
        <v>48</v>
      </c>
      <c r="E724" s="19">
        <v>1</v>
      </c>
      <c r="F724" s="16" t="s">
        <v>1546</v>
      </c>
      <c r="G724" s="16" t="s">
        <v>1549</v>
      </c>
      <c r="H724" s="16" t="s">
        <v>1544</v>
      </c>
      <c r="I724" s="16" t="s">
        <v>203</v>
      </c>
      <c r="J724" s="17">
        <v>10026367200</v>
      </c>
      <c r="K724" s="11"/>
      <c r="L724" s="16" t="s">
        <v>272</v>
      </c>
      <c r="M724" s="16" t="s">
        <v>75</v>
      </c>
      <c r="N724" s="11"/>
      <c r="O724" s="11"/>
      <c r="P724" s="16" t="s">
        <v>1551</v>
      </c>
      <c r="Q724" s="16" t="s">
        <v>1554</v>
      </c>
      <c r="R724" s="16" t="s">
        <v>142</v>
      </c>
      <c r="S724" s="11" t="s">
        <v>1586</v>
      </c>
    </row>
    <row r="725" spans="1:19" s="20" customFormat="1" ht="21.75" hidden="1" customHeight="1" x14ac:dyDescent="0.2">
      <c r="A725" s="16" t="s">
        <v>1536</v>
      </c>
      <c r="B725" s="16" t="s">
        <v>73</v>
      </c>
      <c r="C725" s="18">
        <v>46062</v>
      </c>
      <c r="D725" s="21">
        <v>8</v>
      </c>
      <c r="E725" s="19">
        <v>2</v>
      </c>
      <c r="F725" s="16" t="s">
        <v>1547</v>
      </c>
      <c r="G725" s="16" t="s">
        <v>1550</v>
      </c>
      <c r="H725" s="16" t="s">
        <v>1544</v>
      </c>
      <c r="I725" s="16" t="s">
        <v>203</v>
      </c>
      <c r="J725" s="17">
        <v>10026367200</v>
      </c>
      <c r="K725" s="11"/>
      <c r="L725" s="16" t="s">
        <v>272</v>
      </c>
      <c r="M725" s="16" t="s">
        <v>75</v>
      </c>
      <c r="N725" s="11"/>
      <c r="O725" s="11"/>
      <c r="P725" s="16" t="s">
        <v>1551</v>
      </c>
      <c r="Q725" s="16" t="s">
        <v>1554</v>
      </c>
      <c r="R725" s="16" t="s">
        <v>142</v>
      </c>
      <c r="S725" s="11" t="s">
        <v>1586</v>
      </c>
    </row>
    <row r="726" spans="1:19" s="20" customFormat="1" ht="21.75" hidden="1" customHeight="1" x14ac:dyDescent="0.2">
      <c r="A726" s="16" t="s">
        <v>1536</v>
      </c>
      <c r="B726" s="16" t="s">
        <v>73</v>
      </c>
      <c r="C726" s="18">
        <v>46062</v>
      </c>
      <c r="D726" s="21">
        <v>8</v>
      </c>
      <c r="E726" s="19">
        <v>2</v>
      </c>
      <c r="F726" s="16" t="s">
        <v>45</v>
      </c>
      <c r="G726" s="16" t="s">
        <v>116</v>
      </c>
      <c r="H726" s="16" t="s">
        <v>1544</v>
      </c>
      <c r="I726" s="16" t="s">
        <v>203</v>
      </c>
      <c r="J726" s="17">
        <v>10026367200</v>
      </c>
      <c r="K726" s="11"/>
      <c r="L726" s="16" t="s">
        <v>272</v>
      </c>
      <c r="M726" s="16" t="s">
        <v>75</v>
      </c>
      <c r="N726" s="11"/>
      <c r="O726" s="11"/>
      <c r="P726" s="16" t="s">
        <v>1551</v>
      </c>
      <c r="Q726" s="16" t="s">
        <v>1554</v>
      </c>
      <c r="R726" s="16" t="s">
        <v>142</v>
      </c>
      <c r="S726" s="11" t="s">
        <v>1586</v>
      </c>
    </row>
    <row r="727" spans="1:19" s="20" customFormat="1" ht="21.75" hidden="1" customHeight="1" x14ac:dyDescent="0.2">
      <c r="A727" s="16" t="s">
        <v>1537</v>
      </c>
      <c r="B727" s="16" t="s">
        <v>73</v>
      </c>
      <c r="C727" s="18">
        <v>46062</v>
      </c>
      <c r="D727" s="21">
        <v>192</v>
      </c>
      <c r="E727" s="19">
        <f>192/48</f>
        <v>4</v>
      </c>
      <c r="F727" s="16" t="s">
        <v>158</v>
      </c>
      <c r="G727" s="16" t="s">
        <v>150</v>
      </c>
      <c r="H727" s="16" t="s">
        <v>1544</v>
      </c>
      <c r="I727" s="16" t="s">
        <v>1541</v>
      </c>
      <c r="J727" s="17">
        <v>10026310968</v>
      </c>
      <c r="K727" s="11"/>
      <c r="L727" s="16" t="s">
        <v>1557</v>
      </c>
      <c r="M727" s="16" t="s">
        <v>75</v>
      </c>
      <c r="N727" s="11"/>
      <c r="O727" s="11"/>
      <c r="P727" s="16" t="s">
        <v>1552</v>
      </c>
      <c r="Q727" s="16" t="s">
        <v>1555</v>
      </c>
      <c r="R727" s="16" t="s">
        <v>142</v>
      </c>
      <c r="S727" s="11" t="s">
        <v>1587</v>
      </c>
    </row>
    <row r="728" spans="1:19" s="20" customFormat="1" ht="21.75" hidden="1" customHeight="1" x14ac:dyDescent="0.2">
      <c r="A728" s="16" t="s">
        <v>1537</v>
      </c>
      <c r="B728" s="16" t="s">
        <v>73</v>
      </c>
      <c r="C728" s="18">
        <v>46062</v>
      </c>
      <c r="D728" s="21">
        <v>60</v>
      </c>
      <c r="E728" s="19">
        <v>5</v>
      </c>
      <c r="F728" s="16" t="s">
        <v>174</v>
      </c>
      <c r="G728" s="16" t="s">
        <v>130</v>
      </c>
      <c r="H728" s="16" t="s">
        <v>1544</v>
      </c>
      <c r="I728" s="16" t="s">
        <v>1541</v>
      </c>
      <c r="J728" s="17">
        <v>10026310968</v>
      </c>
      <c r="K728" s="11"/>
      <c r="L728" s="16" t="s">
        <v>1557</v>
      </c>
      <c r="M728" s="16" t="s">
        <v>75</v>
      </c>
      <c r="N728" s="11"/>
      <c r="O728" s="11"/>
      <c r="P728" s="16" t="s">
        <v>1552</v>
      </c>
      <c r="Q728" s="16" t="s">
        <v>1555</v>
      </c>
      <c r="R728" s="16" t="s">
        <v>142</v>
      </c>
      <c r="S728" s="11" t="s">
        <v>1587</v>
      </c>
    </row>
    <row r="729" spans="1:19" s="20" customFormat="1" ht="21.75" hidden="1" customHeight="1" x14ac:dyDescent="0.2">
      <c r="A729" s="16" t="s">
        <v>1537</v>
      </c>
      <c r="B729" s="16" t="s">
        <v>73</v>
      </c>
      <c r="C729" s="18">
        <v>46062</v>
      </c>
      <c r="D729" s="21">
        <v>48</v>
      </c>
      <c r="E729" s="19">
        <v>4</v>
      </c>
      <c r="F729" s="16" t="s">
        <v>567</v>
      </c>
      <c r="G729" s="16" t="s">
        <v>568</v>
      </c>
      <c r="H729" s="16" t="s">
        <v>1544</v>
      </c>
      <c r="I729" s="16" t="s">
        <v>1541</v>
      </c>
      <c r="J729" s="17">
        <v>10026310968</v>
      </c>
      <c r="K729" s="11"/>
      <c r="L729" s="16" t="s">
        <v>1557</v>
      </c>
      <c r="M729" s="16" t="s">
        <v>75</v>
      </c>
      <c r="N729" s="11"/>
      <c r="O729" s="11"/>
      <c r="P729" s="16" t="s">
        <v>1552</v>
      </c>
      <c r="Q729" s="16" t="s">
        <v>1555</v>
      </c>
      <c r="R729" s="16" t="s">
        <v>142</v>
      </c>
      <c r="S729" s="11" t="s">
        <v>1587</v>
      </c>
    </row>
    <row r="730" spans="1:19" s="20" customFormat="1" ht="21.75" hidden="1" customHeight="1" x14ac:dyDescent="0.2">
      <c r="A730" s="16" t="s">
        <v>1537</v>
      </c>
      <c r="B730" s="16" t="s">
        <v>73</v>
      </c>
      <c r="C730" s="18">
        <v>46062</v>
      </c>
      <c r="D730" s="21">
        <v>48</v>
      </c>
      <c r="E730" s="19">
        <v>4</v>
      </c>
      <c r="F730" s="16" t="s">
        <v>33</v>
      </c>
      <c r="G730" s="16" t="s">
        <v>107</v>
      </c>
      <c r="H730" s="16" t="s">
        <v>1544</v>
      </c>
      <c r="I730" s="16" t="s">
        <v>1541</v>
      </c>
      <c r="J730" s="17">
        <v>10026310968</v>
      </c>
      <c r="K730" s="11"/>
      <c r="L730" s="16" t="s">
        <v>1557</v>
      </c>
      <c r="M730" s="16" t="s">
        <v>75</v>
      </c>
      <c r="N730" s="11"/>
      <c r="O730" s="11"/>
      <c r="P730" s="16" t="s">
        <v>1552</v>
      </c>
      <c r="Q730" s="16" t="s">
        <v>1555</v>
      </c>
      <c r="R730" s="16" t="s">
        <v>142</v>
      </c>
      <c r="S730" s="11" t="s">
        <v>1587</v>
      </c>
    </row>
    <row r="731" spans="1:19" s="20" customFormat="1" ht="21.75" hidden="1" customHeight="1" x14ac:dyDescent="0.2">
      <c r="A731" s="16" t="s">
        <v>1537</v>
      </c>
      <c r="B731" s="16" t="s">
        <v>73</v>
      </c>
      <c r="C731" s="18">
        <v>46062</v>
      </c>
      <c r="D731" s="21">
        <v>120</v>
      </c>
      <c r="E731" s="19">
        <v>5</v>
      </c>
      <c r="F731" s="16" t="s">
        <v>52</v>
      </c>
      <c r="G731" s="16" t="s">
        <v>110</v>
      </c>
      <c r="H731" s="16" t="s">
        <v>1544</v>
      </c>
      <c r="I731" s="16" t="s">
        <v>1541</v>
      </c>
      <c r="J731" s="17">
        <v>10026310968</v>
      </c>
      <c r="K731" s="11"/>
      <c r="L731" s="16" t="s">
        <v>1557</v>
      </c>
      <c r="M731" s="16" t="s">
        <v>75</v>
      </c>
      <c r="N731" s="11"/>
      <c r="O731" s="11"/>
      <c r="P731" s="16" t="s">
        <v>1552</v>
      </c>
      <c r="Q731" s="16" t="s">
        <v>1555</v>
      </c>
      <c r="R731" s="16" t="s">
        <v>142</v>
      </c>
      <c r="S731" s="11" t="s">
        <v>1587</v>
      </c>
    </row>
    <row r="732" spans="1:19" s="20" customFormat="1" ht="21.75" hidden="1" customHeight="1" x14ac:dyDescent="0.2">
      <c r="A732" s="16" t="s">
        <v>1537</v>
      </c>
      <c r="B732" s="16" t="s">
        <v>73</v>
      </c>
      <c r="C732" s="18">
        <v>46062</v>
      </c>
      <c r="D732" s="21">
        <v>24</v>
      </c>
      <c r="E732" s="19">
        <v>4</v>
      </c>
      <c r="F732" s="16" t="s">
        <v>822</v>
      </c>
      <c r="G732" s="16" t="s">
        <v>824</v>
      </c>
      <c r="H732" s="16" t="s">
        <v>1544</v>
      </c>
      <c r="I732" s="16" t="s">
        <v>1541</v>
      </c>
      <c r="J732" s="17">
        <v>10026310968</v>
      </c>
      <c r="K732" s="11"/>
      <c r="L732" s="16" t="s">
        <v>1557</v>
      </c>
      <c r="M732" s="16" t="s">
        <v>75</v>
      </c>
      <c r="N732" s="11"/>
      <c r="O732" s="11"/>
      <c r="P732" s="16" t="s">
        <v>1552</v>
      </c>
      <c r="Q732" s="16" t="s">
        <v>1555</v>
      </c>
      <c r="R732" s="16" t="s">
        <v>142</v>
      </c>
      <c r="S732" s="11" t="s">
        <v>1587</v>
      </c>
    </row>
    <row r="733" spans="1:19" s="20" customFormat="1" ht="21.75" hidden="1" customHeight="1" x14ac:dyDescent="0.2">
      <c r="A733" s="16" t="s">
        <v>1537</v>
      </c>
      <c r="B733" s="16" t="s">
        <v>73</v>
      </c>
      <c r="C733" s="18">
        <v>46062</v>
      </c>
      <c r="D733" s="21">
        <v>24</v>
      </c>
      <c r="E733" s="19">
        <v>4</v>
      </c>
      <c r="F733" s="16" t="s">
        <v>26</v>
      </c>
      <c r="G733" s="16" t="s">
        <v>111</v>
      </c>
      <c r="H733" s="16" t="s">
        <v>1544</v>
      </c>
      <c r="I733" s="16" t="s">
        <v>1541</v>
      </c>
      <c r="J733" s="17">
        <v>10026310968</v>
      </c>
      <c r="K733" s="11"/>
      <c r="L733" s="16" t="s">
        <v>1557</v>
      </c>
      <c r="M733" s="16" t="s">
        <v>75</v>
      </c>
      <c r="N733" s="11"/>
      <c r="O733" s="11"/>
      <c r="P733" s="16" t="s">
        <v>1552</v>
      </c>
      <c r="Q733" s="16" t="s">
        <v>1555</v>
      </c>
      <c r="R733" s="16" t="s">
        <v>142</v>
      </c>
      <c r="S733" s="11" t="s">
        <v>1587</v>
      </c>
    </row>
    <row r="734" spans="1:19" s="20" customFormat="1" ht="21.75" hidden="1" customHeight="1" x14ac:dyDescent="0.2">
      <c r="A734" s="16" t="s">
        <v>1537</v>
      </c>
      <c r="B734" s="16" t="s">
        <v>73</v>
      </c>
      <c r="C734" s="18">
        <v>46062</v>
      </c>
      <c r="D734" s="21">
        <v>36</v>
      </c>
      <c r="E734" s="19">
        <v>3</v>
      </c>
      <c r="F734" s="16" t="s">
        <v>25</v>
      </c>
      <c r="G734" s="16" t="s">
        <v>136</v>
      </c>
      <c r="H734" s="16" t="s">
        <v>1544</v>
      </c>
      <c r="I734" s="16" t="s">
        <v>1541</v>
      </c>
      <c r="J734" s="17">
        <v>10026310968</v>
      </c>
      <c r="K734" s="11"/>
      <c r="L734" s="16" t="s">
        <v>1557</v>
      </c>
      <c r="M734" s="16" t="s">
        <v>75</v>
      </c>
      <c r="N734" s="11"/>
      <c r="O734" s="11"/>
      <c r="P734" s="16" t="s">
        <v>1552</v>
      </c>
      <c r="Q734" s="16" t="s">
        <v>1555</v>
      </c>
      <c r="R734" s="16" t="s">
        <v>142</v>
      </c>
      <c r="S734" s="11" t="s">
        <v>1587</v>
      </c>
    </row>
    <row r="735" spans="1:19" s="20" customFormat="1" ht="21.75" hidden="1" customHeight="1" x14ac:dyDescent="0.2">
      <c r="A735" s="16" t="s">
        <v>1538</v>
      </c>
      <c r="B735" s="17" t="s">
        <v>73</v>
      </c>
      <c r="C735" s="18">
        <v>46062</v>
      </c>
      <c r="D735" s="21">
        <v>480</v>
      </c>
      <c r="E735" s="19">
        <v>10</v>
      </c>
      <c r="F735" s="16" t="s">
        <v>158</v>
      </c>
      <c r="G735" s="16" t="s">
        <v>150</v>
      </c>
      <c r="H735" s="16" t="s">
        <v>1544</v>
      </c>
      <c r="I735" s="16" t="s">
        <v>1542</v>
      </c>
      <c r="J735" s="17">
        <v>10421359607</v>
      </c>
      <c r="K735" s="11"/>
      <c r="L735" s="16" t="s">
        <v>1558</v>
      </c>
      <c r="M735" s="16" t="s">
        <v>697</v>
      </c>
      <c r="N735" s="11"/>
      <c r="O735" s="11"/>
      <c r="P735" s="16" t="s">
        <v>1553</v>
      </c>
      <c r="Q735" s="16" t="s">
        <v>1556</v>
      </c>
      <c r="R735" s="16" t="s">
        <v>142</v>
      </c>
      <c r="S735" s="11" t="s">
        <v>1587</v>
      </c>
    </row>
    <row r="736" spans="1:19" s="20" customFormat="1" ht="21.75" hidden="1" customHeight="1" x14ac:dyDescent="0.2">
      <c r="A736" s="16" t="s">
        <v>1539</v>
      </c>
      <c r="B736" s="17">
        <v>3224230578</v>
      </c>
      <c r="C736" s="18">
        <v>46062</v>
      </c>
      <c r="D736" s="21">
        <v>1</v>
      </c>
      <c r="E736" s="19">
        <v>1</v>
      </c>
      <c r="F736" s="16" t="s">
        <v>53</v>
      </c>
      <c r="G736" s="16" t="s">
        <v>121</v>
      </c>
      <c r="H736" s="16" t="s">
        <v>99</v>
      </c>
      <c r="I736" s="16" t="s">
        <v>1543</v>
      </c>
      <c r="J736" s="17">
        <v>3409033</v>
      </c>
      <c r="K736" s="17" t="s">
        <v>1561</v>
      </c>
      <c r="L736" s="16" t="s">
        <v>1559</v>
      </c>
      <c r="M736" s="16" t="s">
        <v>1560</v>
      </c>
      <c r="N736" s="11"/>
      <c r="O736" s="11"/>
      <c r="P736" s="16" t="s">
        <v>135</v>
      </c>
      <c r="Q736" s="16" t="s">
        <v>73</v>
      </c>
      <c r="R736" s="16" t="s">
        <v>394</v>
      </c>
      <c r="S736" s="11" t="s">
        <v>1588</v>
      </c>
    </row>
    <row r="737" spans="1:19" s="20" customFormat="1" ht="21.75" hidden="1" customHeight="1" x14ac:dyDescent="0.2">
      <c r="A737" s="16" t="s">
        <v>1562</v>
      </c>
      <c r="B737" s="16" t="s">
        <v>73</v>
      </c>
      <c r="C737" s="18">
        <v>46063</v>
      </c>
      <c r="D737" s="21">
        <v>12</v>
      </c>
      <c r="E737" s="19">
        <v>1</v>
      </c>
      <c r="F737" s="16" t="s">
        <v>567</v>
      </c>
      <c r="G737" s="16" t="s">
        <v>568</v>
      </c>
      <c r="H737" s="16" t="s">
        <v>76</v>
      </c>
      <c r="I737" s="16" t="s">
        <v>569</v>
      </c>
      <c r="J737" s="17">
        <v>20509076945</v>
      </c>
      <c r="K737" s="17">
        <v>987311326</v>
      </c>
      <c r="L737" s="16" t="s">
        <v>1580</v>
      </c>
      <c r="M737" s="16" t="s">
        <v>474</v>
      </c>
      <c r="N737" s="11"/>
      <c r="O737" s="11"/>
      <c r="P737" s="16" t="s">
        <v>572</v>
      </c>
      <c r="Q737" s="11"/>
      <c r="R737" s="16" t="s">
        <v>144</v>
      </c>
      <c r="S737" s="11" t="s">
        <v>1589</v>
      </c>
    </row>
    <row r="738" spans="1:19" s="20" customFormat="1" ht="21.75" hidden="1" customHeight="1" x14ac:dyDescent="0.2">
      <c r="A738" s="16" t="s">
        <v>1562</v>
      </c>
      <c r="B738" s="16" t="s">
        <v>73</v>
      </c>
      <c r="C738" s="18">
        <v>46063</v>
      </c>
      <c r="D738" s="21">
        <v>24</v>
      </c>
      <c r="E738" s="19">
        <v>1</v>
      </c>
      <c r="F738" s="16" t="s">
        <v>36</v>
      </c>
      <c r="G738" s="16" t="s">
        <v>128</v>
      </c>
      <c r="H738" s="16" t="s">
        <v>76</v>
      </c>
      <c r="I738" s="16" t="s">
        <v>569</v>
      </c>
      <c r="J738" s="17">
        <v>20509076945</v>
      </c>
      <c r="K738" s="17">
        <v>987311326</v>
      </c>
      <c r="L738" s="16" t="s">
        <v>1580</v>
      </c>
      <c r="M738" s="16" t="s">
        <v>474</v>
      </c>
      <c r="N738" s="11"/>
      <c r="O738" s="11"/>
      <c r="P738" s="16" t="s">
        <v>572</v>
      </c>
      <c r="Q738" s="11"/>
      <c r="R738" s="16" t="s">
        <v>144</v>
      </c>
      <c r="S738" s="11" t="s">
        <v>1589</v>
      </c>
    </row>
    <row r="739" spans="1:19" s="20" customFormat="1" ht="21.75" hidden="1" customHeight="1" x14ac:dyDescent="0.2">
      <c r="A739" s="16" t="s">
        <v>1562</v>
      </c>
      <c r="B739" s="16" t="s">
        <v>73</v>
      </c>
      <c r="C739" s="18">
        <v>46063</v>
      </c>
      <c r="D739" s="21">
        <v>12</v>
      </c>
      <c r="E739" s="19">
        <v>1</v>
      </c>
      <c r="F739" s="16" t="s">
        <v>56</v>
      </c>
      <c r="G739" s="16" t="s">
        <v>86</v>
      </c>
      <c r="H739" s="16" t="s">
        <v>76</v>
      </c>
      <c r="I739" s="16" t="s">
        <v>569</v>
      </c>
      <c r="J739" s="17">
        <v>20509076945</v>
      </c>
      <c r="K739" s="17">
        <v>987311326</v>
      </c>
      <c r="L739" s="16" t="s">
        <v>1580</v>
      </c>
      <c r="M739" s="16" t="s">
        <v>474</v>
      </c>
      <c r="N739" s="11"/>
      <c r="O739" s="11"/>
      <c r="P739" s="16" t="s">
        <v>572</v>
      </c>
      <c r="Q739" s="11"/>
      <c r="R739" s="16" t="s">
        <v>144</v>
      </c>
      <c r="S739" s="11" t="s">
        <v>1589</v>
      </c>
    </row>
    <row r="740" spans="1:19" s="20" customFormat="1" ht="21.75" hidden="1" customHeight="1" x14ac:dyDescent="0.2">
      <c r="A740" s="16" t="s">
        <v>1563</v>
      </c>
      <c r="B740" s="16" t="s">
        <v>73</v>
      </c>
      <c r="C740" s="52">
        <v>46111</v>
      </c>
      <c r="D740" s="21">
        <v>80</v>
      </c>
      <c r="E740" s="205">
        <v>20</v>
      </c>
      <c r="F740" s="16" t="s">
        <v>899</v>
      </c>
      <c r="G740" s="16" t="s">
        <v>916</v>
      </c>
      <c r="H740" s="26" t="s">
        <v>1544</v>
      </c>
      <c r="I740" s="16" t="s">
        <v>1573</v>
      </c>
      <c r="J740" s="17">
        <v>20495986374</v>
      </c>
      <c r="K740" s="17">
        <v>976972414</v>
      </c>
      <c r="L740" s="16" t="s">
        <v>2160</v>
      </c>
      <c r="M740" s="16" t="s">
        <v>75</v>
      </c>
      <c r="N740" s="11"/>
      <c r="O740" s="11"/>
      <c r="P740" s="16" t="s">
        <v>1579</v>
      </c>
      <c r="Q740" s="11" t="s">
        <v>2159</v>
      </c>
      <c r="R740" s="16" t="s">
        <v>142</v>
      </c>
      <c r="S740" s="11"/>
    </row>
    <row r="741" spans="1:19" s="20" customFormat="1" ht="21.75" hidden="1" customHeight="1" x14ac:dyDescent="0.2">
      <c r="A741" s="16" t="s">
        <v>1563</v>
      </c>
      <c r="B741" s="16" t="s">
        <v>73</v>
      </c>
      <c r="C741" s="52">
        <v>46111</v>
      </c>
      <c r="D741" s="21">
        <v>80</v>
      </c>
      <c r="E741" s="206"/>
      <c r="F741" s="16" t="s">
        <v>900</v>
      </c>
      <c r="G741" s="16" t="s">
        <v>917</v>
      </c>
      <c r="H741" s="26" t="s">
        <v>1544</v>
      </c>
      <c r="I741" s="16" t="s">
        <v>1573</v>
      </c>
      <c r="J741" s="17">
        <v>20495986374</v>
      </c>
      <c r="K741" s="17">
        <v>976972414</v>
      </c>
      <c r="L741" s="16" t="s">
        <v>2160</v>
      </c>
      <c r="M741" s="16" t="s">
        <v>75</v>
      </c>
      <c r="N741" s="11"/>
      <c r="O741" s="11"/>
      <c r="P741" s="16" t="s">
        <v>1579</v>
      </c>
      <c r="Q741" s="11" t="s">
        <v>2159</v>
      </c>
      <c r="R741" s="16" t="s">
        <v>142</v>
      </c>
      <c r="S741" s="11"/>
    </row>
    <row r="742" spans="1:19" s="20" customFormat="1" ht="21.75" hidden="1" customHeight="1" x14ac:dyDescent="0.2">
      <c r="A742" s="16" t="s">
        <v>1563</v>
      </c>
      <c r="B742" s="16" t="s">
        <v>73</v>
      </c>
      <c r="C742" s="52">
        <v>46111</v>
      </c>
      <c r="D742" s="21">
        <v>80</v>
      </c>
      <c r="E742" s="207"/>
      <c r="F742" s="16" t="s">
        <v>898</v>
      </c>
      <c r="G742" s="16" t="s">
        <v>915</v>
      </c>
      <c r="H742" s="26" t="s">
        <v>1544</v>
      </c>
      <c r="I742" s="16" t="s">
        <v>1573</v>
      </c>
      <c r="J742" s="17">
        <v>20495986374</v>
      </c>
      <c r="K742" s="17">
        <v>976972414</v>
      </c>
      <c r="L742" s="16" t="s">
        <v>2160</v>
      </c>
      <c r="M742" s="16" t="s">
        <v>75</v>
      </c>
      <c r="N742" s="11"/>
      <c r="O742" s="11"/>
      <c r="P742" s="16" t="s">
        <v>1579</v>
      </c>
      <c r="Q742" s="11" t="s">
        <v>2159</v>
      </c>
      <c r="R742" s="16" t="s">
        <v>142</v>
      </c>
      <c r="S742" s="11"/>
    </row>
    <row r="743" spans="1:19" s="20" customFormat="1" ht="21.75" hidden="1" customHeight="1" x14ac:dyDescent="0.2">
      <c r="A743" s="16" t="s">
        <v>1563</v>
      </c>
      <c r="B743" s="16" t="s">
        <v>73</v>
      </c>
      <c r="C743" s="52">
        <v>46111</v>
      </c>
      <c r="D743" s="21">
        <v>80</v>
      </c>
      <c r="E743" s="205">
        <v>10</v>
      </c>
      <c r="F743" s="16" t="s">
        <v>901</v>
      </c>
      <c r="G743" s="16" t="s">
        <v>918</v>
      </c>
      <c r="H743" s="26" t="s">
        <v>1544</v>
      </c>
      <c r="I743" s="16" t="s">
        <v>1573</v>
      </c>
      <c r="J743" s="17">
        <v>20495986374</v>
      </c>
      <c r="K743" s="17">
        <v>976972414</v>
      </c>
      <c r="L743" s="16" t="s">
        <v>2160</v>
      </c>
      <c r="M743" s="16" t="s">
        <v>75</v>
      </c>
      <c r="N743" s="11"/>
      <c r="O743" s="11"/>
      <c r="P743" s="16" t="s">
        <v>1579</v>
      </c>
      <c r="Q743" s="11" t="s">
        <v>2159</v>
      </c>
      <c r="R743" s="16" t="s">
        <v>142</v>
      </c>
      <c r="S743" s="11"/>
    </row>
    <row r="744" spans="1:19" s="20" customFormat="1" ht="21.75" hidden="1" customHeight="1" x14ac:dyDescent="0.2">
      <c r="A744" s="16" t="s">
        <v>1563</v>
      </c>
      <c r="B744" s="16" t="s">
        <v>73</v>
      </c>
      <c r="C744" s="52">
        <v>46111</v>
      </c>
      <c r="D744" s="21">
        <v>80</v>
      </c>
      <c r="E744" s="206"/>
      <c r="F744" s="16" t="s">
        <v>902</v>
      </c>
      <c r="G744" s="16" t="s">
        <v>919</v>
      </c>
      <c r="H744" s="26" t="s">
        <v>1544</v>
      </c>
      <c r="I744" s="16" t="s">
        <v>1573</v>
      </c>
      <c r="J744" s="17">
        <v>20495986374</v>
      </c>
      <c r="K744" s="17">
        <v>976972414</v>
      </c>
      <c r="L744" s="16" t="s">
        <v>2160</v>
      </c>
      <c r="M744" s="16" t="s">
        <v>75</v>
      </c>
      <c r="N744" s="11"/>
      <c r="O744" s="11"/>
      <c r="P744" s="16" t="s">
        <v>1579</v>
      </c>
      <c r="Q744" s="11" t="s">
        <v>2159</v>
      </c>
      <c r="R744" s="16" t="s">
        <v>142</v>
      </c>
      <c r="S744" s="11"/>
    </row>
    <row r="745" spans="1:19" s="20" customFormat="1" ht="21.75" hidden="1" customHeight="1" x14ac:dyDescent="0.2">
      <c r="A745" s="16" t="s">
        <v>1563</v>
      </c>
      <c r="B745" s="16" t="s">
        <v>73</v>
      </c>
      <c r="C745" s="52">
        <v>46111</v>
      </c>
      <c r="D745" s="21">
        <v>80</v>
      </c>
      <c r="E745" s="207"/>
      <c r="F745" s="16" t="s">
        <v>903</v>
      </c>
      <c r="G745" s="16" t="s">
        <v>920</v>
      </c>
      <c r="H745" s="26" t="s">
        <v>1544</v>
      </c>
      <c r="I745" s="16" t="s">
        <v>1573</v>
      </c>
      <c r="J745" s="17">
        <v>20495986374</v>
      </c>
      <c r="K745" s="17">
        <v>976972414</v>
      </c>
      <c r="L745" s="16" t="s">
        <v>2160</v>
      </c>
      <c r="M745" s="16" t="s">
        <v>75</v>
      </c>
      <c r="N745" s="11"/>
      <c r="O745" s="11"/>
      <c r="P745" s="16" t="s">
        <v>1579</v>
      </c>
      <c r="Q745" s="11" t="s">
        <v>2159</v>
      </c>
      <c r="R745" s="16" t="s">
        <v>142</v>
      </c>
      <c r="S745" s="11"/>
    </row>
    <row r="746" spans="1:19" s="20" customFormat="1" ht="21.75" hidden="1" customHeight="1" x14ac:dyDescent="0.2">
      <c r="A746" s="16" t="s">
        <v>1564</v>
      </c>
      <c r="B746" s="17" t="s">
        <v>1570</v>
      </c>
      <c r="C746" s="18">
        <v>46063</v>
      </c>
      <c r="D746" s="21">
        <v>2</v>
      </c>
      <c r="E746" s="19">
        <v>1</v>
      </c>
      <c r="F746" s="16" t="s">
        <v>1572</v>
      </c>
      <c r="G746" s="16" t="s">
        <v>1578</v>
      </c>
      <c r="H746" s="16" t="s">
        <v>99</v>
      </c>
      <c r="I746" s="16" t="s">
        <v>1574</v>
      </c>
      <c r="J746" s="17">
        <v>43345057</v>
      </c>
      <c r="K746" s="93">
        <v>51957820135</v>
      </c>
      <c r="L746" s="16" t="s">
        <v>1581</v>
      </c>
      <c r="M746" s="16" t="s">
        <v>474</v>
      </c>
      <c r="N746" s="11"/>
      <c r="O746" s="11"/>
      <c r="P746" s="16" t="s">
        <v>135</v>
      </c>
      <c r="Q746" s="11"/>
      <c r="R746" s="16" t="s">
        <v>442</v>
      </c>
      <c r="S746" s="11" t="s">
        <v>1590</v>
      </c>
    </row>
    <row r="747" spans="1:19" s="20" customFormat="1" ht="21.75" hidden="1" customHeight="1" x14ac:dyDescent="0.2">
      <c r="A747" s="16" t="s">
        <v>1565</v>
      </c>
      <c r="B747" s="17" t="s">
        <v>1571</v>
      </c>
      <c r="C747" s="18">
        <v>46063</v>
      </c>
      <c r="D747" s="21">
        <v>1</v>
      </c>
      <c r="E747" s="19">
        <v>1</v>
      </c>
      <c r="F747" s="16" t="s">
        <v>17</v>
      </c>
      <c r="G747" s="16" t="s">
        <v>91</v>
      </c>
      <c r="H747" s="16" t="s">
        <v>99</v>
      </c>
      <c r="I747" s="16" t="s">
        <v>1575</v>
      </c>
      <c r="J747" s="17">
        <v>45031230</v>
      </c>
      <c r="K747" s="93">
        <v>51951803273</v>
      </c>
      <c r="L747" s="16" t="s">
        <v>1582</v>
      </c>
      <c r="M747" s="16" t="s">
        <v>299</v>
      </c>
      <c r="N747" s="11"/>
      <c r="O747" s="11"/>
      <c r="P747" s="16" t="s">
        <v>135</v>
      </c>
      <c r="Q747" s="11"/>
      <c r="R747" s="16" t="s">
        <v>441</v>
      </c>
      <c r="S747" s="11" t="s">
        <v>1591</v>
      </c>
    </row>
    <row r="748" spans="1:19" s="20" customFormat="1" ht="21.75" hidden="1" customHeight="1" x14ac:dyDescent="0.2">
      <c r="A748" s="16" t="s">
        <v>1566</v>
      </c>
      <c r="B748" s="17">
        <v>3224384812</v>
      </c>
      <c r="C748" s="18">
        <v>46063</v>
      </c>
      <c r="D748" s="21">
        <v>1</v>
      </c>
      <c r="E748" s="19">
        <v>1</v>
      </c>
      <c r="F748" s="16" t="s">
        <v>34</v>
      </c>
      <c r="G748" s="16" t="s">
        <v>93</v>
      </c>
      <c r="H748" s="16" t="s">
        <v>99</v>
      </c>
      <c r="I748" s="16" t="s">
        <v>1576</v>
      </c>
      <c r="J748" s="17">
        <v>43904361</v>
      </c>
      <c r="K748" s="93">
        <v>51967168186</v>
      </c>
      <c r="L748" s="16" t="s">
        <v>1583</v>
      </c>
      <c r="M748" s="16" t="s">
        <v>299</v>
      </c>
      <c r="N748" s="11"/>
      <c r="O748" s="11"/>
      <c r="P748" s="16" t="s">
        <v>135</v>
      </c>
      <c r="Q748" s="11"/>
      <c r="R748" s="16" t="s">
        <v>394</v>
      </c>
      <c r="S748" s="11" t="s">
        <v>1592</v>
      </c>
    </row>
    <row r="749" spans="1:19" s="20" customFormat="1" ht="21.75" hidden="1" customHeight="1" x14ac:dyDescent="0.2">
      <c r="A749" s="16" t="s">
        <v>1567</v>
      </c>
      <c r="B749" s="17">
        <v>3224401255</v>
      </c>
      <c r="C749" s="18">
        <v>46063</v>
      </c>
      <c r="D749" s="21">
        <v>1</v>
      </c>
      <c r="E749" s="19">
        <v>1</v>
      </c>
      <c r="F749" s="16" t="s">
        <v>44</v>
      </c>
      <c r="G749" s="16" t="s">
        <v>118</v>
      </c>
      <c r="H749" s="16" t="s">
        <v>99</v>
      </c>
      <c r="I749" s="16" t="s">
        <v>1577</v>
      </c>
      <c r="J749" s="17">
        <v>40435382</v>
      </c>
      <c r="K749" s="93">
        <v>51986736457</v>
      </c>
      <c r="L749" s="16" t="s">
        <v>1584</v>
      </c>
      <c r="M749" s="16" t="s">
        <v>1585</v>
      </c>
      <c r="N749" s="11"/>
      <c r="O749" s="11"/>
      <c r="P749" s="16" t="s">
        <v>135</v>
      </c>
      <c r="Q749" s="11"/>
      <c r="R749" s="16" t="s">
        <v>394</v>
      </c>
      <c r="S749" s="11" t="s">
        <v>1593</v>
      </c>
    </row>
    <row r="750" spans="1:19" s="20" customFormat="1" ht="21.75" hidden="1" customHeight="1" x14ac:dyDescent="0.2">
      <c r="A750" s="16" t="s">
        <v>1568</v>
      </c>
      <c r="B750" s="17">
        <v>3224479757</v>
      </c>
      <c r="C750" s="18">
        <v>46063</v>
      </c>
      <c r="D750" s="21">
        <v>1</v>
      </c>
      <c r="E750" s="19">
        <v>1</v>
      </c>
      <c r="F750" s="16" t="s">
        <v>1183</v>
      </c>
      <c r="G750" s="16" t="s">
        <v>1186</v>
      </c>
      <c r="H750" s="16" t="s">
        <v>99</v>
      </c>
      <c r="I750" s="16" t="s">
        <v>1576</v>
      </c>
      <c r="J750" s="17">
        <v>43904361</v>
      </c>
      <c r="K750" s="93">
        <v>51967168186</v>
      </c>
      <c r="L750" s="16" t="s">
        <v>1583</v>
      </c>
      <c r="M750" s="16" t="s">
        <v>299</v>
      </c>
      <c r="N750" s="11"/>
      <c r="O750" s="11"/>
      <c r="P750" s="16" t="s">
        <v>135</v>
      </c>
      <c r="Q750" s="11"/>
      <c r="R750" s="16" t="s">
        <v>394</v>
      </c>
      <c r="S750" s="11" t="s">
        <v>1594</v>
      </c>
    </row>
    <row r="751" spans="1:19" s="20" customFormat="1" ht="21.75" hidden="1" customHeight="1" x14ac:dyDescent="0.2">
      <c r="A751" s="16" t="s">
        <v>1569</v>
      </c>
      <c r="B751" s="17" t="s">
        <v>73</v>
      </c>
      <c r="C751" s="18">
        <v>46063</v>
      </c>
      <c r="D751" s="21">
        <v>18</v>
      </c>
      <c r="E751" s="19">
        <v>6</v>
      </c>
      <c r="F751" s="16" t="s">
        <v>362</v>
      </c>
      <c r="G751" s="16" t="s">
        <v>374</v>
      </c>
      <c r="H751" s="16" t="s">
        <v>1650</v>
      </c>
      <c r="I751" s="16" t="s">
        <v>380</v>
      </c>
      <c r="J751" s="17">
        <v>10009600111</v>
      </c>
      <c r="K751" s="93">
        <v>933366745</v>
      </c>
      <c r="L751" s="16" t="s">
        <v>390</v>
      </c>
      <c r="M751" s="16" t="s">
        <v>393</v>
      </c>
      <c r="N751" s="11"/>
      <c r="O751" s="11"/>
      <c r="P751" s="16" t="s">
        <v>987</v>
      </c>
      <c r="Q751" s="11"/>
      <c r="R751" s="16" t="s">
        <v>397</v>
      </c>
      <c r="S751" s="11" t="s">
        <v>1595</v>
      </c>
    </row>
    <row r="752" spans="1:19" s="20" customFormat="1" ht="21.75" hidden="1" customHeight="1" x14ac:dyDescent="0.2">
      <c r="A752" s="16" t="s">
        <v>1596</v>
      </c>
      <c r="B752" s="17" t="s">
        <v>73</v>
      </c>
      <c r="C752" s="18">
        <v>46064</v>
      </c>
      <c r="D752" s="21">
        <v>240</v>
      </c>
      <c r="E752" s="19">
        <f>240/12</f>
        <v>20</v>
      </c>
      <c r="F752" s="16" t="s">
        <v>35</v>
      </c>
      <c r="G752" s="16" t="s">
        <v>106</v>
      </c>
      <c r="H752" s="16" t="s">
        <v>1650</v>
      </c>
      <c r="I752" s="16" t="s">
        <v>997</v>
      </c>
      <c r="J752" s="17">
        <v>20100632480</v>
      </c>
      <c r="K752" s="17">
        <v>946250141</v>
      </c>
      <c r="L752" s="17" t="s">
        <v>1610</v>
      </c>
      <c r="M752" s="218" t="s">
        <v>347</v>
      </c>
      <c r="N752" s="11"/>
      <c r="O752" s="11"/>
      <c r="P752" s="16" t="s">
        <v>1606</v>
      </c>
      <c r="Q752" s="16" t="s">
        <v>73</v>
      </c>
      <c r="R752" s="16" t="s">
        <v>396</v>
      </c>
      <c r="S752" s="11" t="s">
        <v>1617</v>
      </c>
    </row>
    <row r="753" spans="1:19" s="20" customFormat="1" ht="21.75" hidden="1" customHeight="1" x14ac:dyDescent="0.2">
      <c r="A753" s="16" t="s">
        <v>1596</v>
      </c>
      <c r="B753" s="17" t="s">
        <v>73</v>
      </c>
      <c r="C753" s="18">
        <v>46064</v>
      </c>
      <c r="D753" s="21">
        <v>60</v>
      </c>
      <c r="E753" s="19">
        <v>10</v>
      </c>
      <c r="F753" s="16" t="s">
        <v>26</v>
      </c>
      <c r="G753" s="16" t="s">
        <v>111</v>
      </c>
      <c r="H753" s="16" t="s">
        <v>1650</v>
      </c>
      <c r="I753" s="16" t="s">
        <v>997</v>
      </c>
      <c r="J753" s="17">
        <v>20100632480</v>
      </c>
      <c r="K753" s="17">
        <v>946250141</v>
      </c>
      <c r="L753" s="17" t="s">
        <v>1610</v>
      </c>
      <c r="M753" s="218"/>
      <c r="N753" s="11"/>
      <c r="O753" s="11"/>
      <c r="P753" s="16" t="s">
        <v>1606</v>
      </c>
      <c r="Q753" s="16" t="s">
        <v>73</v>
      </c>
      <c r="R753" s="16" t="s">
        <v>396</v>
      </c>
      <c r="S753" s="11" t="s">
        <v>1617</v>
      </c>
    </row>
    <row r="754" spans="1:19" s="20" customFormat="1" ht="21.75" hidden="1" customHeight="1" x14ac:dyDescent="0.2">
      <c r="A754" s="16" t="s">
        <v>1597</v>
      </c>
      <c r="B754" s="17" t="s">
        <v>73</v>
      </c>
      <c r="C754" s="18">
        <v>46064</v>
      </c>
      <c r="D754" s="21">
        <v>24</v>
      </c>
      <c r="E754" s="19">
        <v>2</v>
      </c>
      <c r="F754" s="16" t="s">
        <v>1363</v>
      </c>
      <c r="G754" s="16" t="s">
        <v>1364</v>
      </c>
      <c r="H754" s="16" t="s">
        <v>76</v>
      </c>
      <c r="I754" s="16" t="s">
        <v>1602</v>
      </c>
      <c r="J754" s="17">
        <v>20427260446</v>
      </c>
      <c r="K754" s="17" t="s">
        <v>73</v>
      </c>
      <c r="L754" s="16" t="s">
        <v>1611</v>
      </c>
      <c r="M754" s="16" t="s">
        <v>306</v>
      </c>
      <c r="N754" s="11"/>
      <c r="O754" s="11"/>
      <c r="P754" s="16" t="s">
        <v>1607</v>
      </c>
      <c r="Q754" s="16" t="s">
        <v>1608</v>
      </c>
      <c r="R754" s="16" t="s">
        <v>144</v>
      </c>
      <c r="S754" s="11" t="s">
        <v>1618</v>
      </c>
    </row>
    <row r="755" spans="1:19" s="20" customFormat="1" ht="21.75" hidden="1" customHeight="1" x14ac:dyDescent="0.2">
      <c r="A755" s="16" t="s">
        <v>1598</v>
      </c>
      <c r="B755" s="17" t="s">
        <v>73</v>
      </c>
      <c r="C755" s="18">
        <v>46064</v>
      </c>
      <c r="D755" s="21">
        <v>24</v>
      </c>
      <c r="E755" s="19">
        <v>2</v>
      </c>
      <c r="F755" s="16" t="s">
        <v>1363</v>
      </c>
      <c r="G755" s="16" t="s">
        <v>1364</v>
      </c>
      <c r="H755" s="16" t="s">
        <v>76</v>
      </c>
      <c r="I755" s="16" t="s">
        <v>1603</v>
      </c>
      <c r="J755" s="17">
        <v>20609172046</v>
      </c>
      <c r="K755" s="17" t="s">
        <v>73</v>
      </c>
      <c r="L755" s="16" t="s">
        <v>1612</v>
      </c>
      <c r="M755" s="16" t="s">
        <v>474</v>
      </c>
      <c r="N755" s="11"/>
      <c r="O755" s="11"/>
      <c r="P755" s="16" t="s">
        <v>1607</v>
      </c>
      <c r="Q755" s="16" t="s">
        <v>1609</v>
      </c>
      <c r="R755" s="16" t="s">
        <v>144</v>
      </c>
      <c r="S755" s="11" t="s">
        <v>1619</v>
      </c>
    </row>
    <row r="756" spans="1:19" s="20" customFormat="1" ht="21.75" hidden="1" customHeight="1" x14ac:dyDescent="0.2">
      <c r="A756" s="16" t="s">
        <v>1599</v>
      </c>
      <c r="B756" s="17" t="s">
        <v>1601</v>
      </c>
      <c r="C756" s="18">
        <v>46064</v>
      </c>
      <c r="D756" s="21">
        <v>1</v>
      </c>
      <c r="E756" s="19">
        <v>1</v>
      </c>
      <c r="F756" s="16" t="s">
        <v>318</v>
      </c>
      <c r="G756" s="16" t="s">
        <v>331</v>
      </c>
      <c r="H756" s="16" t="s">
        <v>99</v>
      </c>
      <c r="I756" s="16" t="s">
        <v>1604</v>
      </c>
      <c r="J756" s="17">
        <v>46085833</v>
      </c>
      <c r="K756" s="17" t="s">
        <v>1615</v>
      </c>
      <c r="L756" s="16" t="s">
        <v>1613</v>
      </c>
      <c r="M756" s="16" t="s">
        <v>662</v>
      </c>
      <c r="N756" s="11"/>
      <c r="O756" s="11"/>
      <c r="P756" s="16" t="s">
        <v>135</v>
      </c>
      <c r="Q756" s="16" t="s">
        <v>73</v>
      </c>
      <c r="R756" s="16" t="s">
        <v>442</v>
      </c>
      <c r="S756" s="11" t="s">
        <v>1620</v>
      </c>
    </row>
    <row r="757" spans="1:19" s="20" customFormat="1" ht="21.75" hidden="1" customHeight="1" x14ac:dyDescent="0.2">
      <c r="A757" s="16" t="s">
        <v>1600</v>
      </c>
      <c r="B757" s="17">
        <v>3224593713</v>
      </c>
      <c r="C757" s="18">
        <v>46064</v>
      </c>
      <c r="D757" s="21">
        <v>1</v>
      </c>
      <c r="E757" s="19">
        <v>1</v>
      </c>
      <c r="F757" s="16" t="s">
        <v>17</v>
      </c>
      <c r="G757" s="16" t="s">
        <v>91</v>
      </c>
      <c r="H757" s="16" t="s">
        <v>99</v>
      </c>
      <c r="I757" s="16" t="s">
        <v>1605</v>
      </c>
      <c r="J757" s="17">
        <v>70436965</v>
      </c>
      <c r="K757" s="17" t="s">
        <v>1616</v>
      </c>
      <c r="L757" s="16" t="s">
        <v>1614</v>
      </c>
      <c r="M757" s="16" t="s">
        <v>75</v>
      </c>
      <c r="N757" s="11"/>
      <c r="O757" s="11"/>
      <c r="P757" s="16" t="s">
        <v>135</v>
      </c>
      <c r="Q757" s="16" t="s">
        <v>73</v>
      </c>
      <c r="R757" s="16" t="s">
        <v>394</v>
      </c>
      <c r="S757" s="11" t="s">
        <v>1621</v>
      </c>
    </row>
    <row r="758" spans="1:19" s="20" customFormat="1" ht="21.75" hidden="1" customHeight="1" x14ac:dyDescent="0.2">
      <c r="A758" s="16" t="s">
        <v>1624</v>
      </c>
      <c r="B758" s="17">
        <v>13593641</v>
      </c>
      <c r="C758" s="18">
        <v>46067</v>
      </c>
      <c r="D758" s="21">
        <v>48</v>
      </c>
      <c r="E758" s="19">
        <v>2</v>
      </c>
      <c r="F758" s="16" t="s">
        <v>18</v>
      </c>
      <c r="G758" s="16" t="s">
        <v>109</v>
      </c>
      <c r="H758" s="16" t="s">
        <v>76</v>
      </c>
      <c r="I758" s="16" t="s">
        <v>134</v>
      </c>
      <c r="J758" s="17">
        <v>20100070970</v>
      </c>
      <c r="K758" s="17" t="s">
        <v>73</v>
      </c>
      <c r="L758" s="16" t="s">
        <v>1632</v>
      </c>
      <c r="M758" s="16" t="s">
        <v>77</v>
      </c>
      <c r="N758" s="11"/>
      <c r="O758" s="11"/>
      <c r="P758" s="16" t="s">
        <v>236</v>
      </c>
      <c r="Q758" s="11"/>
      <c r="R758" s="16" t="s">
        <v>143</v>
      </c>
      <c r="S758" s="11" t="s">
        <v>1678</v>
      </c>
    </row>
    <row r="759" spans="1:19" s="20" customFormat="1" ht="21.75" hidden="1" customHeight="1" x14ac:dyDescent="0.2">
      <c r="A759" s="16" t="s">
        <v>1624</v>
      </c>
      <c r="B759" s="17">
        <v>13593641</v>
      </c>
      <c r="C759" s="18">
        <v>46067</v>
      </c>
      <c r="D759" s="21">
        <v>48</v>
      </c>
      <c r="E759" s="19">
        <v>4</v>
      </c>
      <c r="F759" s="16" t="s">
        <v>19</v>
      </c>
      <c r="G759" s="16" t="s">
        <v>120</v>
      </c>
      <c r="H759" s="16" t="s">
        <v>76</v>
      </c>
      <c r="I759" s="16" t="s">
        <v>134</v>
      </c>
      <c r="J759" s="17">
        <v>20100070970</v>
      </c>
      <c r="K759" s="17" t="s">
        <v>73</v>
      </c>
      <c r="L759" s="16" t="s">
        <v>1632</v>
      </c>
      <c r="M759" s="16" t="s">
        <v>77</v>
      </c>
      <c r="N759" s="11"/>
      <c r="O759" s="11"/>
      <c r="P759" s="16" t="s">
        <v>236</v>
      </c>
      <c r="Q759" s="11"/>
      <c r="R759" s="16" t="s">
        <v>143</v>
      </c>
      <c r="S759" s="11" t="s">
        <v>1678</v>
      </c>
    </row>
    <row r="760" spans="1:19" s="20" customFormat="1" ht="21.75" hidden="1" customHeight="1" x14ac:dyDescent="0.2">
      <c r="A760" s="16" t="s">
        <v>1624</v>
      </c>
      <c r="B760" s="17">
        <v>13593641</v>
      </c>
      <c r="C760" s="18">
        <v>46067</v>
      </c>
      <c r="D760" s="21">
        <v>12</v>
      </c>
      <c r="E760" s="19">
        <v>1</v>
      </c>
      <c r="F760" s="16" t="s">
        <v>20</v>
      </c>
      <c r="G760" s="16" t="s">
        <v>113</v>
      </c>
      <c r="H760" s="16" t="s">
        <v>76</v>
      </c>
      <c r="I760" s="16" t="s">
        <v>134</v>
      </c>
      <c r="J760" s="17">
        <v>20100070970</v>
      </c>
      <c r="K760" s="17" t="s">
        <v>73</v>
      </c>
      <c r="L760" s="16" t="s">
        <v>1632</v>
      </c>
      <c r="M760" s="16" t="s">
        <v>77</v>
      </c>
      <c r="N760" s="11"/>
      <c r="O760" s="11"/>
      <c r="P760" s="16" t="s">
        <v>236</v>
      </c>
      <c r="Q760" s="11"/>
      <c r="R760" s="16" t="s">
        <v>143</v>
      </c>
      <c r="S760" s="11" t="s">
        <v>1678</v>
      </c>
    </row>
    <row r="761" spans="1:19" s="20" customFormat="1" ht="21.75" hidden="1" customHeight="1" x14ac:dyDescent="0.2">
      <c r="A761" s="16" t="s">
        <v>1624</v>
      </c>
      <c r="B761" s="17">
        <v>13593641</v>
      </c>
      <c r="C761" s="18">
        <v>46067</v>
      </c>
      <c r="D761" s="21">
        <v>36</v>
      </c>
      <c r="E761" s="19">
        <v>3</v>
      </c>
      <c r="F761" s="16" t="s">
        <v>21</v>
      </c>
      <c r="G761" s="16" t="s">
        <v>115</v>
      </c>
      <c r="H761" s="16" t="s">
        <v>76</v>
      </c>
      <c r="I761" s="16" t="s">
        <v>134</v>
      </c>
      <c r="J761" s="17">
        <v>20100070970</v>
      </c>
      <c r="K761" s="17" t="s">
        <v>73</v>
      </c>
      <c r="L761" s="16" t="s">
        <v>1632</v>
      </c>
      <c r="M761" s="16" t="s">
        <v>77</v>
      </c>
      <c r="N761" s="11"/>
      <c r="O761" s="11"/>
      <c r="P761" s="16" t="s">
        <v>236</v>
      </c>
      <c r="Q761" s="11"/>
      <c r="R761" s="16" t="s">
        <v>143</v>
      </c>
      <c r="S761" s="11" t="s">
        <v>1678</v>
      </c>
    </row>
    <row r="762" spans="1:19" s="20" customFormat="1" ht="21.75" hidden="1" customHeight="1" x14ac:dyDescent="0.2">
      <c r="A762" s="16" t="s">
        <v>1624</v>
      </c>
      <c r="B762" s="17">
        <v>13593641</v>
      </c>
      <c r="C762" s="18">
        <v>46067</v>
      </c>
      <c r="D762" s="21">
        <v>48</v>
      </c>
      <c r="E762" s="19">
        <v>1</v>
      </c>
      <c r="F762" s="16" t="s">
        <v>22</v>
      </c>
      <c r="G762" s="16" t="s">
        <v>108</v>
      </c>
      <c r="H762" s="16" t="s">
        <v>76</v>
      </c>
      <c r="I762" s="16" t="s">
        <v>134</v>
      </c>
      <c r="J762" s="17">
        <v>20100070970</v>
      </c>
      <c r="K762" s="17" t="s">
        <v>73</v>
      </c>
      <c r="L762" s="16" t="s">
        <v>1632</v>
      </c>
      <c r="M762" s="16" t="s">
        <v>77</v>
      </c>
      <c r="N762" s="11"/>
      <c r="O762" s="11"/>
      <c r="P762" s="16" t="s">
        <v>236</v>
      </c>
      <c r="Q762" s="11"/>
      <c r="R762" s="16" t="s">
        <v>143</v>
      </c>
      <c r="S762" s="11" t="s">
        <v>1678</v>
      </c>
    </row>
    <row r="763" spans="1:19" s="20" customFormat="1" ht="21.75" hidden="1" customHeight="1" x14ac:dyDescent="0.2">
      <c r="A763" s="16" t="s">
        <v>1624</v>
      </c>
      <c r="B763" s="17">
        <v>13593641</v>
      </c>
      <c r="C763" s="18">
        <v>46067</v>
      </c>
      <c r="D763" s="21">
        <v>324</v>
      </c>
      <c r="E763" s="19">
        <f>324/12</f>
        <v>27</v>
      </c>
      <c r="F763" s="16" t="s">
        <v>23</v>
      </c>
      <c r="G763" s="16" t="s">
        <v>119</v>
      </c>
      <c r="H763" s="16" t="s">
        <v>76</v>
      </c>
      <c r="I763" s="16" t="s">
        <v>134</v>
      </c>
      <c r="J763" s="17">
        <v>20100070970</v>
      </c>
      <c r="K763" s="17" t="s">
        <v>73</v>
      </c>
      <c r="L763" s="16" t="s">
        <v>1632</v>
      </c>
      <c r="M763" s="16" t="s">
        <v>77</v>
      </c>
      <c r="N763" s="11"/>
      <c r="O763" s="11"/>
      <c r="P763" s="16" t="s">
        <v>236</v>
      </c>
      <c r="Q763" s="11"/>
      <c r="R763" s="16" t="s">
        <v>143</v>
      </c>
      <c r="S763" s="11" t="s">
        <v>1678</v>
      </c>
    </row>
    <row r="764" spans="1:19" s="20" customFormat="1" ht="21.75" hidden="1" customHeight="1" x14ac:dyDescent="0.2">
      <c r="A764" s="16" t="s">
        <v>1624</v>
      </c>
      <c r="B764" s="17">
        <v>13593641</v>
      </c>
      <c r="C764" s="18">
        <v>46067</v>
      </c>
      <c r="D764" s="21">
        <v>60</v>
      </c>
      <c r="E764" s="19">
        <v>5</v>
      </c>
      <c r="F764" s="16" t="s">
        <v>24</v>
      </c>
      <c r="G764" s="16" t="s">
        <v>112</v>
      </c>
      <c r="H764" s="16" t="s">
        <v>76</v>
      </c>
      <c r="I764" s="16" t="s">
        <v>134</v>
      </c>
      <c r="J764" s="17">
        <v>20100070970</v>
      </c>
      <c r="K764" s="17" t="s">
        <v>73</v>
      </c>
      <c r="L764" s="16" t="s">
        <v>1632</v>
      </c>
      <c r="M764" s="16" t="s">
        <v>77</v>
      </c>
      <c r="N764" s="11"/>
      <c r="O764" s="11"/>
      <c r="P764" s="16" t="s">
        <v>236</v>
      </c>
      <c r="Q764" s="11"/>
      <c r="R764" s="16" t="s">
        <v>143</v>
      </c>
      <c r="S764" s="11" t="s">
        <v>1678</v>
      </c>
    </row>
    <row r="765" spans="1:19" s="20" customFormat="1" ht="21.75" hidden="1" customHeight="1" x14ac:dyDescent="0.2">
      <c r="A765" s="16" t="s">
        <v>1624</v>
      </c>
      <c r="B765" s="17">
        <v>13593641</v>
      </c>
      <c r="C765" s="18">
        <v>46067</v>
      </c>
      <c r="D765" s="21">
        <v>60</v>
      </c>
      <c r="E765" s="19">
        <v>5</v>
      </c>
      <c r="F765" s="16" t="s">
        <v>25</v>
      </c>
      <c r="G765" s="16" t="s">
        <v>136</v>
      </c>
      <c r="H765" s="16" t="s">
        <v>76</v>
      </c>
      <c r="I765" s="16" t="s">
        <v>134</v>
      </c>
      <c r="J765" s="17">
        <v>20100070970</v>
      </c>
      <c r="K765" s="17" t="s">
        <v>73</v>
      </c>
      <c r="L765" s="16" t="s">
        <v>1632</v>
      </c>
      <c r="M765" s="16" t="s">
        <v>77</v>
      </c>
      <c r="N765" s="11"/>
      <c r="O765" s="11"/>
      <c r="P765" s="16" t="s">
        <v>236</v>
      </c>
      <c r="Q765" s="11"/>
      <c r="R765" s="16" t="s">
        <v>143</v>
      </c>
      <c r="S765" s="11" t="s">
        <v>1678</v>
      </c>
    </row>
    <row r="766" spans="1:19" s="20" customFormat="1" ht="21.75" hidden="1" customHeight="1" x14ac:dyDescent="0.2">
      <c r="A766" s="16" t="s">
        <v>1624</v>
      </c>
      <c r="B766" s="17">
        <v>13593641</v>
      </c>
      <c r="C766" s="18">
        <v>46067</v>
      </c>
      <c r="D766" s="21">
        <v>42</v>
      </c>
      <c r="E766" s="19">
        <v>7</v>
      </c>
      <c r="F766" s="16" t="s">
        <v>26</v>
      </c>
      <c r="G766" s="16" t="s">
        <v>111</v>
      </c>
      <c r="H766" s="16" t="s">
        <v>76</v>
      </c>
      <c r="I766" s="16" t="s">
        <v>134</v>
      </c>
      <c r="J766" s="17">
        <v>20100070970</v>
      </c>
      <c r="K766" s="17" t="s">
        <v>73</v>
      </c>
      <c r="L766" s="16" t="s">
        <v>1632</v>
      </c>
      <c r="M766" s="16" t="s">
        <v>77</v>
      </c>
      <c r="N766" s="11"/>
      <c r="O766" s="11"/>
      <c r="P766" s="16" t="s">
        <v>236</v>
      </c>
      <c r="Q766" s="11"/>
      <c r="R766" s="16" t="s">
        <v>143</v>
      </c>
      <c r="S766" s="11" t="s">
        <v>1678</v>
      </c>
    </row>
    <row r="767" spans="1:19" s="20" customFormat="1" ht="21.75" hidden="1" customHeight="1" x14ac:dyDescent="0.2">
      <c r="A767" s="16" t="s">
        <v>1624</v>
      </c>
      <c r="B767" s="17">
        <v>13593641</v>
      </c>
      <c r="C767" s="18">
        <v>46067</v>
      </c>
      <c r="D767" s="21">
        <v>48</v>
      </c>
      <c r="E767" s="19">
        <v>4</v>
      </c>
      <c r="F767" s="16" t="s">
        <v>27</v>
      </c>
      <c r="G767" s="16" t="s">
        <v>103</v>
      </c>
      <c r="H767" s="16" t="s">
        <v>76</v>
      </c>
      <c r="I767" s="16" t="s">
        <v>134</v>
      </c>
      <c r="J767" s="17">
        <v>20100070970</v>
      </c>
      <c r="K767" s="17" t="s">
        <v>73</v>
      </c>
      <c r="L767" s="16" t="s">
        <v>1632</v>
      </c>
      <c r="M767" s="16" t="s">
        <v>77</v>
      </c>
      <c r="N767" s="11"/>
      <c r="O767" s="11"/>
      <c r="P767" s="16" t="s">
        <v>236</v>
      </c>
      <c r="Q767" s="11"/>
      <c r="R767" s="16" t="s">
        <v>143</v>
      </c>
      <c r="S767" s="11" t="s">
        <v>1678</v>
      </c>
    </row>
    <row r="768" spans="1:19" s="20" customFormat="1" ht="21.75" hidden="1" customHeight="1" x14ac:dyDescent="0.2">
      <c r="A768" s="16" t="s">
        <v>1622</v>
      </c>
      <c r="B768" s="17" t="s">
        <v>1625</v>
      </c>
      <c r="C768" s="18">
        <v>46065</v>
      </c>
      <c r="D768" s="21">
        <v>21</v>
      </c>
      <c r="E768" s="19">
        <v>1</v>
      </c>
      <c r="F768" s="16" t="s">
        <v>1629</v>
      </c>
      <c r="G768" s="16" t="s">
        <v>1630</v>
      </c>
      <c r="H768" s="16" t="s">
        <v>76</v>
      </c>
      <c r="I768" s="16" t="s">
        <v>1627</v>
      </c>
      <c r="J768" s="93">
        <v>20205605500</v>
      </c>
      <c r="K768" s="17" t="s">
        <v>73</v>
      </c>
      <c r="L768" s="16" t="s">
        <v>1633</v>
      </c>
      <c r="M768" s="16" t="s">
        <v>299</v>
      </c>
      <c r="N768" s="11"/>
      <c r="O768" s="11"/>
      <c r="P768" s="16" t="s">
        <v>1631</v>
      </c>
      <c r="Q768" s="11"/>
      <c r="R768" s="16" t="s">
        <v>395</v>
      </c>
      <c r="S768" s="11" t="s">
        <v>1635</v>
      </c>
    </row>
    <row r="769" spans="1:19" s="20" customFormat="1" ht="21.75" hidden="1" customHeight="1" x14ac:dyDescent="0.2">
      <c r="A769" s="16" t="s">
        <v>1623</v>
      </c>
      <c r="B769" s="17" t="s">
        <v>1626</v>
      </c>
      <c r="C769" s="18">
        <v>46065</v>
      </c>
      <c r="D769" s="21">
        <v>1</v>
      </c>
      <c r="E769" s="19">
        <v>1</v>
      </c>
      <c r="F769" s="16" t="s">
        <v>1531</v>
      </c>
      <c r="G769" s="16" t="s">
        <v>1530</v>
      </c>
      <c r="H769" s="16" t="s">
        <v>99</v>
      </c>
      <c r="I769" s="16" t="s">
        <v>1628</v>
      </c>
      <c r="J769" s="93">
        <v>20552019947</v>
      </c>
      <c r="K769" s="17">
        <v>51999307754</v>
      </c>
      <c r="L769" s="16" t="s">
        <v>1634</v>
      </c>
      <c r="M769" s="16" t="s">
        <v>306</v>
      </c>
      <c r="N769" s="11"/>
      <c r="O769" s="11"/>
      <c r="P769" s="16" t="s">
        <v>135</v>
      </c>
      <c r="Q769" s="11"/>
      <c r="R769" s="16" t="s">
        <v>441</v>
      </c>
      <c r="S769" s="11" t="s">
        <v>1636</v>
      </c>
    </row>
    <row r="770" spans="1:19" s="20" customFormat="1" ht="21.75" hidden="1" customHeight="1" x14ac:dyDescent="0.2">
      <c r="A770" s="16" t="s">
        <v>1640</v>
      </c>
      <c r="B770" s="16" t="s">
        <v>73</v>
      </c>
      <c r="C770" s="18">
        <v>46066</v>
      </c>
      <c r="D770" s="21">
        <v>96</v>
      </c>
      <c r="E770" s="19">
        <v>2</v>
      </c>
      <c r="F770" s="16" t="s">
        <v>158</v>
      </c>
      <c r="G770" s="16" t="s">
        <v>150</v>
      </c>
      <c r="H770" s="16" t="s">
        <v>1650</v>
      </c>
      <c r="I770" s="16" t="s">
        <v>1646</v>
      </c>
      <c r="J770" s="17">
        <v>20136731522</v>
      </c>
      <c r="K770" s="17">
        <v>51928259206</v>
      </c>
      <c r="L770" s="16" t="s">
        <v>1653</v>
      </c>
      <c r="M770" s="16" t="s">
        <v>420</v>
      </c>
      <c r="N770" s="11"/>
      <c r="O770" s="11"/>
      <c r="P770" s="16" t="s">
        <v>1651</v>
      </c>
      <c r="Q770" s="16" t="s">
        <v>73</v>
      </c>
      <c r="R770" s="16" t="s">
        <v>396</v>
      </c>
      <c r="S770" s="11" t="s">
        <v>1665</v>
      </c>
    </row>
    <row r="771" spans="1:19" s="20" customFormat="1" ht="21.75" hidden="1" customHeight="1" x14ac:dyDescent="0.2">
      <c r="A771" s="16" t="s">
        <v>1640</v>
      </c>
      <c r="B771" s="16" t="s">
        <v>73</v>
      </c>
      <c r="C771" s="18">
        <v>46066</v>
      </c>
      <c r="D771" s="21">
        <v>240</v>
      </c>
      <c r="E771" s="19">
        <f>240/48</f>
        <v>5</v>
      </c>
      <c r="F771" s="16" t="s">
        <v>48</v>
      </c>
      <c r="G771" s="16" t="s">
        <v>160</v>
      </c>
      <c r="H771" s="16" t="s">
        <v>1650</v>
      </c>
      <c r="I771" s="16" t="s">
        <v>1646</v>
      </c>
      <c r="J771" s="17">
        <v>20136731522</v>
      </c>
      <c r="K771" s="17">
        <v>51928259206</v>
      </c>
      <c r="L771" s="16" t="s">
        <v>1653</v>
      </c>
      <c r="M771" s="16" t="s">
        <v>420</v>
      </c>
      <c r="N771" s="11"/>
      <c r="O771" s="11"/>
      <c r="P771" s="16" t="s">
        <v>1651</v>
      </c>
      <c r="Q771" s="16" t="s">
        <v>73</v>
      </c>
      <c r="R771" s="16" t="s">
        <v>396</v>
      </c>
      <c r="S771" s="11" t="s">
        <v>1665</v>
      </c>
    </row>
    <row r="772" spans="1:19" s="20" customFormat="1" ht="21.75" hidden="1" customHeight="1" x14ac:dyDescent="0.2">
      <c r="A772" s="16" t="s">
        <v>1641</v>
      </c>
      <c r="B772" s="16" t="s">
        <v>1644</v>
      </c>
      <c r="C772" s="18">
        <v>46066</v>
      </c>
      <c r="D772" s="21">
        <v>1</v>
      </c>
      <c r="E772" s="106">
        <v>6</v>
      </c>
      <c r="F772" s="16" t="s">
        <v>316</v>
      </c>
      <c r="G772" s="16" t="s">
        <v>329</v>
      </c>
      <c r="H772" s="16" t="s">
        <v>99</v>
      </c>
      <c r="I772" s="16" t="s">
        <v>343</v>
      </c>
      <c r="J772" s="17">
        <v>20609463695</v>
      </c>
      <c r="K772" s="16" t="s">
        <v>73</v>
      </c>
      <c r="L772" s="16" t="s">
        <v>1654</v>
      </c>
      <c r="M772" s="16" t="s">
        <v>347</v>
      </c>
      <c r="N772" s="11"/>
      <c r="O772" s="11"/>
      <c r="P772" s="16" t="s">
        <v>344</v>
      </c>
      <c r="Q772" s="16" t="s">
        <v>345</v>
      </c>
      <c r="R772" s="16" t="s">
        <v>342</v>
      </c>
      <c r="S772" s="11" t="s">
        <v>1662</v>
      </c>
    </row>
    <row r="773" spans="1:19" s="20" customFormat="1" ht="21.75" hidden="1" customHeight="1" x14ac:dyDescent="0.2">
      <c r="A773" s="16" t="s">
        <v>1641</v>
      </c>
      <c r="B773" s="16" t="s">
        <v>1644</v>
      </c>
      <c r="C773" s="18">
        <v>46066</v>
      </c>
      <c r="D773" s="21">
        <v>1</v>
      </c>
      <c r="E773" s="107"/>
      <c r="F773" s="16" t="s">
        <v>317</v>
      </c>
      <c r="G773" s="16" t="s">
        <v>330</v>
      </c>
      <c r="H773" s="16" t="s">
        <v>99</v>
      </c>
      <c r="I773" s="16" t="s">
        <v>343</v>
      </c>
      <c r="J773" s="17">
        <v>20609463695</v>
      </c>
      <c r="K773" s="16" t="s">
        <v>73</v>
      </c>
      <c r="L773" s="16" t="s">
        <v>1654</v>
      </c>
      <c r="M773" s="16" t="s">
        <v>347</v>
      </c>
      <c r="N773" s="11"/>
      <c r="O773" s="11"/>
      <c r="P773" s="16" t="s">
        <v>344</v>
      </c>
      <c r="Q773" s="16" t="s">
        <v>345</v>
      </c>
      <c r="R773" s="16" t="s">
        <v>342</v>
      </c>
      <c r="S773" s="11" t="s">
        <v>1662</v>
      </c>
    </row>
    <row r="774" spans="1:19" s="20" customFormat="1" ht="21.75" hidden="1" customHeight="1" x14ac:dyDescent="0.2">
      <c r="A774" s="16" t="s">
        <v>1641</v>
      </c>
      <c r="B774" s="16" t="s">
        <v>1644</v>
      </c>
      <c r="C774" s="18">
        <v>46066</v>
      </c>
      <c r="D774" s="21">
        <v>1</v>
      </c>
      <c r="E774" s="107"/>
      <c r="F774" s="16" t="s">
        <v>953</v>
      </c>
      <c r="G774" s="16" t="s">
        <v>955</v>
      </c>
      <c r="H774" s="16" t="s">
        <v>99</v>
      </c>
      <c r="I774" s="16" t="s">
        <v>343</v>
      </c>
      <c r="J774" s="17">
        <v>20609463695</v>
      </c>
      <c r="K774" s="16" t="s">
        <v>73</v>
      </c>
      <c r="L774" s="16" t="s">
        <v>1654</v>
      </c>
      <c r="M774" s="16" t="s">
        <v>347</v>
      </c>
      <c r="N774" s="11"/>
      <c r="O774" s="11"/>
      <c r="P774" s="16" t="s">
        <v>344</v>
      </c>
      <c r="Q774" s="16" t="s">
        <v>345</v>
      </c>
      <c r="R774" s="16" t="s">
        <v>342</v>
      </c>
      <c r="S774" s="11" t="s">
        <v>1662</v>
      </c>
    </row>
    <row r="775" spans="1:19" s="20" customFormat="1" ht="21.75" hidden="1" customHeight="1" x14ac:dyDescent="0.2">
      <c r="A775" s="16" t="s">
        <v>1641</v>
      </c>
      <c r="B775" s="16" t="s">
        <v>1644</v>
      </c>
      <c r="C775" s="18">
        <v>46066</v>
      </c>
      <c r="D775" s="21">
        <v>2</v>
      </c>
      <c r="E775" s="107"/>
      <c r="F775" s="16" t="s">
        <v>318</v>
      </c>
      <c r="G775" s="16" t="s">
        <v>331</v>
      </c>
      <c r="H775" s="16" t="s">
        <v>99</v>
      </c>
      <c r="I775" s="16" t="s">
        <v>343</v>
      </c>
      <c r="J775" s="17">
        <v>20609463695</v>
      </c>
      <c r="K775" s="16" t="s">
        <v>73</v>
      </c>
      <c r="L775" s="16" t="s">
        <v>1654</v>
      </c>
      <c r="M775" s="16" t="s">
        <v>347</v>
      </c>
      <c r="N775" s="11"/>
      <c r="O775" s="11"/>
      <c r="P775" s="16" t="s">
        <v>344</v>
      </c>
      <c r="Q775" s="16" t="s">
        <v>345</v>
      </c>
      <c r="R775" s="16" t="s">
        <v>342</v>
      </c>
      <c r="S775" s="11" t="s">
        <v>1662</v>
      </c>
    </row>
    <row r="776" spans="1:19" s="20" customFormat="1" ht="21.75" hidden="1" customHeight="1" x14ac:dyDescent="0.2">
      <c r="A776" s="16" t="s">
        <v>1641</v>
      </c>
      <c r="B776" s="16" t="s">
        <v>1644</v>
      </c>
      <c r="C776" s="18">
        <v>46066</v>
      </c>
      <c r="D776" s="21">
        <v>1</v>
      </c>
      <c r="E776" s="107"/>
      <c r="F776" s="16" t="s">
        <v>319</v>
      </c>
      <c r="G776" s="16" t="s">
        <v>332</v>
      </c>
      <c r="H776" s="16" t="s">
        <v>99</v>
      </c>
      <c r="I776" s="16" t="s">
        <v>343</v>
      </c>
      <c r="J776" s="17">
        <v>20609463695</v>
      </c>
      <c r="K776" s="16" t="s">
        <v>73</v>
      </c>
      <c r="L776" s="16" t="s">
        <v>1654</v>
      </c>
      <c r="M776" s="16" t="s">
        <v>347</v>
      </c>
      <c r="N776" s="11"/>
      <c r="O776" s="11"/>
      <c r="P776" s="16" t="s">
        <v>344</v>
      </c>
      <c r="Q776" s="16" t="s">
        <v>345</v>
      </c>
      <c r="R776" s="16" t="s">
        <v>342</v>
      </c>
      <c r="S776" s="11" t="s">
        <v>1662</v>
      </c>
    </row>
    <row r="777" spans="1:19" s="20" customFormat="1" ht="21.75" hidden="1" customHeight="1" x14ac:dyDescent="0.2">
      <c r="A777" s="16" t="s">
        <v>1641</v>
      </c>
      <c r="B777" s="16" t="s">
        <v>1644</v>
      </c>
      <c r="C777" s="18">
        <v>46066</v>
      </c>
      <c r="D777" s="21">
        <v>1</v>
      </c>
      <c r="E777" s="107"/>
      <c r="F777" s="16" t="s">
        <v>320</v>
      </c>
      <c r="G777" s="16" t="s">
        <v>333</v>
      </c>
      <c r="H777" s="16" t="s">
        <v>99</v>
      </c>
      <c r="I777" s="16" t="s">
        <v>343</v>
      </c>
      <c r="J777" s="17">
        <v>20609463695</v>
      </c>
      <c r="K777" s="16" t="s">
        <v>73</v>
      </c>
      <c r="L777" s="16" t="s">
        <v>1654</v>
      </c>
      <c r="M777" s="16" t="s">
        <v>347</v>
      </c>
      <c r="N777" s="11"/>
      <c r="O777" s="11"/>
      <c r="P777" s="16" t="s">
        <v>344</v>
      </c>
      <c r="Q777" s="16" t="s">
        <v>345</v>
      </c>
      <c r="R777" s="16" t="s">
        <v>342</v>
      </c>
      <c r="S777" s="11" t="s">
        <v>1662</v>
      </c>
    </row>
    <row r="778" spans="1:19" s="20" customFormat="1" ht="21.75" hidden="1" customHeight="1" x14ac:dyDescent="0.2">
      <c r="A778" s="16" t="s">
        <v>1641</v>
      </c>
      <c r="B778" s="16" t="s">
        <v>1644</v>
      </c>
      <c r="C778" s="18">
        <v>46066</v>
      </c>
      <c r="D778" s="21">
        <v>1</v>
      </c>
      <c r="E778" s="107"/>
      <c r="F778" s="16" t="s">
        <v>321</v>
      </c>
      <c r="G778" s="16" t="s">
        <v>334</v>
      </c>
      <c r="H778" s="16" t="s">
        <v>99</v>
      </c>
      <c r="I778" s="16" t="s">
        <v>343</v>
      </c>
      <c r="J778" s="17">
        <v>20609463695</v>
      </c>
      <c r="K778" s="16" t="s">
        <v>73</v>
      </c>
      <c r="L778" s="16" t="s">
        <v>1654</v>
      </c>
      <c r="M778" s="16" t="s">
        <v>347</v>
      </c>
      <c r="N778" s="11"/>
      <c r="O778" s="11"/>
      <c r="P778" s="16" t="s">
        <v>344</v>
      </c>
      <c r="Q778" s="16" t="s">
        <v>345</v>
      </c>
      <c r="R778" s="16" t="s">
        <v>342</v>
      </c>
      <c r="S778" s="11" t="s">
        <v>1662</v>
      </c>
    </row>
    <row r="779" spans="1:19" s="20" customFormat="1" ht="21.75" hidden="1" customHeight="1" x14ac:dyDescent="0.2">
      <c r="A779" s="16" t="s">
        <v>1641</v>
      </c>
      <c r="B779" s="16" t="s">
        <v>1644</v>
      </c>
      <c r="C779" s="18">
        <v>46066</v>
      </c>
      <c r="D779" s="21">
        <v>2</v>
      </c>
      <c r="E779" s="107"/>
      <c r="F779" s="16" t="s">
        <v>38</v>
      </c>
      <c r="G779" s="16" t="s">
        <v>97</v>
      </c>
      <c r="H779" s="16" t="s">
        <v>99</v>
      </c>
      <c r="I779" s="16" t="s">
        <v>343</v>
      </c>
      <c r="J779" s="17">
        <v>20609463695</v>
      </c>
      <c r="K779" s="16" t="s">
        <v>73</v>
      </c>
      <c r="L779" s="16" t="s">
        <v>1654</v>
      </c>
      <c r="M779" s="16" t="s">
        <v>347</v>
      </c>
      <c r="N779" s="11"/>
      <c r="O779" s="11"/>
      <c r="P779" s="16" t="s">
        <v>344</v>
      </c>
      <c r="Q779" s="16" t="s">
        <v>345</v>
      </c>
      <c r="R779" s="16" t="s">
        <v>342</v>
      </c>
      <c r="S779" s="11" t="s">
        <v>1662</v>
      </c>
    </row>
    <row r="780" spans="1:19" s="20" customFormat="1" ht="21.75" hidden="1" customHeight="1" x14ac:dyDescent="0.2">
      <c r="A780" s="16" t="s">
        <v>1641</v>
      </c>
      <c r="B780" s="16" t="s">
        <v>1644</v>
      </c>
      <c r="C780" s="18">
        <v>46066</v>
      </c>
      <c r="D780" s="21">
        <v>1</v>
      </c>
      <c r="E780" s="107"/>
      <c r="F780" s="16" t="s">
        <v>322</v>
      </c>
      <c r="G780" s="16" t="s">
        <v>335</v>
      </c>
      <c r="H780" s="16" t="s">
        <v>99</v>
      </c>
      <c r="I780" s="16" t="s">
        <v>343</v>
      </c>
      <c r="J780" s="17">
        <v>20609463695</v>
      </c>
      <c r="K780" s="16" t="s">
        <v>73</v>
      </c>
      <c r="L780" s="16" t="s">
        <v>1654</v>
      </c>
      <c r="M780" s="16" t="s">
        <v>347</v>
      </c>
      <c r="N780" s="11"/>
      <c r="O780" s="11"/>
      <c r="P780" s="16" t="s">
        <v>344</v>
      </c>
      <c r="Q780" s="16" t="s">
        <v>345</v>
      </c>
      <c r="R780" s="16" t="s">
        <v>342</v>
      </c>
      <c r="S780" s="11" t="s">
        <v>1662</v>
      </c>
    </row>
    <row r="781" spans="1:19" s="20" customFormat="1" ht="21.75" hidden="1" customHeight="1" x14ac:dyDescent="0.2">
      <c r="A781" s="16" t="s">
        <v>1641</v>
      </c>
      <c r="B781" s="16" t="s">
        <v>1644</v>
      </c>
      <c r="C781" s="18">
        <v>46066</v>
      </c>
      <c r="D781" s="21">
        <v>2</v>
      </c>
      <c r="E781" s="107"/>
      <c r="F781" s="16" t="s">
        <v>602</v>
      </c>
      <c r="G781" s="16" t="s">
        <v>606</v>
      </c>
      <c r="H781" s="16" t="s">
        <v>99</v>
      </c>
      <c r="I781" s="16" t="s">
        <v>343</v>
      </c>
      <c r="J781" s="17">
        <v>20609463695</v>
      </c>
      <c r="K781" s="16" t="s">
        <v>73</v>
      </c>
      <c r="L781" s="16" t="s">
        <v>1654</v>
      </c>
      <c r="M781" s="16" t="s">
        <v>347</v>
      </c>
      <c r="N781" s="11"/>
      <c r="O781" s="11"/>
      <c r="P781" s="16" t="s">
        <v>344</v>
      </c>
      <c r="Q781" s="16" t="s">
        <v>345</v>
      </c>
      <c r="R781" s="16" t="s">
        <v>342</v>
      </c>
      <c r="S781" s="11" t="s">
        <v>1662</v>
      </c>
    </row>
    <row r="782" spans="1:19" s="20" customFormat="1" ht="21.75" hidden="1" customHeight="1" x14ac:dyDescent="0.2">
      <c r="A782" s="16" t="s">
        <v>1641</v>
      </c>
      <c r="B782" s="16" t="s">
        <v>1644</v>
      </c>
      <c r="C782" s="18">
        <v>46066</v>
      </c>
      <c r="D782" s="21">
        <v>1</v>
      </c>
      <c r="E782" s="107"/>
      <c r="F782" s="16" t="s">
        <v>323</v>
      </c>
      <c r="G782" s="16" t="s">
        <v>336</v>
      </c>
      <c r="H782" s="16" t="s">
        <v>99</v>
      </c>
      <c r="I782" s="16" t="s">
        <v>343</v>
      </c>
      <c r="J782" s="17">
        <v>20609463695</v>
      </c>
      <c r="K782" s="16" t="s">
        <v>73</v>
      </c>
      <c r="L782" s="16" t="s">
        <v>1654</v>
      </c>
      <c r="M782" s="16" t="s">
        <v>347</v>
      </c>
      <c r="N782" s="11"/>
      <c r="O782" s="11"/>
      <c r="P782" s="16" t="s">
        <v>344</v>
      </c>
      <c r="Q782" s="16" t="s">
        <v>345</v>
      </c>
      <c r="R782" s="16" t="s">
        <v>342</v>
      </c>
      <c r="S782" s="11" t="s">
        <v>1662</v>
      </c>
    </row>
    <row r="783" spans="1:19" s="20" customFormat="1" ht="21.75" hidden="1" customHeight="1" x14ac:dyDescent="0.2">
      <c r="A783" s="16" t="s">
        <v>1641</v>
      </c>
      <c r="B783" s="16" t="s">
        <v>1644</v>
      </c>
      <c r="C783" s="18">
        <v>46066</v>
      </c>
      <c r="D783" s="21">
        <v>2</v>
      </c>
      <c r="E783" s="107"/>
      <c r="F783" s="16" t="s">
        <v>325</v>
      </c>
      <c r="G783" s="16" t="s">
        <v>338</v>
      </c>
      <c r="H783" s="16" t="s">
        <v>99</v>
      </c>
      <c r="I783" s="16" t="s">
        <v>343</v>
      </c>
      <c r="J783" s="17">
        <v>20609463695</v>
      </c>
      <c r="K783" s="16" t="s">
        <v>73</v>
      </c>
      <c r="L783" s="16" t="s">
        <v>1654</v>
      </c>
      <c r="M783" s="16" t="s">
        <v>347</v>
      </c>
      <c r="N783" s="11"/>
      <c r="O783" s="11"/>
      <c r="P783" s="16" t="s">
        <v>344</v>
      </c>
      <c r="Q783" s="16" t="s">
        <v>345</v>
      </c>
      <c r="R783" s="16" t="s">
        <v>342</v>
      </c>
      <c r="S783" s="11" t="s">
        <v>1662</v>
      </c>
    </row>
    <row r="784" spans="1:19" s="20" customFormat="1" ht="21.75" hidden="1" customHeight="1" x14ac:dyDescent="0.2">
      <c r="A784" s="16" t="s">
        <v>1641</v>
      </c>
      <c r="B784" s="16" t="s">
        <v>1644</v>
      </c>
      <c r="C784" s="18">
        <v>46066</v>
      </c>
      <c r="D784" s="21">
        <v>1</v>
      </c>
      <c r="E784" s="107"/>
      <c r="F784" s="16" t="s">
        <v>326</v>
      </c>
      <c r="G784" s="16" t="s">
        <v>339</v>
      </c>
      <c r="H784" s="16" t="s">
        <v>99</v>
      </c>
      <c r="I784" s="16" t="s">
        <v>343</v>
      </c>
      <c r="J784" s="17">
        <v>20609463695</v>
      </c>
      <c r="K784" s="16" t="s">
        <v>73</v>
      </c>
      <c r="L784" s="16" t="s">
        <v>1654</v>
      </c>
      <c r="M784" s="16" t="s">
        <v>347</v>
      </c>
      <c r="N784" s="11"/>
      <c r="O784" s="11"/>
      <c r="P784" s="16" t="s">
        <v>344</v>
      </c>
      <c r="Q784" s="16" t="s">
        <v>345</v>
      </c>
      <c r="R784" s="16" t="s">
        <v>342</v>
      </c>
      <c r="S784" s="11" t="s">
        <v>1662</v>
      </c>
    </row>
    <row r="785" spans="1:19" s="20" customFormat="1" ht="21.75" hidden="1" customHeight="1" x14ac:dyDescent="0.2">
      <c r="A785" s="16" t="s">
        <v>1641</v>
      </c>
      <c r="B785" s="16" t="s">
        <v>1644</v>
      </c>
      <c r="C785" s="18">
        <v>46066</v>
      </c>
      <c r="D785" s="21">
        <v>2</v>
      </c>
      <c r="E785" s="107"/>
      <c r="F785" s="16" t="s">
        <v>327</v>
      </c>
      <c r="G785" s="16" t="s">
        <v>340</v>
      </c>
      <c r="H785" s="16" t="s">
        <v>99</v>
      </c>
      <c r="I785" s="16" t="s">
        <v>343</v>
      </c>
      <c r="J785" s="17">
        <v>20609463695</v>
      </c>
      <c r="K785" s="16" t="s">
        <v>73</v>
      </c>
      <c r="L785" s="16" t="s">
        <v>1654</v>
      </c>
      <c r="M785" s="16" t="s">
        <v>347</v>
      </c>
      <c r="N785" s="11"/>
      <c r="O785" s="11"/>
      <c r="P785" s="16" t="s">
        <v>344</v>
      </c>
      <c r="Q785" s="16" t="s">
        <v>345</v>
      </c>
      <c r="R785" s="16" t="s">
        <v>342</v>
      </c>
      <c r="S785" s="11" t="s">
        <v>1662</v>
      </c>
    </row>
    <row r="786" spans="1:19" s="20" customFormat="1" ht="21.75" hidden="1" customHeight="1" x14ac:dyDescent="0.2">
      <c r="A786" s="16" t="s">
        <v>1641</v>
      </c>
      <c r="B786" s="16" t="s">
        <v>1644</v>
      </c>
      <c r="C786" s="18">
        <v>46066</v>
      </c>
      <c r="D786" s="21">
        <v>1</v>
      </c>
      <c r="E786" s="108"/>
      <c r="F786" s="16" t="s">
        <v>443</v>
      </c>
      <c r="G786" s="16" t="s">
        <v>450</v>
      </c>
      <c r="H786" s="16" t="s">
        <v>99</v>
      </c>
      <c r="I786" s="16" t="s">
        <v>343</v>
      </c>
      <c r="J786" s="17">
        <v>20609463695</v>
      </c>
      <c r="K786" s="16" t="s">
        <v>73</v>
      </c>
      <c r="L786" s="16" t="s">
        <v>1654</v>
      </c>
      <c r="M786" s="16" t="s">
        <v>347</v>
      </c>
      <c r="N786" s="11"/>
      <c r="O786" s="11"/>
      <c r="P786" s="16" t="s">
        <v>344</v>
      </c>
      <c r="Q786" s="16" t="s">
        <v>345</v>
      </c>
      <c r="R786" s="16" t="s">
        <v>342</v>
      </c>
      <c r="S786" s="11" t="s">
        <v>1662</v>
      </c>
    </row>
    <row r="787" spans="1:19" s="20" customFormat="1" ht="21.75" hidden="1" customHeight="1" x14ac:dyDescent="0.2">
      <c r="A787" s="16" t="s">
        <v>1642</v>
      </c>
      <c r="B787" s="16" t="s">
        <v>73</v>
      </c>
      <c r="C787" s="18">
        <v>46066</v>
      </c>
      <c r="D787" s="21">
        <v>360</v>
      </c>
      <c r="E787" s="19">
        <v>30</v>
      </c>
      <c r="F787" s="16" t="s">
        <v>19</v>
      </c>
      <c r="G787" s="16" t="s">
        <v>120</v>
      </c>
      <c r="H787" s="16" t="s">
        <v>1650</v>
      </c>
      <c r="I787" s="16" t="s">
        <v>1647</v>
      </c>
      <c r="J787" s="17">
        <v>20600340132</v>
      </c>
      <c r="K787" s="17">
        <v>917366099</v>
      </c>
      <c r="L787" s="16" t="s">
        <v>1655</v>
      </c>
      <c r="M787" s="16" t="s">
        <v>347</v>
      </c>
      <c r="N787" s="11"/>
      <c r="O787" s="11"/>
      <c r="P787" s="16" t="s">
        <v>1652</v>
      </c>
      <c r="Q787" s="16" t="s">
        <v>1658</v>
      </c>
      <c r="R787" s="16" t="s">
        <v>396</v>
      </c>
      <c r="S787" s="11" t="s">
        <v>1664</v>
      </c>
    </row>
    <row r="788" spans="1:19" s="20" customFormat="1" ht="21.75" hidden="1" customHeight="1" x14ac:dyDescent="0.2">
      <c r="A788" s="16" t="s">
        <v>1642</v>
      </c>
      <c r="B788" s="16" t="s">
        <v>73</v>
      </c>
      <c r="C788" s="18">
        <v>46066</v>
      </c>
      <c r="D788" s="21">
        <v>360</v>
      </c>
      <c r="E788" s="19">
        <v>30</v>
      </c>
      <c r="F788" s="16" t="s">
        <v>23</v>
      </c>
      <c r="G788" s="16" t="s">
        <v>119</v>
      </c>
      <c r="H788" s="16" t="s">
        <v>1650</v>
      </c>
      <c r="I788" s="16" t="s">
        <v>1647</v>
      </c>
      <c r="J788" s="17">
        <v>20600340132</v>
      </c>
      <c r="K788" s="17">
        <v>917366099</v>
      </c>
      <c r="L788" s="16" t="s">
        <v>1655</v>
      </c>
      <c r="M788" s="16" t="s">
        <v>347</v>
      </c>
      <c r="N788" s="11"/>
      <c r="O788" s="11"/>
      <c r="P788" s="16" t="s">
        <v>1652</v>
      </c>
      <c r="Q788" s="16" t="s">
        <v>1658</v>
      </c>
      <c r="R788" s="16" t="s">
        <v>396</v>
      </c>
      <c r="S788" s="11" t="s">
        <v>1664</v>
      </c>
    </row>
    <row r="789" spans="1:19" s="20" customFormat="1" ht="21.75" hidden="1" customHeight="1" x14ac:dyDescent="0.2">
      <c r="A789" s="16" t="s">
        <v>1642</v>
      </c>
      <c r="B789" s="16" t="s">
        <v>73</v>
      </c>
      <c r="C789" s="18">
        <v>46066</v>
      </c>
      <c r="D789" s="21">
        <v>240</v>
      </c>
      <c r="E789" s="19">
        <v>20</v>
      </c>
      <c r="F789" s="16" t="s">
        <v>33</v>
      </c>
      <c r="G789" s="16" t="s">
        <v>107</v>
      </c>
      <c r="H789" s="16" t="s">
        <v>1650</v>
      </c>
      <c r="I789" s="16" t="s">
        <v>1647</v>
      </c>
      <c r="J789" s="17">
        <v>20600340132</v>
      </c>
      <c r="K789" s="17">
        <v>917366099</v>
      </c>
      <c r="L789" s="16" t="s">
        <v>1655</v>
      </c>
      <c r="M789" s="16" t="s">
        <v>347</v>
      </c>
      <c r="N789" s="11"/>
      <c r="O789" s="11"/>
      <c r="P789" s="16" t="s">
        <v>1652</v>
      </c>
      <c r="Q789" s="16" t="s">
        <v>1658</v>
      </c>
      <c r="R789" s="16" t="s">
        <v>396</v>
      </c>
      <c r="S789" s="11" t="s">
        <v>1664</v>
      </c>
    </row>
    <row r="790" spans="1:19" s="20" customFormat="1" ht="21.75" hidden="1" customHeight="1" x14ac:dyDescent="0.2">
      <c r="A790" s="16" t="s">
        <v>1643</v>
      </c>
      <c r="B790" s="17" t="s">
        <v>1645</v>
      </c>
      <c r="C790" s="18">
        <v>46066</v>
      </c>
      <c r="D790" s="21">
        <v>1</v>
      </c>
      <c r="E790" s="19">
        <v>1</v>
      </c>
      <c r="F790" s="16" t="s">
        <v>449</v>
      </c>
      <c r="G790" s="16" t="s">
        <v>456</v>
      </c>
      <c r="H790" s="16" t="s">
        <v>99</v>
      </c>
      <c r="I790" s="16" t="s">
        <v>1648</v>
      </c>
      <c r="J790" s="17" t="s">
        <v>1649</v>
      </c>
      <c r="K790" s="17" t="s">
        <v>1659</v>
      </c>
      <c r="L790" s="16" t="s">
        <v>1656</v>
      </c>
      <c r="M790" s="16" t="s">
        <v>1657</v>
      </c>
      <c r="N790" s="11"/>
      <c r="O790" s="11"/>
      <c r="P790" s="16" t="s">
        <v>1660</v>
      </c>
      <c r="Q790" s="16" t="s">
        <v>1658</v>
      </c>
      <c r="R790" s="16" t="s">
        <v>441</v>
      </c>
      <c r="S790" s="11" t="s">
        <v>1663</v>
      </c>
    </row>
    <row r="791" spans="1:19" s="20" customFormat="1" ht="21.75" hidden="1" customHeight="1" x14ac:dyDescent="0.25">
      <c r="A791" s="16" t="s">
        <v>1666</v>
      </c>
      <c r="B791" s="16" t="s">
        <v>73</v>
      </c>
      <c r="C791" s="18">
        <v>46067</v>
      </c>
      <c r="D791" s="21">
        <v>48</v>
      </c>
      <c r="E791" s="19">
        <v>8</v>
      </c>
      <c r="F791" s="16" t="s">
        <v>155</v>
      </c>
      <c r="G791" s="16" t="s">
        <v>125</v>
      </c>
      <c r="H791" s="16" t="s">
        <v>1544</v>
      </c>
      <c r="I791" s="16" t="s">
        <v>138</v>
      </c>
      <c r="J791" s="17">
        <v>20604396086</v>
      </c>
      <c r="K791" s="98">
        <v>993944814</v>
      </c>
      <c r="L791" s="16" t="s">
        <v>1676</v>
      </c>
      <c r="M791" s="16" t="s">
        <v>75</v>
      </c>
      <c r="N791" s="11"/>
      <c r="O791" s="11"/>
      <c r="P791" s="16" t="s">
        <v>1672</v>
      </c>
      <c r="Q791" s="16" t="s">
        <v>1675</v>
      </c>
      <c r="R791" s="16" t="s">
        <v>142</v>
      </c>
      <c r="S791" s="11" t="s">
        <v>1680</v>
      </c>
    </row>
    <row r="792" spans="1:19" s="20" customFormat="1" ht="21.75" hidden="1" customHeight="1" x14ac:dyDescent="0.25">
      <c r="A792" s="16" t="s">
        <v>1666</v>
      </c>
      <c r="B792" s="16" t="s">
        <v>73</v>
      </c>
      <c r="C792" s="18">
        <v>46067</v>
      </c>
      <c r="D792" s="21">
        <v>60</v>
      </c>
      <c r="E792" s="19">
        <v>5</v>
      </c>
      <c r="F792" s="16" t="s">
        <v>194</v>
      </c>
      <c r="G792" s="16" t="s">
        <v>198</v>
      </c>
      <c r="H792" s="16" t="s">
        <v>1544</v>
      </c>
      <c r="I792" s="16" t="s">
        <v>138</v>
      </c>
      <c r="J792" s="17">
        <v>20604396086</v>
      </c>
      <c r="K792" s="98">
        <v>993944814</v>
      </c>
      <c r="L792" s="16" t="s">
        <v>1676</v>
      </c>
      <c r="M792" s="16" t="s">
        <v>75</v>
      </c>
      <c r="N792" s="11"/>
      <c r="O792" s="11"/>
      <c r="P792" s="16" t="s">
        <v>1672</v>
      </c>
      <c r="Q792" s="16" t="s">
        <v>1675</v>
      </c>
      <c r="R792" s="16" t="s">
        <v>142</v>
      </c>
      <c r="S792" s="11" t="s">
        <v>1680</v>
      </c>
    </row>
    <row r="793" spans="1:19" s="20" customFormat="1" ht="21.75" hidden="1" customHeight="1" x14ac:dyDescent="0.25">
      <c r="A793" s="16" t="s">
        <v>1666</v>
      </c>
      <c r="B793" s="16" t="s">
        <v>73</v>
      </c>
      <c r="C793" s="18">
        <v>46067</v>
      </c>
      <c r="D793" s="21">
        <v>240</v>
      </c>
      <c r="E793" s="19">
        <f>240/48</f>
        <v>5</v>
      </c>
      <c r="F793" s="16" t="s">
        <v>159</v>
      </c>
      <c r="G793" s="16" t="s">
        <v>140</v>
      </c>
      <c r="H793" s="16" t="s">
        <v>1544</v>
      </c>
      <c r="I793" s="16" t="s">
        <v>138</v>
      </c>
      <c r="J793" s="17">
        <v>20604396086</v>
      </c>
      <c r="K793" s="98">
        <v>993944814</v>
      </c>
      <c r="L793" s="16" t="s">
        <v>1676</v>
      </c>
      <c r="M793" s="16" t="s">
        <v>75</v>
      </c>
      <c r="N793" s="11"/>
      <c r="O793" s="11"/>
      <c r="P793" s="16" t="s">
        <v>1672</v>
      </c>
      <c r="Q793" s="16" t="s">
        <v>1675</v>
      </c>
      <c r="R793" s="16" t="s">
        <v>142</v>
      </c>
      <c r="S793" s="11" t="s">
        <v>1680</v>
      </c>
    </row>
    <row r="794" spans="1:19" s="20" customFormat="1" ht="21.75" hidden="1" customHeight="1" x14ac:dyDescent="0.2">
      <c r="A794" s="16" t="s">
        <v>1667</v>
      </c>
      <c r="B794" s="17" t="s">
        <v>73</v>
      </c>
      <c r="C794" s="18" t="s">
        <v>2123</v>
      </c>
      <c r="D794" s="21">
        <v>240</v>
      </c>
      <c r="E794" s="19">
        <v>0</v>
      </c>
      <c r="F794" s="16" t="s">
        <v>156</v>
      </c>
      <c r="G794" s="16" t="s">
        <v>127</v>
      </c>
      <c r="H794" s="16" t="s">
        <v>1544</v>
      </c>
      <c r="I794" s="16" t="s">
        <v>138</v>
      </c>
      <c r="J794" s="17">
        <v>20604396086</v>
      </c>
      <c r="K794" s="17">
        <v>993944814</v>
      </c>
      <c r="L794" s="16" t="s">
        <v>1676</v>
      </c>
      <c r="M794" s="16" t="s">
        <v>75</v>
      </c>
      <c r="N794" s="11"/>
      <c r="O794" s="11"/>
      <c r="P794" s="16" t="s">
        <v>1672</v>
      </c>
      <c r="Q794" s="16" t="s">
        <v>1675</v>
      </c>
      <c r="R794" s="16" t="s">
        <v>142</v>
      </c>
      <c r="S794" s="11"/>
    </row>
    <row r="795" spans="1:19" s="20" customFormat="1" ht="21.75" hidden="1" customHeight="1" x14ac:dyDescent="0.25">
      <c r="A795" s="16" t="s">
        <v>1668</v>
      </c>
      <c r="B795" s="17" t="s">
        <v>1670</v>
      </c>
      <c r="C795" s="18">
        <v>46067</v>
      </c>
      <c r="D795" s="21">
        <v>1</v>
      </c>
      <c r="E795" s="19">
        <v>1</v>
      </c>
      <c r="F795" s="16" t="s">
        <v>443</v>
      </c>
      <c r="G795" s="16" t="s">
        <v>450</v>
      </c>
      <c r="H795" s="16" t="s">
        <v>99</v>
      </c>
      <c r="I795" s="16" t="s">
        <v>1671</v>
      </c>
      <c r="J795" s="17">
        <v>40370477</v>
      </c>
      <c r="K795" s="97" t="s">
        <v>1683</v>
      </c>
      <c r="L795" s="16" t="s">
        <v>1677</v>
      </c>
      <c r="M795" s="16" t="s">
        <v>306</v>
      </c>
      <c r="N795" s="11"/>
      <c r="O795" s="11"/>
      <c r="P795" s="16" t="s">
        <v>1673</v>
      </c>
      <c r="Q795" s="96" t="s">
        <v>1682</v>
      </c>
      <c r="R795" s="16" t="s">
        <v>442</v>
      </c>
      <c r="S795" s="11" t="s">
        <v>1679</v>
      </c>
    </row>
    <row r="796" spans="1:19" s="20" customFormat="1" ht="21.75" hidden="1" customHeight="1" x14ac:dyDescent="0.25">
      <c r="A796" s="16" t="s">
        <v>1669</v>
      </c>
      <c r="B796" s="16" t="s">
        <v>73</v>
      </c>
      <c r="C796" s="18">
        <v>46067</v>
      </c>
      <c r="D796" s="21">
        <v>144</v>
      </c>
      <c r="E796" s="19">
        <f>144/24</f>
        <v>6</v>
      </c>
      <c r="F796" s="16" t="s">
        <v>36</v>
      </c>
      <c r="G796" s="16" t="s">
        <v>128</v>
      </c>
      <c r="H796" s="16" t="s">
        <v>76</v>
      </c>
      <c r="I796" s="16" t="s">
        <v>827</v>
      </c>
      <c r="J796" s="17">
        <v>20455996806</v>
      </c>
      <c r="K796" s="97">
        <v>14248709</v>
      </c>
      <c r="L796" s="16" t="s">
        <v>278</v>
      </c>
      <c r="M796" s="16" t="s">
        <v>75</v>
      </c>
      <c r="N796" s="11"/>
      <c r="O796" s="11"/>
      <c r="P796" s="16" t="s">
        <v>1674</v>
      </c>
      <c r="Q796" s="16" t="s">
        <v>830</v>
      </c>
      <c r="R796" s="16" t="s">
        <v>142</v>
      </c>
      <c r="S796" s="11" t="s">
        <v>1681</v>
      </c>
    </row>
    <row r="797" spans="1:19" s="20" customFormat="1" ht="21.75" hidden="1" customHeight="1" x14ac:dyDescent="0.25">
      <c r="A797" s="16" t="s">
        <v>1669</v>
      </c>
      <c r="B797" s="16" t="s">
        <v>73</v>
      </c>
      <c r="C797" s="18">
        <v>46067</v>
      </c>
      <c r="D797" s="21">
        <v>48</v>
      </c>
      <c r="E797" s="19">
        <v>4</v>
      </c>
      <c r="F797" s="16" t="s">
        <v>24</v>
      </c>
      <c r="G797" s="16" t="s">
        <v>112</v>
      </c>
      <c r="H797" s="16" t="s">
        <v>76</v>
      </c>
      <c r="I797" s="16" t="s">
        <v>827</v>
      </c>
      <c r="J797" s="17">
        <v>20455996806</v>
      </c>
      <c r="K797" s="97">
        <v>14248709</v>
      </c>
      <c r="L797" s="16" t="s">
        <v>278</v>
      </c>
      <c r="M797" s="16" t="s">
        <v>75</v>
      </c>
      <c r="N797" s="11"/>
      <c r="O797" s="11"/>
      <c r="P797" s="16" t="s">
        <v>1674</v>
      </c>
      <c r="Q797" s="16" t="s">
        <v>830</v>
      </c>
      <c r="R797" s="16" t="s">
        <v>142</v>
      </c>
      <c r="S797" s="11" t="s">
        <v>1681</v>
      </c>
    </row>
    <row r="798" spans="1:19" s="20" customFormat="1" ht="21.75" hidden="1" customHeight="1" x14ac:dyDescent="0.25">
      <c r="A798" s="16" t="s">
        <v>1669</v>
      </c>
      <c r="B798" s="16" t="s">
        <v>73</v>
      </c>
      <c r="C798" s="18">
        <v>46067</v>
      </c>
      <c r="D798" s="21">
        <v>96</v>
      </c>
      <c r="E798" s="19">
        <v>8</v>
      </c>
      <c r="F798" s="16" t="s">
        <v>46</v>
      </c>
      <c r="G798" s="16" t="s">
        <v>104</v>
      </c>
      <c r="H798" s="16" t="s">
        <v>76</v>
      </c>
      <c r="I798" s="16" t="s">
        <v>827</v>
      </c>
      <c r="J798" s="17">
        <v>20455996806</v>
      </c>
      <c r="K798" s="97">
        <v>14248709</v>
      </c>
      <c r="L798" s="16" t="s">
        <v>278</v>
      </c>
      <c r="M798" s="16" t="s">
        <v>75</v>
      </c>
      <c r="N798" s="11"/>
      <c r="O798" s="11"/>
      <c r="P798" s="16" t="s">
        <v>1674</v>
      </c>
      <c r="Q798" s="16" t="s">
        <v>830</v>
      </c>
      <c r="R798" s="16" t="s">
        <v>142</v>
      </c>
      <c r="S798" s="11" t="s">
        <v>1681</v>
      </c>
    </row>
    <row r="799" spans="1:19" ht="21.75" hidden="1" customHeight="1" x14ac:dyDescent="0.25">
      <c r="A799" s="16" t="s">
        <v>1684</v>
      </c>
      <c r="B799" s="17">
        <v>5073</v>
      </c>
      <c r="C799" s="18">
        <v>46069</v>
      </c>
      <c r="D799" s="21">
        <v>12</v>
      </c>
      <c r="E799" s="19">
        <v>1</v>
      </c>
      <c r="F799" s="16" t="s">
        <v>27</v>
      </c>
      <c r="G799" s="16" t="s">
        <v>103</v>
      </c>
      <c r="H799" s="16" t="s">
        <v>1650</v>
      </c>
      <c r="I799" s="16" t="s">
        <v>41</v>
      </c>
      <c r="J799" s="17">
        <v>20513229080</v>
      </c>
      <c r="K799" s="16" t="s">
        <v>663</v>
      </c>
      <c r="L799" s="16" t="s">
        <v>1693</v>
      </c>
      <c r="M799" s="16" t="s">
        <v>420</v>
      </c>
      <c r="N799" s="11"/>
      <c r="O799" s="11"/>
      <c r="P799" s="16" t="s">
        <v>1313</v>
      </c>
      <c r="Q799" s="16" t="s">
        <v>73</v>
      </c>
      <c r="R799" s="16" t="s">
        <v>396</v>
      </c>
      <c r="S799" s="11" t="s">
        <v>1696</v>
      </c>
    </row>
    <row r="800" spans="1:19" ht="21.75" hidden="1" customHeight="1" x14ac:dyDescent="0.25">
      <c r="A800" s="16" t="s">
        <v>1684</v>
      </c>
      <c r="B800" s="17">
        <v>5073</v>
      </c>
      <c r="C800" s="18">
        <v>46069</v>
      </c>
      <c r="D800" s="21">
        <v>120</v>
      </c>
      <c r="E800" s="19">
        <v>5</v>
      </c>
      <c r="F800" s="16" t="s">
        <v>1071</v>
      </c>
      <c r="G800" s="16" t="s">
        <v>1075</v>
      </c>
      <c r="H800" s="16" t="s">
        <v>1650</v>
      </c>
      <c r="I800" s="16" t="s">
        <v>41</v>
      </c>
      <c r="J800" s="17">
        <v>20513229080</v>
      </c>
      <c r="K800" s="16" t="s">
        <v>663</v>
      </c>
      <c r="L800" s="16" t="s">
        <v>1693</v>
      </c>
      <c r="M800" s="16" t="s">
        <v>420</v>
      </c>
      <c r="N800" s="11"/>
      <c r="O800" s="11"/>
      <c r="P800" s="16" t="s">
        <v>1313</v>
      </c>
      <c r="Q800" s="16" t="s">
        <v>73</v>
      </c>
      <c r="R800" s="16" t="s">
        <v>396</v>
      </c>
      <c r="S800" s="11" t="s">
        <v>1696</v>
      </c>
    </row>
    <row r="801" spans="1:19" ht="21.75" hidden="1" customHeight="1" x14ac:dyDescent="0.25">
      <c r="A801" s="16" t="s">
        <v>1684</v>
      </c>
      <c r="B801" s="17">
        <v>5073</v>
      </c>
      <c r="C801" s="18">
        <v>46069</v>
      </c>
      <c r="D801" s="21">
        <v>96</v>
      </c>
      <c r="E801" s="19">
        <v>8</v>
      </c>
      <c r="F801" s="16" t="s">
        <v>1690</v>
      </c>
      <c r="G801" s="16" t="s">
        <v>1691</v>
      </c>
      <c r="H801" s="16" t="s">
        <v>1650</v>
      </c>
      <c r="I801" s="16" t="s">
        <v>41</v>
      </c>
      <c r="J801" s="17">
        <v>20513229080</v>
      </c>
      <c r="K801" s="16" t="s">
        <v>663</v>
      </c>
      <c r="L801" s="16" t="s">
        <v>1693</v>
      </c>
      <c r="M801" s="16" t="s">
        <v>420</v>
      </c>
      <c r="N801" s="11"/>
      <c r="O801" s="11"/>
      <c r="P801" s="16" t="s">
        <v>1313</v>
      </c>
      <c r="Q801" s="16" t="s">
        <v>73</v>
      </c>
      <c r="R801" s="16" t="s">
        <v>396</v>
      </c>
      <c r="S801" s="11" t="s">
        <v>1696</v>
      </c>
    </row>
    <row r="802" spans="1:19" ht="21.75" hidden="1" customHeight="1" x14ac:dyDescent="0.25">
      <c r="A802" s="16" t="s">
        <v>1684</v>
      </c>
      <c r="B802" s="17">
        <v>5073</v>
      </c>
      <c r="C802" s="18">
        <v>46069</v>
      </c>
      <c r="D802" s="21">
        <v>96</v>
      </c>
      <c r="E802" s="19">
        <v>8</v>
      </c>
      <c r="F802" s="16" t="s">
        <v>952</v>
      </c>
      <c r="G802" s="16" t="s">
        <v>954</v>
      </c>
      <c r="H802" s="16" t="s">
        <v>1650</v>
      </c>
      <c r="I802" s="16" t="s">
        <v>41</v>
      </c>
      <c r="J802" s="17">
        <v>20513229080</v>
      </c>
      <c r="K802" s="16" t="s">
        <v>663</v>
      </c>
      <c r="L802" s="16" t="s">
        <v>1693</v>
      </c>
      <c r="M802" s="16" t="s">
        <v>420</v>
      </c>
      <c r="N802" s="11"/>
      <c r="O802" s="11"/>
      <c r="P802" s="16" t="s">
        <v>1313</v>
      </c>
      <c r="Q802" s="16" t="s">
        <v>73</v>
      </c>
      <c r="R802" s="16" t="s">
        <v>396</v>
      </c>
      <c r="S802" s="11" t="s">
        <v>1696</v>
      </c>
    </row>
    <row r="803" spans="1:19" ht="21.75" hidden="1" customHeight="1" x14ac:dyDescent="0.25">
      <c r="A803" s="16" t="s">
        <v>1685</v>
      </c>
      <c r="B803" s="17" t="s">
        <v>1687</v>
      </c>
      <c r="C803" s="18">
        <v>46069</v>
      </c>
      <c r="D803" s="21">
        <v>1</v>
      </c>
      <c r="E803" s="19">
        <v>1</v>
      </c>
      <c r="F803" s="16" t="s">
        <v>17</v>
      </c>
      <c r="G803" s="16" t="s">
        <v>91</v>
      </c>
      <c r="H803" s="16" t="s">
        <v>99</v>
      </c>
      <c r="I803" s="16" t="s">
        <v>1689</v>
      </c>
      <c r="J803" s="17">
        <v>46923903</v>
      </c>
      <c r="K803" s="17" t="s">
        <v>1695</v>
      </c>
      <c r="L803" s="16" t="s">
        <v>1694</v>
      </c>
      <c r="M803" s="16" t="s">
        <v>299</v>
      </c>
      <c r="N803" s="11"/>
      <c r="O803" s="11"/>
      <c r="P803" s="16" t="s">
        <v>1673</v>
      </c>
      <c r="Q803" s="16" t="s">
        <v>73</v>
      </c>
      <c r="R803" s="16" t="s">
        <v>441</v>
      </c>
      <c r="S803" s="11" t="s">
        <v>1697</v>
      </c>
    </row>
    <row r="804" spans="1:19" ht="21.75" hidden="1" customHeight="1" x14ac:dyDescent="0.25">
      <c r="A804" s="16" t="s">
        <v>1686</v>
      </c>
      <c r="B804" s="17" t="s">
        <v>1688</v>
      </c>
      <c r="C804" s="18">
        <v>46070</v>
      </c>
      <c r="D804" s="21">
        <v>252</v>
      </c>
      <c r="E804" s="19">
        <f>252/12</f>
        <v>21</v>
      </c>
      <c r="F804" s="16" t="s">
        <v>1323</v>
      </c>
      <c r="G804" s="16" t="s">
        <v>1324</v>
      </c>
      <c r="H804" s="16" t="s">
        <v>76</v>
      </c>
      <c r="I804" s="37" t="s">
        <v>1322</v>
      </c>
      <c r="J804" s="17">
        <v>20298674611</v>
      </c>
      <c r="K804" s="17" t="s">
        <v>73</v>
      </c>
      <c r="L804" s="16" t="s">
        <v>1714</v>
      </c>
      <c r="M804" s="16" t="s">
        <v>347</v>
      </c>
      <c r="N804" s="11"/>
      <c r="O804" s="11"/>
      <c r="P804" s="16" t="s">
        <v>1505</v>
      </c>
      <c r="Q804" s="16" t="s">
        <v>1692</v>
      </c>
      <c r="R804" s="16" t="s">
        <v>1511</v>
      </c>
      <c r="S804" s="11" t="s">
        <v>1718</v>
      </c>
    </row>
    <row r="805" spans="1:19" ht="21.75" hidden="1" customHeight="1" x14ac:dyDescent="0.25">
      <c r="A805" s="16" t="s">
        <v>1698</v>
      </c>
      <c r="B805" s="16" t="s">
        <v>73</v>
      </c>
      <c r="C805" s="18">
        <v>46070</v>
      </c>
      <c r="D805" s="21">
        <v>60</v>
      </c>
      <c r="E805" s="19">
        <v>5</v>
      </c>
      <c r="F805" s="16" t="s">
        <v>157</v>
      </c>
      <c r="G805" s="16" t="s">
        <v>126</v>
      </c>
      <c r="H805" s="16" t="s">
        <v>1650</v>
      </c>
      <c r="I805" s="16" t="s">
        <v>379</v>
      </c>
      <c r="J805" s="17">
        <v>20101596363</v>
      </c>
      <c r="K805" s="16" t="s">
        <v>399</v>
      </c>
      <c r="L805" s="16" t="s">
        <v>1705</v>
      </c>
      <c r="M805" s="16" t="s">
        <v>347</v>
      </c>
      <c r="N805" s="11"/>
      <c r="O805" s="11"/>
      <c r="P805" s="16" t="s">
        <v>1712</v>
      </c>
      <c r="Q805" s="11" t="s">
        <v>1713</v>
      </c>
      <c r="R805" s="16" t="s">
        <v>396</v>
      </c>
      <c r="S805" s="11" t="s">
        <v>1717</v>
      </c>
    </row>
    <row r="806" spans="1:19" ht="21.75" hidden="1" customHeight="1" x14ac:dyDescent="0.25">
      <c r="A806" s="16" t="s">
        <v>1698</v>
      </c>
      <c r="B806" s="16" t="s">
        <v>73</v>
      </c>
      <c r="C806" s="18">
        <v>46070</v>
      </c>
      <c r="D806" s="21">
        <v>60</v>
      </c>
      <c r="E806" s="19">
        <v>5</v>
      </c>
      <c r="F806" s="16" t="s">
        <v>161</v>
      </c>
      <c r="G806" s="16" t="s">
        <v>132</v>
      </c>
      <c r="H806" s="16" t="s">
        <v>1650</v>
      </c>
      <c r="I806" s="16" t="s">
        <v>379</v>
      </c>
      <c r="J806" s="17">
        <v>20101596363</v>
      </c>
      <c r="K806" s="16" t="s">
        <v>399</v>
      </c>
      <c r="L806" s="16" t="s">
        <v>1705</v>
      </c>
      <c r="M806" s="16" t="s">
        <v>347</v>
      </c>
      <c r="N806" s="11"/>
      <c r="O806" s="11"/>
      <c r="P806" s="16" t="s">
        <v>1712</v>
      </c>
      <c r="Q806" s="11" t="s">
        <v>1713</v>
      </c>
      <c r="R806" s="16" t="s">
        <v>396</v>
      </c>
      <c r="S806" s="11" t="s">
        <v>1717</v>
      </c>
    </row>
    <row r="807" spans="1:19" ht="21.75" hidden="1" customHeight="1" x14ac:dyDescent="0.25">
      <c r="A807" s="16" t="s">
        <v>1698</v>
      </c>
      <c r="B807" s="16" t="s">
        <v>73</v>
      </c>
      <c r="C807" s="18">
        <v>46070</v>
      </c>
      <c r="D807" s="21">
        <v>48</v>
      </c>
      <c r="E807" s="19">
        <v>1</v>
      </c>
      <c r="F807" s="16" t="s">
        <v>158</v>
      </c>
      <c r="G807" s="16" t="s">
        <v>150</v>
      </c>
      <c r="H807" s="16" t="s">
        <v>1650</v>
      </c>
      <c r="I807" s="16" t="s">
        <v>379</v>
      </c>
      <c r="J807" s="17">
        <v>20101596363</v>
      </c>
      <c r="K807" s="16" t="s">
        <v>399</v>
      </c>
      <c r="L807" s="16" t="s">
        <v>1705</v>
      </c>
      <c r="M807" s="16" t="s">
        <v>347</v>
      </c>
      <c r="N807" s="11"/>
      <c r="O807" s="11"/>
      <c r="P807" s="16" t="s">
        <v>1712</v>
      </c>
      <c r="Q807" s="11" t="s">
        <v>1713</v>
      </c>
      <c r="R807" s="16" t="s">
        <v>396</v>
      </c>
      <c r="S807" s="11" t="s">
        <v>1717</v>
      </c>
    </row>
    <row r="808" spans="1:19" ht="21.75" hidden="1" customHeight="1" x14ac:dyDescent="0.25">
      <c r="A808" s="16" t="s">
        <v>1698</v>
      </c>
      <c r="B808" s="16" t="s">
        <v>73</v>
      </c>
      <c r="C808" s="18">
        <v>46070</v>
      </c>
      <c r="D808" s="21">
        <v>12</v>
      </c>
      <c r="E808" s="19">
        <v>1</v>
      </c>
      <c r="F808" s="16" t="s">
        <v>34</v>
      </c>
      <c r="G808" s="16" t="s">
        <v>93</v>
      </c>
      <c r="H808" s="16" t="s">
        <v>1650</v>
      </c>
      <c r="I808" s="16" t="s">
        <v>379</v>
      </c>
      <c r="J808" s="17">
        <v>20101596363</v>
      </c>
      <c r="K808" s="16" t="s">
        <v>399</v>
      </c>
      <c r="L808" s="16" t="s">
        <v>1705</v>
      </c>
      <c r="M808" s="16" t="s">
        <v>347</v>
      </c>
      <c r="N808" s="11"/>
      <c r="O808" s="11"/>
      <c r="P808" s="16" t="s">
        <v>1712</v>
      </c>
      <c r="Q808" s="11" t="s">
        <v>1713</v>
      </c>
      <c r="R808" s="16" t="s">
        <v>396</v>
      </c>
      <c r="S808" s="11" t="s">
        <v>1717</v>
      </c>
    </row>
    <row r="809" spans="1:19" ht="21.75" hidden="1" customHeight="1" x14ac:dyDescent="0.25">
      <c r="A809" s="16" t="s">
        <v>1698</v>
      </c>
      <c r="B809" s="16" t="s">
        <v>73</v>
      </c>
      <c r="C809" s="18">
        <v>46070</v>
      </c>
      <c r="D809" s="21">
        <v>24</v>
      </c>
      <c r="E809" s="19">
        <v>1</v>
      </c>
      <c r="F809" s="16" t="s">
        <v>911</v>
      </c>
      <c r="G809" s="16" t="s">
        <v>928</v>
      </c>
      <c r="H809" s="16" t="s">
        <v>1650</v>
      </c>
      <c r="I809" s="16" t="s">
        <v>379</v>
      </c>
      <c r="J809" s="17">
        <v>20101596363</v>
      </c>
      <c r="K809" s="16" t="s">
        <v>399</v>
      </c>
      <c r="L809" s="16" t="s">
        <v>1705</v>
      </c>
      <c r="M809" s="16" t="s">
        <v>347</v>
      </c>
      <c r="N809" s="11"/>
      <c r="O809" s="11"/>
      <c r="P809" s="16" t="s">
        <v>1712</v>
      </c>
      <c r="Q809" s="11" t="s">
        <v>1713</v>
      </c>
      <c r="R809" s="16" t="s">
        <v>396</v>
      </c>
      <c r="S809" s="11" t="s">
        <v>1717</v>
      </c>
    </row>
    <row r="810" spans="1:19" ht="21.75" hidden="1" customHeight="1" x14ac:dyDescent="0.25">
      <c r="A810" s="16" t="s">
        <v>1698</v>
      </c>
      <c r="B810" s="16" t="s">
        <v>73</v>
      </c>
      <c r="C810" s="18">
        <v>46070</v>
      </c>
      <c r="D810" s="21">
        <v>84</v>
      </c>
      <c r="E810" s="19">
        <v>7</v>
      </c>
      <c r="F810" s="16" t="s">
        <v>1701</v>
      </c>
      <c r="G810" s="16" t="s">
        <v>1702</v>
      </c>
      <c r="H810" s="16" t="s">
        <v>1650</v>
      </c>
      <c r="I810" s="16" t="s">
        <v>379</v>
      </c>
      <c r="J810" s="17">
        <v>20101596363</v>
      </c>
      <c r="K810" s="16" t="s">
        <v>399</v>
      </c>
      <c r="L810" s="16" t="s">
        <v>1705</v>
      </c>
      <c r="M810" s="16" t="s">
        <v>347</v>
      </c>
      <c r="N810" s="11"/>
      <c r="O810" s="11"/>
      <c r="P810" s="16" t="s">
        <v>1712</v>
      </c>
      <c r="Q810" s="11" t="s">
        <v>1713</v>
      </c>
      <c r="R810" s="16" t="s">
        <v>396</v>
      </c>
      <c r="S810" s="11" t="s">
        <v>1717</v>
      </c>
    </row>
    <row r="811" spans="1:19" ht="21.75" hidden="1" customHeight="1" x14ac:dyDescent="0.25">
      <c r="A811" s="16" t="s">
        <v>1699</v>
      </c>
      <c r="B811" s="17" t="s">
        <v>1700</v>
      </c>
      <c r="C811" s="18">
        <v>46070</v>
      </c>
      <c r="D811" s="21">
        <v>1</v>
      </c>
      <c r="E811" s="19">
        <v>1</v>
      </c>
      <c r="F811" s="16" t="s">
        <v>17</v>
      </c>
      <c r="G811" s="16" t="s">
        <v>91</v>
      </c>
      <c r="H811" s="11" t="s">
        <v>99</v>
      </c>
      <c r="I811" s="16" t="s">
        <v>1703</v>
      </c>
      <c r="J811" s="17" t="s">
        <v>1704</v>
      </c>
      <c r="K811" s="17" t="s">
        <v>1707</v>
      </c>
      <c r="L811" s="16" t="s">
        <v>1706</v>
      </c>
      <c r="M811" s="16" t="s">
        <v>1060</v>
      </c>
      <c r="N811" s="11"/>
      <c r="O811" s="11"/>
      <c r="P811" s="16" t="s">
        <v>1673</v>
      </c>
      <c r="Q811" s="11"/>
      <c r="R811" s="16" t="s">
        <v>442</v>
      </c>
      <c r="S811" s="11" t="s">
        <v>1716</v>
      </c>
    </row>
    <row r="812" spans="1:19" s="20" customFormat="1" ht="21.75" hidden="1" customHeight="1" x14ac:dyDescent="0.2">
      <c r="A812" s="16" t="s">
        <v>1708</v>
      </c>
      <c r="B812" s="14"/>
      <c r="C812" s="18">
        <v>46070</v>
      </c>
      <c r="D812" s="21">
        <v>240</v>
      </c>
      <c r="E812" s="19">
        <v>20</v>
      </c>
      <c r="F812" s="16" t="s">
        <v>33</v>
      </c>
      <c r="G812" s="14" t="s">
        <v>107</v>
      </c>
      <c r="H812" s="16" t="s">
        <v>1650</v>
      </c>
      <c r="I812" s="16" t="s">
        <v>1709</v>
      </c>
      <c r="J812" s="17">
        <v>20505694202</v>
      </c>
      <c r="K812" s="14">
        <v>998328225</v>
      </c>
      <c r="L812" s="11" t="s">
        <v>1710</v>
      </c>
      <c r="M812" s="16" t="s">
        <v>347</v>
      </c>
      <c r="N812" s="11"/>
      <c r="O812" s="11"/>
      <c r="P812" s="16" t="s">
        <v>1712</v>
      </c>
      <c r="Q812" s="11" t="s">
        <v>1711</v>
      </c>
      <c r="R812" s="16" t="s">
        <v>396</v>
      </c>
      <c r="S812" s="11" t="s">
        <v>1715</v>
      </c>
    </row>
    <row r="813" spans="1:19" s="20" customFormat="1" ht="21.75" hidden="1" customHeight="1" x14ac:dyDescent="0.2">
      <c r="A813" s="16" t="s">
        <v>1708</v>
      </c>
      <c r="B813" s="14"/>
      <c r="C813" s="18">
        <v>46070</v>
      </c>
      <c r="D813" s="21">
        <v>240</v>
      </c>
      <c r="E813" s="19">
        <v>20</v>
      </c>
      <c r="F813" s="16" t="s">
        <v>27</v>
      </c>
      <c r="G813" s="14" t="s">
        <v>103</v>
      </c>
      <c r="H813" s="16" t="s">
        <v>1650</v>
      </c>
      <c r="I813" s="11" t="s">
        <v>1709</v>
      </c>
      <c r="J813" s="14">
        <v>20505694202</v>
      </c>
      <c r="K813" s="14">
        <v>998328225</v>
      </c>
      <c r="L813" s="11" t="s">
        <v>1710</v>
      </c>
      <c r="M813" s="16" t="s">
        <v>347</v>
      </c>
      <c r="N813" s="11"/>
      <c r="O813" s="11"/>
      <c r="P813" s="16" t="s">
        <v>1712</v>
      </c>
      <c r="Q813" s="11" t="s">
        <v>1711</v>
      </c>
      <c r="R813" s="16" t="s">
        <v>396</v>
      </c>
      <c r="S813" s="11" t="s">
        <v>1715</v>
      </c>
    </row>
    <row r="814" spans="1:19" ht="21.75" hidden="1" customHeight="1" x14ac:dyDescent="0.25">
      <c r="A814" s="16" t="s">
        <v>1719</v>
      </c>
      <c r="B814" s="17" t="s">
        <v>1720</v>
      </c>
      <c r="C814" s="18">
        <v>46071</v>
      </c>
      <c r="D814" s="21">
        <v>2</v>
      </c>
      <c r="E814" s="19">
        <v>1</v>
      </c>
      <c r="F814" s="16" t="s">
        <v>1721</v>
      </c>
      <c r="G814" s="16" t="s">
        <v>1722</v>
      </c>
      <c r="H814" s="11" t="s">
        <v>99</v>
      </c>
      <c r="I814" s="16" t="s">
        <v>1723</v>
      </c>
      <c r="J814" s="17">
        <v>44205109</v>
      </c>
      <c r="K814" s="17" t="s">
        <v>1725</v>
      </c>
      <c r="L814" s="16" t="s">
        <v>1724</v>
      </c>
      <c r="M814" s="16" t="s">
        <v>299</v>
      </c>
      <c r="N814" s="11"/>
      <c r="O814" s="11"/>
      <c r="P814" s="16" t="s">
        <v>1660</v>
      </c>
      <c r="Q814" s="11"/>
      <c r="R814" s="16" t="s">
        <v>440</v>
      </c>
      <c r="S814" s="11" t="s">
        <v>1726</v>
      </c>
    </row>
    <row r="815" spans="1:19" s="20" customFormat="1" ht="21.75" hidden="1" customHeight="1" x14ac:dyDescent="0.2">
      <c r="A815" s="22" t="s">
        <v>1727</v>
      </c>
      <c r="B815" s="22" t="s">
        <v>73</v>
      </c>
      <c r="C815" s="18">
        <v>46071</v>
      </c>
      <c r="D815" s="31">
        <v>1</v>
      </c>
      <c r="E815" s="205">
        <v>1</v>
      </c>
      <c r="F815" s="22" t="s">
        <v>155</v>
      </c>
      <c r="G815" s="22" t="s">
        <v>125</v>
      </c>
      <c r="H815" s="22" t="s">
        <v>99</v>
      </c>
      <c r="I815" s="22" t="s">
        <v>1360</v>
      </c>
      <c r="J815" s="22" t="s">
        <v>1739</v>
      </c>
      <c r="K815" s="11"/>
      <c r="L815" s="11" t="s">
        <v>958</v>
      </c>
      <c r="M815" s="11" t="s">
        <v>960</v>
      </c>
      <c r="N815" s="11"/>
      <c r="O815" s="11"/>
      <c r="P815" s="22" t="s">
        <v>1365</v>
      </c>
      <c r="Q815" s="11" t="s">
        <v>1740</v>
      </c>
      <c r="R815" s="22" t="s">
        <v>933</v>
      </c>
      <c r="S815" s="11"/>
    </row>
    <row r="816" spans="1:19" s="20" customFormat="1" ht="21.75" hidden="1" customHeight="1" x14ac:dyDescent="0.2">
      <c r="A816" s="22" t="s">
        <v>1727</v>
      </c>
      <c r="B816" s="22" t="s">
        <v>73</v>
      </c>
      <c r="C816" s="18">
        <v>46071</v>
      </c>
      <c r="D816" s="31">
        <v>1</v>
      </c>
      <c r="E816" s="206"/>
      <c r="F816" s="22" t="s">
        <v>158</v>
      </c>
      <c r="G816" s="22" t="s">
        <v>150</v>
      </c>
      <c r="H816" s="22" t="s">
        <v>99</v>
      </c>
      <c r="I816" s="22" t="s">
        <v>1360</v>
      </c>
      <c r="J816" s="22" t="s">
        <v>1739</v>
      </c>
      <c r="K816" s="11"/>
      <c r="L816" s="11" t="s">
        <v>958</v>
      </c>
      <c r="M816" s="11" t="s">
        <v>960</v>
      </c>
      <c r="N816" s="11"/>
      <c r="O816" s="11"/>
      <c r="P816" s="22" t="s">
        <v>1365</v>
      </c>
      <c r="Q816" s="11" t="s">
        <v>1740</v>
      </c>
      <c r="R816" s="22" t="s">
        <v>933</v>
      </c>
      <c r="S816" s="11"/>
    </row>
    <row r="817" spans="1:19" s="20" customFormat="1" ht="21.75" hidden="1" customHeight="1" x14ac:dyDescent="0.2">
      <c r="A817" s="22" t="s">
        <v>1727</v>
      </c>
      <c r="B817" s="22" t="s">
        <v>73</v>
      </c>
      <c r="C817" s="18">
        <v>46071</v>
      </c>
      <c r="D817" s="31">
        <v>1</v>
      </c>
      <c r="E817" s="207"/>
      <c r="F817" s="22" t="s">
        <v>48</v>
      </c>
      <c r="G817" s="22" t="s">
        <v>160</v>
      </c>
      <c r="H817" s="22" t="s">
        <v>99</v>
      </c>
      <c r="I817" s="22" t="s">
        <v>1360</v>
      </c>
      <c r="J817" s="22" t="s">
        <v>1739</v>
      </c>
      <c r="K817" s="11"/>
      <c r="L817" s="11" t="s">
        <v>958</v>
      </c>
      <c r="M817" s="11" t="s">
        <v>960</v>
      </c>
      <c r="N817" s="11"/>
      <c r="O817" s="11"/>
      <c r="P817" s="22" t="s">
        <v>1365</v>
      </c>
      <c r="Q817" s="11" t="s">
        <v>1740</v>
      </c>
      <c r="R817" s="22" t="s">
        <v>933</v>
      </c>
      <c r="S817" s="11"/>
    </row>
    <row r="818" spans="1:19" s="20" customFormat="1" ht="21.75" hidden="1" customHeight="1" x14ac:dyDescent="0.2">
      <c r="A818" s="22" t="s">
        <v>1728</v>
      </c>
      <c r="B818" s="22" t="s">
        <v>73</v>
      </c>
      <c r="C818" s="18">
        <v>46071</v>
      </c>
      <c r="D818" s="31">
        <v>1</v>
      </c>
      <c r="E818" s="205">
        <v>1</v>
      </c>
      <c r="F818" s="22" t="s">
        <v>172</v>
      </c>
      <c r="G818" s="22" t="s">
        <v>175</v>
      </c>
      <c r="H818" s="22" t="s">
        <v>99</v>
      </c>
      <c r="I818" s="22" t="s">
        <v>1360</v>
      </c>
      <c r="J818" s="22" t="s">
        <v>1739</v>
      </c>
      <c r="K818" s="11"/>
      <c r="L818" s="11" t="s">
        <v>958</v>
      </c>
      <c r="M818" s="11" t="s">
        <v>960</v>
      </c>
      <c r="N818" s="11"/>
      <c r="O818" s="11"/>
      <c r="P818" s="22" t="s">
        <v>1365</v>
      </c>
      <c r="Q818" s="11" t="s">
        <v>1741</v>
      </c>
      <c r="R818" s="22" t="s">
        <v>933</v>
      </c>
      <c r="S818" s="11" t="s">
        <v>1743</v>
      </c>
    </row>
    <row r="819" spans="1:19" s="20" customFormat="1" ht="21.75" hidden="1" customHeight="1" x14ac:dyDescent="0.2">
      <c r="A819" s="22" t="s">
        <v>1728</v>
      </c>
      <c r="B819" s="22" t="s">
        <v>73</v>
      </c>
      <c r="C819" s="18">
        <v>46071</v>
      </c>
      <c r="D819" s="31">
        <v>1</v>
      </c>
      <c r="E819" s="206"/>
      <c r="F819" s="22" t="s">
        <v>162</v>
      </c>
      <c r="G819" s="22" t="s">
        <v>163</v>
      </c>
      <c r="H819" s="22" t="s">
        <v>99</v>
      </c>
      <c r="I819" s="22" t="s">
        <v>1360</v>
      </c>
      <c r="J819" s="22" t="s">
        <v>1739</v>
      </c>
      <c r="K819" s="11"/>
      <c r="L819" s="11" t="s">
        <v>958</v>
      </c>
      <c r="M819" s="11" t="s">
        <v>960</v>
      </c>
      <c r="N819" s="11"/>
      <c r="O819" s="11"/>
      <c r="P819" s="22" t="s">
        <v>1365</v>
      </c>
      <c r="Q819" s="11" t="s">
        <v>1741</v>
      </c>
      <c r="R819" s="22" t="s">
        <v>933</v>
      </c>
      <c r="S819" s="11" t="s">
        <v>1743</v>
      </c>
    </row>
    <row r="820" spans="1:19" s="20" customFormat="1" ht="21.75" hidden="1" customHeight="1" x14ac:dyDescent="0.2">
      <c r="A820" s="22" t="s">
        <v>1728</v>
      </c>
      <c r="B820" s="22" t="s">
        <v>73</v>
      </c>
      <c r="C820" s="18">
        <v>46071</v>
      </c>
      <c r="D820" s="31">
        <v>1</v>
      </c>
      <c r="E820" s="206"/>
      <c r="F820" s="22" t="s">
        <v>174</v>
      </c>
      <c r="G820" s="22" t="s">
        <v>130</v>
      </c>
      <c r="H820" s="22" t="s">
        <v>99</v>
      </c>
      <c r="I820" s="22" t="s">
        <v>1360</v>
      </c>
      <c r="J820" s="22" t="s">
        <v>1739</v>
      </c>
      <c r="K820" s="11"/>
      <c r="L820" s="11" t="s">
        <v>958</v>
      </c>
      <c r="M820" s="11" t="s">
        <v>960</v>
      </c>
      <c r="N820" s="11"/>
      <c r="O820" s="11"/>
      <c r="P820" s="22" t="s">
        <v>1365</v>
      </c>
      <c r="Q820" s="11" t="s">
        <v>1741</v>
      </c>
      <c r="R820" s="22" t="s">
        <v>933</v>
      </c>
      <c r="S820" s="11" t="s">
        <v>1743</v>
      </c>
    </row>
    <row r="821" spans="1:19" s="20" customFormat="1" ht="21.75" hidden="1" customHeight="1" x14ac:dyDescent="0.2">
      <c r="A821" s="22" t="s">
        <v>1728</v>
      </c>
      <c r="B821" s="22" t="s">
        <v>73</v>
      </c>
      <c r="C821" s="18">
        <v>46071</v>
      </c>
      <c r="D821" s="31">
        <v>1</v>
      </c>
      <c r="E821" s="206"/>
      <c r="F821" s="22" t="s">
        <v>1732</v>
      </c>
      <c r="G821" s="22" t="s">
        <v>1735</v>
      </c>
      <c r="H821" s="22" t="s">
        <v>99</v>
      </c>
      <c r="I821" s="22" t="s">
        <v>1360</v>
      </c>
      <c r="J821" s="22" t="s">
        <v>1739</v>
      </c>
      <c r="K821" s="11"/>
      <c r="L821" s="11" t="s">
        <v>958</v>
      </c>
      <c r="M821" s="11" t="s">
        <v>960</v>
      </c>
      <c r="N821" s="11"/>
      <c r="O821" s="11"/>
      <c r="P821" s="22" t="s">
        <v>1365</v>
      </c>
      <c r="Q821" s="11" t="s">
        <v>1741</v>
      </c>
      <c r="R821" s="22" t="s">
        <v>933</v>
      </c>
      <c r="S821" s="11" t="s">
        <v>1743</v>
      </c>
    </row>
    <row r="822" spans="1:19" s="20" customFormat="1" ht="21.75" hidden="1" customHeight="1" x14ac:dyDescent="0.2">
      <c r="A822" s="22" t="s">
        <v>1728</v>
      </c>
      <c r="B822" s="22" t="s">
        <v>73</v>
      </c>
      <c r="C822" s="18">
        <v>46071</v>
      </c>
      <c r="D822" s="31">
        <v>1</v>
      </c>
      <c r="E822" s="206"/>
      <c r="F822" s="22" t="s">
        <v>157</v>
      </c>
      <c r="G822" s="22" t="s">
        <v>126</v>
      </c>
      <c r="H822" s="22" t="s">
        <v>99</v>
      </c>
      <c r="I822" s="22" t="s">
        <v>1360</v>
      </c>
      <c r="J822" s="22" t="s">
        <v>1739</v>
      </c>
      <c r="K822" s="11"/>
      <c r="L822" s="11" t="s">
        <v>958</v>
      </c>
      <c r="M822" s="11" t="s">
        <v>960</v>
      </c>
      <c r="N822" s="11"/>
      <c r="O822" s="11"/>
      <c r="P822" s="22" t="s">
        <v>1365</v>
      </c>
      <c r="Q822" s="11" t="s">
        <v>1741</v>
      </c>
      <c r="R822" s="22" t="s">
        <v>933</v>
      </c>
      <c r="S822" s="11" t="s">
        <v>1743</v>
      </c>
    </row>
    <row r="823" spans="1:19" s="20" customFormat="1" ht="21.75" hidden="1" customHeight="1" x14ac:dyDescent="0.2">
      <c r="A823" s="22" t="s">
        <v>1728</v>
      </c>
      <c r="B823" s="22" t="s">
        <v>73</v>
      </c>
      <c r="C823" s="18">
        <v>46071</v>
      </c>
      <c r="D823" s="31">
        <v>1</v>
      </c>
      <c r="E823" s="206"/>
      <c r="F823" s="22" t="s">
        <v>161</v>
      </c>
      <c r="G823" s="22" t="s">
        <v>132</v>
      </c>
      <c r="H823" s="22" t="s">
        <v>99</v>
      </c>
      <c r="I823" s="22" t="s">
        <v>1360</v>
      </c>
      <c r="J823" s="22" t="s">
        <v>1739</v>
      </c>
      <c r="K823" s="11"/>
      <c r="L823" s="11" t="s">
        <v>958</v>
      </c>
      <c r="M823" s="11" t="s">
        <v>960</v>
      </c>
      <c r="N823" s="11"/>
      <c r="O823" s="11"/>
      <c r="P823" s="22" t="s">
        <v>1365</v>
      </c>
      <c r="Q823" s="11" t="s">
        <v>1741</v>
      </c>
      <c r="R823" s="22" t="s">
        <v>933</v>
      </c>
      <c r="S823" s="11" t="s">
        <v>1743</v>
      </c>
    </row>
    <row r="824" spans="1:19" s="20" customFormat="1" ht="21.75" hidden="1" customHeight="1" x14ac:dyDescent="0.2">
      <c r="A824" s="22" t="s">
        <v>1728</v>
      </c>
      <c r="B824" s="22" t="s">
        <v>73</v>
      </c>
      <c r="C824" s="18">
        <v>46071</v>
      </c>
      <c r="D824" s="31">
        <v>1</v>
      </c>
      <c r="E824" s="206"/>
      <c r="F824" s="22" t="s">
        <v>154</v>
      </c>
      <c r="G824" s="22" t="s">
        <v>123</v>
      </c>
      <c r="H824" s="22" t="s">
        <v>99</v>
      </c>
      <c r="I824" s="22" t="s">
        <v>1360</v>
      </c>
      <c r="J824" s="22" t="s">
        <v>1739</v>
      </c>
      <c r="K824" s="11"/>
      <c r="L824" s="11" t="s">
        <v>958</v>
      </c>
      <c r="M824" s="11" t="s">
        <v>960</v>
      </c>
      <c r="N824" s="11"/>
      <c r="O824" s="11"/>
      <c r="P824" s="22" t="s">
        <v>1365</v>
      </c>
      <c r="Q824" s="11" t="s">
        <v>1741</v>
      </c>
      <c r="R824" s="22" t="s">
        <v>933</v>
      </c>
      <c r="S824" s="11" t="s">
        <v>1743</v>
      </c>
    </row>
    <row r="825" spans="1:19" s="20" customFormat="1" ht="21.75" hidden="1" customHeight="1" x14ac:dyDescent="0.2">
      <c r="A825" s="22" t="s">
        <v>1728</v>
      </c>
      <c r="B825" s="22" t="s">
        <v>73</v>
      </c>
      <c r="C825" s="18">
        <v>46071</v>
      </c>
      <c r="D825" s="31">
        <v>1</v>
      </c>
      <c r="E825" s="206"/>
      <c r="F825" s="22" t="s">
        <v>153</v>
      </c>
      <c r="G825" s="22" t="s">
        <v>124</v>
      </c>
      <c r="H825" s="22" t="s">
        <v>99</v>
      </c>
      <c r="I825" s="22" t="s">
        <v>1360</v>
      </c>
      <c r="J825" s="22" t="s">
        <v>1739</v>
      </c>
      <c r="K825" s="11"/>
      <c r="L825" s="11" t="s">
        <v>958</v>
      </c>
      <c r="M825" s="11" t="s">
        <v>960</v>
      </c>
      <c r="N825" s="11"/>
      <c r="O825" s="11"/>
      <c r="P825" s="22" t="s">
        <v>1365</v>
      </c>
      <c r="Q825" s="11" t="s">
        <v>1741</v>
      </c>
      <c r="R825" s="22" t="s">
        <v>933</v>
      </c>
      <c r="S825" s="11" t="s">
        <v>1743</v>
      </c>
    </row>
    <row r="826" spans="1:19" s="20" customFormat="1" ht="21.75" hidden="1" customHeight="1" x14ac:dyDescent="0.2">
      <c r="A826" s="22" t="s">
        <v>1728</v>
      </c>
      <c r="B826" s="22" t="s">
        <v>73</v>
      </c>
      <c r="C826" s="18">
        <v>46071</v>
      </c>
      <c r="D826" s="31">
        <v>1</v>
      </c>
      <c r="E826" s="206"/>
      <c r="F826" s="22" t="s">
        <v>152</v>
      </c>
      <c r="G826" s="22" t="s">
        <v>149</v>
      </c>
      <c r="H826" s="22" t="s">
        <v>99</v>
      </c>
      <c r="I826" s="22" t="s">
        <v>1360</v>
      </c>
      <c r="J826" s="22" t="s">
        <v>1739</v>
      </c>
      <c r="K826" s="11"/>
      <c r="L826" s="11" t="s">
        <v>958</v>
      </c>
      <c r="M826" s="11" t="s">
        <v>960</v>
      </c>
      <c r="N826" s="11"/>
      <c r="O826" s="11"/>
      <c r="P826" s="22" t="s">
        <v>1365</v>
      </c>
      <c r="Q826" s="11" t="s">
        <v>1741</v>
      </c>
      <c r="R826" s="22" t="s">
        <v>933</v>
      </c>
      <c r="S826" s="11" t="s">
        <v>1743</v>
      </c>
    </row>
    <row r="827" spans="1:19" s="20" customFormat="1" ht="21.75" hidden="1" customHeight="1" x14ac:dyDescent="0.2">
      <c r="A827" s="22" t="s">
        <v>1728</v>
      </c>
      <c r="B827" s="22" t="s">
        <v>73</v>
      </c>
      <c r="C827" s="18">
        <v>46071</v>
      </c>
      <c r="D827" s="31">
        <v>1</v>
      </c>
      <c r="E827" s="206"/>
      <c r="F827" s="22" t="s">
        <v>151</v>
      </c>
      <c r="G827" s="22" t="s">
        <v>141</v>
      </c>
      <c r="H827" s="22" t="s">
        <v>99</v>
      </c>
      <c r="I827" s="22" t="s">
        <v>1360</v>
      </c>
      <c r="J827" s="22" t="s">
        <v>1739</v>
      </c>
      <c r="K827" s="11"/>
      <c r="L827" s="11" t="s">
        <v>958</v>
      </c>
      <c r="M827" s="11" t="s">
        <v>960</v>
      </c>
      <c r="N827" s="11"/>
      <c r="O827" s="11"/>
      <c r="P827" s="22" t="s">
        <v>1365</v>
      </c>
      <c r="Q827" s="11" t="s">
        <v>1741</v>
      </c>
      <c r="R827" s="22" t="s">
        <v>933</v>
      </c>
      <c r="S827" s="11" t="s">
        <v>1743</v>
      </c>
    </row>
    <row r="828" spans="1:19" s="20" customFormat="1" ht="21.75" hidden="1" customHeight="1" x14ac:dyDescent="0.2">
      <c r="A828" s="22" t="s">
        <v>1728</v>
      </c>
      <c r="B828" s="22" t="s">
        <v>73</v>
      </c>
      <c r="C828" s="18">
        <v>46071</v>
      </c>
      <c r="D828" s="31">
        <v>1</v>
      </c>
      <c r="E828" s="206"/>
      <c r="F828" s="22" t="s">
        <v>1733</v>
      </c>
      <c r="G828" s="22" t="s">
        <v>1736</v>
      </c>
      <c r="H828" s="22" t="s">
        <v>99</v>
      </c>
      <c r="I828" s="22" t="s">
        <v>1360</v>
      </c>
      <c r="J828" s="22" t="s">
        <v>1739</v>
      </c>
      <c r="K828" s="11"/>
      <c r="L828" s="11" t="s">
        <v>958</v>
      </c>
      <c r="M828" s="11" t="s">
        <v>960</v>
      </c>
      <c r="N828" s="11"/>
      <c r="O828" s="11"/>
      <c r="P828" s="22" t="s">
        <v>1365</v>
      </c>
      <c r="Q828" s="11" t="s">
        <v>1741</v>
      </c>
      <c r="R828" s="22" t="s">
        <v>933</v>
      </c>
      <c r="S828" s="11" t="s">
        <v>1743</v>
      </c>
    </row>
    <row r="829" spans="1:19" s="20" customFormat="1" ht="21.75" hidden="1" customHeight="1" x14ac:dyDescent="0.2">
      <c r="A829" s="22" t="s">
        <v>1728</v>
      </c>
      <c r="B829" s="22" t="s">
        <v>73</v>
      </c>
      <c r="C829" s="18">
        <v>46071</v>
      </c>
      <c r="D829" s="31">
        <v>1</v>
      </c>
      <c r="E829" s="207"/>
      <c r="F829" s="22" t="s">
        <v>1734</v>
      </c>
      <c r="G829" s="22" t="s">
        <v>1737</v>
      </c>
      <c r="H829" s="22" t="s">
        <v>99</v>
      </c>
      <c r="I829" s="22" t="s">
        <v>1360</v>
      </c>
      <c r="J829" s="22" t="s">
        <v>1739</v>
      </c>
      <c r="K829" s="11"/>
      <c r="L829" s="11" t="s">
        <v>958</v>
      </c>
      <c r="M829" s="11" t="s">
        <v>960</v>
      </c>
      <c r="N829" s="11"/>
      <c r="O829" s="11"/>
      <c r="P829" s="22" t="s">
        <v>1365</v>
      </c>
      <c r="Q829" s="11" t="s">
        <v>1741</v>
      </c>
      <c r="R829" s="22" t="s">
        <v>933</v>
      </c>
      <c r="S829" s="11" t="s">
        <v>1743</v>
      </c>
    </row>
    <row r="830" spans="1:19" s="20" customFormat="1" ht="21.75" hidden="1" customHeight="1" x14ac:dyDescent="0.2">
      <c r="A830" s="16" t="s">
        <v>1729</v>
      </c>
      <c r="B830" s="17">
        <v>13626575</v>
      </c>
      <c r="C830" s="18">
        <v>46074</v>
      </c>
      <c r="D830" s="21">
        <v>96</v>
      </c>
      <c r="E830" s="19">
        <v>4</v>
      </c>
      <c r="F830" s="16" t="s">
        <v>18</v>
      </c>
      <c r="G830" s="16" t="s">
        <v>109</v>
      </c>
      <c r="H830" s="16" t="s">
        <v>76</v>
      </c>
      <c r="I830" s="16" t="s">
        <v>134</v>
      </c>
      <c r="J830" s="17">
        <v>20100070970</v>
      </c>
      <c r="K830" s="11"/>
      <c r="L830" s="11" t="s">
        <v>1632</v>
      </c>
      <c r="M830" s="16" t="s">
        <v>77</v>
      </c>
      <c r="N830" s="16"/>
      <c r="O830" s="11"/>
      <c r="P830" s="16" t="s">
        <v>236</v>
      </c>
      <c r="Q830" s="11"/>
      <c r="R830" s="16" t="s">
        <v>143</v>
      </c>
      <c r="S830" s="11" t="s">
        <v>1756</v>
      </c>
    </row>
    <row r="831" spans="1:19" s="20" customFormat="1" ht="21.75" hidden="1" customHeight="1" x14ac:dyDescent="0.2">
      <c r="A831" s="16" t="s">
        <v>1729</v>
      </c>
      <c r="B831" s="17">
        <v>13626575</v>
      </c>
      <c r="C831" s="18">
        <v>46074</v>
      </c>
      <c r="D831" s="21">
        <v>72</v>
      </c>
      <c r="E831" s="19">
        <v>6</v>
      </c>
      <c r="F831" s="16" t="s">
        <v>19</v>
      </c>
      <c r="G831" s="16" t="s">
        <v>120</v>
      </c>
      <c r="H831" s="16" t="s">
        <v>76</v>
      </c>
      <c r="I831" s="16" t="s">
        <v>134</v>
      </c>
      <c r="J831" s="17">
        <v>20100070970</v>
      </c>
      <c r="K831" s="11"/>
      <c r="L831" s="11" t="s">
        <v>1632</v>
      </c>
      <c r="M831" s="16" t="s">
        <v>77</v>
      </c>
      <c r="N831" s="11"/>
      <c r="O831" s="11"/>
      <c r="P831" s="16" t="s">
        <v>236</v>
      </c>
      <c r="Q831" s="11"/>
      <c r="R831" s="16" t="s">
        <v>143</v>
      </c>
      <c r="S831" s="11" t="s">
        <v>1756</v>
      </c>
    </row>
    <row r="832" spans="1:19" s="20" customFormat="1" ht="21.75" hidden="1" customHeight="1" x14ac:dyDescent="0.2">
      <c r="A832" s="16" t="s">
        <v>1729</v>
      </c>
      <c r="B832" s="17">
        <v>13626575</v>
      </c>
      <c r="C832" s="18">
        <v>46074</v>
      </c>
      <c r="D832" s="21">
        <v>12</v>
      </c>
      <c r="E832" s="19">
        <v>1</v>
      </c>
      <c r="F832" s="16" t="s">
        <v>20</v>
      </c>
      <c r="G832" s="16" t="s">
        <v>113</v>
      </c>
      <c r="H832" s="16" t="s">
        <v>76</v>
      </c>
      <c r="I832" s="16" t="s">
        <v>134</v>
      </c>
      <c r="J832" s="17">
        <v>20100070970</v>
      </c>
      <c r="K832" s="11"/>
      <c r="L832" s="11" t="s">
        <v>1632</v>
      </c>
      <c r="M832" s="16" t="s">
        <v>77</v>
      </c>
      <c r="N832" s="11"/>
      <c r="O832" s="11"/>
      <c r="P832" s="16" t="s">
        <v>236</v>
      </c>
      <c r="Q832" s="11"/>
      <c r="R832" s="16" t="s">
        <v>143</v>
      </c>
      <c r="S832" s="11" t="s">
        <v>1756</v>
      </c>
    </row>
    <row r="833" spans="1:19" s="20" customFormat="1" ht="21.75" hidden="1" customHeight="1" x14ac:dyDescent="0.2">
      <c r="A833" s="16" t="s">
        <v>1729</v>
      </c>
      <c r="B833" s="17">
        <v>13626575</v>
      </c>
      <c r="C833" s="18">
        <v>46074</v>
      </c>
      <c r="D833" s="21">
        <v>36</v>
      </c>
      <c r="E833" s="19">
        <v>3</v>
      </c>
      <c r="F833" s="16" t="s">
        <v>21</v>
      </c>
      <c r="G833" s="16" t="s">
        <v>115</v>
      </c>
      <c r="H833" s="16" t="s">
        <v>76</v>
      </c>
      <c r="I833" s="16" t="s">
        <v>134</v>
      </c>
      <c r="J833" s="17">
        <v>20100070970</v>
      </c>
      <c r="K833" s="11"/>
      <c r="L833" s="11" t="s">
        <v>1632</v>
      </c>
      <c r="M833" s="16" t="s">
        <v>77</v>
      </c>
      <c r="N833" s="11"/>
      <c r="O833" s="11"/>
      <c r="P833" s="16" t="s">
        <v>236</v>
      </c>
      <c r="Q833" s="11"/>
      <c r="R833" s="16" t="s">
        <v>143</v>
      </c>
      <c r="S833" s="11" t="s">
        <v>1756</v>
      </c>
    </row>
    <row r="834" spans="1:19" s="20" customFormat="1" ht="21.75" hidden="1" customHeight="1" x14ac:dyDescent="0.2">
      <c r="A834" s="16" t="s">
        <v>1729</v>
      </c>
      <c r="B834" s="17">
        <v>13626575</v>
      </c>
      <c r="C834" s="18">
        <v>46074</v>
      </c>
      <c r="D834" s="21">
        <v>336</v>
      </c>
      <c r="E834" s="19">
        <f>336/48</f>
        <v>7</v>
      </c>
      <c r="F834" s="16" t="s">
        <v>22</v>
      </c>
      <c r="G834" s="16" t="s">
        <v>108</v>
      </c>
      <c r="H834" s="16" t="s">
        <v>76</v>
      </c>
      <c r="I834" s="16" t="s">
        <v>134</v>
      </c>
      <c r="J834" s="17">
        <v>20100070970</v>
      </c>
      <c r="K834" s="11"/>
      <c r="L834" s="11" t="s">
        <v>1632</v>
      </c>
      <c r="M834" s="16" t="s">
        <v>77</v>
      </c>
      <c r="N834" s="11"/>
      <c r="O834" s="11"/>
      <c r="P834" s="16" t="s">
        <v>236</v>
      </c>
      <c r="Q834" s="11"/>
      <c r="R834" s="16" t="s">
        <v>143</v>
      </c>
      <c r="S834" s="11" t="s">
        <v>1756</v>
      </c>
    </row>
    <row r="835" spans="1:19" s="20" customFormat="1" ht="21.75" hidden="1" customHeight="1" x14ac:dyDescent="0.2">
      <c r="A835" s="16" t="s">
        <v>1729</v>
      </c>
      <c r="B835" s="17">
        <v>13626575</v>
      </c>
      <c r="C835" s="18">
        <v>46074</v>
      </c>
      <c r="D835" s="21">
        <v>204</v>
      </c>
      <c r="E835" s="19">
        <f>204/12</f>
        <v>17</v>
      </c>
      <c r="F835" s="16" t="s">
        <v>23</v>
      </c>
      <c r="G835" s="16" t="s">
        <v>119</v>
      </c>
      <c r="H835" s="16" t="s">
        <v>76</v>
      </c>
      <c r="I835" s="16" t="s">
        <v>134</v>
      </c>
      <c r="J835" s="17">
        <v>20100070970</v>
      </c>
      <c r="K835" s="11"/>
      <c r="L835" s="11" t="s">
        <v>1632</v>
      </c>
      <c r="M835" s="16" t="s">
        <v>77</v>
      </c>
      <c r="N835" s="11"/>
      <c r="O835" s="11"/>
      <c r="P835" s="16" t="s">
        <v>236</v>
      </c>
      <c r="Q835" s="11"/>
      <c r="R835" s="16" t="s">
        <v>143</v>
      </c>
      <c r="S835" s="11" t="s">
        <v>1756</v>
      </c>
    </row>
    <row r="836" spans="1:19" s="20" customFormat="1" ht="21.75" hidden="1" customHeight="1" x14ac:dyDescent="0.2">
      <c r="A836" s="16" t="s">
        <v>1729</v>
      </c>
      <c r="B836" s="17">
        <v>13626575</v>
      </c>
      <c r="C836" s="18">
        <v>46074</v>
      </c>
      <c r="D836" s="21">
        <v>60</v>
      </c>
      <c r="E836" s="19">
        <v>10</v>
      </c>
      <c r="F836" s="16" t="s">
        <v>24</v>
      </c>
      <c r="G836" s="16" t="s">
        <v>112</v>
      </c>
      <c r="H836" s="16" t="s">
        <v>76</v>
      </c>
      <c r="I836" s="16" t="s">
        <v>134</v>
      </c>
      <c r="J836" s="17">
        <v>20100070970</v>
      </c>
      <c r="K836" s="11"/>
      <c r="L836" s="11" t="s">
        <v>1632</v>
      </c>
      <c r="M836" s="16" t="s">
        <v>77</v>
      </c>
      <c r="N836" s="11"/>
      <c r="O836" s="11"/>
      <c r="P836" s="16" t="s">
        <v>236</v>
      </c>
      <c r="Q836" s="11"/>
      <c r="R836" s="16" t="s">
        <v>143</v>
      </c>
      <c r="S836" s="11" t="s">
        <v>1756</v>
      </c>
    </row>
    <row r="837" spans="1:19" s="20" customFormat="1" ht="21.75" hidden="1" customHeight="1" x14ac:dyDescent="0.2">
      <c r="A837" s="16" t="s">
        <v>1729</v>
      </c>
      <c r="B837" s="17">
        <v>13626575</v>
      </c>
      <c r="C837" s="18">
        <v>46074</v>
      </c>
      <c r="D837" s="21">
        <v>36</v>
      </c>
      <c r="E837" s="19">
        <v>3</v>
      </c>
      <c r="F837" s="16" t="s">
        <v>25</v>
      </c>
      <c r="G837" s="16" t="s">
        <v>136</v>
      </c>
      <c r="H837" s="16" t="s">
        <v>76</v>
      </c>
      <c r="I837" s="16" t="s">
        <v>134</v>
      </c>
      <c r="J837" s="17">
        <v>20100070970</v>
      </c>
      <c r="K837" s="11"/>
      <c r="L837" s="11" t="s">
        <v>1632</v>
      </c>
      <c r="M837" s="16" t="s">
        <v>77</v>
      </c>
      <c r="N837" s="11"/>
      <c r="O837" s="11"/>
      <c r="P837" s="16" t="s">
        <v>236</v>
      </c>
      <c r="Q837" s="11"/>
      <c r="R837" s="16" t="s">
        <v>143</v>
      </c>
      <c r="S837" s="11" t="s">
        <v>1756</v>
      </c>
    </row>
    <row r="838" spans="1:19" s="20" customFormat="1" ht="21.75" hidden="1" customHeight="1" x14ac:dyDescent="0.2">
      <c r="A838" s="16" t="s">
        <v>1729</v>
      </c>
      <c r="B838" s="17">
        <v>13626575</v>
      </c>
      <c r="C838" s="18">
        <v>46074</v>
      </c>
      <c r="D838" s="21">
        <v>84</v>
      </c>
      <c r="E838" s="19">
        <f>84/6</f>
        <v>14</v>
      </c>
      <c r="F838" s="16" t="s">
        <v>26</v>
      </c>
      <c r="G838" s="16" t="s">
        <v>111</v>
      </c>
      <c r="H838" s="16" t="s">
        <v>76</v>
      </c>
      <c r="I838" s="16" t="s">
        <v>134</v>
      </c>
      <c r="J838" s="17">
        <v>20100070970</v>
      </c>
      <c r="K838" s="11"/>
      <c r="L838" s="11" t="s">
        <v>1632</v>
      </c>
      <c r="M838" s="16" t="s">
        <v>77</v>
      </c>
      <c r="N838" s="11"/>
      <c r="O838" s="11"/>
      <c r="P838" s="16" t="s">
        <v>236</v>
      </c>
      <c r="Q838" s="11"/>
      <c r="R838" s="16" t="s">
        <v>143</v>
      </c>
      <c r="S838" s="11" t="s">
        <v>1756</v>
      </c>
    </row>
    <row r="839" spans="1:19" s="20" customFormat="1" ht="21.75" hidden="1" customHeight="1" x14ac:dyDescent="0.2">
      <c r="A839" s="16" t="s">
        <v>1729</v>
      </c>
      <c r="B839" s="17">
        <v>13626575</v>
      </c>
      <c r="C839" s="18">
        <v>46074</v>
      </c>
      <c r="D839" s="21">
        <v>36</v>
      </c>
      <c r="E839" s="19">
        <v>3</v>
      </c>
      <c r="F839" s="16" t="s">
        <v>27</v>
      </c>
      <c r="G839" s="16" t="s">
        <v>103</v>
      </c>
      <c r="H839" s="16" t="s">
        <v>76</v>
      </c>
      <c r="I839" s="16" t="s">
        <v>134</v>
      </c>
      <c r="J839" s="17">
        <v>20100070970</v>
      </c>
      <c r="K839" s="11"/>
      <c r="L839" s="11" t="s">
        <v>1632</v>
      </c>
      <c r="M839" s="16" t="s">
        <v>77</v>
      </c>
      <c r="N839" s="11"/>
      <c r="O839" s="11"/>
      <c r="P839" s="16" t="s">
        <v>236</v>
      </c>
      <c r="Q839" s="11"/>
      <c r="R839" s="16" t="s">
        <v>143</v>
      </c>
      <c r="S839" s="11" t="s">
        <v>1756</v>
      </c>
    </row>
    <row r="840" spans="1:19" ht="21.75" hidden="1" customHeight="1" x14ac:dyDescent="0.25">
      <c r="A840" s="16" t="s">
        <v>1730</v>
      </c>
      <c r="B840" s="93" t="s">
        <v>1731</v>
      </c>
      <c r="C840" s="18">
        <v>46072</v>
      </c>
      <c r="D840" s="21">
        <v>1</v>
      </c>
      <c r="E840" s="19">
        <v>1</v>
      </c>
      <c r="F840" s="16" t="s">
        <v>983</v>
      </c>
      <c r="G840" s="16" t="s">
        <v>984</v>
      </c>
      <c r="H840" s="16" t="s">
        <v>99</v>
      </c>
      <c r="I840" s="16" t="s">
        <v>1738</v>
      </c>
      <c r="J840" s="17">
        <v>10314945</v>
      </c>
      <c r="K840" s="11"/>
      <c r="L840" s="11" t="s">
        <v>1742</v>
      </c>
      <c r="M840" s="11" t="s">
        <v>299</v>
      </c>
      <c r="N840" s="11"/>
      <c r="O840" s="11"/>
      <c r="P840" s="16" t="s">
        <v>1673</v>
      </c>
      <c r="Q840" s="11"/>
      <c r="R840" s="16" t="s">
        <v>441</v>
      </c>
      <c r="S840" s="11" t="s">
        <v>1715</v>
      </c>
    </row>
    <row r="841" spans="1:19" ht="21.75" hidden="1" customHeight="1" x14ac:dyDescent="0.25">
      <c r="A841" s="16" t="s">
        <v>1744</v>
      </c>
      <c r="B841" s="16" t="s">
        <v>73</v>
      </c>
      <c r="C841" s="18">
        <v>46074</v>
      </c>
      <c r="D841" s="21">
        <v>24</v>
      </c>
      <c r="E841" s="19">
        <v>2</v>
      </c>
      <c r="F841" s="16" t="s">
        <v>1747</v>
      </c>
      <c r="G841" s="16" t="s">
        <v>1750</v>
      </c>
      <c r="H841" s="16" t="s">
        <v>1650</v>
      </c>
      <c r="I841" s="16" t="s">
        <v>846</v>
      </c>
      <c r="J841" s="17">
        <v>10079747021</v>
      </c>
      <c r="K841" s="17">
        <v>967715640</v>
      </c>
      <c r="L841" s="16" t="s">
        <v>879</v>
      </c>
      <c r="M841" s="16" t="s">
        <v>1754</v>
      </c>
      <c r="N841" s="11"/>
      <c r="O841" s="11"/>
      <c r="P841" s="16" t="s">
        <v>1753</v>
      </c>
      <c r="Q841" s="16" t="s">
        <v>73</v>
      </c>
      <c r="R841" s="16" t="s">
        <v>396</v>
      </c>
      <c r="S841" s="11" t="s">
        <v>1757</v>
      </c>
    </row>
    <row r="842" spans="1:19" ht="21.75" hidden="1" customHeight="1" x14ac:dyDescent="0.25">
      <c r="A842" s="16" t="s">
        <v>1744</v>
      </c>
      <c r="B842" s="16" t="s">
        <v>73</v>
      </c>
      <c r="C842" s="18">
        <v>46074</v>
      </c>
      <c r="D842" s="21">
        <v>24</v>
      </c>
      <c r="E842" s="19">
        <v>2</v>
      </c>
      <c r="F842" s="16" t="s">
        <v>1748</v>
      </c>
      <c r="G842" s="16" t="s">
        <v>1751</v>
      </c>
      <c r="H842" s="16" t="s">
        <v>1650</v>
      </c>
      <c r="I842" s="16" t="s">
        <v>846</v>
      </c>
      <c r="J842" s="17">
        <v>10079747021</v>
      </c>
      <c r="K842" s="17">
        <v>967715640</v>
      </c>
      <c r="L842" s="16" t="s">
        <v>879</v>
      </c>
      <c r="M842" s="16" t="s">
        <v>1754</v>
      </c>
      <c r="N842" s="11"/>
      <c r="O842" s="11"/>
      <c r="P842" s="16" t="s">
        <v>1753</v>
      </c>
      <c r="Q842" s="16" t="s">
        <v>73</v>
      </c>
      <c r="R842" s="16" t="s">
        <v>396</v>
      </c>
      <c r="S842" s="11" t="s">
        <v>1757</v>
      </c>
    </row>
    <row r="843" spans="1:19" ht="21.75" hidden="1" customHeight="1" x14ac:dyDescent="0.25">
      <c r="A843" s="16" t="s">
        <v>1744</v>
      </c>
      <c r="B843" s="16" t="s">
        <v>73</v>
      </c>
      <c r="C843" s="18">
        <v>46074</v>
      </c>
      <c r="D843" s="21">
        <v>24</v>
      </c>
      <c r="E843" s="19">
        <v>2</v>
      </c>
      <c r="F843" s="16" t="s">
        <v>1749</v>
      </c>
      <c r="G843" s="16" t="s">
        <v>1752</v>
      </c>
      <c r="H843" s="16" t="s">
        <v>1650</v>
      </c>
      <c r="I843" s="16" t="s">
        <v>846</v>
      </c>
      <c r="J843" s="17">
        <v>10079747021</v>
      </c>
      <c r="K843" s="17">
        <v>967715640</v>
      </c>
      <c r="L843" s="16" t="s">
        <v>879</v>
      </c>
      <c r="M843" s="16" t="s">
        <v>1754</v>
      </c>
      <c r="N843" s="11"/>
      <c r="O843" s="11"/>
      <c r="P843" s="16" t="s">
        <v>1753</v>
      </c>
      <c r="Q843" s="16" t="s">
        <v>73</v>
      </c>
      <c r="R843" s="16" t="s">
        <v>396</v>
      </c>
      <c r="S843" s="11" t="s">
        <v>1757</v>
      </c>
    </row>
    <row r="844" spans="1:19" ht="21.75" hidden="1" customHeight="1" x14ac:dyDescent="0.25">
      <c r="A844" s="16" t="s">
        <v>1745</v>
      </c>
      <c r="B844" s="17" t="s">
        <v>1746</v>
      </c>
      <c r="C844" s="18">
        <v>46076</v>
      </c>
      <c r="D844" s="21">
        <v>120</v>
      </c>
      <c r="E844" s="19">
        <v>10</v>
      </c>
      <c r="F844" s="16" t="s">
        <v>1323</v>
      </c>
      <c r="G844" s="16" t="s">
        <v>1324</v>
      </c>
      <c r="H844" s="16" t="s">
        <v>76</v>
      </c>
      <c r="I844" s="16" t="s">
        <v>1322</v>
      </c>
      <c r="J844" s="17">
        <v>20298674611</v>
      </c>
      <c r="K844" s="17" t="s">
        <v>73</v>
      </c>
      <c r="L844" s="16" t="s">
        <v>1755</v>
      </c>
      <c r="M844" s="16" t="s">
        <v>347</v>
      </c>
      <c r="N844" s="11"/>
      <c r="O844" s="11"/>
      <c r="P844" s="16" t="s">
        <v>1758</v>
      </c>
      <c r="Q844" s="16" t="s">
        <v>1692</v>
      </c>
      <c r="R844" s="16" t="s">
        <v>1511</v>
      </c>
      <c r="S844" s="11" t="s">
        <v>1781</v>
      </c>
    </row>
    <row r="845" spans="1:19" s="20" customFormat="1" ht="21.75" hidden="1" customHeight="1" x14ac:dyDescent="0.2">
      <c r="A845" s="16" t="s">
        <v>1759</v>
      </c>
      <c r="B845" s="16" t="s">
        <v>73</v>
      </c>
      <c r="C845" s="18">
        <v>46077</v>
      </c>
      <c r="D845" s="21">
        <v>192</v>
      </c>
      <c r="E845" s="19">
        <v>4</v>
      </c>
      <c r="F845" s="16" t="s">
        <v>159</v>
      </c>
      <c r="G845" s="16" t="s">
        <v>140</v>
      </c>
      <c r="H845" s="26" t="s">
        <v>1544</v>
      </c>
      <c r="I845" s="16" t="s">
        <v>1765</v>
      </c>
      <c r="J845" s="17">
        <v>20568276257</v>
      </c>
      <c r="K845" s="23">
        <v>51957276560</v>
      </c>
      <c r="L845" s="26" t="s">
        <v>1778</v>
      </c>
      <c r="M845" s="26" t="s">
        <v>75</v>
      </c>
      <c r="N845" s="11"/>
      <c r="O845" s="11"/>
      <c r="P845" s="26" t="s">
        <v>1775</v>
      </c>
      <c r="Q845" s="26" t="s">
        <v>1776</v>
      </c>
      <c r="R845" s="16" t="s">
        <v>142</v>
      </c>
      <c r="S845" s="11" t="s">
        <v>1779</v>
      </c>
    </row>
    <row r="846" spans="1:19" s="20" customFormat="1" ht="21.75" hidden="1" customHeight="1" x14ac:dyDescent="0.2">
      <c r="A846" s="16" t="s">
        <v>1759</v>
      </c>
      <c r="B846" s="16" t="s">
        <v>73</v>
      </c>
      <c r="C846" s="18">
        <v>46077</v>
      </c>
      <c r="D846" s="21">
        <v>192</v>
      </c>
      <c r="E846" s="19">
        <v>4</v>
      </c>
      <c r="F846" s="16" t="s">
        <v>158</v>
      </c>
      <c r="G846" s="16" t="s">
        <v>150</v>
      </c>
      <c r="H846" s="26" t="s">
        <v>1544</v>
      </c>
      <c r="I846" s="16" t="s">
        <v>1765</v>
      </c>
      <c r="J846" s="17">
        <v>20568276257</v>
      </c>
      <c r="K846" s="23">
        <v>51957276560</v>
      </c>
      <c r="L846" s="26" t="s">
        <v>1778</v>
      </c>
      <c r="M846" s="26" t="s">
        <v>75</v>
      </c>
      <c r="N846" s="11"/>
      <c r="O846" s="11"/>
      <c r="P846" s="26" t="s">
        <v>1775</v>
      </c>
      <c r="Q846" s="26" t="s">
        <v>1776</v>
      </c>
      <c r="R846" s="16" t="s">
        <v>142</v>
      </c>
      <c r="S846" s="11" t="s">
        <v>1779</v>
      </c>
    </row>
    <row r="847" spans="1:19" s="20" customFormat="1" ht="21.75" hidden="1" customHeight="1" x14ac:dyDescent="0.2">
      <c r="A847" s="16" t="s">
        <v>1759</v>
      </c>
      <c r="B847" s="16" t="s">
        <v>73</v>
      </c>
      <c r="C847" s="18">
        <v>46077</v>
      </c>
      <c r="D847" s="21">
        <v>18</v>
      </c>
      <c r="E847" s="19">
        <v>3</v>
      </c>
      <c r="F847" s="16" t="s">
        <v>174</v>
      </c>
      <c r="G847" s="16" t="s">
        <v>130</v>
      </c>
      <c r="H847" s="26" t="s">
        <v>1544</v>
      </c>
      <c r="I847" s="16" t="s">
        <v>1765</v>
      </c>
      <c r="J847" s="17">
        <v>20568276257</v>
      </c>
      <c r="K847" s="23">
        <v>51957276560</v>
      </c>
      <c r="L847" s="26" t="s">
        <v>1778</v>
      </c>
      <c r="M847" s="26" t="s">
        <v>75</v>
      </c>
      <c r="N847" s="11"/>
      <c r="O847" s="11"/>
      <c r="P847" s="26" t="s">
        <v>1775</v>
      </c>
      <c r="Q847" s="26" t="s">
        <v>1776</v>
      </c>
      <c r="R847" s="16" t="s">
        <v>142</v>
      </c>
      <c r="S847" s="11" t="s">
        <v>1779</v>
      </c>
    </row>
    <row r="848" spans="1:19" s="20" customFormat="1" ht="21.75" hidden="1" customHeight="1" x14ac:dyDescent="0.2">
      <c r="A848" s="16" t="s">
        <v>1759</v>
      </c>
      <c r="B848" s="16" t="s">
        <v>73</v>
      </c>
      <c r="C848" s="18">
        <v>46077</v>
      </c>
      <c r="D848" s="21">
        <v>24</v>
      </c>
      <c r="E848" s="19">
        <v>2</v>
      </c>
      <c r="F848" s="16" t="s">
        <v>27</v>
      </c>
      <c r="G848" s="16" t="s">
        <v>103</v>
      </c>
      <c r="H848" s="26" t="s">
        <v>1544</v>
      </c>
      <c r="I848" s="16" t="s">
        <v>1765</v>
      </c>
      <c r="J848" s="17">
        <v>20568276257</v>
      </c>
      <c r="K848" s="23">
        <v>51957276560</v>
      </c>
      <c r="L848" s="26" t="s">
        <v>1778</v>
      </c>
      <c r="M848" s="26" t="s">
        <v>75</v>
      </c>
      <c r="N848" s="11"/>
      <c r="O848" s="11"/>
      <c r="P848" s="26" t="s">
        <v>1775</v>
      </c>
      <c r="Q848" s="26" t="s">
        <v>1776</v>
      </c>
      <c r="R848" s="16" t="s">
        <v>142</v>
      </c>
      <c r="S848" s="11" t="s">
        <v>1779</v>
      </c>
    </row>
    <row r="849" spans="1:19" s="20" customFormat="1" ht="21.75" hidden="1" customHeight="1" x14ac:dyDescent="0.2">
      <c r="A849" s="16" t="s">
        <v>1759</v>
      </c>
      <c r="B849" s="16" t="s">
        <v>73</v>
      </c>
      <c r="C849" s="18">
        <v>46077</v>
      </c>
      <c r="D849" s="21">
        <v>12</v>
      </c>
      <c r="E849" s="19">
        <v>1</v>
      </c>
      <c r="F849" s="16" t="s">
        <v>24</v>
      </c>
      <c r="G849" s="16" t="s">
        <v>112</v>
      </c>
      <c r="H849" s="26" t="s">
        <v>1544</v>
      </c>
      <c r="I849" s="16" t="s">
        <v>1765</v>
      </c>
      <c r="J849" s="17">
        <v>20568276257</v>
      </c>
      <c r="K849" s="17">
        <v>51957276560</v>
      </c>
      <c r="L849" s="16" t="s">
        <v>1778</v>
      </c>
      <c r="M849" s="16" t="s">
        <v>75</v>
      </c>
      <c r="N849" s="11"/>
      <c r="O849" s="11"/>
      <c r="P849" s="26" t="s">
        <v>1775</v>
      </c>
      <c r="Q849" s="26" t="s">
        <v>1776</v>
      </c>
      <c r="R849" s="16" t="s">
        <v>142</v>
      </c>
      <c r="S849" s="11" t="s">
        <v>1779</v>
      </c>
    </row>
    <row r="850" spans="1:19" s="20" customFormat="1" ht="21.75" hidden="1" customHeight="1" x14ac:dyDescent="0.2">
      <c r="A850" s="16" t="s">
        <v>1760</v>
      </c>
      <c r="B850" s="16" t="s">
        <v>73</v>
      </c>
      <c r="C850" s="18">
        <v>46077</v>
      </c>
      <c r="D850" s="21">
        <v>48</v>
      </c>
      <c r="E850" s="19">
        <v>8</v>
      </c>
      <c r="F850" s="16" t="s">
        <v>155</v>
      </c>
      <c r="G850" s="16" t="s">
        <v>125</v>
      </c>
      <c r="H850" s="26" t="s">
        <v>1544</v>
      </c>
      <c r="I850" s="16" t="s">
        <v>1766</v>
      </c>
      <c r="J850" s="17">
        <v>10459781345</v>
      </c>
      <c r="K850" s="16" t="s">
        <v>73</v>
      </c>
      <c r="L850" s="16" t="s">
        <v>1783</v>
      </c>
      <c r="M850" s="16" t="s">
        <v>75</v>
      </c>
      <c r="N850" s="11"/>
      <c r="O850" s="11"/>
      <c r="P850" s="26" t="s">
        <v>1579</v>
      </c>
      <c r="Q850" s="26" t="s">
        <v>1777</v>
      </c>
      <c r="R850" s="16" t="s">
        <v>142</v>
      </c>
      <c r="S850" s="11" t="s">
        <v>1780</v>
      </c>
    </row>
    <row r="851" spans="1:19" s="20" customFormat="1" ht="21.75" hidden="1" customHeight="1" x14ac:dyDescent="0.2">
      <c r="A851" s="16" t="s">
        <v>1760</v>
      </c>
      <c r="B851" s="16" t="s">
        <v>73</v>
      </c>
      <c r="C851" s="18">
        <v>46077</v>
      </c>
      <c r="D851" s="21">
        <v>72</v>
      </c>
      <c r="E851" s="19">
        <v>6</v>
      </c>
      <c r="F851" s="16" t="s">
        <v>151</v>
      </c>
      <c r="G851" s="16" t="s">
        <v>141</v>
      </c>
      <c r="H851" s="26" t="s">
        <v>1544</v>
      </c>
      <c r="I851" s="16" t="s">
        <v>1766</v>
      </c>
      <c r="J851" s="17">
        <v>10459781345</v>
      </c>
      <c r="K851" s="16" t="s">
        <v>73</v>
      </c>
      <c r="L851" s="16" t="s">
        <v>1783</v>
      </c>
      <c r="M851" s="16" t="s">
        <v>75</v>
      </c>
      <c r="N851" s="11"/>
      <c r="O851" s="11"/>
      <c r="P851" s="26" t="s">
        <v>1579</v>
      </c>
      <c r="Q851" s="26" t="s">
        <v>1777</v>
      </c>
      <c r="R851" s="16" t="s">
        <v>142</v>
      </c>
      <c r="S851" s="11" t="s">
        <v>1780</v>
      </c>
    </row>
    <row r="852" spans="1:19" s="20" customFormat="1" ht="21.75" hidden="1" customHeight="1" x14ac:dyDescent="0.2">
      <c r="A852" s="16" t="s">
        <v>1760</v>
      </c>
      <c r="B852" s="16" t="s">
        <v>73</v>
      </c>
      <c r="C852" s="18">
        <v>46077</v>
      </c>
      <c r="D852" s="21">
        <v>72</v>
      </c>
      <c r="E852" s="19">
        <v>3</v>
      </c>
      <c r="F852" s="16" t="s">
        <v>152</v>
      </c>
      <c r="G852" s="16" t="s">
        <v>149</v>
      </c>
      <c r="H852" s="26" t="s">
        <v>1544</v>
      </c>
      <c r="I852" s="16" t="s">
        <v>1766</v>
      </c>
      <c r="J852" s="17">
        <v>10459781345</v>
      </c>
      <c r="K852" s="16" t="s">
        <v>73</v>
      </c>
      <c r="L852" s="16" t="s">
        <v>1783</v>
      </c>
      <c r="M852" s="16" t="s">
        <v>75</v>
      </c>
      <c r="N852" s="11"/>
      <c r="O852" s="11"/>
      <c r="P852" s="26" t="s">
        <v>1579</v>
      </c>
      <c r="Q852" s="26" t="s">
        <v>1777</v>
      </c>
      <c r="R852" s="16" t="s">
        <v>142</v>
      </c>
      <c r="S852" s="11" t="s">
        <v>1780</v>
      </c>
    </row>
    <row r="853" spans="1:19" s="20" customFormat="1" ht="21.75" hidden="1" customHeight="1" x14ac:dyDescent="0.2">
      <c r="A853" s="16" t="s">
        <v>1760</v>
      </c>
      <c r="B853" s="16" t="s">
        <v>73</v>
      </c>
      <c r="C853" s="18">
        <v>46077</v>
      </c>
      <c r="D853" s="21">
        <v>36</v>
      </c>
      <c r="E853" s="19">
        <v>3</v>
      </c>
      <c r="F853" s="16" t="s">
        <v>913</v>
      </c>
      <c r="G853" s="16" t="s">
        <v>930</v>
      </c>
      <c r="H853" s="26" t="s">
        <v>1544</v>
      </c>
      <c r="I853" s="16" t="s">
        <v>1766</v>
      </c>
      <c r="J853" s="17">
        <v>10459781345</v>
      </c>
      <c r="K853" s="16" t="s">
        <v>73</v>
      </c>
      <c r="L853" s="16" t="s">
        <v>1783</v>
      </c>
      <c r="M853" s="16" t="s">
        <v>75</v>
      </c>
      <c r="N853" s="11"/>
      <c r="O853" s="11"/>
      <c r="P853" s="26" t="s">
        <v>1579</v>
      </c>
      <c r="Q853" s="26" t="s">
        <v>1777</v>
      </c>
      <c r="R853" s="16" t="s">
        <v>142</v>
      </c>
      <c r="S853" s="11" t="s">
        <v>1780</v>
      </c>
    </row>
    <row r="854" spans="1:19" s="20" customFormat="1" ht="21.75" hidden="1" customHeight="1" x14ac:dyDescent="0.2">
      <c r="A854" s="16" t="s">
        <v>1760</v>
      </c>
      <c r="B854" s="16" t="s">
        <v>73</v>
      </c>
      <c r="C854" s="18">
        <v>46077</v>
      </c>
      <c r="D854" s="21">
        <v>36</v>
      </c>
      <c r="E854" s="19">
        <v>3</v>
      </c>
      <c r="F854" s="16" t="s">
        <v>567</v>
      </c>
      <c r="G854" s="16" t="s">
        <v>568</v>
      </c>
      <c r="H854" s="26" t="s">
        <v>1544</v>
      </c>
      <c r="I854" s="16" t="s">
        <v>1766</v>
      </c>
      <c r="J854" s="17">
        <v>10459781345</v>
      </c>
      <c r="K854" s="16" t="s">
        <v>73</v>
      </c>
      <c r="L854" s="16" t="s">
        <v>1783</v>
      </c>
      <c r="M854" s="16" t="s">
        <v>75</v>
      </c>
      <c r="N854" s="11"/>
      <c r="O854" s="11"/>
      <c r="P854" s="26" t="s">
        <v>1579</v>
      </c>
      <c r="Q854" s="26" t="s">
        <v>1777</v>
      </c>
      <c r="R854" s="16" t="s">
        <v>142</v>
      </c>
      <c r="S854" s="11" t="s">
        <v>1780</v>
      </c>
    </row>
    <row r="855" spans="1:19" s="20" customFormat="1" ht="21.75" hidden="1" customHeight="1" x14ac:dyDescent="0.2">
      <c r="A855" s="16" t="s">
        <v>1760</v>
      </c>
      <c r="B855" s="16" t="s">
        <v>73</v>
      </c>
      <c r="C855" s="18">
        <v>46077</v>
      </c>
      <c r="D855" s="21">
        <v>36</v>
      </c>
      <c r="E855" s="19">
        <v>3</v>
      </c>
      <c r="F855" s="16" t="s">
        <v>33</v>
      </c>
      <c r="G855" s="16" t="s">
        <v>107</v>
      </c>
      <c r="H855" s="26" t="s">
        <v>1544</v>
      </c>
      <c r="I855" s="16" t="s">
        <v>1766</v>
      </c>
      <c r="J855" s="17">
        <v>10459781345</v>
      </c>
      <c r="K855" s="16" t="s">
        <v>73</v>
      </c>
      <c r="L855" s="16" t="s">
        <v>1783</v>
      </c>
      <c r="M855" s="16" t="s">
        <v>75</v>
      </c>
      <c r="N855" s="11"/>
      <c r="O855" s="11"/>
      <c r="P855" s="26" t="s">
        <v>1579</v>
      </c>
      <c r="Q855" s="26" t="s">
        <v>1777</v>
      </c>
      <c r="R855" s="16" t="s">
        <v>142</v>
      </c>
      <c r="S855" s="11" t="s">
        <v>1780</v>
      </c>
    </row>
    <row r="856" spans="1:19" s="20" customFormat="1" ht="21.75" hidden="1" customHeight="1" x14ac:dyDescent="0.2">
      <c r="A856" s="16" t="s">
        <v>1760</v>
      </c>
      <c r="B856" s="16" t="s">
        <v>73</v>
      </c>
      <c r="C856" s="18">
        <v>46077</v>
      </c>
      <c r="D856" s="21">
        <v>120</v>
      </c>
      <c r="E856" s="19">
        <v>10</v>
      </c>
      <c r="F856" s="16" t="s">
        <v>23</v>
      </c>
      <c r="G856" s="16" t="s">
        <v>119</v>
      </c>
      <c r="H856" s="26" t="s">
        <v>1544</v>
      </c>
      <c r="I856" s="16" t="s">
        <v>1766</v>
      </c>
      <c r="J856" s="17">
        <v>10459781345</v>
      </c>
      <c r="K856" s="16" t="s">
        <v>73</v>
      </c>
      <c r="L856" s="16" t="s">
        <v>1783</v>
      </c>
      <c r="M856" s="16" t="s">
        <v>75</v>
      </c>
      <c r="N856" s="11"/>
      <c r="O856" s="11"/>
      <c r="P856" s="26" t="s">
        <v>1579</v>
      </c>
      <c r="Q856" s="26" t="s">
        <v>1777</v>
      </c>
      <c r="R856" s="16" t="s">
        <v>142</v>
      </c>
      <c r="S856" s="11" t="s">
        <v>1780</v>
      </c>
    </row>
    <row r="857" spans="1:19" s="20" customFormat="1" ht="21.75" hidden="1" customHeight="1" x14ac:dyDescent="0.2">
      <c r="A857" s="16" t="s">
        <v>1760</v>
      </c>
      <c r="B857" s="16" t="s">
        <v>73</v>
      </c>
      <c r="C857" s="18">
        <v>46077</v>
      </c>
      <c r="D857" s="21">
        <v>60</v>
      </c>
      <c r="E857" s="19">
        <v>5</v>
      </c>
      <c r="F857" s="16" t="s">
        <v>19</v>
      </c>
      <c r="G857" s="16" t="s">
        <v>120</v>
      </c>
      <c r="H857" s="26" t="s">
        <v>1544</v>
      </c>
      <c r="I857" s="16" t="s">
        <v>1766</v>
      </c>
      <c r="J857" s="17">
        <v>10459781345</v>
      </c>
      <c r="K857" s="16" t="s">
        <v>73</v>
      </c>
      <c r="L857" s="16" t="s">
        <v>1783</v>
      </c>
      <c r="M857" s="16" t="s">
        <v>75</v>
      </c>
      <c r="N857" s="11"/>
      <c r="O857" s="11"/>
      <c r="P857" s="26" t="s">
        <v>1579</v>
      </c>
      <c r="Q857" s="26" t="s">
        <v>1777</v>
      </c>
      <c r="R857" s="16" t="s">
        <v>142</v>
      </c>
      <c r="S857" s="11" t="s">
        <v>1780</v>
      </c>
    </row>
    <row r="858" spans="1:19" s="20" customFormat="1" ht="21.75" hidden="1" customHeight="1" x14ac:dyDescent="0.2">
      <c r="A858" s="16" t="s">
        <v>1760</v>
      </c>
      <c r="B858" s="16" t="s">
        <v>73</v>
      </c>
      <c r="C858" s="18">
        <v>46077</v>
      </c>
      <c r="D858" s="21">
        <v>48</v>
      </c>
      <c r="E858" s="19">
        <v>2</v>
      </c>
      <c r="F858" s="16" t="s">
        <v>18</v>
      </c>
      <c r="G858" s="16" t="s">
        <v>109</v>
      </c>
      <c r="H858" s="26" t="s">
        <v>1544</v>
      </c>
      <c r="I858" s="16" t="s">
        <v>1766</v>
      </c>
      <c r="J858" s="17">
        <v>10459781345</v>
      </c>
      <c r="K858" s="16" t="s">
        <v>73</v>
      </c>
      <c r="L858" s="16" t="s">
        <v>1783</v>
      </c>
      <c r="M858" s="16" t="s">
        <v>75</v>
      </c>
      <c r="N858" s="11"/>
      <c r="O858" s="11"/>
      <c r="P858" s="26" t="s">
        <v>1579</v>
      </c>
      <c r="Q858" s="26" t="s">
        <v>1777</v>
      </c>
      <c r="R858" s="16" t="s">
        <v>142</v>
      </c>
      <c r="S858" s="11" t="s">
        <v>1780</v>
      </c>
    </row>
    <row r="859" spans="1:19" s="20" customFormat="1" ht="21.75" hidden="1" customHeight="1" x14ac:dyDescent="0.2">
      <c r="A859" s="16" t="s">
        <v>1760</v>
      </c>
      <c r="B859" s="16" t="s">
        <v>73</v>
      </c>
      <c r="C859" s="18">
        <v>46077</v>
      </c>
      <c r="D859" s="21">
        <v>48</v>
      </c>
      <c r="E859" s="19">
        <v>1</v>
      </c>
      <c r="F859" s="16" t="s">
        <v>1546</v>
      </c>
      <c r="G859" s="16" t="s">
        <v>1549</v>
      </c>
      <c r="H859" s="16" t="s">
        <v>1544</v>
      </c>
      <c r="I859" s="16" t="s">
        <v>1766</v>
      </c>
      <c r="J859" s="17">
        <v>10459781345</v>
      </c>
      <c r="K859" s="16" t="s">
        <v>73</v>
      </c>
      <c r="L859" s="16" t="s">
        <v>1783</v>
      </c>
      <c r="M859" s="16" t="s">
        <v>75</v>
      </c>
      <c r="N859" s="11"/>
      <c r="O859" s="11"/>
      <c r="P859" s="16" t="s">
        <v>1579</v>
      </c>
      <c r="Q859" s="16" t="s">
        <v>1777</v>
      </c>
      <c r="R859" s="16" t="s">
        <v>142</v>
      </c>
      <c r="S859" s="11" t="s">
        <v>1780</v>
      </c>
    </row>
    <row r="860" spans="1:19" s="20" customFormat="1" ht="21.75" hidden="1" customHeight="1" x14ac:dyDescent="0.2">
      <c r="A860" s="84" t="s">
        <v>1761</v>
      </c>
      <c r="B860" s="16" t="s">
        <v>73</v>
      </c>
      <c r="C860" s="18">
        <v>46113</v>
      </c>
      <c r="D860" s="21">
        <v>8</v>
      </c>
      <c r="E860" s="205">
        <v>1</v>
      </c>
      <c r="F860" s="16" t="s">
        <v>901</v>
      </c>
      <c r="G860" s="16" t="s">
        <v>918</v>
      </c>
      <c r="H860" s="26" t="s">
        <v>1544</v>
      </c>
      <c r="I860" s="16" t="s">
        <v>1766</v>
      </c>
      <c r="J860" s="17">
        <v>10459781345</v>
      </c>
      <c r="K860" s="23">
        <v>930247030</v>
      </c>
      <c r="L860" s="113" t="s">
        <v>1783</v>
      </c>
      <c r="M860" s="26" t="s">
        <v>75</v>
      </c>
      <c r="N860" s="11"/>
      <c r="O860" s="11"/>
      <c r="P860" s="26" t="s">
        <v>2142</v>
      </c>
      <c r="Q860" s="26" t="s">
        <v>2143</v>
      </c>
      <c r="R860" s="16" t="s">
        <v>142</v>
      </c>
      <c r="S860" s="11"/>
    </row>
    <row r="861" spans="1:19" s="20" customFormat="1" ht="21.75" hidden="1" customHeight="1" x14ac:dyDescent="0.2">
      <c r="A861" s="84" t="s">
        <v>1761</v>
      </c>
      <c r="B861" s="16" t="s">
        <v>73</v>
      </c>
      <c r="C861" s="18">
        <v>46113</v>
      </c>
      <c r="D861" s="21">
        <v>8</v>
      </c>
      <c r="E861" s="206"/>
      <c r="F861" s="16" t="s">
        <v>902</v>
      </c>
      <c r="G861" s="16" t="s">
        <v>919</v>
      </c>
      <c r="H861" s="26" t="s">
        <v>1544</v>
      </c>
      <c r="I861" s="16" t="s">
        <v>1766</v>
      </c>
      <c r="J861" s="17">
        <v>10459781345</v>
      </c>
      <c r="K861" s="23">
        <v>930247030</v>
      </c>
      <c r="L861" s="113" t="s">
        <v>1783</v>
      </c>
      <c r="M861" s="26" t="s">
        <v>75</v>
      </c>
      <c r="N861" s="11"/>
      <c r="O861" s="11"/>
      <c r="P861" s="26" t="s">
        <v>2142</v>
      </c>
      <c r="Q861" s="26" t="s">
        <v>2143</v>
      </c>
      <c r="R861" s="16" t="s">
        <v>142</v>
      </c>
      <c r="S861" s="11"/>
    </row>
    <row r="862" spans="1:19" s="20" customFormat="1" ht="21.75" hidden="1" customHeight="1" x14ac:dyDescent="0.2">
      <c r="A862" s="84" t="s">
        <v>1761</v>
      </c>
      <c r="B862" s="16" t="s">
        <v>73</v>
      </c>
      <c r="C862" s="18">
        <v>46113</v>
      </c>
      <c r="D862" s="21">
        <v>8</v>
      </c>
      <c r="E862" s="206"/>
      <c r="F862" s="16" t="s">
        <v>903</v>
      </c>
      <c r="G862" s="16" t="s">
        <v>920</v>
      </c>
      <c r="H862" s="26" t="s">
        <v>1544</v>
      </c>
      <c r="I862" s="16" t="s">
        <v>1766</v>
      </c>
      <c r="J862" s="17">
        <v>10459781345</v>
      </c>
      <c r="K862" s="23">
        <v>930247030</v>
      </c>
      <c r="L862" s="113" t="s">
        <v>1783</v>
      </c>
      <c r="M862" s="26" t="s">
        <v>75</v>
      </c>
      <c r="N862" s="11"/>
      <c r="O862" s="11"/>
      <c r="P862" s="26" t="s">
        <v>2142</v>
      </c>
      <c r="Q862" s="26" t="s">
        <v>2143</v>
      </c>
      <c r="R862" s="16" t="s">
        <v>142</v>
      </c>
      <c r="S862" s="11"/>
    </row>
    <row r="863" spans="1:19" s="20" customFormat="1" ht="21.75" hidden="1" customHeight="1" x14ac:dyDescent="0.2">
      <c r="A863" s="84" t="s">
        <v>1761</v>
      </c>
      <c r="B863" s="16" t="s">
        <v>73</v>
      </c>
      <c r="C863" s="18">
        <v>46113</v>
      </c>
      <c r="D863" s="21">
        <v>8</v>
      </c>
      <c r="E863" s="207"/>
      <c r="F863" s="16" t="s">
        <v>900</v>
      </c>
      <c r="G863" s="16" t="s">
        <v>917</v>
      </c>
      <c r="H863" s="26" t="s">
        <v>1544</v>
      </c>
      <c r="I863" s="16" t="s">
        <v>1766</v>
      </c>
      <c r="J863" s="17">
        <v>10459781345</v>
      </c>
      <c r="K863" s="23">
        <v>930247030</v>
      </c>
      <c r="L863" s="113" t="s">
        <v>1783</v>
      </c>
      <c r="M863" s="26" t="s">
        <v>75</v>
      </c>
      <c r="N863" s="11"/>
      <c r="O863" s="11"/>
      <c r="P863" s="26" t="s">
        <v>2142</v>
      </c>
      <c r="Q863" s="26" t="s">
        <v>2143</v>
      </c>
      <c r="R863" s="16" t="s">
        <v>142</v>
      </c>
      <c r="S863" s="11"/>
    </row>
    <row r="864" spans="1:19" s="20" customFormat="1" ht="21.75" hidden="1" customHeight="1" x14ac:dyDescent="0.2">
      <c r="A864" s="84" t="s">
        <v>1762</v>
      </c>
      <c r="B864" s="16" t="s">
        <v>73</v>
      </c>
      <c r="C864" s="18">
        <v>46113</v>
      </c>
      <c r="D864" s="21">
        <v>2</v>
      </c>
      <c r="E864" s="205">
        <v>5</v>
      </c>
      <c r="F864" s="16" t="s">
        <v>906</v>
      </c>
      <c r="G864" s="16" t="s">
        <v>923</v>
      </c>
      <c r="H864" s="26" t="s">
        <v>1544</v>
      </c>
      <c r="I864" s="16" t="s">
        <v>1767</v>
      </c>
      <c r="J864" s="17">
        <v>10040679125</v>
      </c>
      <c r="K864" s="23" t="s">
        <v>1579</v>
      </c>
      <c r="L864" s="26" t="s">
        <v>2144</v>
      </c>
      <c r="M864" s="26" t="s">
        <v>662</v>
      </c>
      <c r="N864" s="11"/>
      <c r="O864" s="11"/>
      <c r="P864" s="26" t="s">
        <v>1579</v>
      </c>
      <c r="Q864" s="26" t="s">
        <v>1777</v>
      </c>
      <c r="R864" s="16" t="s">
        <v>142</v>
      </c>
      <c r="S864" s="11"/>
    </row>
    <row r="865" spans="1:19" s="20" customFormat="1" ht="21.75" hidden="1" customHeight="1" x14ac:dyDescent="0.2">
      <c r="A865" s="84" t="s">
        <v>1762</v>
      </c>
      <c r="B865" s="16" t="s">
        <v>73</v>
      </c>
      <c r="C865" s="18">
        <v>46113</v>
      </c>
      <c r="D865" s="21">
        <v>2</v>
      </c>
      <c r="E865" s="206"/>
      <c r="F865" s="16" t="s">
        <v>907</v>
      </c>
      <c r="G865" s="16" t="s">
        <v>924</v>
      </c>
      <c r="H865" s="26" t="s">
        <v>1544</v>
      </c>
      <c r="I865" s="16" t="s">
        <v>1767</v>
      </c>
      <c r="J865" s="17">
        <v>10040679125</v>
      </c>
      <c r="K865" s="23" t="s">
        <v>1579</v>
      </c>
      <c r="L865" s="26" t="s">
        <v>2144</v>
      </c>
      <c r="M865" s="26" t="s">
        <v>662</v>
      </c>
      <c r="N865" s="11"/>
      <c r="O865" s="11"/>
      <c r="P865" s="26" t="s">
        <v>1579</v>
      </c>
      <c r="Q865" s="26" t="s">
        <v>1777</v>
      </c>
      <c r="R865" s="16" t="s">
        <v>142</v>
      </c>
      <c r="S865" s="11"/>
    </row>
    <row r="866" spans="1:19" s="20" customFormat="1" ht="21.75" hidden="1" customHeight="1" x14ac:dyDescent="0.2">
      <c r="A866" s="84" t="s">
        <v>1762</v>
      </c>
      <c r="B866" s="16" t="s">
        <v>73</v>
      </c>
      <c r="C866" s="18">
        <v>46113</v>
      </c>
      <c r="D866" s="21">
        <v>1</v>
      </c>
      <c r="E866" s="206"/>
      <c r="F866" s="16" t="s">
        <v>908</v>
      </c>
      <c r="G866" s="16" t="s">
        <v>925</v>
      </c>
      <c r="H866" s="26" t="s">
        <v>1544</v>
      </c>
      <c r="I866" s="16" t="s">
        <v>1767</v>
      </c>
      <c r="J866" s="17">
        <v>10040679125</v>
      </c>
      <c r="K866" s="23" t="s">
        <v>1579</v>
      </c>
      <c r="L866" s="26" t="s">
        <v>2144</v>
      </c>
      <c r="M866" s="26" t="s">
        <v>662</v>
      </c>
      <c r="N866" s="11"/>
      <c r="O866" s="11"/>
      <c r="P866" s="26" t="s">
        <v>1579</v>
      </c>
      <c r="Q866" s="26" t="s">
        <v>1777</v>
      </c>
      <c r="R866" s="16" t="s">
        <v>142</v>
      </c>
      <c r="S866" s="11"/>
    </row>
    <row r="867" spans="1:19" s="20" customFormat="1" ht="21.75" hidden="1" customHeight="1" x14ac:dyDescent="0.2">
      <c r="A867" s="84" t="s">
        <v>1762</v>
      </c>
      <c r="B867" s="16" t="s">
        <v>73</v>
      </c>
      <c r="C867" s="18">
        <v>46113</v>
      </c>
      <c r="D867" s="21">
        <v>1</v>
      </c>
      <c r="E867" s="206"/>
      <c r="F867" s="16" t="s">
        <v>909</v>
      </c>
      <c r="G867" s="16" t="s">
        <v>926</v>
      </c>
      <c r="H867" s="26" t="s">
        <v>1544</v>
      </c>
      <c r="I867" s="16" t="s">
        <v>1767</v>
      </c>
      <c r="J867" s="17">
        <v>10040679125</v>
      </c>
      <c r="K867" s="23" t="s">
        <v>1579</v>
      </c>
      <c r="L867" s="26" t="s">
        <v>2144</v>
      </c>
      <c r="M867" s="26" t="s">
        <v>662</v>
      </c>
      <c r="N867" s="11"/>
      <c r="O867" s="11"/>
      <c r="P867" s="26" t="s">
        <v>1579</v>
      </c>
      <c r="Q867" s="26" t="s">
        <v>1777</v>
      </c>
      <c r="R867" s="16" t="s">
        <v>142</v>
      </c>
      <c r="S867" s="11"/>
    </row>
    <row r="868" spans="1:19" s="20" customFormat="1" ht="21.75" hidden="1" customHeight="1" x14ac:dyDescent="0.2">
      <c r="A868" s="84" t="s">
        <v>1762</v>
      </c>
      <c r="B868" s="16" t="s">
        <v>73</v>
      </c>
      <c r="C868" s="18">
        <v>46113</v>
      </c>
      <c r="D868" s="21">
        <v>1</v>
      </c>
      <c r="E868" s="206"/>
      <c r="F868" s="16" t="s">
        <v>1769</v>
      </c>
      <c r="G868" s="16" t="s">
        <v>1772</v>
      </c>
      <c r="H868" s="26" t="s">
        <v>1544</v>
      </c>
      <c r="I868" s="16" t="s">
        <v>1767</v>
      </c>
      <c r="J868" s="17">
        <v>10040679125</v>
      </c>
      <c r="K868" s="23" t="s">
        <v>1579</v>
      </c>
      <c r="L868" s="26" t="s">
        <v>2144</v>
      </c>
      <c r="M868" s="26" t="s">
        <v>662</v>
      </c>
      <c r="N868" s="11"/>
      <c r="O868" s="11"/>
      <c r="P868" s="26" t="s">
        <v>1579</v>
      </c>
      <c r="Q868" s="26" t="s">
        <v>1777</v>
      </c>
      <c r="R868" s="16" t="s">
        <v>142</v>
      </c>
      <c r="S868" s="11"/>
    </row>
    <row r="869" spans="1:19" s="20" customFormat="1" ht="21.75" hidden="1" customHeight="1" x14ac:dyDescent="0.2">
      <c r="A869" s="84" t="s">
        <v>1762</v>
      </c>
      <c r="B869" s="16" t="s">
        <v>73</v>
      </c>
      <c r="C869" s="18">
        <v>46113</v>
      </c>
      <c r="D869" s="21">
        <v>1</v>
      </c>
      <c r="E869" s="206"/>
      <c r="F869" s="16" t="s">
        <v>1770</v>
      </c>
      <c r="G869" s="16" t="s">
        <v>1773</v>
      </c>
      <c r="H869" s="26" t="s">
        <v>1544</v>
      </c>
      <c r="I869" s="16" t="s">
        <v>1767</v>
      </c>
      <c r="J869" s="17">
        <v>10040679125</v>
      </c>
      <c r="K869" s="23" t="s">
        <v>1579</v>
      </c>
      <c r="L869" s="26" t="s">
        <v>2144</v>
      </c>
      <c r="M869" s="26" t="s">
        <v>662</v>
      </c>
      <c r="N869" s="11"/>
      <c r="O869" s="11"/>
      <c r="P869" s="26" t="s">
        <v>1579</v>
      </c>
      <c r="Q869" s="26" t="s">
        <v>1777</v>
      </c>
      <c r="R869" s="16" t="s">
        <v>142</v>
      </c>
      <c r="S869" s="11"/>
    </row>
    <row r="870" spans="1:19" s="20" customFormat="1" ht="21.75" hidden="1" customHeight="1" x14ac:dyDescent="0.2">
      <c r="A870" s="84" t="s">
        <v>1762</v>
      </c>
      <c r="B870" s="16" t="s">
        <v>73</v>
      </c>
      <c r="C870" s="18">
        <v>46113</v>
      </c>
      <c r="D870" s="21">
        <v>1</v>
      </c>
      <c r="E870" s="206"/>
      <c r="F870" s="16" t="s">
        <v>910</v>
      </c>
      <c r="G870" s="16" t="s">
        <v>927</v>
      </c>
      <c r="H870" s="26" t="s">
        <v>1544</v>
      </c>
      <c r="I870" s="16" t="s">
        <v>1767</v>
      </c>
      <c r="J870" s="17">
        <v>10040679125</v>
      </c>
      <c r="K870" s="23" t="s">
        <v>1579</v>
      </c>
      <c r="L870" s="26" t="s">
        <v>2144</v>
      </c>
      <c r="M870" s="26" t="s">
        <v>662</v>
      </c>
      <c r="N870" s="11"/>
      <c r="O870" s="11"/>
      <c r="P870" s="26" t="s">
        <v>1579</v>
      </c>
      <c r="Q870" s="26" t="s">
        <v>1777</v>
      </c>
      <c r="R870" s="16" t="s">
        <v>142</v>
      </c>
      <c r="S870" s="11"/>
    </row>
    <row r="871" spans="1:19" s="20" customFormat="1" ht="21.75" hidden="1" customHeight="1" x14ac:dyDescent="0.2">
      <c r="A871" s="84" t="s">
        <v>1762</v>
      </c>
      <c r="B871" s="16" t="s">
        <v>73</v>
      </c>
      <c r="C871" s="18">
        <v>46113</v>
      </c>
      <c r="D871" s="21">
        <v>1</v>
      </c>
      <c r="E871" s="206"/>
      <c r="F871" s="16" t="s">
        <v>1771</v>
      </c>
      <c r="G871" s="16" t="s">
        <v>1774</v>
      </c>
      <c r="H871" s="26" t="s">
        <v>1544</v>
      </c>
      <c r="I871" s="16" t="s">
        <v>1767</v>
      </c>
      <c r="J871" s="17">
        <v>10040679125</v>
      </c>
      <c r="K871" s="23" t="s">
        <v>1579</v>
      </c>
      <c r="L871" s="26" t="s">
        <v>2144</v>
      </c>
      <c r="M871" s="26" t="s">
        <v>662</v>
      </c>
      <c r="N871" s="11"/>
      <c r="O871" s="11"/>
      <c r="P871" s="26" t="s">
        <v>1579</v>
      </c>
      <c r="Q871" s="26" t="s">
        <v>1777</v>
      </c>
      <c r="R871" s="16" t="s">
        <v>142</v>
      </c>
      <c r="S871" s="11"/>
    </row>
    <row r="872" spans="1:19" s="20" customFormat="1" ht="21.75" hidden="1" customHeight="1" x14ac:dyDescent="0.2">
      <c r="A872" s="84" t="s">
        <v>1762</v>
      </c>
      <c r="B872" s="16" t="s">
        <v>73</v>
      </c>
      <c r="C872" s="18">
        <v>46113</v>
      </c>
      <c r="D872" s="21">
        <v>6</v>
      </c>
      <c r="E872" s="206"/>
      <c r="F872" s="16" t="s">
        <v>1301</v>
      </c>
      <c r="G872" s="16" t="s">
        <v>1307</v>
      </c>
      <c r="H872" s="26" t="s">
        <v>1544</v>
      </c>
      <c r="I872" s="16" t="s">
        <v>1767</v>
      </c>
      <c r="J872" s="17">
        <v>10040679125</v>
      </c>
      <c r="K872" s="23" t="s">
        <v>1579</v>
      </c>
      <c r="L872" s="26" t="s">
        <v>2144</v>
      </c>
      <c r="M872" s="26" t="s">
        <v>662</v>
      </c>
      <c r="N872" s="11"/>
      <c r="O872" s="11"/>
      <c r="P872" s="26" t="s">
        <v>1579</v>
      </c>
      <c r="Q872" s="26" t="s">
        <v>1777</v>
      </c>
      <c r="R872" s="16" t="s">
        <v>142</v>
      </c>
      <c r="S872" s="11"/>
    </row>
    <row r="873" spans="1:19" s="20" customFormat="1" ht="21.75" hidden="1" customHeight="1" x14ac:dyDescent="0.2">
      <c r="A873" s="84" t="s">
        <v>1762</v>
      </c>
      <c r="B873" s="16" t="s">
        <v>73</v>
      </c>
      <c r="C873" s="18">
        <v>46113</v>
      </c>
      <c r="D873" s="21">
        <v>8</v>
      </c>
      <c r="E873" s="206"/>
      <c r="F873" s="16" t="s">
        <v>901</v>
      </c>
      <c r="G873" s="16" t="s">
        <v>918</v>
      </c>
      <c r="H873" s="26" t="s">
        <v>1544</v>
      </c>
      <c r="I873" s="16" t="s">
        <v>1767</v>
      </c>
      <c r="J873" s="17">
        <v>10040679125</v>
      </c>
      <c r="K873" s="23" t="s">
        <v>1579</v>
      </c>
      <c r="L873" s="26" t="s">
        <v>2144</v>
      </c>
      <c r="M873" s="26" t="s">
        <v>662</v>
      </c>
      <c r="N873" s="11"/>
      <c r="O873" s="11"/>
      <c r="P873" s="26" t="s">
        <v>1579</v>
      </c>
      <c r="Q873" s="26" t="s">
        <v>1777</v>
      </c>
      <c r="R873" s="16" t="s">
        <v>142</v>
      </c>
      <c r="S873" s="11"/>
    </row>
    <row r="874" spans="1:19" s="20" customFormat="1" ht="21.75" hidden="1" customHeight="1" x14ac:dyDescent="0.2">
      <c r="A874" s="84" t="s">
        <v>1762</v>
      </c>
      <c r="B874" s="16" t="s">
        <v>73</v>
      </c>
      <c r="C874" s="18">
        <v>46113</v>
      </c>
      <c r="D874" s="21">
        <v>8</v>
      </c>
      <c r="E874" s="206"/>
      <c r="F874" s="16" t="s">
        <v>902</v>
      </c>
      <c r="G874" s="16" t="s">
        <v>919</v>
      </c>
      <c r="H874" s="26" t="s">
        <v>1544</v>
      </c>
      <c r="I874" s="16" t="s">
        <v>1767</v>
      </c>
      <c r="J874" s="17">
        <v>10040679125</v>
      </c>
      <c r="K874" s="23" t="s">
        <v>1579</v>
      </c>
      <c r="L874" s="26" t="s">
        <v>2144</v>
      </c>
      <c r="M874" s="26" t="s">
        <v>662</v>
      </c>
      <c r="N874" s="11"/>
      <c r="O874" s="11"/>
      <c r="P874" s="26" t="s">
        <v>1579</v>
      </c>
      <c r="Q874" s="26" t="s">
        <v>1777</v>
      </c>
      <c r="R874" s="16" t="s">
        <v>142</v>
      </c>
      <c r="S874" s="11"/>
    </row>
    <row r="875" spans="1:19" s="20" customFormat="1" ht="21.75" hidden="1" customHeight="1" x14ac:dyDescent="0.2">
      <c r="A875" s="84" t="s">
        <v>1762</v>
      </c>
      <c r="B875" s="16" t="s">
        <v>73</v>
      </c>
      <c r="C875" s="18">
        <v>46113</v>
      </c>
      <c r="D875" s="21">
        <v>8</v>
      </c>
      <c r="E875" s="206"/>
      <c r="F875" s="16" t="s">
        <v>903</v>
      </c>
      <c r="G875" s="16" t="s">
        <v>920</v>
      </c>
      <c r="H875" s="26" t="s">
        <v>1544</v>
      </c>
      <c r="I875" s="16" t="s">
        <v>1767</v>
      </c>
      <c r="J875" s="17">
        <v>10040679125</v>
      </c>
      <c r="K875" s="23" t="s">
        <v>1579</v>
      </c>
      <c r="L875" s="26" t="s">
        <v>2144</v>
      </c>
      <c r="M875" s="26" t="s">
        <v>662</v>
      </c>
      <c r="N875" s="11"/>
      <c r="O875" s="11"/>
      <c r="P875" s="26" t="s">
        <v>1579</v>
      </c>
      <c r="Q875" s="26" t="s">
        <v>1777</v>
      </c>
      <c r="R875" s="16" t="s">
        <v>142</v>
      </c>
      <c r="S875" s="11"/>
    </row>
    <row r="876" spans="1:19" s="20" customFormat="1" ht="21.75" hidden="1" customHeight="1" x14ac:dyDescent="0.2">
      <c r="A876" s="84" t="s">
        <v>1762</v>
      </c>
      <c r="B876" s="16" t="s">
        <v>73</v>
      </c>
      <c r="C876" s="18">
        <v>46113</v>
      </c>
      <c r="D876" s="21">
        <v>4</v>
      </c>
      <c r="E876" s="207"/>
      <c r="F876" s="16" t="s">
        <v>900</v>
      </c>
      <c r="G876" s="16" t="s">
        <v>917</v>
      </c>
      <c r="H876" s="26" t="s">
        <v>1544</v>
      </c>
      <c r="I876" s="16" t="s">
        <v>1767</v>
      </c>
      <c r="J876" s="17">
        <v>10040679125</v>
      </c>
      <c r="K876" s="23" t="s">
        <v>1579</v>
      </c>
      <c r="L876" s="26" t="s">
        <v>2144</v>
      </c>
      <c r="M876" s="26" t="s">
        <v>662</v>
      </c>
      <c r="N876" s="11"/>
      <c r="O876" s="11"/>
      <c r="P876" s="26" t="s">
        <v>1579</v>
      </c>
      <c r="Q876" s="26" t="s">
        <v>1777</v>
      </c>
      <c r="R876" s="16" t="s">
        <v>142</v>
      </c>
      <c r="S876" s="11"/>
    </row>
    <row r="877" spans="1:19" s="20" customFormat="1" ht="21.75" hidden="1" customHeight="1" x14ac:dyDescent="0.2">
      <c r="A877" s="16" t="s">
        <v>1763</v>
      </c>
      <c r="B877" s="17" t="s">
        <v>73</v>
      </c>
      <c r="C877" s="18">
        <v>46076</v>
      </c>
      <c r="D877" s="21">
        <v>18</v>
      </c>
      <c r="E877" s="19">
        <v>6</v>
      </c>
      <c r="F877" s="16" t="s">
        <v>362</v>
      </c>
      <c r="G877" s="16" t="s">
        <v>374</v>
      </c>
      <c r="H877" s="16" t="s">
        <v>1650</v>
      </c>
      <c r="I877" s="16" t="s">
        <v>380</v>
      </c>
      <c r="J877" s="17">
        <v>10009600111</v>
      </c>
      <c r="K877" s="26" t="s">
        <v>73</v>
      </c>
      <c r="L877" s="70" t="s">
        <v>960</v>
      </c>
      <c r="M877" s="70" t="s">
        <v>960</v>
      </c>
      <c r="N877" s="11"/>
      <c r="O877" s="11"/>
      <c r="P877" s="16" t="s">
        <v>1579</v>
      </c>
      <c r="Q877" s="70" t="s">
        <v>1332</v>
      </c>
      <c r="R877" s="16" t="s">
        <v>397</v>
      </c>
      <c r="S877" s="11" t="s">
        <v>1782</v>
      </c>
    </row>
    <row r="878" spans="1:19" s="20" customFormat="1" ht="21.75" hidden="1" customHeight="1" x14ac:dyDescent="0.2">
      <c r="A878" s="16" t="s">
        <v>1764</v>
      </c>
      <c r="B878" s="16" t="s">
        <v>73</v>
      </c>
      <c r="C878" s="18">
        <v>46078</v>
      </c>
      <c r="D878" s="21">
        <v>360</v>
      </c>
      <c r="E878" s="19">
        <v>30</v>
      </c>
      <c r="F878" s="16" t="s">
        <v>1690</v>
      </c>
      <c r="G878" s="16" t="s">
        <v>1691</v>
      </c>
      <c r="H878" s="26" t="s">
        <v>1650</v>
      </c>
      <c r="I878" s="16" t="s">
        <v>1768</v>
      </c>
      <c r="J878" s="17">
        <v>20600893735</v>
      </c>
      <c r="K878" s="16" t="s">
        <v>1788</v>
      </c>
      <c r="L878" s="16" t="s">
        <v>1787</v>
      </c>
      <c r="M878" s="16" t="s">
        <v>420</v>
      </c>
      <c r="N878" s="11"/>
      <c r="O878" s="11"/>
      <c r="P878" s="16" t="s">
        <v>1784</v>
      </c>
      <c r="Q878" s="16" t="s">
        <v>1785</v>
      </c>
      <c r="R878" s="16" t="s">
        <v>396</v>
      </c>
      <c r="S878" s="11" t="s">
        <v>1786</v>
      </c>
    </row>
    <row r="879" spans="1:19" s="20" customFormat="1" ht="21.75" hidden="1" customHeight="1" x14ac:dyDescent="0.2">
      <c r="A879" s="16" t="s">
        <v>1764</v>
      </c>
      <c r="B879" s="16" t="s">
        <v>73</v>
      </c>
      <c r="C879" s="18">
        <v>46078</v>
      </c>
      <c r="D879" s="68">
        <v>1763</v>
      </c>
      <c r="E879" s="19">
        <v>74</v>
      </c>
      <c r="F879" s="16" t="s">
        <v>153</v>
      </c>
      <c r="G879" s="16" t="s">
        <v>124</v>
      </c>
      <c r="H879" s="26" t="s">
        <v>1650</v>
      </c>
      <c r="I879" s="16" t="s">
        <v>1768</v>
      </c>
      <c r="J879" s="17">
        <v>20600893735</v>
      </c>
      <c r="K879" s="16" t="s">
        <v>1788</v>
      </c>
      <c r="L879" s="16" t="s">
        <v>1787</v>
      </c>
      <c r="M879" s="16" t="s">
        <v>420</v>
      </c>
      <c r="N879" s="11"/>
      <c r="O879" s="11"/>
      <c r="P879" s="16" t="s">
        <v>1784</v>
      </c>
      <c r="Q879" s="16" t="s">
        <v>1785</v>
      </c>
      <c r="R879" s="16" t="s">
        <v>396</v>
      </c>
      <c r="S879" s="11" t="s">
        <v>1786</v>
      </c>
    </row>
    <row r="880" spans="1:19" s="20" customFormat="1" ht="21.75" hidden="1" customHeight="1" x14ac:dyDescent="0.2">
      <c r="A880" s="16" t="s">
        <v>1764</v>
      </c>
      <c r="B880" s="16" t="s">
        <v>73</v>
      </c>
      <c r="C880" s="18">
        <v>46078</v>
      </c>
      <c r="D880" s="21">
        <v>360</v>
      </c>
      <c r="E880" s="19">
        <f>360/12</f>
        <v>30</v>
      </c>
      <c r="F880" s="16" t="s">
        <v>952</v>
      </c>
      <c r="G880" s="16" t="s">
        <v>954</v>
      </c>
      <c r="H880" s="16" t="s">
        <v>1650</v>
      </c>
      <c r="I880" s="16" t="s">
        <v>1768</v>
      </c>
      <c r="J880" s="17">
        <v>20600893735</v>
      </c>
      <c r="K880" s="16" t="s">
        <v>1788</v>
      </c>
      <c r="L880" s="16" t="s">
        <v>1787</v>
      </c>
      <c r="M880" s="16" t="s">
        <v>420</v>
      </c>
      <c r="N880" s="11"/>
      <c r="O880" s="11"/>
      <c r="P880" s="16" t="s">
        <v>1784</v>
      </c>
      <c r="Q880" s="16" t="s">
        <v>1785</v>
      </c>
      <c r="R880" s="16" t="s">
        <v>396</v>
      </c>
      <c r="S880" s="11" t="s">
        <v>1786</v>
      </c>
    </row>
    <row r="881" spans="1:19" s="20" customFormat="1" ht="21.75" hidden="1" customHeight="1" x14ac:dyDescent="0.2">
      <c r="A881" s="16" t="s">
        <v>1789</v>
      </c>
      <c r="B881" s="17" t="s">
        <v>73</v>
      </c>
      <c r="C881" s="18">
        <v>46079</v>
      </c>
      <c r="D881" s="21">
        <v>36</v>
      </c>
      <c r="E881" s="19">
        <v>3</v>
      </c>
      <c r="F881" s="16" t="s">
        <v>1793</v>
      </c>
      <c r="G881" s="16" t="s">
        <v>1794</v>
      </c>
      <c r="H881" s="16" t="s">
        <v>76</v>
      </c>
      <c r="I881" s="16" t="s">
        <v>1792</v>
      </c>
      <c r="J881" s="17">
        <v>10096432670</v>
      </c>
      <c r="K881" s="99">
        <v>978615250</v>
      </c>
      <c r="L881" s="16" t="s">
        <v>1796</v>
      </c>
      <c r="M881" s="16" t="s">
        <v>1060</v>
      </c>
      <c r="N881" s="11"/>
      <c r="O881" s="11"/>
      <c r="P881" s="16" t="s">
        <v>1673</v>
      </c>
      <c r="Q881" s="16" t="s">
        <v>73</v>
      </c>
      <c r="R881" s="16" t="s">
        <v>933</v>
      </c>
      <c r="S881" s="11" t="s">
        <v>1800</v>
      </c>
    </row>
    <row r="882" spans="1:19" s="20" customFormat="1" ht="21.75" hidden="1" customHeight="1" x14ac:dyDescent="0.2">
      <c r="A882" s="16" t="s">
        <v>1790</v>
      </c>
      <c r="B882" s="17">
        <v>13659347</v>
      </c>
      <c r="C882" s="18">
        <v>46081</v>
      </c>
      <c r="D882" s="21">
        <v>48</v>
      </c>
      <c r="E882" s="19">
        <v>2</v>
      </c>
      <c r="F882" s="16" t="s">
        <v>18</v>
      </c>
      <c r="G882" s="16" t="s">
        <v>109</v>
      </c>
      <c r="H882" s="16" t="s">
        <v>76</v>
      </c>
      <c r="I882" s="16" t="s">
        <v>134</v>
      </c>
      <c r="J882" s="17">
        <v>20100070970</v>
      </c>
      <c r="K882" s="16" t="s">
        <v>73</v>
      </c>
      <c r="L882" s="16" t="s">
        <v>1632</v>
      </c>
      <c r="M882" s="16" t="s">
        <v>77</v>
      </c>
      <c r="N882" s="11"/>
      <c r="O882" s="11"/>
      <c r="P882" s="16" t="s">
        <v>236</v>
      </c>
      <c r="Q882" s="16" t="s">
        <v>1795</v>
      </c>
      <c r="R882" s="16" t="s">
        <v>143</v>
      </c>
      <c r="S882" s="11" t="s">
        <v>1814</v>
      </c>
    </row>
    <row r="883" spans="1:19" s="20" customFormat="1" ht="21.75" hidden="1" customHeight="1" x14ac:dyDescent="0.2">
      <c r="A883" s="16" t="s">
        <v>1790</v>
      </c>
      <c r="B883" s="17">
        <v>13659347</v>
      </c>
      <c r="C883" s="18">
        <v>46081</v>
      </c>
      <c r="D883" s="21">
        <v>48</v>
      </c>
      <c r="E883" s="19">
        <v>4</v>
      </c>
      <c r="F883" s="16" t="s">
        <v>19</v>
      </c>
      <c r="G883" s="16" t="s">
        <v>120</v>
      </c>
      <c r="H883" s="16" t="s">
        <v>76</v>
      </c>
      <c r="I883" s="16" t="s">
        <v>134</v>
      </c>
      <c r="J883" s="17">
        <v>20100070970</v>
      </c>
      <c r="K883" s="16" t="s">
        <v>73</v>
      </c>
      <c r="L883" s="16" t="s">
        <v>1632</v>
      </c>
      <c r="M883" s="16" t="s">
        <v>77</v>
      </c>
      <c r="N883" s="11"/>
      <c r="O883" s="11"/>
      <c r="P883" s="16" t="s">
        <v>236</v>
      </c>
      <c r="Q883" s="16" t="s">
        <v>1795</v>
      </c>
      <c r="R883" s="16" t="s">
        <v>143</v>
      </c>
      <c r="S883" s="11" t="s">
        <v>1814</v>
      </c>
    </row>
    <row r="884" spans="1:19" s="20" customFormat="1" ht="21.75" hidden="1" customHeight="1" x14ac:dyDescent="0.2">
      <c r="A884" s="16" t="s">
        <v>1790</v>
      </c>
      <c r="B884" s="17">
        <v>13659347</v>
      </c>
      <c r="C884" s="18">
        <v>46081</v>
      </c>
      <c r="D884" s="21">
        <v>12</v>
      </c>
      <c r="E884" s="19">
        <v>1</v>
      </c>
      <c r="F884" s="16" t="s">
        <v>20</v>
      </c>
      <c r="G884" s="16" t="s">
        <v>113</v>
      </c>
      <c r="H884" s="16" t="s">
        <v>76</v>
      </c>
      <c r="I884" s="16" t="s">
        <v>134</v>
      </c>
      <c r="J884" s="17">
        <v>20100070970</v>
      </c>
      <c r="K884" s="16" t="s">
        <v>73</v>
      </c>
      <c r="L884" s="16" t="s">
        <v>1632</v>
      </c>
      <c r="M884" s="16" t="s">
        <v>77</v>
      </c>
      <c r="N884" s="11"/>
      <c r="O884" s="11"/>
      <c r="P884" s="16" t="s">
        <v>236</v>
      </c>
      <c r="Q884" s="16" t="s">
        <v>1795</v>
      </c>
      <c r="R884" s="16" t="s">
        <v>143</v>
      </c>
      <c r="S884" s="11" t="s">
        <v>1814</v>
      </c>
    </row>
    <row r="885" spans="1:19" s="20" customFormat="1" ht="21.75" hidden="1" customHeight="1" x14ac:dyDescent="0.2">
      <c r="A885" s="16" t="s">
        <v>1790</v>
      </c>
      <c r="B885" s="17">
        <v>13659347</v>
      </c>
      <c r="C885" s="18">
        <v>46081</v>
      </c>
      <c r="D885" s="21">
        <v>36</v>
      </c>
      <c r="E885" s="19">
        <v>3</v>
      </c>
      <c r="F885" s="16" t="s">
        <v>21</v>
      </c>
      <c r="G885" s="16" t="s">
        <v>115</v>
      </c>
      <c r="H885" s="16" t="s">
        <v>76</v>
      </c>
      <c r="I885" s="16" t="s">
        <v>134</v>
      </c>
      <c r="J885" s="17">
        <v>20100070970</v>
      </c>
      <c r="K885" s="16" t="s">
        <v>73</v>
      </c>
      <c r="L885" s="16" t="s">
        <v>1632</v>
      </c>
      <c r="M885" s="16" t="s">
        <v>77</v>
      </c>
      <c r="N885" s="11"/>
      <c r="O885" s="11"/>
      <c r="P885" s="16" t="s">
        <v>236</v>
      </c>
      <c r="Q885" s="16" t="s">
        <v>1795</v>
      </c>
      <c r="R885" s="16" t="s">
        <v>143</v>
      </c>
      <c r="S885" s="11" t="s">
        <v>1814</v>
      </c>
    </row>
    <row r="886" spans="1:19" s="20" customFormat="1" ht="21.75" hidden="1" customHeight="1" x14ac:dyDescent="0.2">
      <c r="A886" s="16" t="s">
        <v>1790</v>
      </c>
      <c r="B886" s="17">
        <v>13659347</v>
      </c>
      <c r="C886" s="18">
        <v>46081</v>
      </c>
      <c r="D886" s="21">
        <v>144</v>
      </c>
      <c r="E886" s="19">
        <f>144/48</f>
        <v>3</v>
      </c>
      <c r="F886" s="16" t="s">
        <v>22</v>
      </c>
      <c r="G886" s="16" t="s">
        <v>108</v>
      </c>
      <c r="H886" s="16" t="s">
        <v>76</v>
      </c>
      <c r="I886" s="16" t="s">
        <v>134</v>
      </c>
      <c r="J886" s="17">
        <v>20100070970</v>
      </c>
      <c r="K886" s="16" t="s">
        <v>73</v>
      </c>
      <c r="L886" s="16" t="s">
        <v>1632</v>
      </c>
      <c r="M886" s="16" t="s">
        <v>77</v>
      </c>
      <c r="N886" s="11"/>
      <c r="O886" s="11"/>
      <c r="P886" s="16" t="s">
        <v>236</v>
      </c>
      <c r="Q886" s="16" t="s">
        <v>1795</v>
      </c>
      <c r="R886" s="16" t="s">
        <v>143</v>
      </c>
      <c r="S886" s="11" t="s">
        <v>1814</v>
      </c>
    </row>
    <row r="887" spans="1:19" s="20" customFormat="1" ht="21.75" hidden="1" customHeight="1" x14ac:dyDescent="0.2">
      <c r="A887" s="16" t="s">
        <v>1790</v>
      </c>
      <c r="B887" s="17">
        <v>13659347</v>
      </c>
      <c r="C887" s="18">
        <v>46081</v>
      </c>
      <c r="D887" s="21">
        <v>48</v>
      </c>
      <c r="E887" s="19">
        <v>4</v>
      </c>
      <c r="F887" s="16" t="s">
        <v>23</v>
      </c>
      <c r="G887" s="16" t="s">
        <v>119</v>
      </c>
      <c r="H887" s="16" t="s">
        <v>76</v>
      </c>
      <c r="I887" s="16" t="s">
        <v>134</v>
      </c>
      <c r="J887" s="17">
        <v>20100070970</v>
      </c>
      <c r="K887" s="16" t="s">
        <v>73</v>
      </c>
      <c r="L887" s="16" t="s">
        <v>1632</v>
      </c>
      <c r="M887" s="16" t="s">
        <v>77</v>
      </c>
      <c r="N887" s="11"/>
      <c r="O887" s="11"/>
      <c r="P887" s="16" t="s">
        <v>236</v>
      </c>
      <c r="Q887" s="16" t="s">
        <v>1795</v>
      </c>
      <c r="R887" s="16" t="s">
        <v>143</v>
      </c>
      <c r="S887" s="11" t="s">
        <v>1814</v>
      </c>
    </row>
    <row r="888" spans="1:19" s="20" customFormat="1" ht="21.75" hidden="1" customHeight="1" x14ac:dyDescent="0.2">
      <c r="A888" s="16" t="s">
        <v>1790</v>
      </c>
      <c r="B888" s="17">
        <v>13659347</v>
      </c>
      <c r="C888" s="18">
        <v>46081</v>
      </c>
      <c r="D888" s="21">
        <v>84</v>
      </c>
      <c r="E888" s="19">
        <v>7</v>
      </c>
      <c r="F888" s="16" t="s">
        <v>24</v>
      </c>
      <c r="G888" s="16" t="s">
        <v>112</v>
      </c>
      <c r="H888" s="16" t="s">
        <v>76</v>
      </c>
      <c r="I888" s="16" t="s">
        <v>134</v>
      </c>
      <c r="J888" s="17">
        <v>20100070970</v>
      </c>
      <c r="K888" s="16" t="s">
        <v>73</v>
      </c>
      <c r="L888" s="16" t="s">
        <v>1632</v>
      </c>
      <c r="M888" s="16" t="s">
        <v>77</v>
      </c>
      <c r="N888" s="11"/>
      <c r="O888" s="11"/>
      <c r="P888" s="16" t="s">
        <v>236</v>
      </c>
      <c r="Q888" s="16" t="s">
        <v>1795</v>
      </c>
      <c r="R888" s="16" t="s">
        <v>143</v>
      </c>
      <c r="S888" s="11" t="s">
        <v>1814</v>
      </c>
    </row>
    <row r="889" spans="1:19" s="20" customFormat="1" ht="21.75" hidden="1" customHeight="1" x14ac:dyDescent="0.2">
      <c r="A889" s="16" t="s">
        <v>1790</v>
      </c>
      <c r="B889" s="17">
        <v>13659347</v>
      </c>
      <c r="C889" s="18">
        <v>46081</v>
      </c>
      <c r="D889" s="21">
        <v>78</v>
      </c>
      <c r="E889" s="19">
        <f>78/6</f>
        <v>13</v>
      </c>
      <c r="F889" s="16" t="s">
        <v>26</v>
      </c>
      <c r="G889" s="16" t="s">
        <v>111</v>
      </c>
      <c r="H889" s="16" t="s">
        <v>76</v>
      </c>
      <c r="I889" s="16" t="s">
        <v>134</v>
      </c>
      <c r="J889" s="17">
        <v>20100070970</v>
      </c>
      <c r="K889" s="16" t="s">
        <v>73</v>
      </c>
      <c r="L889" s="16" t="s">
        <v>1632</v>
      </c>
      <c r="M889" s="16" t="s">
        <v>77</v>
      </c>
      <c r="N889" s="11"/>
      <c r="O889" s="11"/>
      <c r="P889" s="16" t="s">
        <v>236</v>
      </c>
      <c r="Q889" s="16" t="s">
        <v>1795</v>
      </c>
      <c r="R889" s="16" t="s">
        <v>143</v>
      </c>
      <c r="S889" s="11" t="s">
        <v>1814</v>
      </c>
    </row>
    <row r="890" spans="1:19" s="20" customFormat="1" ht="21.75" hidden="1" customHeight="1" x14ac:dyDescent="0.2">
      <c r="A890" s="16" t="s">
        <v>1790</v>
      </c>
      <c r="B890" s="17">
        <v>13659347</v>
      </c>
      <c r="C890" s="18">
        <v>46081</v>
      </c>
      <c r="D890" s="21">
        <v>60</v>
      </c>
      <c r="E890" s="19">
        <v>5</v>
      </c>
      <c r="F890" s="16" t="s">
        <v>27</v>
      </c>
      <c r="G890" s="16" t="s">
        <v>103</v>
      </c>
      <c r="H890" s="16" t="s">
        <v>76</v>
      </c>
      <c r="I890" s="16" t="s">
        <v>134</v>
      </c>
      <c r="J890" s="17">
        <v>20100070970</v>
      </c>
      <c r="K890" s="16" t="s">
        <v>73</v>
      </c>
      <c r="L890" s="16" t="s">
        <v>1632</v>
      </c>
      <c r="M890" s="16" t="s">
        <v>77</v>
      </c>
      <c r="N890" s="11"/>
      <c r="O890" s="11"/>
      <c r="P890" s="16" t="s">
        <v>236</v>
      </c>
      <c r="Q890" s="16" t="s">
        <v>1795</v>
      </c>
      <c r="R890" s="16" t="s">
        <v>143</v>
      </c>
      <c r="S890" s="11" t="s">
        <v>1814</v>
      </c>
    </row>
    <row r="891" spans="1:19" s="20" customFormat="1" ht="21.75" hidden="1" customHeight="1" x14ac:dyDescent="0.2">
      <c r="A891" s="16" t="s">
        <v>1791</v>
      </c>
      <c r="B891" s="16" t="s">
        <v>73</v>
      </c>
      <c r="C891" s="18">
        <v>46079</v>
      </c>
      <c r="D891" s="21">
        <v>264</v>
      </c>
      <c r="E891" s="19">
        <f>264/24</f>
        <v>11</v>
      </c>
      <c r="F891" s="16" t="s">
        <v>36</v>
      </c>
      <c r="G891" s="16" t="s">
        <v>128</v>
      </c>
      <c r="H891" s="16" t="s">
        <v>1650</v>
      </c>
      <c r="I891" s="16" t="s">
        <v>419</v>
      </c>
      <c r="J891" s="17">
        <v>10418900682</v>
      </c>
      <c r="K891" s="17" t="s">
        <v>1798</v>
      </c>
      <c r="L891" s="16" t="s">
        <v>1797</v>
      </c>
      <c r="M891" s="16" t="s">
        <v>420</v>
      </c>
      <c r="N891" s="11"/>
      <c r="O891" s="11"/>
      <c r="P891" s="16" t="s">
        <v>1801</v>
      </c>
      <c r="Q891" s="16" t="s">
        <v>1802</v>
      </c>
      <c r="R891" s="16" t="s">
        <v>396</v>
      </c>
      <c r="S891" s="11" t="s">
        <v>1799</v>
      </c>
    </row>
    <row r="892" spans="1:19" s="20" customFormat="1" ht="21.75" hidden="1" customHeight="1" x14ac:dyDescent="0.2">
      <c r="A892" s="16" t="s">
        <v>1791</v>
      </c>
      <c r="B892" s="16" t="s">
        <v>73</v>
      </c>
      <c r="C892" s="18">
        <v>46079</v>
      </c>
      <c r="D892" s="21">
        <v>24</v>
      </c>
      <c r="E892" s="19">
        <v>1</v>
      </c>
      <c r="F892" s="16" t="s">
        <v>1071</v>
      </c>
      <c r="G892" s="16" t="s">
        <v>1075</v>
      </c>
      <c r="H892" s="16" t="s">
        <v>1650</v>
      </c>
      <c r="I892" s="16" t="s">
        <v>419</v>
      </c>
      <c r="J892" s="17">
        <v>10418900682</v>
      </c>
      <c r="K892" s="17" t="s">
        <v>1798</v>
      </c>
      <c r="L892" s="16" t="s">
        <v>1797</v>
      </c>
      <c r="M892" s="16" t="s">
        <v>420</v>
      </c>
      <c r="N892" s="11"/>
      <c r="O892" s="11"/>
      <c r="P892" s="16" t="s">
        <v>1801</v>
      </c>
      <c r="Q892" s="16" t="s">
        <v>1802</v>
      </c>
      <c r="R892" s="16" t="s">
        <v>396</v>
      </c>
      <c r="S892" s="11" t="s">
        <v>1799</v>
      </c>
    </row>
    <row r="893" spans="1:19" s="20" customFormat="1" ht="21.75" hidden="1" customHeight="1" x14ac:dyDescent="0.2">
      <c r="A893" s="16" t="s">
        <v>1791</v>
      </c>
      <c r="B893" s="16" t="s">
        <v>73</v>
      </c>
      <c r="C893" s="18">
        <v>46079</v>
      </c>
      <c r="D893" s="21">
        <v>96</v>
      </c>
      <c r="E893" s="19">
        <v>2</v>
      </c>
      <c r="F893" s="16" t="s">
        <v>48</v>
      </c>
      <c r="G893" s="16" t="s">
        <v>160</v>
      </c>
      <c r="H893" s="16" t="s">
        <v>1650</v>
      </c>
      <c r="I893" s="16" t="s">
        <v>419</v>
      </c>
      <c r="J893" s="17">
        <v>10418900682</v>
      </c>
      <c r="K893" s="17" t="s">
        <v>1798</v>
      </c>
      <c r="L893" s="16" t="s">
        <v>1797</v>
      </c>
      <c r="M893" s="16" t="s">
        <v>420</v>
      </c>
      <c r="N893" s="11"/>
      <c r="O893" s="11"/>
      <c r="P893" s="16" t="s">
        <v>1801</v>
      </c>
      <c r="Q893" s="16" t="s">
        <v>1802</v>
      </c>
      <c r="R893" s="16" t="s">
        <v>396</v>
      </c>
      <c r="S893" s="11" t="s">
        <v>1799</v>
      </c>
    </row>
    <row r="894" spans="1:19" s="20" customFormat="1" ht="21.75" hidden="1" customHeight="1" x14ac:dyDescent="0.2">
      <c r="A894" s="16" t="s">
        <v>1791</v>
      </c>
      <c r="B894" s="16" t="s">
        <v>73</v>
      </c>
      <c r="C894" s="18">
        <v>46079</v>
      </c>
      <c r="D894" s="21">
        <v>96</v>
      </c>
      <c r="E894" s="19">
        <v>2</v>
      </c>
      <c r="F894" s="16" t="s">
        <v>1070</v>
      </c>
      <c r="G894" s="16" t="s">
        <v>1074</v>
      </c>
      <c r="H894" s="16" t="s">
        <v>1650</v>
      </c>
      <c r="I894" s="16" t="s">
        <v>419</v>
      </c>
      <c r="J894" s="17">
        <v>10418900682</v>
      </c>
      <c r="K894" s="17" t="s">
        <v>1798</v>
      </c>
      <c r="L894" s="16" t="s">
        <v>1797</v>
      </c>
      <c r="M894" s="16" t="s">
        <v>420</v>
      </c>
      <c r="N894" s="11"/>
      <c r="O894" s="11"/>
      <c r="P894" s="16" t="s">
        <v>1801</v>
      </c>
      <c r="Q894" s="16" t="s">
        <v>1802</v>
      </c>
      <c r="R894" s="16" t="s">
        <v>396</v>
      </c>
      <c r="S894" s="11" t="s">
        <v>1799</v>
      </c>
    </row>
    <row r="895" spans="1:19" s="20" customFormat="1" ht="21.75" hidden="1" customHeight="1" x14ac:dyDescent="0.2">
      <c r="A895" s="16" t="s">
        <v>1791</v>
      </c>
      <c r="B895" s="16" t="s">
        <v>73</v>
      </c>
      <c r="C895" s="18">
        <v>46079</v>
      </c>
      <c r="D895" s="21">
        <v>48</v>
      </c>
      <c r="E895" s="19">
        <v>4</v>
      </c>
      <c r="F895" s="16" t="s">
        <v>46</v>
      </c>
      <c r="G895" s="16" t="s">
        <v>104</v>
      </c>
      <c r="H895" s="16" t="s">
        <v>1650</v>
      </c>
      <c r="I895" s="16" t="s">
        <v>419</v>
      </c>
      <c r="J895" s="17">
        <v>10418900682</v>
      </c>
      <c r="K895" s="17" t="s">
        <v>1798</v>
      </c>
      <c r="L895" s="16" t="s">
        <v>1797</v>
      </c>
      <c r="M895" s="16" t="s">
        <v>420</v>
      </c>
      <c r="N895" s="11"/>
      <c r="O895" s="11"/>
      <c r="P895" s="16" t="s">
        <v>1801</v>
      </c>
      <c r="Q895" s="16" t="s">
        <v>1802</v>
      </c>
      <c r="R895" s="16" t="s">
        <v>396</v>
      </c>
      <c r="S895" s="11" t="s">
        <v>1799</v>
      </c>
    </row>
    <row r="896" spans="1:19" s="20" customFormat="1" ht="21.75" hidden="1" customHeight="1" x14ac:dyDescent="0.2">
      <c r="A896" s="16" t="s">
        <v>1791</v>
      </c>
      <c r="B896" s="16" t="s">
        <v>73</v>
      </c>
      <c r="C896" s="18">
        <v>46079</v>
      </c>
      <c r="D896" s="21">
        <v>24</v>
      </c>
      <c r="E896" s="19">
        <v>1</v>
      </c>
      <c r="F896" s="16" t="s">
        <v>911</v>
      </c>
      <c r="G896" s="16" t="s">
        <v>928</v>
      </c>
      <c r="H896" s="16" t="s">
        <v>1650</v>
      </c>
      <c r="I896" s="16" t="s">
        <v>419</v>
      </c>
      <c r="J896" s="17">
        <v>10418900682</v>
      </c>
      <c r="K896" s="17" t="s">
        <v>1798</v>
      </c>
      <c r="L896" s="16" t="s">
        <v>1797</v>
      </c>
      <c r="M896" s="16" t="s">
        <v>420</v>
      </c>
      <c r="N896" s="11"/>
      <c r="O896" s="11"/>
      <c r="P896" s="16" t="s">
        <v>1801</v>
      </c>
      <c r="Q896" s="16" t="s">
        <v>1802</v>
      </c>
      <c r="R896" s="16" t="s">
        <v>396</v>
      </c>
      <c r="S896" s="11" t="s">
        <v>1799</v>
      </c>
    </row>
    <row r="897" spans="1:19" s="20" customFormat="1" ht="21.75" hidden="1" customHeight="1" x14ac:dyDescent="0.2">
      <c r="A897" s="16" t="s">
        <v>1791</v>
      </c>
      <c r="B897" s="16" t="s">
        <v>73</v>
      </c>
      <c r="C897" s="18">
        <v>46079</v>
      </c>
      <c r="D897" s="21">
        <v>12</v>
      </c>
      <c r="E897" s="19">
        <v>1</v>
      </c>
      <c r="F897" s="16" t="s">
        <v>766</v>
      </c>
      <c r="G897" s="16" t="s">
        <v>780</v>
      </c>
      <c r="H897" s="16" t="s">
        <v>1650</v>
      </c>
      <c r="I897" s="16" t="s">
        <v>419</v>
      </c>
      <c r="J897" s="17">
        <v>10418900682</v>
      </c>
      <c r="K897" s="17" t="s">
        <v>1798</v>
      </c>
      <c r="L897" s="16" t="s">
        <v>1797</v>
      </c>
      <c r="M897" s="16" t="s">
        <v>420</v>
      </c>
      <c r="N897" s="11"/>
      <c r="O897" s="11"/>
      <c r="P897" s="16" t="s">
        <v>1801</v>
      </c>
      <c r="Q897" s="16" t="s">
        <v>1802</v>
      </c>
      <c r="R897" s="16" t="s">
        <v>396</v>
      </c>
      <c r="S897" s="11" t="s">
        <v>1799</v>
      </c>
    </row>
    <row r="898" spans="1:19" s="20" customFormat="1" ht="21.75" hidden="1" customHeight="1" x14ac:dyDescent="0.2">
      <c r="A898" s="16" t="s">
        <v>1803</v>
      </c>
      <c r="B898" s="17">
        <v>2146089</v>
      </c>
      <c r="C898" s="18">
        <v>46079</v>
      </c>
      <c r="D898" s="21">
        <v>12</v>
      </c>
      <c r="E898" s="19">
        <v>1</v>
      </c>
      <c r="F898" s="16" t="s">
        <v>1809</v>
      </c>
      <c r="G898" s="16" t="s">
        <v>1808</v>
      </c>
      <c r="H898" s="16" t="s">
        <v>76</v>
      </c>
      <c r="I898" s="16" t="s">
        <v>1807</v>
      </c>
      <c r="J898" s="17">
        <v>20510931514</v>
      </c>
      <c r="K898" s="17" t="s">
        <v>1805</v>
      </c>
      <c r="L898" s="16" t="s">
        <v>1806</v>
      </c>
      <c r="M898" s="16" t="s">
        <v>393</v>
      </c>
      <c r="N898" s="11"/>
      <c r="O898" s="11"/>
      <c r="P898" s="16" t="s">
        <v>1804</v>
      </c>
      <c r="Q898" s="16" t="s">
        <v>1813</v>
      </c>
      <c r="R898" s="16" t="s">
        <v>395</v>
      </c>
      <c r="S898" s="11" t="s">
        <v>1810</v>
      </c>
    </row>
    <row r="899" spans="1:19" s="20" customFormat="1" ht="21.75" hidden="1" customHeight="1" x14ac:dyDescent="0.2">
      <c r="A899" s="16" t="s">
        <v>1803</v>
      </c>
      <c r="B899" s="17">
        <v>2146089</v>
      </c>
      <c r="C899" s="18">
        <v>46079</v>
      </c>
      <c r="D899" s="21">
        <v>12</v>
      </c>
      <c r="E899" s="19">
        <v>1</v>
      </c>
      <c r="F899" s="16" t="s">
        <v>1811</v>
      </c>
      <c r="G899" s="16" t="s">
        <v>1812</v>
      </c>
      <c r="H899" s="16" t="s">
        <v>76</v>
      </c>
      <c r="I899" s="16" t="s">
        <v>1807</v>
      </c>
      <c r="J899" s="17">
        <v>20510931514</v>
      </c>
      <c r="K899" s="17" t="s">
        <v>1805</v>
      </c>
      <c r="L899" s="16" t="s">
        <v>1806</v>
      </c>
      <c r="M899" s="16" t="s">
        <v>393</v>
      </c>
      <c r="N899" s="11"/>
      <c r="O899" s="11"/>
      <c r="P899" s="16" t="s">
        <v>1804</v>
      </c>
      <c r="Q899" s="16" t="s">
        <v>1813</v>
      </c>
      <c r="R899" s="16" t="s">
        <v>395</v>
      </c>
      <c r="S899" s="11" t="s">
        <v>1810</v>
      </c>
    </row>
    <row r="900" spans="1:19" s="20" customFormat="1" ht="21.75" hidden="1" customHeight="1" x14ac:dyDescent="0.2">
      <c r="A900" s="16" t="s">
        <v>1815</v>
      </c>
      <c r="B900" s="14"/>
      <c r="C900" s="18">
        <v>46081</v>
      </c>
      <c r="D900" s="21">
        <v>240</v>
      </c>
      <c r="E900" s="19">
        <v>20</v>
      </c>
      <c r="F900" s="16" t="s">
        <v>33</v>
      </c>
      <c r="G900" s="14" t="s">
        <v>107</v>
      </c>
      <c r="H900" s="11" t="s">
        <v>1650</v>
      </c>
      <c r="I900" s="16" t="s">
        <v>1709</v>
      </c>
      <c r="J900" s="17">
        <v>20505694202</v>
      </c>
      <c r="K900" s="14">
        <v>998328225</v>
      </c>
      <c r="L900" s="11" t="s">
        <v>1710</v>
      </c>
      <c r="M900" s="16" t="s">
        <v>347</v>
      </c>
      <c r="N900" s="11"/>
      <c r="O900" s="11"/>
      <c r="P900" s="16" t="s">
        <v>1818</v>
      </c>
      <c r="Q900" s="11" t="s">
        <v>1711</v>
      </c>
      <c r="R900" s="16" t="s">
        <v>396</v>
      </c>
      <c r="S900" s="11" t="s">
        <v>1816</v>
      </c>
    </row>
    <row r="901" spans="1:19" s="20" customFormat="1" ht="21.75" hidden="1" customHeight="1" x14ac:dyDescent="0.2">
      <c r="A901" s="16" t="s">
        <v>1815</v>
      </c>
      <c r="B901" s="14"/>
      <c r="C901" s="18">
        <v>46081</v>
      </c>
      <c r="D901" s="21">
        <v>240</v>
      </c>
      <c r="E901" s="19">
        <v>20</v>
      </c>
      <c r="F901" s="16" t="s">
        <v>19</v>
      </c>
      <c r="G901" s="14" t="s">
        <v>120</v>
      </c>
      <c r="H901" s="11" t="s">
        <v>1650</v>
      </c>
      <c r="I901" s="11" t="s">
        <v>1709</v>
      </c>
      <c r="J901" s="14">
        <v>20505694202</v>
      </c>
      <c r="K901" s="14">
        <v>998328225</v>
      </c>
      <c r="L901" s="11" t="s">
        <v>1710</v>
      </c>
      <c r="M901" s="16" t="s">
        <v>347</v>
      </c>
      <c r="N901" s="11"/>
      <c r="O901" s="11"/>
      <c r="P901" s="16" t="s">
        <v>1818</v>
      </c>
      <c r="Q901" s="11" t="s">
        <v>1711</v>
      </c>
      <c r="R901" s="16" t="s">
        <v>396</v>
      </c>
      <c r="S901" s="11" t="s">
        <v>1816</v>
      </c>
    </row>
    <row r="902" spans="1:19" ht="21.75" hidden="1" customHeight="1" x14ac:dyDescent="0.25">
      <c r="A902" s="16" t="s">
        <v>1824</v>
      </c>
      <c r="B902" s="16" t="s">
        <v>1817</v>
      </c>
      <c r="C902" s="18">
        <v>46081</v>
      </c>
      <c r="D902" s="40">
        <v>8</v>
      </c>
      <c r="E902" s="19">
        <v>8</v>
      </c>
      <c r="F902" s="16" t="s">
        <v>1820</v>
      </c>
      <c r="G902" s="16" t="s">
        <v>1821</v>
      </c>
      <c r="H902" s="11" t="s">
        <v>99</v>
      </c>
      <c r="I902" s="16" t="s">
        <v>457</v>
      </c>
      <c r="J902" s="17">
        <v>20536876953</v>
      </c>
      <c r="K902" s="16" t="s">
        <v>73</v>
      </c>
      <c r="L902" s="16" t="s">
        <v>464</v>
      </c>
      <c r="M902" s="16" t="s">
        <v>472</v>
      </c>
      <c r="N902" s="11"/>
      <c r="O902" s="11"/>
      <c r="P902" s="16" t="s">
        <v>1819</v>
      </c>
      <c r="Q902" s="11"/>
      <c r="R902" s="16" t="s">
        <v>439</v>
      </c>
      <c r="S902" s="11" t="s">
        <v>1822</v>
      </c>
    </row>
    <row r="903" spans="1:19" ht="21.75" hidden="1" customHeight="1" x14ac:dyDescent="0.25">
      <c r="A903" s="16" t="s">
        <v>1698</v>
      </c>
      <c r="B903" s="16" t="s">
        <v>73</v>
      </c>
      <c r="C903" s="18">
        <v>46070</v>
      </c>
      <c r="D903" s="21">
        <v>60</v>
      </c>
      <c r="E903" s="19">
        <v>5</v>
      </c>
      <c r="F903" s="16" t="s">
        <v>157</v>
      </c>
      <c r="G903" s="16" t="s">
        <v>126</v>
      </c>
      <c r="H903" s="16" t="s">
        <v>1650</v>
      </c>
      <c r="I903" s="16" t="s">
        <v>379</v>
      </c>
      <c r="J903" s="17">
        <v>20101596363</v>
      </c>
      <c r="K903" s="16" t="s">
        <v>399</v>
      </c>
      <c r="L903" s="16" t="s">
        <v>1705</v>
      </c>
      <c r="M903" s="16" t="s">
        <v>347</v>
      </c>
      <c r="N903" s="11"/>
      <c r="O903" s="11"/>
      <c r="P903" s="16" t="s">
        <v>1712</v>
      </c>
      <c r="Q903" s="11" t="s">
        <v>1713</v>
      </c>
      <c r="R903" s="16" t="s">
        <v>396</v>
      </c>
      <c r="S903" s="11" t="s">
        <v>1717</v>
      </c>
    </row>
    <row r="904" spans="1:19" ht="21.75" hidden="1" customHeight="1" x14ac:dyDescent="0.25">
      <c r="A904" s="16" t="s">
        <v>1698</v>
      </c>
      <c r="B904" s="16" t="s">
        <v>73</v>
      </c>
      <c r="C904" s="18">
        <v>46070</v>
      </c>
      <c r="D904" s="21">
        <v>60</v>
      </c>
      <c r="E904" s="19">
        <v>5</v>
      </c>
      <c r="F904" s="16" t="s">
        <v>161</v>
      </c>
      <c r="G904" s="16" t="s">
        <v>132</v>
      </c>
      <c r="H904" s="16" t="s">
        <v>1650</v>
      </c>
      <c r="I904" s="16" t="s">
        <v>379</v>
      </c>
      <c r="J904" s="17">
        <v>20101596363</v>
      </c>
      <c r="K904" s="16" t="s">
        <v>399</v>
      </c>
      <c r="L904" s="16" t="s">
        <v>1705</v>
      </c>
      <c r="M904" s="16" t="s">
        <v>347</v>
      </c>
      <c r="N904" s="11"/>
      <c r="O904" s="11"/>
      <c r="P904" s="16" t="s">
        <v>1712</v>
      </c>
      <c r="Q904" s="11" t="s">
        <v>1713</v>
      </c>
      <c r="R904" s="16" t="s">
        <v>396</v>
      </c>
      <c r="S904" s="11" t="s">
        <v>1717</v>
      </c>
    </row>
    <row r="905" spans="1:19" ht="21.75" hidden="1" customHeight="1" x14ac:dyDescent="0.25">
      <c r="A905" s="16" t="s">
        <v>1698</v>
      </c>
      <c r="B905" s="16" t="s">
        <v>73</v>
      </c>
      <c r="C905" s="18">
        <v>46070</v>
      </c>
      <c r="D905" s="21">
        <v>48</v>
      </c>
      <c r="E905" s="19">
        <v>1</v>
      </c>
      <c r="F905" s="16" t="s">
        <v>158</v>
      </c>
      <c r="G905" s="16" t="s">
        <v>150</v>
      </c>
      <c r="H905" s="16" t="s">
        <v>1650</v>
      </c>
      <c r="I905" s="16" t="s">
        <v>379</v>
      </c>
      <c r="J905" s="17">
        <v>20101596363</v>
      </c>
      <c r="K905" s="16" t="s">
        <v>399</v>
      </c>
      <c r="L905" s="16" t="s">
        <v>1705</v>
      </c>
      <c r="M905" s="16" t="s">
        <v>347</v>
      </c>
      <c r="N905" s="11"/>
      <c r="O905" s="11"/>
      <c r="P905" s="16" t="s">
        <v>1712</v>
      </c>
      <c r="Q905" s="11" t="s">
        <v>1713</v>
      </c>
      <c r="R905" s="16" t="s">
        <v>396</v>
      </c>
      <c r="S905" s="11" t="s">
        <v>1717</v>
      </c>
    </row>
    <row r="906" spans="1:19" ht="21.75" hidden="1" customHeight="1" x14ac:dyDescent="0.25">
      <c r="A906" s="16" t="s">
        <v>1698</v>
      </c>
      <c r="B906" s="16" t="s">
        <v>73</v>
      </c>
      <c r="C906" s="18">
        <v>46070</v>
      </c>
      <c r="D906" s="21">
        <v>60</v>
      </c>
      <c r="E906" s="19">
        <v>5</v>
      </c>
      <c r="F906" s="16" t="s">
        <v>157</v>
      </c>
      <c r="G906" s="16" t="s">
        <v>126</v>
      </c>
      <c r="H906" s="16" t="s">
        <v>1650</v>
      </c>
      <c r="I906" s="16" t="s">
        <v>379</v>
      </c>
      <c r="J906" s="17">
        <v>20101596363</v>
      </c>
      <c r="K906" s="16" t="s">
        <v>399</v>
      </c>
      <c r="L906" s="16" t="s">
        <v>1705</v>
      </c>
      <c r="M906" s="16" t="s">
        <v>347</v>
      </c>
      <c r="N906" s="11"/>
      <c r="O906" s="11"/>
      <c r="P906" s="16" t="s">
        <v>1712</v>
      </c>
      <c r="Q906" s="11" t="s">
        <v>1713</v>
      </c>
      <c r="R906" s="16" t="s">
        <v>396</v>
      </c>
      <c r="S906" s="11" t="s">
        <v>1717</v>
      </c>
    </row>
    <row r="907" spans="1:19" ht="21.75" hidden="1" customHeight="1" x14ac:dyDescent="0.25">
      <c r="A907" s="16" t="s">
        <v>1698</v>
      </c>
      <c r="B907" s="16" t="s">
        <v>73</v>
      </c>
      <c r="C907" s="18">
        <v>46070</v>
      </c>
      <c r="D907" s="21">
        <v>60</v>
      </c>
      <c r="E907" s="19">
        <v>5</v>
      </c>
      <c r="F907" s="16" t="s">
        <v>161</v>
      </c>
      <c r="G907" s="16" t="s">
        <v>132</v>
      </c>
      <c r="H907" s="16" t="s">
        <v>1650</v>
      </c>
      <c r="I907" s="16" t="s">
        <v>379</v>
      </c>
      <c r="J907" s="17">
        <v>20101596363</v>
      </c>
      <c r="K907" s="16" t="s">
        <v>399</v>
      </c>
      <c r="L907" s="16" t="s">
        <v>1705</v>
      </c>
      <c r="M907" s="16" t="s">
        <v>347</v>
      </c>
      <c r="N907" s="11"/>
      <c r="O907" s="11"/>
      <c r="P907" s="16" t="s">
        <v>1712</v>
      </c>
      <c r="Q907" s="11" t="s">
        <v>1713</v>
      </c>
      <c r="R907" s="16" t="s">
        <v>396</v>
      </c>
      <c r="S907" s="11" t="s">
        <v>1717</v>
      </c>
    </row>
    <row r="908" spans="1:19" ht="21.75" hidden="1" customHeight="1" x14ac:dyDescent="0.25">
      <c r="A908" s="16" t="s">
        <v>1698</v>
      </c>
      <c r="B908" s="16" t="s">
        <v>73</v>
      </c>
      <c r="C908" s="18">
        <v>46070</v>
      </c>
      <c r="D908" s="21">
        <v>48</v>
      </c>
      <c r="E908" s="19">
        <v>1</v>
      </c>
      <c r="F908" s="16" t="s">
        <v>158</v>
      </c>
      <c r="G908" s="16" t="s">
        <v>150</v>
      </c>
      <c r="H908" s="16" t="s">
        <v>1650</v>
      </c>
      <c r="I908" s="16" t="s">
        <v>379</v>
      </c>
      <c r="J908" s="17">
        <v>20101596363</v>
      </c>
      <c r="K908" s="16" t="s">
        <v>399</v>
      </c>
      <c r="L908" s="16" t="s">
        <v>1705</v>
      </c>
      <c r="M908" s="16" t="s">
        <v>347</v>
      </c>
      <c r="N908" s="11"/>
      <c r="O908" s="11"/>
      <c r="P908" s="16" t="s">
        <v>1712</v>
      </c>
      <c r="Q908" s="11" t="s">
        <v>1713</v>
      </c>
      <c r="R908" s="16" t="s">
        <v>396</v>
      </c>
      <c r="S908" s="11" t="s">
        <v>1717</v>
      </c>
    </row>
    <row r="909" spans="1:19" ht="21.75" hidden="1" customHeight="1" x14ac:dyDescent="0.25">
      <c r="A909" s="16" t="s">
        <v>1823</v>
      </c>
      <c r="B909" s="16" t="s">
        <v>73</v>
      </c>
      <c r="C909" s="18">
        <v>46083</v>
      </c>
      <c r="D909" s="40">
        <v>24</v>
      </c>
      <c r="E909" s="19">
        <v>2</v>
      </c>
      <c r="F909" s="16" t="s">
        <v>355</v>
      </c>
      <c r="G909" s="16" t="s">
        <v>1826</v>
      </c>
      <c r="H909" s="16" t="s">
        <v>1650</v>
      </c>
      <c r="I909" s="16" t="s">
        <v>379</v>
      </c>
      <c r="J909" s="17">
        <v>20101596363</v>
      </c>
      <c r="K909" s="16" t="s">
        <v>399</v>
      </c>
      <c r="L909" s="16" t="s">
        <v>1705</v>
      </c>
      <c r="M909" s="16" t="s">
        <v>347</v>
      </c>
      <c r="N909" s="11"/>
      <c r="O909" s="11"/>
      <c r="P909" s="16" t="s">
        <v>1712</v>
      </c>
      <c r="Q909" s="11" t="s">
        <v>1713</v>
      </c>
      <c r="R909" s="16" t="s">
        <v>396</v>
      </c>
      <c r="S909" s="11"/>
    </row>
    <row r="910" spans="1:19" ht="21.75" hidden="1" customHeight="1" x14ac:dyDescent="0.25">
      <c r="A910" s="16" t="s">
        <v>1823</v>
      </c>
      <c r="B910" s="16" t="s">
        <v>73</v>
      </c>
      <c r="C910" s="18">
        <v>46083</v>
      </c>
      <c r="D910" s="40">
        <v>24</v>
      </c>
      <c r="E910" s="19">
        <v>2</v>
      </c>
      <c r="F910" s="16" t="s">
        <v>46</v>
      </c>
      <c r="G910" s="16" t="s">
        <v>1827</v>
      </c>
      <c r="H910" s="16" t="s">
        <v>1650</v>
      </c>
      <c r="I910" s="16" t="s">
        <v>379</v>
      </c>
      <c r="J910" s="17">
        <v>20101596363</v>
      </c>
      <c r="K910" s="16" t="s">
        <v>399</v>
      </c>
      <c r="L910" s="16" t="s">
        <v>1705</v>
      </c>
      <c r="M910" s="16" t="s">
        <v>347</v>
      </c>
      <c r="N910" s="11"/>
      <c r="O910" s="11"/>
      <c r="P910" s="16" t="s">
        <v>1712</v>
      </c>
      <c r="Q910" s="11" t="s">
        <v>1713</v>
      </c>
      <c r="R910" s="16" t="s">
        <v>396</v>
      </c>
      <c r="S910" s="11"/>
    </row>
    <row r="911" spans="1:19" ht="21.75" hidden="1" customHeight="1" x14ac:dyDescent="0.25">
      <c r="A911" s="16" t="s">
        <v>1823</v>
      </c>
      <c r="B911" s="16" t="s">
        <v>73</v>
      </c>
      <c r="C911" s="18">
        <v>46083</v>
      </c>
      <c r="D911" s="40">
        <v>24</v>
      </c>
      <c r="E911" s="19">
        <v>2</v>
      </c>
      <c r="F911" s="16" t="s">
        <v>1825</v>
      </c>
      <c r="G911" s="16" t="s">
        <v>1828</v>
      </c>
      <c r="H911" s="16" t="s">
        <v>1650</v>
      </c>
      <c r="I911" s="16" t="s">
        <v>379</v>
      </c>
      <c r="J911" s="17">
        <v>20101596363</v>
      </c>
      <c r="K911" s="16" t="s">
        <v>399</v>
      </c>
      <c r="L911" s="16" t="s">
        <v>1705</v>
      </c>
      <c r="M911" s="16" t="s">
        <v>347</v>
      </c>
      <c r="N911" s="11"/>
      <c r="O911" s="11"/>
      <c r="P911" s="16" t="s">
        <v>1712</v>
      </c>
      <c r="Q911" s="11" t="s">
        <v>1713</v>
      </c>
      <c r="R911" s="16" t="s">
        <v>396</v>
      </c>
      <c r="S911" s="11"/>
    </row>
    <row r="912" spans="1:19" ht="21.75" hidden="1" customHeight="1" x14ac:dyDescent="0.25">
      <c r="A912" s="16" t="s">
        <v>1829</v>
      </c>
      <c r="B912" s="16" t="s">
        <v>1833</v>
      </c>
      <c r="C912" s="18">
        <v>46083</v>
      </c>
      <c r="D912" s="40">
        <v>48</v>
      </c>
      <c r="E912" s="19">
        <v>4</v>
      </c>
      <c r="F912" s="16" t="s">
        <v>952</v>
      </c>
      <c r="G912" s="16" t="s">
        <v>1831</v>
      </c>
      <c r="H912" s="16" t="s">
        <v>1650</v>
      </c>
      <c r="I912" s="16" t="s">
        <v>1832</v>
      </c>
      <c r="J912" s="17">
        <v>20600471105</v>
      </c>
      <c r="K912" s="16"/>
      <c r="L912" s="16" t="s">
        <v>1834</v>
      </c>
      <c r="M912" s="16" t="s">
        <v>474</v>
      </c>
      <c r="N912" s="11"/>
      <c r="O912" s="11"/>
      <c r="P912" s="16" t="s">
        <v>1836</v>
      </c>
      <c r="Q912" s="11"/>
      <c r="R912" s="16" t="s">
        <v>933</v>
      </c>
      <c r="S912" s="11"/>
    </row>
    <row r="913" spans="1:19" ht="21.75" hidden="1" customHeight="1" x14ac:dyDescent="0.25">
      <c r="A913" s="16" t="s">
        <v>1830</v>
      </c>
      <c r="B913" s="16" t="s">
        <v>1837</v>
      </c>
      <c r="C913" s="18">
        <v>46083</v>
      </c>
      <c r="D913" s="40">
        <v>72</v>
      </c>
      <c r="E913" s="19">
        <v>6</v>
      </c>
      <c r="F913" s="16" t="s">
        <v>952</v>
      </c>
      <c r="G913" s="16" t="s">
        <v>1831</v>
      </c>
      <c r="H913" s="16" t="s">
        <v>1650</v>
      </c>
      <c r="I913" s="16" t="s">
        <v>1835</v>
      </c>
      <c r="J913" s="17">
        <v>20554508899</v>
      </c>
      <c r="K913" s="16"/>
      <c r="L913" s="16" t="s">
        <v>1834</v>
      </c>
      <c r="M913" s="16" t="s">
        <v>474</v>
      </c>
      <c r="N913" s="11"/>
      <c r="O913" s="11"/>
      <c r="P913" s="16" t="s">
        <v>1836</v>
      </c>
      <c r="Q913" s="11"/>
      <c r="R913" s="16" t="s">
        <v>933</v>
      </c>
      <c r="S913" s="11"/>
    </row>
    <row r="914" spans="1:19" ht="21.75" hidden="1" customHeight="1" x14ac:dyDescent="0.25">
      <c r="A914" s="16" t="s">
        <v>1838</v>
      </c>
      <c r="B914" s="14"/>
      <c r="C914" s="18">
        <v>46084</v>
      </c>
      <c r="D914" s="19">
        <v>480</v>
      </c>
      <c r="E914" s="19">
        <v>20</v>
      </c>
      <c r="F914" s="16" t="s">
        <v>52</v>
      </c>
      <c r="G914" s="14" t="s">
        <v>110</v>
      </c>
      <c r="H914" s="16" t="s">
        <v>1650</v>
      </c>
      <c r="I914" s="16" t="s">
        <v>997</v>
      </c>
      <c r="J914" s="17">
        <v>20100632480</v>
      </c>
      <c r="K914" s="14">
        <v>998186487</v>
      </c>
      <c r="L914" s="11" t="s">
        <v>998</v>
      </c>
      <c r="M914" s="16" t="s">
        <v>347</v>
      </c>
      <c r="N914" s="11"/>
      <c r="O914" s="11"/>
      <c r="P914" s="16" t="s">
        <v>1001</v>
      </c>
      <c r="Q914" s="11" t="s">
        <v>1000</v>
      </c>
      <c r="R914" s="11" t="s">
        <v>396</v>
      </c>
      <c r="S914" s="11" t="s">
        <v>1844</v>
      </c>
    </row>
    <row r="915" spans="1:19" ht="21.75" hidden="1" customHeight="1" x14ac:dyDescent="0.25">
      <c r="A915" s="16" t="s">
        <v>1838</v>
      </c>
      <c r="B915" s="14"/>
      <c r="C915" s="18">
        <v>46084</v>
      </c>
      <c r="D915" s="19">
        <v>120</v>
      </c>
      <c r="E915" s="19">
        <v>10</v>
      </c>
      <c r="F915" s="16" t="s">
        <v>24</v>
      </c>
      <c r="G915" s="14" t="s">
        <v>1839</v>
      </c>
      <c r="H915" s="16" t="s">
        <v>1650</v>
      </c>
      <c r="I915" s="16" t="s">
        <v>997</v>
      </c>
      <c r="J915" s="17">
        <v>20100632480</v>
      </c>
      <c r="K915" s="14">
        <v>998186487</v>
      </c>
      <c r="L915" s="11" t="s">
        <v>998</v>
      </c>
      <c r="M915" s="16" t="s">
        <v>347</v>
      </c>
      <c r="N915" s="11"/>
      <c r="O915" s="11"/>
      <c r="P915" s="16" t="s">
        <v>1001</v>
      </c>
      <c r="Q915" s="11" t="s">
        <v>1000</v>
      </c>
      <c r="R915" s="11" t="s">
        <v>396</v>
      </c>
      <c r="S915" s="11" t="s">
        <v>1844</v>
      </c>
    </row>
    <row r="916" spans="1:19" ht="21.75" hidden="1" customHeight="1" x14ac:dyDescent="0.25">
      <c r="A916" s="16" t="s">
        <v>1838</v>
      </c>
      <c r="B916" s="14"/>
      <c r="C916" s="18">
        <v>46084</v>
      </c>
      <c r="D916" s="19">
        <v>240</v>
      </c>
      <c r="E916" s="19">
        <v>10</v>
      </c>
      <c r="F916" s="16" t="s">
        <v>56</v>
      </c>
      <c r="G916" s="14" t="s">
        <v>86</v>
      </c>
      <c r="H916" s="16" t="s">
        <v>1650</v>
      </c>
      <c r="I916" s="16" t="s">
        <v>997</v>
      </c>
      <c r="J916" s="17">
        <v>20100632480</v>
      </c>
      <c r="K916" s="14">
        <v>998186487</v>
      </c>
      <c r="L916" s="11" t="s">
        <v>998</v>
      </c>
      <c r="M916" s="16" t="s">
        <v>347</v>
      </c>
      <c r="N916" s="11"/>
      <c r="O916" s="11"/>
      <c r="P916" s="16" t="s">
        <v>1001</v>
      </c>
      <c r="Q916" s="11" t="s">
        <v>1000</v>
      </c>
      <c r="R916" s="11" t="s">
        <v>396</v>
      </c>
      <c r="S916" s="11" t="s">
        <v>1844</v>
      </c>
    </row>
    <row r="917" spans="1:19" ht="21.75" hidden="1" customHeight="1" x14ac:dyDescent="0.25">
      <c r="A917" s="16" t="s">
        <v>1838</v>
      </c>
      <c r="B917" s="14"/>
      <c r="C917" s="18">
        <v>46084</v>
      </c>
      <c r="D917" s="19">
        <v>240</v>
      </c>
      <c r="E917" s="19">
        <v>10</v>
      </c>
      <c r="F917" s="16" t="s">
        <v>911</v>
      </c>
      <c r="G917" s="14" t="s">
        <v>928</v>
      </c>
      <c r="H917" s="16" t="s">
        <v>1650</v>
      </c>
      <c r="I917" s="16" t="s">
        <v>997</v>
      </c>
      <c r="J917" s="17">
        <v>20100632480</v>
      </c>
      <c r="K917" s="14">
        <v>998186487</v>
      </c>
      <c r="L917" s="11" t="s">
        <v>998</v>
      </c>
      <c r="M917" s="16" t="s">
        <v>347</v>
      </c>
      <c r="N917" s="11"/>
      <c r="O917" s="11"/>
      <c r="P917" s="16" t="s">
        <v>1001</v>
      </c>
      <c r="Q917" s="11" t="s">
        <v>1000</v>
      </c>
      <c r="R917" s="11" t="s">
        <v>396</v>
      </c>
      <c r="S917" s="11" t="s">
        <v>1844</v>
      </c>
    </row>
    <row r="918" spans="1:19" s="20" customFormat="1" ht="21.75" hidden="1" customHeight="1" x14ac:dyDescent="0.2">
      <c r="A918" s="16" t="s">
        <v>1840</v>
      </c>
      <c r="B918" s="14" t="s">
        <v>1841</v>
      </c>
      <c r="C918" s="18">
        <v>46084</v>
      </c>
      <c r="D918" s="19">
        <v>1</v>
      </c>
      <c r="E918" s="19">
        <v>1</v>
      </c>
      <c r="F918" s="16" t="s">
        <v>53</v>
      </c>
      <c r="G918" s="14" t="s">
        <v>121</v>
      </c>
      <c r="H918" s="16" t="s">
        <v>99</v>
      </c>
      <c r="I918" s="16" t="s">
        <v>1842</v>
      </c>
      <c r="J918" s="17">
        <v>20609572001</v>
      </c>
      <c r="K918" s="17">
        <v>924162007</v>
      </c>
      <c r="L918" s="11" t="s">
        <v>1843</v>
      </c>
      <c r="M918" s="16" t="s">
        <v>1060</v>
      </c>
      <c r="N918" s="11"/>
      <c r="O918" s="11"/>
      <c r="P918" s="16" t="s">
        <v>1673</v>
      </c>
      <c r="Q918" s="11"/>
      <c r="R918" s="16" t="s">
        <v>441</v>
      </c>
      <c r="S918" s="11" t="s">
        <v>1846</v>
      </c>
    </row>
    <row r="919" spans="1:19" ht="21.75" hidden="1" customHeight="1" x14ac:dyDescent="0.25">
      <c r="A919" s="16" t="s">
        <v>1745</v>
      </c>
      <c r="B919" s="17" t="s">
        <v>1845</v>
      </c>
      <c r="C919" s="18">
        <v>46084</v>
      </c>
      <c r="D919" s="21">
        <v>240</v>
      </c>
      <c r="E919" s="19">
        <v>20</v>
      </c>
      <c r="F919" s="16" t="s">
        <v>1323</v>
      </c>
      <c r="G919" s="16" t="s">
        <v>568</v>
      </c>
      <c r="H919" s="16" t="s">
        <v>76</v>
      </c>
      <c r="I919" s="16" t="s">
        <v>1322</v>
      </c>
      <c r="J919" s="17">
        <v>20298674611</v>
      </c>
      <c r="K919" s="17" t="s">
        <v>73</v>
      </c>
      <c r="L919" s="16" t="s">
        <v>1850</v>
      </c>
      <c r="M919" s="16" t="s">
        <v>1848</v>
      </c>
      <c r="N919" s="11"/>
      <c r="O919" s="11"/>
      <c r="P919" s="16" t="s">
        <v>1847</v>
      </c>
      <c r="Q919" s="16" t="s">
        <v>1849</v>
      </c>
      <c r="R919" s="16" t="s">
        <v>1511</v>
      </c>
      <c r="S919" s="11" t="s">
        <v>1851</v>
      </c>
    </row>
    <row r="920" spans="1:19" s="20" customFormat="1" ht="21.75" hidden="1" customHeight="1" x14ac:dyDescent="0.2">
      <c r="A920" s="16" t="s">
        <v>1853</v>
      </c>
      <c r="B920" s="16" t="s">
        <v>73</v>
      </c>
      <c r="C920" s="18">
        <v>46085</v>
      </c>
      <c r="D920" s="21">
        <v>48</v>
      </c>
      <c r="E920" s="19">
        <v>2</v>
      </c>
      <c r="F920" s="16" t="s">
        <v>152</v>
      </c>
      <c r="G920" s="16" t="s">
        <v>149</v>
      </c>
      <c r="H920" s="16" t="s">
        <v>129</v>
      </c>
      <c r="I920" s="16" t="s">
        <v>1864</v>
      </c>
      <c r="J920" s="17">
        <v>20603354037</v>
      </c>
      <c r="K920" s="17">
        <v>924328658</v>
      </c>
      <c r="L920" s="16" t="s">
        <v>1852</v>
      </c>
      <c r="M920" s="16" t="s">
        <v>75</v>
      </c>
      <c r="N920" s="11"/>
      <c r="O920" s="11"/>
      <c r="P920" s="16" t="s">
        <v>1863</v>
      </c>
      <c r="Q920" s="16" t="s">
        <v>1854</v>
      </c>
      <c r="R920" s="16" t="s">
        <v>142</v>
      </c>
      <c r="S920" s="11" t="s">
        <v>1855</v>
      </c>
    </row>
    <row r="921" spans="1:19" s="20" customFormat="1" ht="21.75" hidden="1" customHeight="1" x14ac:dyDescent="0.2">
      <c r="A921" s="16" t="s">
        <v>1853</v>
      </c>
      <c r="B921" s="16" t="s">
        <v>73</v>
      </c>
      <c r="C921" s="18">
        <v>46085</v>
      </c>
      <c r="D921" s="19">
        <v>120</v>
      </c>
      <c r="E921" s="45">
        <v>5</v>
      </c>
      <c r="F921" s="16" t="s">
        <v>154</v>
      </c>
      <c r="G921" s="16" t="s">
        <v>123</v>
      </c>
      <c r="H921" s="16" t="s">
        <v>129</v>
      </c>
      <c r="I921" s="16" t="s">
        <v>1864</v>
      </c>
      <c r="J921" s="17">
        <v>20603354037</v>
      </c>
      <c r="K921" s="17">
        <v>924328658</v>
      </c>
      <c r="L921" s="16" t="s">
        <v>1852</v>
      </c>
      <c r="M921" s="16" t="s">
        <v>75</v>
      </c>
      <c r="N921" s="11"/>
      <c r="O921" s="11"/>
      <c r="P921" s="16" t="s">
        <v>1863</v>
      </c>
      <c r="Q921" s="16" t="s">
        <v>1854</v>
      </c>
      <c r="R921" s="16" t="s">
        <v>142</v>
      </c>
      <c r="S921" s="11" t="s">
        <v>1855</v>
      </c>
    </row>
    <row r="922" spans="1:19" s="20" customFormat="1" ht="21.75" hidden="1" customHeight="1" x14ac:dyDescent="0.2">
      <c r="A922" s="16" t="s">
        <v>1853</v>
      </c>
      <c r="B922" s="16" t="s">
        <v>73</v>
      </c>
      <c r="C922" s="18">
        <v>46085</v>
      </c>
      <c r="D922" s="21">
        <v>8</v>
      </c>
      <c r="E922" s="19">
        <v>2</v>
      </c>
      <c r="F922" s="16" t="s">
        <v>912</v>
      </c>
      <c r="G922" s="16" t="s">
        <v>929</v>
      </c>
      <c r="H922" s="16" t="s">
        <v>129</v>
      </c>
      <c r="I922" s="16" t="s">
        <v>1864</v>
      </c>
      <c r="J922" s="17">
        <v>20603354037</v>
      </c>
      <c r="K922" s="17">
        <v>924328658</v>
      </c>
      <c r="L922" s="16" t="s">
        <v>1852</v>
      </c>
      <c r="M922" s="16" t="s">
        <v>75</v>
      </c>
      <c r="N922" s="11"/>
      <c r="O922" s="11"/>
      <c r="P922" s="16" t="s">
        <v>1863</v>
      </c>
      <c r="Q922" s="16" t="s">
        <v>1854</v>
      </c>
      <c r="R922" s="16" t="s">
        <v>142</v>
      </c>
      <c r="S922" s="11" t="s">
        <v>1855</v>
      </c>
    </row>
    <row r="923" spans="1:19" s="20" customFormat="1" ht="21.75" hidden="1" customHeight="1" x14ac:dyDescent="0.2">
      <c r="A923" s="16" t="s">
        <v>1853</v>
      </c>
      <c r="B923" s="16" t="s">
        <v>73</v>
      </c>
      <c r="C923" s="18">
        <v>46085</v>
      </c>
      <c r="D923" s="21">
        <v>8</v>
      </c>
      <c r="E923" s="19">
        <v>2</v>
      </c>
      <c r="F923" s="16" t="s">
        <v>40</v>
      </c>
      <c r="G923" s="16" t="s">
        <v>117</v>
      </c>
      <c r="H923" s="16" t="s">
        <v>129</v>
      </c>
      <c r="I923" s="16" t="s">
        <v>1864</v>
      </c>
      <c r="J923" s="17">
        <v>20603354037</v>
      </c>
      <c r="K923" s="17">
        <v>924328658</v>
      </c>
      <c r="L923" s="16" t="s">
        <v>1852</v>
      </c>
      <c r="M923" s="16" t="s">
        <v>75</v>
      </c>
      <c r="N923" s="11"/>
      <c r="O923" s="11"/>
      <c r="P923" s="16" t="s">
        <v>1863</v>
      </c>
      <c r="Q923" s="16" t="s">
        <v>1854</v>
      </c>
      <c r="R923" s="16" t="s">
        <v>142</v>
      </c>
      <c r="S923" s="11" t="s">
        <v>1855</v>
      </c>
    </row>
    <row r="924" spans="1:19" s="20" customFormat="1" ht="22.5" hidden="1" customHeight="1" x14ac:dyDescent="0.2">
      <c r="A924" s="16" t="s">
        <v>1859</v>
      </c>
      <c r="B924" s="16" t="s">
        <v>73</v>
      </c>
      <c r="C924" s="18">
        <v>46085</v>
      </c>
      <c r="D924" s="54">
        <v>12</v>
      </c>
      <c r="E924" s="54">
        <v>3</v>
      </c>
      <c r="F924" s="75" t="s">
        <v>1547</v>
      </c>
      <c r="G924" s="75" t="s">
        <v>1550</v>
      </c>
      <c r="H924" s="75" t="s">
        <v>1856</v>
      </c>
      <c r="I924" s="75" t="s">
        <v>1857</v>
      </c>
      <c r="J924" s="100" t="s">
        <v>1858</v>
      </c>
      <c r="K924" s="54"/>
      <c r="L924" s="75" t="s">
        <v>1865</v>
      </c>
      <c r="M924" s="16" t="s">
        <v>75</v>
      </c>
      <c r="N924" s="75"/>
      <c r="O924" s="75"/>
      <c r="P924" s="16" t="s">
        <v>1863</v>
      </c>
      <c r="Q924" s="11" t="s">
        <v>1866</v>
      </c>
      <c r="R924" s="16" t="s">
        <v>142</v>
      </c>
      <c r="S924" s="11" t="s">
        <v>1860</v>
      </c>
    </row>
    <row r="925" spans="1:19" s="20" customFormat="1" ht="22.5" hidden="1" customHeight="1" x14ac:dyDescent="0.2">
      <c r="A925" s="16" t="s">
        <v>1859</v>
      </c>
      <c r="B925" s="16" t="s">
        <v>73</v>
      </c>
      <c r="C925" s="18">
        <v>46085</v>
      </c>
      <c r="D925" s="54">
        <v>24</v>
      </c>
      <c r="E925" s="54">
        <v>2</v>
      </c>
      <c r="F925" s="75" t="s">
        <v>35</v>
      </c>
      <c r="G925" s="75" t="s">
        <v>106</v>
      </c>
      <c r="H925" s="75" t="s">
        <v>1856</v>
      </c>
      <c r="I925" s="75" t="s">
        <v>1857</v>
      </c>
      <c r="J925" s="100" t="s">
        <v>1858</v>
      </c>
      <c r="K925" s="54"/>
      <c r="L925" s="75" t="s">
        <v>1865</v>
      </c>
      <c r="M925" s="16" t="s">
        <v>75</v>
      </c>
      <c r="N925" s="75"/>
      <c r="O925" s="75"/>
      <c r="P925" s="16" t="s">
        <v>1863</v>
      </c>
      <c r="Q925" s="11" t="s">
        <v>1866</v>
      </c>
      <c r="R925" s="16" t="s">
        <v>142</v>
      </c>
      <c r="S925" s="11" t="s">
        <v>1860</v>
      </c>
    </row>
    <row r="926" spans="1:19" s="20" customFormat="1" ht="22.5" hidden="1" customHeight="1" x14ac:dyDescent="0.2">
      <c r="A926" s="16" t="s">
        <v>1859</v>
      </c>
      <c r="B926" s="16" t="s">
        <v>73</v>
      </c>
      <c r="C926" s="18">
        <v>46085</v>
      </c>
      <c r="D926" s="54">
        <v>48</v>
      </c>
      <c r="E926" s="54">
        <v>4</v>
      </c>
      <c r="F926" s="75" t="s">
        <v>23</v>
      </c>
      <c r="G926" s="75" t="s">
        <v>119</v>
      </c>
      <c r="H926" s="75" t="s">
        <v>1856</v>
      </c>
      <c r="I926" s="75" t="s">
        <v>1857</v>
      </c>
      <c r="J926" s="100" t="s">
        <v>1858</v>
      </c>
      <c r="K926" s="54"/>
      <c r="L926" s="75" t="s">
        <v>1865</v>
      </c>
      <c r="M926" s="16" t="s">
        <v>75</v>
      </c>
      <c r="N926" s="75"/>
      <c r="O926" s="75"/>
      <c r="P926" s="16" t="s">
        <v>1863</v>
      </c>
      <c r="Q926" s="11" t="s">
        <v>1866</v>
      </c>
      <c r="R926" s="16" t="s">
        <v>142</v>
      </c>
      <c r="S926" s="11" t="s">
        <v>1860</v>
      </c>
    </row>
    <row r="927" spans="1:19" s="20" customFormat="1" ht="22.5" hidden="1" customHeight="1" x14ac:dyDescent="0.2">
      <c r="A927" s="16" t="s">
        <v>1859</v>
      </c>
      <c r="B927" s="16" t="s">
        <v>73</v>
      </c>
      <c r="C927" s="18">
        <v>46085</v>
      </c>
      <c r="D927" s="54">
        <v>30</v>
      </c>
      <c r="E927" s="54">
        <v>5</v>
      </c>
      <c r="F927" s="75" t="s">
        <v>174</v>
      </c>
      <c r="G927" s="75" t="s">
        <v>130</v>
      </c>
      <c r="H927" s="75" t="s">
        <v>1856</v>
      </c>
      <c r="I927" s="75" t="s">
        <v>1857</v>
      </c>
      <c r="J927" s="100" t="s">
        <v>1858</v>
      </c>
      <c r="K927" s="54"/>
      <c r="L927" s="75" t="s">
        <v>1865</v>
      </c>
      <c r="M927" s="16" t="s">
        <v>75</v>
      </c>
      <c r="N927" s="75"/>
      <c r="O927" s="75"/>
      <c r="P927" s="16" t="s">
        <v>1863</v>
      </c>
      <c r="Q927" s="11" t="s">
        <v>1866</v>
      </c>
      <c r="R927" s="16" t="s">
        <v>142</v>
      </c>
      <c r="S927" s="11" t="s">
        <v>1860</v>
      </c>
    </row>
    <row r="928" spans="1:19" s="20" customFormat="1" ht="22.5" hidden="1" customHeight="1" x14ac:dyDescent="0.2">
      <c r="A928" s="16" t="s">
        <v>1859</v>
      </c>
      <c r="B928" s="16" t="s">
        <v>73</v>
      </c>
      <c r="C928" s="18">
        <v>46085</v>
      </c>
      <c r="D928" s="54">
        <v>8</v>
      </c>
      <c r="E928" s="54">
        <v>3</v>
      </c>
      <c r="F928" s="75" t="s">
        <v>1861</v>
      </c>
      <c r="G928" s="75" t="s">
        <v>1862</v>
      </c>
      <c r="H928" s="75" t="s">
        <v>1856</v>
      </c>
      <c r="I928" s="75" t="s">
        <v>1857</v>
      </c>
      <c r="J928" s="100" t="s">
        <v>1858</v>
      </c>
      <c r="K928" s="54"/>
      <c r="L928" s="75" t="s">
        <v>1865</v>
      </c>
      <c r="M928" s="16" t="s">
        <v>75</v>
      </c>
      <c r="N928" s="75"/>
      <c r="O928" s="75"/>
      <c r="P928" s="16" t="s">
        <v>1863</v>
      </c>
      <c r="Q928" s="11" t="s">
        <v>1866</v>
      </c>
      <c r="R928" s="16" t="s">
        <v>142</v>
      </c>
      <c r="S928" s="11" t="s">
        <v>1860</v>
      </c>
    </row>
    <row r="929" spans="1:19" s="20" customFormat="1" ht="22.5" hidden="1" customHeight="1" x14ac:dyDescent="0.2">
      <c r="A929" s="16" t="s">
        <v>1859</v>
      </c>
      <c r="B929" s="16" t="s">
        <v>73</v>
      </c>
      <c r="C929" s="18">
        <v>46085</v>
      </c>
      <c r="D929" s="54">
        <v>60</v>
      </c>
      <c r="E929" s="54">
        <v>5</v>
      </c>
      <c r="F929" s="75" t="s">
        <v>24</v>
      </c>
      <c r="G929" s="75" t="s">
        <v>1839</v>
      </c>
      <c r="H929" s="75" t="s">
        <v>1856</v>
      </c>
      <c r="I929" s="75" t="s">
        <v>1857</v>
      </c>
      <c r="J929" s="100" t="s">
        <v>1858</v>
      </c>
      <c r="K929" s="54"/>
      <c r="L929" s="75" t="s">
        <v>1865</v>
      </c>
      <c r="M929" s="16" t="s">
        <v>75</v>
      </c>
      <c r="N929" s="75"/>
      <c r="O929" s="75"/>
      <c r="P929" s="16" t="s">
        <v>1863</v>
      </c>
      <c r="Q929" s="11" t="s">
        <v>1866</v>
      </c>
      <c r="R929" s="16" t="s">
        <v>142</v>
      </c>
      <c r="S929" s="11" t="s">
        <v>1860</v>
      </c>
    </row>
    <row r="930" spans="1:19" s="20" customFormat="1" ht="22.5" hidden="1" customHeight="1" x14ac:dyDescent="0.2">
      <c r="A930" s="16" t="s">
        <v>1859</v>
      </c>
      <c r="B930" s="16" t="s">
        <v>73</v>
      </c>
      <c r="C930" s="18">
        <v>46085</v>
      </c>
      <c r="D930" s="54">
        <v>60</v>
      </c>
      <c r="E930" s="54">
        <v>5</v>
      </c>
      <c r="F930" s="75" t="s">
        <v>1210</v>
      </c>
      <c r="G930" s="75" t="s">
        <v>1226</v>
      </c>
      <c r="H930" s="75" t="s">
        <v>1856</v>
      </c>
      <c r="I930" s="75" t="s">
        <v>1857</v>
      </c>
      <c r="J930" s="100" t="s">
        <v>1858</v>
      </c>
      <c r="K930" s="54"/>
      <c r="L930" s="75" t="s">
        <v>1865</v>
      </c>
      <c r="M930" s="16" t="s">
        <v>75</v>
      </c>
      <c r="N930" s="75"/>
      <c r="O930" s="75"/>
      <c r="P930" s="16" t="s">
        <v>1863</v>
      </c>
      <c r="Q930" s="11" t="s">
        <v>1866</v>
      </c>
      <c r="R930" s="16" t="s">
        <v>142</v>
      </c>
      <c r="S930" s="11" t="s">
        <v>1860</v>
      </c>
    </row>
    <row r="931" spans="1:19" s="20" customFormat="1" ht="22.5" hidden="1" customHeight="1" x14ac:dyDescent="0.2">
      <c r="A931" s="16" t="s">
        <v>1859</v>
      </c>
      <c r="B931" s="16" t="s">
        <v>73</v>
      </c>
      <c r="C931" s="18">
        <v>46085</v>
      </c>
      <c r="D931" s="54">
        <v>36</v>
      </c>
      <c r="E931" s="54">
        <v>3</v>
      </c>
      <c r="F931" s="75" t="s">
        <v>1213</v>
      </c>
      <c r="G931" s="75" t="s">
        <v>1229</v>
      </c>
      <c r="H931" s="75" t="s">
        <v>1856</v>
      </c>
      <c r="I931" s="75" t="s">
        <v>1857</v>
      </c>
      <c r="J931" s="100" t="s">
        <v>1858</v>
      </c>
      <c r="K931" s="54"/>
      <c r="L931" s="75" t="s">
        <v>1865</v>
      </c>
      <c r="M931" s="16" t="s">
        <v>75</v>
      </c>
      <c r="N931" s="75"/>
      <c r="O931" s="75"/>
      <c r="P931" s="16" t="s">
        <v>1863</v>
      </c>
      <c r="Q931" s="11" t="s">
        <v>1866</v>
      </c>
      <c r="R931" s="16" t="s">
        <v>142</v>
      </c>
      <c r="S931" s="11" t="s">
        <v>1860</v>
      </c>
    </row>
    <row r="932" spans="1:19" s="20" customFormat="1" ht="22.5" hidden="1" customHeight="1" x14ac:dyDescent="0.2">
      <c r="A932" s="16" t="s">
        <v>1859</v>
      </c>
      <c r="B932" s="16" t="s">
        <v>73</v>
      </c>
      <c r="C932" s="18">
        <v>46085</v>
      </c>
      <c r="D932" s="54">
        <v>60</v>
      </c>
      <c r="E932" s="54">
        <v>5</v>
      </c>
      <c r="F932" s="75" t="s">
        <v>172</v>
      </c>
      <c r="G932" s="75" t="s">
        <v>175</v>
      </c>
      <c r="H932" s="75" t="s">
        <v>1856</v>
      </c>
      <c r="I932" s="75" t="s">
        <v>1857</v>
      </c>
      <c r="J932" s="100" t="s">
        <v>1858</v>
      </c>
      <c r="K932" s="54"/>
      <c r="L932" s="75" t="s">
        <v>1865</v>
      </c>
      <c r="M932" s="16" t="s">
        <v>75</v>
      </c>
      <c r="N932" s="75"/>
      <c r="O932" s="75"/>
      <c r="P932" s="16" t="s">
        <v>1863</v>
      </c>
      <c r="Q932" s="11" t="s">
        <v>1866</v>
      </c>
      <c r="R932" s="16" t="s">
        <v>142</v>
      </c>
      <c r="S932" s="11" t="s">
        <v>1860</v>
      </c>
    </row>
    <row r="933" spans="1:19" s="20" customFormat="1" ht="22.5" hidden="1" customHeight="1" x14ac:dyDescent="0.2">
      <c r="A933" s="16" t="s">
        <v>1859</v>
      </c>
      <c r="B933" s="16" t="s">
        <v>73</v>
      </c>
      <c r="C933" s="18">
        <v>46085</v>
      </c>
      <c r="D933" s="54">
        <v>72</v>
      </c>
      <c r="E933" s="54">
        <v>6</v>
      </c>
      <c r="F933" s="75" t="s">
        <v>162</v>
      </c>
      <c r="G933" s="75" t="s">
        <v>163</v>
      </c>
      <c r="H933" s="75" t="s">
        <v>1856</v>
      </c>
      <c r="I933" s="75" t="s">
        <v>1857</v>
      </c>
      <c r="J933" s="100" t="s">
        <v>1858</v>
      </c>
      <c r="K933" s="54"/>
      <c r="L933" s="75" t="s">
        <v>1865</v>
      </c>
      <c r="M933" s="16" t="s">
        <v>75</v>
      </c>
      <c r="N933" s="75"/>
      <c r="O933" s="75"/>
      <c r="P933" s="16" t="s">
        <v>1863</v>
      </c>
      <c r="Q933" s="11" t="s">
        <v>1866</v>
      </c>
      <c r="R933" s="16" t="s">
        <v>142</v>
      </c>
      <c r="S933" s="11" t="s">
        <v>1860</v>
      </c>
    </row>
    <row r="934" spans="1:19" s="20" customFormat="1" ht="22.5" hidden="1" customHeight="1" x14ac:dyDescent="0.2">
      <c r="A934" s="16" t="s">
        <v>1859</v>
      </c>
      <c r="B934" s="16" t="s">
        <v>73</v>
      </c>
      <c r="C934" s="18">
        <v>46085</v>
      </c>
      <c r="D934" s="54">
        <v>240</v>
      </c>
      <c r="E934" s="54">
        <v>20</v>
      </c>
      <c r="F934" s="75" t="s">
        <v>1127</v>
      </c>
      <c r="G934" s="75" t="s">
        <v>1139</v>
      </c>
      <c r="H934" s="75" t="s">
        <v>1856</v>
      </c>
      <c r="I934" s="75" t="s">
        <v>1857</v>
      </c>
      <c r="J934" s="100" t="s">
        <v>1858</v>
      </c>
      <c r="K934" s="54"/>
      <c r="L934" s="75" t="s">
        <v>1865</v>
      </c>
      <c r="M934" s="16" t="s">
        <v>75</v>
      </c>
      <c r="N934" s="75"/>
      <c r="O934" s="75"/>
      <c r="P934" s="16" t="s">
        <v>1863</v>
      </c>
      <c r="Q934" s="11" t="s">
        <v>1866</v>
      </c>
      <c r="R934" s="16" t="s">
        <v>142</v>
      </c>
      <c r="S934" s="11" t="s">
        <v>1860</v>
      </c>
    </row>
    <row r="935" spans="1:19" s="20" customFormat="1" ht="22.5" hidden="1" customHeight="1" x14ac:dyDescent="0.2">
      <c r="A935" s="16" t="s">
        <v>1859</v>
      </c>
      <c r="B935" s="16" t="s">
        <v>73</v>
      </c>
      <c r="C935" s="18">
        <v>46085</v>
      </c>
      <c r="D935" s="54">
        <v>120</v>
      </c>
      <c r="E935" s="54">
        <v>10</v>
      </c>
      <c r="F935" s="75" t="s">
        <v>70</v>
      </c>
      <c r="G935" s="75" t="s">
        <v>105</v>
      </c>
      <c r="H935" s="75" t="s">
        <v>1856</v>
      </c>
      <c r="I935" s="75" t="s">
        <v>1857</v>
      </c>
      <c r="J935" s="100" t="s">
        <v>1858</v>
      </c>
      <c r="K935" s="54"/>
      <c r="L935" s="75" t="s">
        <v>1865</v>
      </c>
      <c r="M935" s="16" t="s">
        <v>75</v>
      </c>
      <c r="N935" s="75"/>
      <c r="O935" s="75"/>
      <c r="P935" s="16" t="s">
        <v>1863</v>
      </c>
      <c r="Q935" s="11" t="s">
        <v>1866</v>
      </c>
      <c r="R935" s="16" t="s">
        <v>142</v>
      </c>
      <c r="S935" s="11" t="s">
        <v>1860</v>
      </c>
    </row>
    <row r="936" spans="1:19" s="20" customFormat="1" ht="22.5" hidden="1" customHeight="1" x14ac:dyDescent="0.2">
      <c r="A936" s="16" t="s">
        <v>1859</v>
      </c>
      <c r="B936" s="16" t="s">
        <v>73</v>
      </c>
      <c r="C936" s="18">
        <v>46085</v>
      </c>
      <c r="D936" s="54">
        <v>144</v>
      </c>
      <c r="E936" s="54">
        <f>144/48</f>
        <v>3</v>
      </c>
      <c r="F936" s="75" t="s">
        <v>48</v>
      </c>
      <c r="G936" s="75" t="s">
        <v>160</v>
      </c>
      <c r="H936" s="75" t="s">
        <v>1856</v>
      </c>
      <c r="I936" s="75" t="s">
        <v>1857</v>
      </c>
      <c r="J936" s="100" t="s">
        <v>1858</v>
      </c>
      <c r="K936" s="54"/>
      <c r="L936" s="75" t="s">
        <v>1865</v>
      </c>
      <c r="M936" s="16" t="s">
        <v>75</v>
      </c>
      <c r="N936" s="75"/>
      <c r="O936" s="75"/>
      <c r="P936" s="16" t="s">
        <v>1863</v>
      </c>
      <c r="Q936" s="11" t="s">
        <v>1866</v>
      </c>
      <c r="R936" s="16" t="s">
        <v>142</v>
      </c>
      <c r="S936" s="11" t="s">
        <v>1860</v>
      </c>
    </row>
    <row r="937" spans="1:19" s="20" customFormat="1" ht="22.5" hidden="1" customHeight="1" x14ac:dyDescent="0.2">
      <c r="A937" s="16" t="s">
        <v>1859</v>
      </c>
      <c r="B937" s="16" t="s">
        <v>73</v>
      </c>
      <c r="C937" s="18">
        <v>46085</v>
      </c>
      <c r="D937" s="54">
        <v>120</v>
      </c>
      <c r="E937" s="54">
        <v>5</v>
      </c>
      <c r="F937" s="75" t="s">
        <v>1071</v>
      </c>
      <c r="G937" s="75" t="s">
        <v>1075</v>
      </c>
      <c r="H937" s="75" t="s">
        <v>1856</v>
      </c>
      <c r="I937" s="75" t="s">
        <v>1857</v>
      </c>
      <c r="J937" s="100" t="s">
        <v>1858</v>
      </c>
      <c r="K937" s="54"/>
      <c r="L937" s="75" t="s">
        <v>1865</v>
      </c>
      <c r="M937" s="16" t="s">
        <v>75</v>
      </c>
      <c r="N937" s="75"/>
      <c r="O937" s="75"/>
      <c r="P937" s="16" t="s">
        <v>1863</v>
      </c>
      <c r="Q937" s="11" t="s">
        <v>1866</v>
      </c>
      <c r="R937" s="16" t="s">
        <v>142</v>
      </c>
      <c r="S937" s="11" t="s">
        <v>1860</v>
      </c>
    </row>
    <row r="938" spans="1:19" s="20" customFormat="1" ht="22.5" hidden="1" customHeight="1" x14ac:dyDescent="0.2">
      <c r="A938" s="16" t="s">
        <v>1859</v>
      </c>
      <c r="B938" s="16" t="s">
        <v>73</v>
      </c>
      <c r="C938" s="18">
        <v>46085</v>
      </c>
      <c r="D938" s="54">
        <v>120</v>
      </c>
      <c r="E938" s="54">
        <v>5</v>
      </c>
      <c r="F938" s="75" t="s">
        <v>599</v>
      </c>
      <c r="G938" s="75" t="s">
        <v>604</v>
      </c>
      <c r="H938" s="75" t="s">
        <v>1856</v>
      </c>
      <c r="I938" s="75" t="s">
        <v>1857</v>
      </c>
      <c r="J938" s="100" t="s">
        <v>1858</v>
      </c>
      <c r="K938" s="54"/>
      <c r="L938" s="75" t="s">
        <v>1865</v>
      </c>
      <c r="M938" s="16" t="s">
        <v>75</v>
      </c>
      <c r="N938" s="75"/>
      <c r="O938" s="75"/>
      <c r="P938" s="16" t="s">
        <v>1863</v>
      </c>
      <c r="Q938" s="11" t="s">
        <v>1866</v>
      </c>
      <c r="R938" s="16" t="s">
        <v>142</v>
      </c>
      <c r="S938" s="11" t="s">
        <v>1860</v>
      </c>
    </row>
    <row r="939" spans="1:19" s="20" customFormat="1" ht="21.75" hidden="1" customHeight="1" x14ac:dyDescent="0.2">
      <c r="A939" s="16" t="s">
        <v>1867</v>
      </c>
      <c r="B939" s="17">
        <v>7269</v>
      </c>
      <c r="C939" s="18">
        <v>46085</v>
      </c>
      <c r="D939" s="21">
        <v>300</v>
      </c>
      <c r="E939" s="19">
        <f>300/12</f>
        <v>25</v>
      </c>
      <c r="F939" s="16" t="s">
        <v>354</v>
      </c>
      <c r="G939" s="16" t="s">
        <v>366</v>
      </c>
      <c r="H939" s="11" t="s">
        <v>99</v>
      </c>
      <c r="I939" s="16" t="s">
        <v>378</v>
      </c>
      <c r="J939" s="17">
        <v>20472915933</v>
      </c>
      <c r="K939" s="17">
        <v>924968850</v>
      </c>
      <c r="L939" s="16" t="s">
        <v>1871</v>
      </c>
      <c r="M939" s="16" t="s">
        <v>347</v>
      </c>
      <c r="N939" s="11"/>
      <c r="O939" s="11"/>
      <c r="P939" s="16" t="s">
        <v>383</v>
      </c>
      <c r="Q939" s="11"/>
      <c r="R939" s="16" t="s">
        <v>395</v>
      </c>
      <c r="S939" s="11" t="s">
        <v>1869</v>
      </c>
    </row>
    <row r="940" spans="1:19" s="20" customFormat="1" ht="21.75" hidden="1" customHeight="1" x14ac:dyDescent="0.2">
      <c r="A940" s="16" t="s">
        <v>1868</v>
      </c>
      <c r="B940" s="17">
        <v>5136</v>
      </c>
      <c r="C940" s="18">
        <v>46085</v>
      </c>
      <c r="D940" s="21">
        <v>300</v>
      </c>
      <c r="E940" s="19">
        <f t="shared" ref="E940:E941" si="0">300/12</f>
        <v>25</v>
      </c>
      <c r="F940" s="16" t="s">
        <v>19</v>
      </c>
      <c r="G940" s="16" t="s">
        <v>120</v>
      </c>
      <c r="H940" s="16" t="s">
        <v>1650</v>
      </c>
      <c r="I940" s="16" t="s">
        <v>41</v>
      </c>
      <c r="J940" s="17">
        <v>20513229080</v>
      </c>
      <c r="K940" s="16" t="s">
        <v>663</v>
      </c>
      <c r="L940" s="16" t="s">
        <v>1693</v>
      </c>
      <c r="M940" s="16" t="s">
        <v>420</v>
      </c>
      <c r="N940" s="11"/>
      <c r="O940" s="11"/>
      <c r="P940" s="26" t="s">
        <v>137</v>
      </c>
      <c r="Q940" s="16" t="s">
        <v>73</v>
      </c>
      <c r="R940" s="16" t="s">
        <v>396</v>
      </c>
      <c r="S940" s="11" t="s">
        <v>1870</v>
      </c>
    </row>
    <row r="941" spans="1:19" s="20" customFormat="1" ht="21.75" hidden="1" customHeight="1" x14ac:dyDescent="0.2">
      <c r="A941" s="16" t="s">
        <v>1868</v>
      </c>
      <c r="B941" s="17">
        <v>5136</v>
      </c>
      <c r="C941" s="18">
        <v>46085</v>
      </c>
      <c r="D941" s="21">
        <v>300</v>
      </c>
      <c r="E941" s="19">
        <f t="shared" si="0"/>
        <v>25</v>
      </c>
      <c r="F941" s="16" t="s">
        <v>1873</v>
      </c>
      <c r="G941" s="16" t="s">
        <v>1872</v>
      </c>
      <c r="H941" s="16" t="s">
        <v>1650</v>
      </c>
      <c r="I941" s="16" t="s">
        <v>41</v>
      </c>
      <c r="J941" s="17">
        <v>20513229080</v>
      </c>
      <c r="K941" s="16" t="s">
        <v>663</v>
      </c>
      <c r="L941" s="16" t="s">
        <v>1693</v>
      </c>
      <c r="M941" s="16" t="s">
        <v>420</v>
      </c>
      <c r="N941" s="11"/>
      <c r="O941" s="11"/>
      <c r="P941" s="16" t="s">
        <v>137</v>
      </c>
      <c r="Q941" s="16" t="s">
        <v>73</v>
      </c>
      <c r="R941" s="16" t="s">
        <v>396</v>
      </c>
      <c r="S941" s="11" t="s">
        <v>1870</v>
      </c>
    </row>
    <row r="942" spans="1:19" s="20" customFormat="1" ht="21.75" hidden="1" customHeight="1" x14ac:dyDescent="0.2">
      <c r="A942" s="16" t="s">
        <v>1874</v>
      </c>
      <c r="B942" s="16" t="s">
        <v>73</v>
      </c>
      <c r="C942" s="18">
        <v>46086</v>
      </c>
      <c r="D942" s="21">
        <v>60</v>
      </c>
      <c r="E942" s="19">
        <v>5</v>
      </c>
      <c r="F942" s="16" t="s">
        <v>35</v>
      </c>
      <c r="G942" s="16" t="s">
        <v>106</v>
      </c>
      <c r="H942" s="16" t="s">
        <v>1544</v>
      </c>
      <c r="I942" s="16" t="s">
        <v>1876</v>
      </c>
      <c r="J942" s="17">
        <v>20489011230</v>
      </c>
      <c r="K942" s="11"/>
      <c r="L942" s="16" t="s">
        <v>1880</v>
      </c>
      <c r="M942" s="16" t="s">
        <v>75</v>
      </c>
      <c r="N942" s="11"/>
      <c r="O942" s="11"/>
      <c r="P942" s="16" t="s">
        <v>1366</v>
      </c>
      <c r="Q942" s="16" t="s">
        <v>1879</v>
      </c>
      <c r="R942" s="16" t="s">
        <v>142</v>
      </c>
      <c r="S942" s="11" t="s">
        <v>1881</v>
      </c>
    </row>
    <row r="943" spans="1:19" s="20" customFormat="1" ht="21.75" hidden="1" customHeight="1" x14ac:dyDescent="0.2">
      <c r="A943" s="16" t="s">
        <v>1874</v>
      </c>
      <c r="B943" s="16" t="s">
        <v>73</v>
      </c>
      <c r="C943" s="18">
        <v>46086</v>
      </c>
      <c r="D943" s="21">
        <v>60</v>
      </c>
      <c r="E943" s="19">
        <v>5</v>
      </c>
      <c r="F943" s="16" t="s">
        <v>25</v>
      </c>
      <c r="G943" s="16" t="s">
        <v>136</v>
      </c>
      <c r="H943" s="16" t="s">
        <v>1544</v>
      </c>
      <c r="I943" s="16" t="s">
        <v>1876</v>
      </c>
      <c r="J943" s="17">
        <v>20489011230</v>
      </c>
      <c r="K943" s="11"/>
      <c r="L943" s="16" t="s">
        <v>1880</v>
      </c>
      <c r="M943" s="16" t="s">
        <v>75</v>
      </c>
      <c r="N943" s="11"/>
      <c r="O943" s="11"/>
      <c r="P943" s="16" t="s">
        <v>1366</v>
      </c>
      <c r="Q943" s="16" t="s">
        <v>1879</v>
      </c>
      <c r="R943" s="16" t="s">
        <v>142</v>
      </c>
      <c r="S943" s="11" t="s">
        <v>1881</v>
      </c>
    </row>
    <row r="944" spans="1:19" s="20" customFormat="1" ht="21.75" hidden="1" customHeight="1" x14ac:dyDescent="0.2">
      <c r="A944" s="16" t="s">
        <v>1874</v>
      </c>
      <c r="B944" s="16" t="s">
        <v>73</v>
      </c>
      <c r="C944" s="18">
        <v>46086</v>
      </c>
      <c r="D944" s="21">
        <v>120</v>
      </c>
      <c r="E944" s="19">
        <v>10</v>
      </c>
      <c r="F944" s="16" t="s">
        <v>23</v>
      </c>
      <c r="G944" s="16" t="s">
        <v>119</v>
      </c>
      <c r="H944" s="16" t="s">
        <v>1544</v>
      </c>
      <c r="I944" s="16" t="s">
        <v>1876</v>
      </c>
      <c r="J944" s="17">
        <v>20489011230</v>
      </c>
      <c r="K944" s="11"/>
      <c r="L944" s="16" t="s">
        <v>1880</v>
      </c>
      <c r="M944" s="16" t="s">
        <v>75</v>
      </c>
      <c r="N944" s="11"/>
      <c r="O944" s="11"/>
      <c r="P944" s="16" t="s">
        <v>1366</v>
      </c>
      <c r="Q944" s="16" t="s">
        <v>1879</v>
      </c>
      <c r="R944" s="16" t="s">
        <v>142</v>
      </c>
      <c r="S944" s="11" t="s">
        <v>1881</v>
      </c>
    </row>
    <row r="945" spans="1:19" s="20" customFormat="1" ht="21.75" hidden="1" customHeight="1" x14ac:dyDescent="0.2">
      <c r="A945" s="16" t="s">
        <v>1874</v>
      </c>
      <c r="B945" s="16" t="s">
        <v>73</v>
      </c>
      <c r="C945" s="18">
        <v>46086</v>
      </c>
      <c r="D945" s="21">
        <v>120</v>
      </c>
      <c r="E945" s="19">
        <v>10</v>
      </c>
      <c r="F945" s="16" t="s">
        <v>19</v>
      </c>
      <c r="G945" s="16" t="s">
        <v>120</v>
      </c>
      <c r="H945" s="16" t="s">
        <v>1544</v>
      </c>
      <c r="I945" s="16" t="s">
        <v>1876</v>
      </c>
      <c r="J945" s="17">
        <v>20489011230</v>
      </c>
      <c r="K945" s="11"/>
      <c r="L945" s="16" t="s">
        <v>1880</v>
      </c>
      <c r="M945" s="16" t="s">
        <v>75</v>
      </c>
      <c r="N945" s="11"/>
      <c r="O945" s="11"/>
      <c r="P945" s="16" t="s">
        <v>1366</v>
      </c>
      <c r="Q945" s="16" t="s">
        <v>1879</v>
      </c>
      <c r="R945" s="16" t="s">
        <v>142</v>
      </c>
      <c r="S945" s="11" t="s">
        <v>1881</v>
      </c>
    </row>
    <row r="946" spans="1:19" s="20" customFormat="1" ht="21.75" hidden="1" customHeight="1" x14ac:dyDescent="0.2">
      <c r="A946" s="16" t="s">
        <v>1874</v>
      </c>
      <c r="B946" s="16" t="s">
        <v>73</v>
      </c>
      <c r="C946" s="18">
        <v>46086</v>
      </c>
      <c r="D946" s="21">
        <v>60</v>
      </c>
      <c r="E946" s="19">
        <v>10</v>
      </c>
      <c r="F946" s="16" t="s">
        <v>822</v>
      </c>
      <c r="G946" s="16" t="s">
        <v>824</v>
      </c>
      <c r="H946" s="16" t="s">
        <v>1544</v>
      </c>
      <c r="I946" s="16" t="s">
        <v>1876</v>
      </c>
      <c r="J946" s="17">
        <v>20489011230</v>
      </c>
      <c r="K946" s="11"/>
      <c r="L946" s="16" t="s">
        <v>1880</v>
      </c>
      <c r="M946" s="16" t="s">
        <v>75</v>
      </c>
      <c r="N946" s="11"/>
      <c r="O946" s="11"/>
      <c r="P946" s="16" t="s">
        <v>1366</v>
      </c>
      <c r="Q946" s="16" t="s">
        <v>1879</v>
      </c>
      <c r="R946" s="16" t="s">
        <v>142</v>
      </c>
      <c r="S946" s="11" t="s">
        <v>1881</v>
      </c>
    </row>
    <row r="947" spans="1:19" s="20" customFormat="1" ht="21.75" hidden="1" customHeight="1" x14ac:dyDescent="0.2">
      <c r="A947" s="16" t="s">
        <v>1874</v>
      </c>
      <c r="B947" s="16" t="s">
        <v>73</v>
      </c>
      <c r="C947" s="18">
        <v>46086</v>
      </c>
      <c r="D947" s="21">
        <v>24</v>
      </c>
      <c r="E947" s="19">
        <v>2</v>
      </c>
      <c r="F947" s="16" t="s">
        <v>1877</v>
      </c>
      <c r="G947" s="16" t="s">
        <v>1878</v>
      </c>
      <c r="H947" s="16" t="s">
        <v>1544</v>
      </c>
      <c r="I947" s="16" t="s">
        <v>1876</v>
      </c>
      <c r="J947" s="17">
        <v>20489011230</v>
      </c>
      <c r="K947" s="11"/>
      <c r="L947" s="16" t="s">
        <v>1880</v>
      </c>
      <c r="M947" s="16" t="s">
        <v>75</v>
      </c>
      <c r="N947" s="11"/>
      <c r="O947" s="11"/>
      <c r="P947" s="16" t="s">
        <v>1366</v>
      </c>
      <c r="Q947" s="16" t="s">
        <v>1879</v>
      </c>
      <c r="R947" s="16" t="s">
        <v>142</v>
      </c>
      <c r="S947" s="11" t="s">
        <v>1881</v>
      </c>
    </row>
    <row r="948" spans="1:19" s="20" customFormat="1" ht="21.75" hidden="1" customHeight="1" x14ac:dyDescent="0.2">
      <c r="A948" s="16" t="s">
        <v>2126</v>
      </c>
      <c r="B948" s="16" t="s">
        <v>73</v>
      </c>
      <c r="C948" s="52">
        <v>46112</v>
      </c>
      <c r="D948" s="21">
        <v>3</v>
      </c>
      <c r="E948" s="19">
        <v>1</v>
      </c>
      <c r="F948" s="16" t="s">
        <v>904</v>
      </c>
      <c r="G948" s="16" t="s">
        <v>921</v>
      </c>
      <c r="H948" s="26" t="s">
        <v>1544</v>
      </c>
      <c r="I948" s="16" t="s">
        <v>2145</v>
      </c>
      <c r="J948" s="17">
        <v>10446376387</v>
      </c>
      <c r="K948" s="11"/>
      <c r="L948" s="16" t="s">
        <v>2147</v>
      </c>
      <c r="M948" s="16" t="s">
        <v>75</v>
      </c>
      <c r="N948" s="11"/>
      <c r="O948" s="11"/>
      <c r="P948" s="26" t="s">
        <v>1579</v>
      </c>
      <c r="Q948" s="16" t="s">
        <v>2146</v>
      </c>
      <c r="R948" s="16" t="s">
        <v>142</v>
      </c>
      <c r="S948" s="11"/>
    </row>
    <row r="949" spans="1:19" s="20" customFormat="1" ht="21.75" hidden="1" customHeight="1" x14ac:dyDescent="0.2">
      <c r="A949" s="16" t="s">
        <v>2126</v>
      </c>
      <c r="B949" s="16" t="s">
        <v>73</v>
      </c>
      <c r="C949" s="52">
        <v>46112</v>
      </c>
      <c r="D949" s="21">
        <v>3</v>
      </c>
      <c r="E949" s="19">
        <v>1</v>
      </c>
      <c r="F949" s="16" t="s">
        <v>905</v>
      </c>
      <c r="G949" s="16" t="s">
        <v>922</v>
      </c>
      <c r="H949" s="26" t="s">
        <v>1544</v>
      </c>
      <c r="I949" s="16" t="s">
        <v>2145</v>
      </c>
      <c r="J949" s="17">
        <v>10446376387</v>
      </c>
      <c r="K949" s="11"/>
      <c r="L949" s="16" t="s">
        <v>2147</v>
      </c>
      <c r="M949" s="16" t="s">
        <v>75</v>
      </c>
      <c r="N949" s="11"/>
      <c r="O949" s="11"/>
      <c r="P949" s="26" t="s">
        <v>1579</v>
      </c>
      <c r="Q949" s="16" t="s">
        <v>2146</v>
      </c>
      <c r="R949" s="16" t="s">
        <v>142</v>
      </c>
      <c r="S949" s="11"/>
    </row>
    <row r="950" spans="1:19" s="20" customFormat="1" ht="21.75" hidden="1" customHeight="1" x14ac:dyDescent="0.2">
      <c r="A950" s="16" t="s">
        <v>2126</v>
      </c>
      <c r="B950" s="16" t="s">
        <v>73</v>
      </c>
      <c r="C950" s="52">
        <v>46112</v>
      </c>
      <c r="D950" s="21">
        <v>2</v>
      </c>
      <c r="E950" s="19">
        <v>2</v>
      </c>
      <c r="F950" s="16" t="s">
        <v>906</v>
      </c>
      <c r="G950" s="16" t="s">
        <v>923</v>
      </c>
      <c r="H950" s="26" t="s">
        <v>1544</v>
      </c>
      <c r="I950" s="16" t="s">
        <v>2145</v>
      </c>
      <c r="J950" s="17">
        <v>10446376387</v>
      </c>
      <c r="K950" s="11"/>
      <c r="L950" s="16" t="s">
        <v>2147</v>
      </c>
      <c r="M950" s="16" t="s">
        <v>75</v>
      </c>
      <c r="N950" s="11"/>
      <c r="O950" s="11"/>
      <c r="P950" s="26" t="s">
        <v>1579</v>
      </c>
      <c r="Q950" s="16" t="s">
        <v>2146</v>
      </c>
      <c r="R950" s="16" t="s">
        <v>142</v>
      </c>
      <c r="S950" s="11"/>
    </row>
    <row r="951" spans="1:19" s="20" customFormat="1" ht="21.75" hidden="1" customHeight="1" x14ac:dyDescent="0.2">
      <c r="A951" s="16" t="s">
        <v>2126</v>
      </c>
      <c r="B951" s="16" t="s">
        <v>73</v>
      </c>
      <c r="C951" s="52">
        <v>46112</v>
      </c>
      <c r="D951" s="21">
        <v>2</v>
      </c>
      <c r="E951" s="19">
        <v>2</v>
      </c>
      <c r="F951" s="16" t="s">
        <v>907</v>
      </c>
      <c r="G951" s="16" t="s">
        <v>924</v>
      </c>
      <c r="H951" s="26" t="s">
        <v>1544</v>
      </c>
      <c r="I951" s="16" t="s">
        <v>2145</v>
      </c>
      <c r="J951" s="17">
        <v>10446376387</v>
      </c>
      <c r="K951" s="11"/>
      <c r="L951" s="16" t="s">
        <v>2147</v>
      </c>
      <c r="M951" s="16" t="s">
        <v>75</v>
      </c>
      <c r="N951" s="11"/>
      <c r="O951" s="11"/>
      <c r="P951" s="26" t="s">
        <v>1579</v>
      </c>
      <c r="Q951" s="16" t="s">
        <v>2146</v>
      </c>
      <c r="R951" s="16" t="s">
        <v>142</v>
      </c>
      <c r="S951" s="11"/>
    </row>
    <row r="952" spans="1:19" s="20" customFormat="1" ht="21.75" hidden="1" customHeight="1" x14ac:dyDescent="0.2">
      <c r="A952" s="16" t="s">
        <v>2126</v>
      </c>
      <c r="B952" s="16" t="s">
        <v>73</v>
      </c>
      <c r="C952" s="52">
        <v>46112</v>
      </c>
      <c r="D952" s="21">
        <v>2</v>
      </c>
      <c r="E952" s="19">
        <v>2</v>
      </c>
      <c r="F952" s="16" t="s">
        <v>908</v>
      </c>
      <c r="G952" s="16" t="s">
        <v>925</v>
      </c>
      <c r="H952" s="26" t="s">
        <v>1544</v>
      </c>
      <c r="I952" s="16" t="s">
        <v>2145</v>
      </c>
      <c r="J952" s="17">
        <v>10446376387</v>
      </c>
      <c r="K952" s="11"/>
      <c r="L952" s="16" t="s">
        <v>2147</v>
      </c>
      <c r="M952" s="16" t="s">
        <v>75</v>
      </c>
      <c r="N952" s="11"/>
      <c r="O952" s="11"/>
      <c r="P952" s="26" t="s">
        <v>1579</v>
      </c>
      <c r="Q952" s="16" t="s">
        <v>2146</v>
      </c>
      <c r="R952" s="16" t="s">
        <v>142</v>
      </c>
      <c r="S952" s="11"/>
    </row>
    <row r="953" spans="1:19" s="20" customFormat="1" ht="21.75" hidden="1" customHeight="1" x14ac:dyDescent="0.2">
      <c r="A953" s="16" t="s">
        <v>2126</v>
      </c>
      <c r="B953" s="16" t="s">
        <v>73</v>
      </c>
      <c r="C953" s="52">
        <v>46112</v>
      </c>
      <c r="D953" s="21">
        <v>2</v>
      </c>
      <c r="E953" s="19">
        <v>2</v>
      </c>
      <c r="F953" s="16" t="s">
        <v>909</v>
      </c>
      <c r="G953" s="16" t="s">
        <v>926</v>
      </c>
      <c r="H953" s="26" t="s">
        <v>1544</v>
      </c>
      <c r="I953" s="16" t="s">
        <v>2145</v>
      </c>
      <c r="J953" s="17">
        <v>10446376387</v>
      </c>
      <c r="K953" s="11"/>
      <c r="L953" s="16" t="s">
        <v>2147</v>
      </c>
      <c r="M953" s="16" t="s">
        <v>75</v>
      </c>
      <c r="N953" s="11"/>
      <c r="O953" s="11"/>
      <c r="P953" s="26" t="s">
        <v>1579</v>
      </c>
      <c r="Q953" s="16" t="s">
        <v>2146</v>
      </c>
      <c r="R953" s="16" t="s">
        <v>142</v>
      </c>
      <c r="S953" s="11"/>
    </row>
    <row r="954" spans="1:19" s="20" customFormat="1" ht="21.75" hidden="1" customHeight="1" x14ac:dyDescent="0.2">
      <c r="A954" s="16" t="s">
        <v>2126</v>
      </c>
      <c r="B954" s="16" t="s">
        <v>73</v>
      </c>
      <c r="C954" s="52">
        <v>46112</v>
      </c>
      <c r="D954" s="21">
        <v>3</v>
      </c>
      <c r="E954" s="19">
        <v>3</v>
      </c>
      <c r="F954" s="16" t="s">
        <v>910</v>
      </c>
      <c r="G954" s="16" t="s">
        <v>927</v>
      </c>
      <c r="H954" s="26" t="s">
        <v>1544</v>
      </c>
      <c r="I954" s="16" t="s">
        <v>2145</v>
      </c>
      <c r="J954" s="17">
        <v>10446376387</v>
      </c>
      <c r="K954" s="11"/>
      <c r="L954" s="16" t="s">
        <v>2147</v>
      </c>
      <c r="M954" s="16" t="s">
        <v>75</v>
      </c>
      <c r="N954" s="11"/>
      <c r="O954" s="11"/>
      <c r="P954" s="26" t="s">
        <v>1579</v>
      </c>
      <c r="Q954" s="16" t="s">
        <v>2146</v>
      </c>
      <c r="R954" s="16" t="s">
        <v>142</v>
      </c>
      <c r="S954" s="11"/>
    </row>
    <row r="955" spans="1:19" s="20" customFormat="1" ht="21.75" hidden="1" customHeight="1" x14ac:dyDescent="0.2">
      <c r="A955" s="16" t="s">
        <v>2126</v>
      </c>
      <c r="B955" s="16" t="s">
        <v>73</v>
      </c>
      <c r="C955" s="52">
        <v>46112</v>
      </c>
      <c r="D955" s="21">
        <v>3</v>
      </c>
      <c r="E955" s="19">
        <v>3</v>
      </c>
      <c r="F955" s="16" t="s">
        <v>1771</v>
      </c>
      <c r="G955" s="16" t="s">
        <v>1774</v>
      </c>
      <c r="H955" s="26" t="s">
        <v>1544</v>
      </c>
      <c r="I955" s="16" t="s">
        <v>2145</v>
      </c>
      <c r="J955" s="17">
        <v>10446376387</v>
      </c>
      <c r="K955" s="11"/>
      <c r="L955" s="16" t="s">
        <v>2147</v>
      </c>
      <c r="M955" s="16" t="s">
        <v>75</v>
      </c>
      <c r="N955" s="11"/>
      <c r="O955" s="11"/>
      <c r="P955" s="26" t="s">
        <v>1579</v>
      </c>
      <c r="Q955" s="16" t="s">
        <v>2146</v>
      </c>
      <c r="R955" s="16" t="s">
        <v>142</v>
      </c>
      <c r="S955" s="11"/>
    </row>
    <row r="956" spans="1:19" s="20" customFormat="1" ht="21.75" hidden="1" customHeight="1" x14ac:dyDescent="0.2">
      <c r="A956" s="16" t="s">
        <v>2126</v>
      </c>
      <c r="B956" s="16" t="s">
        <v>73</v>
      </c>
      <c r="C956" s="52">
        <v>46112</v>
      </c>
      <c r="D956" s="21">
        <v>6</v>
      </c>
      <c r="E956" s="19">
        <v>1</v>
      </c>
      <c r="F956" s="16" t="s">
        <v>1301</v>
      </c>
      <c r="G956" s="16" t="s">
        <v>1307</v>
      </c>
      <c r="H956" s="26" t="s">
        <v>1544</v>
      </c>
      <c r="I956" s="16" t="s">
        <v>2145</v>
      </c>
      <c r="J956" s="17">
        <v>10446376387</v>
      </c>
      <c r="K956" s="11"/>
      <c r="L956" s="16" t="s">
        <v>2147</v>
      </c>
      <c r="M956" s="16" t="s">
        <v>75</v>
      </c>
      <c r="N956" s="11"/>
      <c r="O956" s="11"/>
      <c r="P956" s="26" t="s">
        <v>1579</v>
      </c>
      <c r="Q956" s="16" t="s">
        <v>2146</v>
      </c>
      <c r="R956" s="16" t="s">
        <v>142</v>
      </c>
      <c r="S956" s="11"/>
    </row>
    <row r="957" spans="1:19" s="20" customFormat="1" ht="21.75" hidden="1" customHeight="1" x14ac:dyDescent="0.2">
      <c r="A957" s="16" t="s">
        <v>2126</v>
      </c>
      <c r="B957" s="16" t="s">
        <v>73</v>
      </c>
      <c r="C957" s="52">
        <v>46112</v>
      </c>
      <c r="D957" s="21">
        <v>2</v>
      </c>
      <c r="E957" s="19">
        <v>1</v>
      </c>
      <c r="F957" s="16" t="s">
        <v>1132</v>
      </c>
      <c r="G957" s="16" t="s">
        <v>1144</v>
      </c>
      <c r="H957" s="26" t="s">
        <v>1544</v>
      </c>
      <c r="I957" s="16" t="s">
        <v>2145</v>
      </c>
      <c r="J957" s="17">
        <v>10446376387</v>
      </c>
      <c r="K957" s="11"/>
      <c r="L957" s="16" t="s">
        <v>2147</v>
      </c>
      <c r="M957" s="16" t="s">
        <v>75</v>
      </c>
      <c r="N957" s="11"/>
      <c r="O957" s="11"/>
      <c r="P957" s="26" t="s">
        <v>1579</v>
      </c>
      <c r="Q957" s="16" t="s">
        <v>2146</v>
      </c>
      <c r="R957" s="16" t="s">
        <v>142</v>
      </c>
      <c r="S957" s="11"/>
    </row>
    <row r="958" spans="1:19" s="20" customFormat="1" ht="21.75" hidden="1" customHeight="1" x14ac:dyDescent="0.2">
      <c r="A958" s="16" t="s">
        <v>2126</v>
      </c>
      <c r="B958" s="16" t="s">
        <v>73</v>
      </c>
      <c r="C958" s="52">
        <v>46112</v>
      </c>
      <c r="D958" s="21">
        <v>2</v>
      </c>
      <c r="E958" s="19">
        <v>1</v>
      </c>
      <c r="F958" s="16" t="s">
        <v>1134</v>
      </c>
      <c r="G958" s="16" t="s">
        <v>1146</v>
      </c>
      <c r="H958" s="26" t="s">
        <v>1544</v>
      </c>
      <c r="I958" s="16" t="s">
        <v>2145</v>
      </c>
      <c r="J958" s="17">
        <v>10446376387</v>
      </c>
      <c r="K958" s="11"/>
      <c r="L958" s="16" t="s">
        <v>2147</v>
      </c>
      <c r="M958" s="16" t="s">
        <v>75</v>
      </c>
      <c r="N958" s="11"/>
      <c r="O958" s="11"/>
      <c r="P958" s="26" t="s">
        <v>1579</v>
      </c>
      <c r="Q958" s="16" t="s">
        <v>2146</v>
      </c>
      <c r="R958" s="16" t="s">
        <v>142</v>
      </c>
      <c r="S958" s="11"/>
    </row>
    <row r="959" spans="1:19" s="20" customFormat="1" ht="21.75" hidden="1" customHeight="1" x14ac:dyDescent="0.2">
      <c r="A959" s="16" t="s">
        <v>2126</v>
      </c>
      <c r="B959" s="16" t="s">
        <v>73</v>
      </c>
      <c r="C959" s="52">
        <v>46112</v>
      </c>
      <c r="D959" s="21">
        <v>6</v>
      </c>
      <c r="E959" s="19">
        <v>1</v>
      </c>
      <c r="F959" s="16" t="s">
        <v>1136</v>
      </c>
      <c r="G959" s="16" t="s">
        <v>1148</v>
      </c>
      <c r="H959" s="26" t="s">
        <v>1544</v>
      </c>
      <c r="I959" s="16" t="s">
        <v>2145</v>
      </c>
      <c r="J959" s="17">
        <v>10446376387</v>
      </c>
      <c r="K959" s="11"/>
      <c r="L959" s="16" t="s">
        <v>2147</v>
      </c>
      <c r="M959" s="16" t="s">
        <v>75</v>
      </c>
      <c r="N959" s="11"/>
      <c r="O959" s="11"/>
      <c r="P959" s="26" t="s">
        <v>1579</v>
      </c>
      <c r="Q959" s="16" t="s">
        <v>2146</v>
      </c>
      <c r="R959" s="16" t="s">
        <v>142</v>
      </c>
      <c r="S959" s="11"/>
    </row>
    <row r="960" spans="1:19" s="20" customFormat="1" ht="21.75" hidden="1" customHeight="1" x14ac:dyDescent="0.2">
      <c r="A960" s="16" t="s">
        <v>2126</v>
      </c>
      <c r="B960" s="16" t="s">
        <v>73</v>
      </c>
      <c r="C960" s="52">
        <v>46112</v>
      </c>
      <c r="D960" s="21">
        <v>6</v>
      </c>
      <c r="E960" s="19">
        <v>1</v>
      </c>
      <c r="F960" s="16" t="s">
        <v>1137</v>
      </c>
      <c r="G960" s="16" t="s">
        <v>1149</v>
      </c>
      <c r="H960" s="26" t="s">
        <v>1544</v>
      </c>
      <c r="I960" s="16" t="s">
        <v>2145</v>
      </c>
      <c r="J960" s="17">
        <v>10446376387</v>
      </c>
      <c r="K960" s="11"/>
      <c r="L960" s="16" t="s">
        <v>2147</v>
      </c>
      <c r="M960" s="16" t="s">
        <v>75</v>
      </c>
      <c r="N960" s="11"/>
      <c r="O960" s="11"/>
      <c r="P960" s="26" t="s">
        <v>1579</v>
      </c>
      <c r="Q960" s="16" t="s">
        <v>2146</v>
      </c>
      <c r="R960" s="16" t="s">
        <v>142</v>
      </c>
      <c r="S960" s="11"/>
    </row>
    <row r="961" spans="1:19" s="20" customFormat="1" ht="21.75" hidden="1" customHeight="1" x14ac:dyDescent="0.2">
      <c r="A961" s="16" t="s">
        <v>2126</v>
      </c>
      <c r="B961" s="16" t="s">
        <v>73</v>
      </c>
      <c r="C961" s="52">
        <v>46112</v>
      </c>
      <c r="D961" s="21">
        <v>12</v>
      </c>
      <c r="E961" s="19">
        <v>1</v>
      </c>
      <c r="F961" s="16" t="s">
        <v>1545</v>
      </c>
      <c r="G961" s="16" t="s">
        <v>1548</v>
      </c>
      <c r="H961" s="26" t="s">
        <v>1544</v>
      </c>
      <c r="I961" s="16" t="s">
        <v>2145</v>
      </c>
      <c r="J961" s="17">
        <v>10446376387</v>
      </c>
      <c r="K961" s="11"/>
      <c r="L961" s="16" t="s">
        <v>2147</v>
      </c>
      <c r="M961" s="16" t="s">
        <v>75</v>
      </c>
      <c r="N961" s="11"/>
      <c r="O961" s="11"/>
      <c r="P961" s="26" t="s">
        <v>1579</v>
      </c>
      <c r="Q961" s="16" t="s">
        <v>2146</v>
      </c>
      <c r="R961" s="16" t="s">
        <v>142</v>
      </c>
      <c r="S961" s="11"/>
    </row>
    <row r="962" spans="1:19" s="20" customFormat="1" ht="21.75" hidden="1" customHeight="1" x14ac:dyDescent="0.2">
      <c r="A962" s="16" t="s">
        <v>1875</v>
      </c>
      <c r="B962" s="16" t="s">
        <v>73</v>
      </c>
      <c r="C962" s="52">
        <v>46112</v>
      </c>
      <c r="D962" s="21">
        <v>8</v>
      </c>
      <c r="E962" s="19">
        <v>1</v>
      </c>
      <c r="F962" s="16" t="s">
        <v>901</v>
      </c>
      <c r="G962" s="16" t="s">
        <v>918</v>
      </c>
      <c r="H962" s="26" t="s">
        <v>1544</v>
      </c>
      <c r="I962" s="16" t="s">
        <v>1876</v>
      </c>
      <c r="J962" s="17">
        <v>20489011230</v>
      </c>
      <c r="K962" s="14"/>
      <c r="L962" s="16" t="s">
        <v>1880</v>
      </c>
      <c r="M962" s="16" t="s">
        <v>75</v>
      </c>
      <c r="N962" s="11"/>
      <c r="O962" s="11"/>
      <c r="P962" s="16" t="s">
        <v>1366</v>
      </c>
      <c r="Q962" s="16" t="s">
        <v>1879</v>
      </c>
      <c r="R962" s="16" t="s">
        <v>142</v>
      </c>
      <c r="S962" s="11"/>
    </row>
    <row r="963" spans="1:19" s="20" customFormat="1" ht="21.75" hidden="1" customHeight="1" x14ac:dyDescent="0.2">
      <c r="A963" s="16" t="s">
        <v>1875</v>
      </c>
      <c r="B963" s="16" t="s">
        <v>73</v>
      </c>
      <c r="C963" s="52">
        <v>46112</v>
      </c>
      <c r="D963" s="21">
        <v>8</v>
      </c>
      <c r="E963" s="19">
        <v>1</v>
      </c>
      <c r="F963" s="16" t="s">
        <v>902</v>
      </c>
      <c r="G963" s="16" t="s">
        <v>919</v>
      </c>
      <c r="H963" s="26" t="s">
        <v>1544</v>
      </c>
      <c r="I963" s="16" t="s">
        <v>1876</v>
      </c>
      <c r="J963" s="17">
        <v>20489011230</v>
      </c>
      <c r="K963" s="14"/>
      <c r="L963" s="16" t="s">
        <v>1880</v>
      </c>
      <c r="M963" s="16" t="s">
        <v>75</v>
      </c>
      <c r="N963" s="11"/>
      <c r="O963" s="11"/>
      <c r="P963" s="16" t="s">
        <v>1366</v>
      </c>
      <c r="Q963" s="16" t="s">
        <v>1879</v>
      </c>
      <c r="R963" s="16" t="s">
        <v>142</v>
      </c>
      <c r="S963" s="11"/>
    </row>
    <row r="964" spans="1:19" s="20" customFormat="1" ht="21.75" hidden="1" customHeight="1" x14ac:dyDescent="0.2">
      <c r="A964" s="16" t="s">
        <v>1875</v>
      </c>
      <c r="B964" s="16" t="s">
        <v>73</v>
      </c>
      <c r="C964" s="52">
        <v>46112</v>
      </c>
      <c r="D964" s="21">
        <v>8</v>
      </c>
      <c r="E964" s="19">
        <v>1</v>
      </c>
      <c r="F964" s="16" t="s">
        <v>903</v>
      </c>
      <c r="G964" s="16" t="s">
        <v>920</v>
      </c>
      <c r="H964" s="26" t="s">
        <v>1544</v>
      </c>
      <c r="I964" s="16" t="s">
        <v>1876</v>
      </c>
      <c r="J964" s="17">
        <v>20489011230</v>
      </c>
      <c r="K964" s="14"/>
      <c r="L964" s="16" t="s">
        <v>1880</v>
      </c>
      <c r="M964" s="16" t="s">
        <v>75</v>
      </c>
      <c r="N964" s="11"/>
      <c r="O964" s="11"/>
      <c r="P964" s="16" t="s">
        <v>1366</v>
      </c>
      <c r="Q964" s="16" t="s">
        <v>1879</v>
      </c>
      <c r="R964" s="16" t="s">
        <v>142</v>
      </c>
      <c r="S964" s="11"/>
    </row>
    <row r="965" spans="1:19" s="20" customFormat="1" ht="21.75" hidden="1" customHeight="1" x14ac:dyDescent="0.2">
      <c r="A965" s="16" t="s">
        <v>1875</v>
      </c>
      <c r="B965" s="16" t="s">
        <v>73</v>
      </c>
      <c r="C965" s="52">
        <v>46112</v>
      </c>
      <c r="D965" s="21">
        <v>8</v>
      </c>
      <c r="E965" s="19">
        <v>1</v>
      </c>
      <c r="F965" s="16" t="s">
        <v>900</v>
      </c>
      <c r="G965" s="16" t="s">
        <v>917</v>
      </c>
      <c r="H965" s="26" t="s">
        <v>1544</v>
      </c>
      <c r="I965" s="16" t="s">
        <v>1876</v>
      </c>
      <c r="J965" s="17">
        <v>20489011230</v>
      </c>
      <c r="K965" s="14"/>
      <c r="L965" s="16" t="s">
        <v>1880</v>
      </c>
      <c r="M965" s="16" t="s">
        <v>75</v>
      </c>
      <c r="N965" s="11"/>
      <c r="O965" s="11"/>
      <c r="P965" s="16" t="s">
        <v>1366</v>
      </c>
      <c r="Q965" s="16" t="s">
        <v>1879</v>
      </c>
      <c r="R965" s="16" t="s">
        <v>142</v>
      </c>
      <c r="S965" s="11"/>
    </row>
    <row r="966" spans="1:19" s="20" customFormat="1" ht="21.75" hidden="1" customHeight="1" x14ac:dyDescent="0.2">
      <c r="A966" s="16" t="s">
        <v>1875</v>
      </c>
      <c r="B966" s="16" t="s">
        <v>73</v>
      </c>
      <c r="C966" s="52">
        <v>46112</v>
      </c>
      <c r="D966" s="21">
        <v>6</v>
      </c>
      <c r="E966" s="19">
        <v>1</v>
      </c>
      <c r="F966" s="16" t="s">
        <v>1302</v>
      </c>
      <c r="G966" s="16" t="s">
        <v>1308</v>
      </c>
      <c r="H966" s="26" t="s">
        <v>1544</v>
      </c>
      <c r="I966" s="16" t="s">
        <v>1876</v>
      </c>
      <c r="J966" s="17">
        <v>20489011230</v>
      </c>
      <c r="K966" s="14"/>
      <c r="L966" s="16" t="s">
        <v>1880</v>
      </c>
      <c r="M966" s="16" t="s">
        <v>75</v>
      </c>
      <c r="N966" s="11"/>
      <c r="O966" s="11"/>
      <c r="P966" s="16" t="s">
        <v>1366</v>
      </c>
      <c r="Q966" s="16" t="s">
        <v>1879</v>
      </c>
      <c r="R966" s="16" t="s">
        <v>142</v>
      </c>
      <c r="S966" s="11"/>
    </row>
    <row r="967" spans="1:19" s="20" customFormat="1" ht="21.75" hidden="1" customHeight="1" x14ac:dyDescent="0.2">
      <c r="A967" s="16" t="s">
        <v>1875</v>
      </c>
      <c r="B967" s="16" t="s">
        <v>73</v>
      </c>
      <c r="C967" s="52">
        <v>46112</v>
      </c>
      <c r="D967" s="21">
        <v>6</v>
      </c>
      <c r="E967" s="19">
        <v>1</v>
      </c>
      <c r="F967" s="16" t="s">
        <v>1303</v>
      </c>
      <c r="G967" s="16" t="s">
        <v>1309</v>
      </c>
      <c r="H967" s="26" t="s">
        <v>1544</v>
      </c>
      <c r="I967" s="16" t="s">
        <v>1876</v>
      </c>
      <c r="J967" s="17">
        <v>20489011230</v>
      </c>
      <c r="K967" s="14"/>
      <c r="L967" s="16" t="s">
        <v>1880</v>
      </c>
      <c r="M967" s="16" t="s">
        <v>75</v>
      </c>
      <c r="N967" s="11"/>
      <c r="O967" s="11"/>
      <c r="P967" s="16" t="s">
        <v>1366</v>
      </c>
      <c r="Q967" s="16" t="s">
        <v>1879</v>
      </c>
      <c r="R967" s="16" t="s">
        <v>142</v>
      </c>
      <c r="S967" s="11"/>
    </row>
    <row r="968" spans="1:19" s="20" customFormat="1" ht="21.75" hidden="1" customHeight="1" x14ac:dyDescent="0.2">
      <c r="A968" s="16" t="s">
        <v>1875</v>
      </c>
      <c r="B968" s="16" t="s">
        <v>73</v>
      </c>
      <c r="C968" s="52">
        <v>46112</v>
      </c>
      <c r="D968" s="21">
        <v>6</v>
      </c>
      <c r="E968" s="19">
        <v>1</v>
      </c>
      <c r="F968" s="16" t="s">
        <v>904</v>
      </c>
      <c r="G968" s="16" t="s">
        <v>921</v>
      </c>
      <c r="H968" s="26" t="s">
        <v>1544</v>
      </c>
      <c r="I968" s="16" t="s">
        <v>1876</v>
      </c>
      <c r="J968" s="17">
        <v>20489011230</v>
      </c>
      <c r="K968" s="14"/>
      <c r="L968" s="16" t="s">
        <v>1880</v>
      </c>
      <c r="M968" s="16" t="s">
        <v>75</v>
      </c>
      <c r="N968" s="11"/>
      <c r="O968" s="11"/>
      <c r="P968" s="16" t="s">
        <v>1366</v>
      </c>
      <c r="Q968" s="16" t="s">
        <v>1879</v>
      </c>
      <c r="R968" s="16" t="s">
        <v>142</v>
      </c>
      <c r="S968" s="11"/>
    </row>
    <row r="969" spans="1:19" s="20" customFormat="1" ht="21.75" hidden="1" customHeight="1" x14ac:dyDescent="0.2">
      <c r="A969" s="16" t="s">
        <v>1875</v>
      </c>
      <c r="B969" s="16" t="s">
        <v>73</v>
      </c>
      <c r="C969" s="52">
        <v>46112</v>
      </c>
      <c r="D969" s="21">
        <v>6</v>
      </c>
      <c r="E969" s="19">
        <v>1</v>
      </c>
      <c r="F969" s="16" t="s">
        <v>905</v>
      </c>
      <c r="G969" s="16" t="s">
        <v>922</v>
      </c>
      <c r="H969" s="26" t="s">
        <v>1544</v>
      </c>
      <c r="I969" s="16" t="s">
        <v>1876</v>
      </c>
      <c r="J969" s="17">
        <v>20489011230</v>
      </c>
      <c r="K969" s="14"/>
      <c r="L969" s="16" t="s">
        <v>1880</v>
      </c>
      <c r="M969" s="16" t="s">
        <v>75</v>
      </c>
      <c r="N969" s="11"/>
      <c r="O969" s="11"/>
      <c r="P969" s="16" t="s">
        <v>1366</v>
      </c>
      <c r="Q969" s="16" t="s">
        <v>1879</v>
      </c>
      <c r="R969" s="16" t="s">
        <v>142</v>
      </c>
      <c r="S969" s="11"/>
    </row>
    <row r="970" spans="1:19" s="20" customFormat="1" ht="21.75" hidden="1" customHeight="1" x14ac:dyDescent="0.2">
      <c r="A970" s="16" t="s">
        <v>1875</v>
      </c>
      <c r="B970" s="16" t="s">
        <v>73</v>
      </c>
      <c r="C970" s="52">
        <v>46112</v>
      </c>
      <c r="D970" s="21">
        <v>3</v>
      </c>
      <c r="E970" s="19">
        <v>3</v>
      </c>
      <c r="F970" s="16" t="s">
        <v>906</v>
      </c>
      <c r="G970" s="16" t="s">
        <v>923</v>
      </c>
      <c r="H970" s="26" t="s">
        <v>1544</v>
      </c>
      <c r="I970" s="16" t="s">
        <v>1876</v>
      </c>
      <c r="J970" s="17">
        <v>20489011230</v>
      </c>
      <c r="K970" s="14"/>
      <c r="L970" s="16" t="s">
        <v>1880</v>
      </c>
      <c r="M970" s="16" t="s">
        <v>75</v>
      </c>
      <c r="N970" s="11"/>
      <c r="O970" s="11"/>
      <c r="P970" s="16" t="s">
        <v>1366</v>
      </c>
      <c r="Q970" s="16" t="s">
        <v>1879</v>
      </c>
      <c r="R970" s="16" t="s">
        <v>142</v>
      </c>
      <c r="S970" s="11"/>
    </row>
    <row r="971" spans="1:19" s="20" customFormat="1" ht="21.75" hidden="1" customHeight="1" x14ac:dyDescent="0.2">
      <c r="A971" s="16" t="s">
        <v>1875</v>
      </c>
      <c r="B971" s="16" t="s">
        <v>73</v>
      </c>
      <c r="C971" s="52">
        <v>46112</v>
      </c>
      <c r="D971" s="21">
        <v>3</v>
      </c>
      <c r="E971" s="19">
        <v>3</v>
      </c>
      <c r="F971" s="16" t="s">
        <v>907</v>
      </c>
      <c r="G971" s="16" t="s">
        <v>924</v>
      </c>
      <c r="H971" s="26" t="s">
        <v>1544</v>
      </c>
      <c r="I971" s="16" t="s">
        <v>1876</v>
      </c>
      <c r="J971" s="17">
        <v>20489011230</v>
      </c>
      <c r="K971" s="14"/>
      <c r="L971" s="16" t="s">
        <v>1880</v>
      </c>
      <c r="M971" s="16" t="s">
        <v>75</v>
      </c>
      <c r="N971" s="11"/>
      <c r="O971" s="11"/>
      <c r="P971" s="16" t="s">
        <v>1366</v>
      </c>
      <c r="Q971" s="16" t="s">
        <v>1879</v>
      </c>
      <c r="R971" s="16" t="s">
        <v>142</v>
      </c>
      <c r="S971" s="11"/>
    </row>
    <row r="972" spans="1:19" s="20" customFormat="1" ht="21.75" hidden="1" customHeight="1" x14ac:dyDescent="0.2">
      <c r="A972" s="16" t="s">
        <v>1875</v>
      </c>
      <c r="B972" s="16" t="s">
        <v>73</v>
      </c>
      <c r="C972" s="52">
        <v>46112</v>
      </c>
      <c r="D972" s="21">
        <v>3</v>
      </c>
      <c r="E972" s="19">
        <v>3</v>
      </c>
      <c r="F972" s="16" t="s">
        <v>908</v>
      </c>
      <c r="G972" s="16" t="s">
        <v>925</v>
      </c>
      <c r="H972" s="26" t="s">
        <v>1544</v>
      </c>
      <c r="I972" s="16" t="s">
        <v>1876</v>
      </c>
      <c r="J972" s="17">
        <v>20489011230</v>
      </c>
      <c r="K972" s="14"/>
      <c r="L972" s="16" t="s">
        <v>1880</v>
      </c>
      <c r="M972" s="16" t="s">
        <v>75</v>
      </c>
      <c r="N972" s="11"/>
      <c r="O972" s="11"/>
      <c r="P972" s="16" t="s">
        <v>1366</v>
      </c>
      <c r="Q972" s="16" t="s">
        <v>1879</v>
      </c>
      <c r="R972" s="16" t="s">
        <v>142</v>
      </c>
      <c r="S972" s="11"/>
    </row>
    <row r="973" spans="1:19" s="20" customFormat="1" ht="21.75" hidden="1" customHeight="1" x14ac:dyDescent="0.2">
      <c r="A973" s="16" t="s">
        <v>1875</v>
      </c>
      <c r="B973" s="16" t="s">
        <v>73</v>
      </c>
      <c r="C973" s="52">
        <v>46112</v>
      </c>
      <c r="D973" s="21">
        <v>3</v>
      </c>
      <c r="E973" s="19">
        <v>3</v>
      </c>
      <c r="F973" s="16" t="s">
        <v>909</v>
      </c>
      <c r="G973" s="16" t="s">
        <v>926</v>
      </c>
      <c r="H973" s="26" t="s">
        <v>1544</v>
      </c>
      <c r="I973" s="16" t="s">
        <v>1876</v>
      </c>
      <c r="J973" s="17">
        <v>20489011230</v>
      </c>
      <c r="K973" s="14"/>
      <c r="L973" s="16" t="s">
        <v>1880</v>
      </c>
      <c r="M973" s="16" t="s">
        <v>75</v>
      </c>
      <c r="N973" s="11"/>
      <c r="O973" s="11"/>
      <c r="P973" s="16" t="s">
        <v>1366</v>
      </c>
      <c r="Q973" s="16" t="s">
        <v>1879</v>
      </c>
      <c r="R973" s="16" t="s">
        <v>142</v>
      </c>
      <c r="S973" s="11"/>
    </row>
    <row r="974" spans="1:19" s="20" customFormat="1" ht="21.75" hidden="1" customHeight="1" x14ac:dyDescent="0.2">
      <c r="A974" s="16" t="s">
        <v>1875</v>
      </c>
      <c r="B974" s="16" t="s">
        <v>73</v>
      </c>
      <c r="C974" s="52">
        <v>46112</v>
      </c>
      <c r="D974" s="21">
        <v>2</v>
      </c>
      <c r="E974" s="19">
        <v>2</v>
      </c>
      <c r="F974" s="16" t="s">
        <v>1132</v>
      </c>
      <c r="G974" s="16" t="s">
        <v>1144</v>
      </c>
      <c r="H974" s="26" t="s">
        <v>1544</v>
      </c>
      <c r="I974" s="16" t="s">
        <v>1876</v>
      </c>
      <c r="J974" s="17">
        <v>20489011230</v>
      </c>
      <c r="K974" s="14"/>
      <c r="L974" s="16" t="s">
        <v>1880</v>
      </c>
      <c r="M974" s="16" t="s">
        <v>75</v>
      </c>
      <c r="N974" s="11"/>
      <c r="O974" s="11"/>
      <c r="P974" s="16" t="s">
        <v>1366</v>
      </c>
      <c r="Q974" s="16" t="s">
        <v>1879</v>
      </c>
      <c r="R974" s="16" t="s">
        <v>142</v>
      </c>
      <c r="S974" s="11"/>
    </row>
    <row r="975" spans="1:19" s="20" customFormat="1" ht="21.75" hidden="1" customHeight="1" x14ac:dyDescent="0.2">
      <c r="A975" s="16" t="s">
        <v>1875</v>
      </c>
      <c r="B975" s="16" t="s">
        <v>73</v>
      </c>
      <c r="C975" s="52">
        <v>46112</v>
      </c>
      <c r="D975" s="21">
        <v>2</v>
      </c>
      <c r="E975" s="19">
        <v>2</v>
      </c>
      <c r="F975" s="16" t="s">
        <v>1134</v>
      </c>
      <c r="G975" s="16" t="s">
        <v>1146</v>
      </c>
      <c r="H975" s="26" t="s">
        <v>1544</v>
      </c>
      <c r="I975" s="16" t="s">
        <v>1876</v>
      </c>
      <c r="J975" s="17">
        <v>20489011230</v>
      </c>
      <c r="K975" s="14"/>
      <c r="L975" s="16" t="s">
        <v>1880</v>
      </c>
      <c r="M975" s="16" t="s">
        <v>75</v>
      </c>
      <c r="N975" s="11"/>
      <c r="O975" s="11"/>
      <c r="P975" s="16" t="s">
        <v>1366</v>
      </c>
      <c r="Q975" s="16" t="s">
        <v>1879</v>
      </c>
      <c r="R975" s="16" t="s">
        <v>142</v>
      </c>
      <c r="S975" s="11"/>
    </row>
    <row r="976" spans="1:19" s="20" customFormat="1" ht="21.75" hidden="1" customHeight="1" x14ac:dyDescent="0.2">
      <c r="A976" s="16" t="s">
        <v>1875</v>
      </c>
      <c r="B976" s="16" t="s">
        <v>73</v>
      </c>
      <c r="C976" s="52">
        <v>46112</v>
      </c>
      <c r="D976" s="21">
        <v>2</v>
      </c>
      <c r="E976" s="19">
        <v>2</v>
      </c>
      <c r="F976" s="16" t="s">
        <v>1133</v>
      </c>
      <c r="G976" s="16" t="s">
        <v>1145</v>
      </c>
      <c r="H976" s="26" t="s">
        <v>1544</v>
      </c>
      <c r="I976" s="16" t="s">
        <v>1876</v>
      </c>
      <c r="J976" s="17">
        <v>20489011230</v>
      </c>
      <c r="K976" s="14"/>
      <c r="L976" s="16" t="s">
        <v>1880</v>
      </c>
      <c r="M976" s="16" t="s">
        <v>75</v>
      </c>
      <c r="N976" s="11"/>
      <c r="O976" s="11"/>
      <c r="P976" s="16" t="s">
        <v>1366</v>
      </c>
      <c r="Q976" s="16" t="s">
        <v>1879</v>
      </c>
      <c r="R976" s="16" t="s">
        <v>142</v>
      </c>
      <c r="S976" s="11"/>
    </row>
    <row r="977" spans="1:19" s="20" customFormat="1" ht="21.75" hidden="1" customHeight="1" x14ac:dyDescent="0.2">
      <c r="A977" s="16" t="s">
        <v>1875</v>
      </c>
      <c r="B977" s="16" t="s">
        <v>73</v>
      </c>
      <c r="C977" s="52">
        <v>46112</v>
      </c>
      <c r="D977" s="21">
        <v>3</v>
      </c>
      <c r="E977" s="19">
        <v>1</v>
      </c>
      <c r="F977" s="16" t="s">
        <v>1136</v>
      </c>
      <c r="G977" s="16" t="s">
        <v>1148</v>
      </c>
      <c r="H977" s="16" t="s">
        <v>1544</v>
      </c>
      <c r="I977" s="16" t="s">
        <v>1876</v>
      </c>
      <c r="J977" s="17">
        <v>20489011230</v>
      </c>
      <c r="K977" s="14"/>
      <c r="L977" s="16" t="s">
        <v>1880</v>
      </c>
      <c r="M977" s="16" t="s">
        <v>75</v>
      </c>
      <c r="N977" s="11"/>
      <c r="O977" s="11"/>
      <c r="P977" s="16" t="s">
        <v>1366</v>
      </c>
      <c r="Q977" s="16" t="s">
        <v>1879</v>
      </c>
      <c r="R977" s="16" t="s">
        <v>142</v>
      </c>
      <c r="S977" s="11"/>
    </row>
    <row r="978" spans="1:19" s="20" customFormat="1" ht="21.75" hidden="1" customHeight="1" x14ac:dyDescent="0.2">
      <c r="A978" s="16" t="s">
        <v>1875</v>
      </c>
      <c r="B978" s="16" t="s">
        <v>73</v>
      </c>
      <c r="C978" s="52">
        <v>46112</v>
      </c>
      <c r="D978" s="21">
        <v>3</v>
      </c>
      <c r="E978" s="19">
        <v>1</v>
      </c>
      <c r="F978" s="16" t="s">
        <v>1137</v>
      </c>
      <c r="G978" s="16" t="s">
        <v>1149</v>
      </c>
      <c r="H978" s="16" t="s">
        <v>1544</v>
      </c>
      <c r="I978" s="16" t="s">
        <v>1876</v>
      </c>
      <c r="J978" s="17">
        <v>20489011230</v>
      </c>
      <c r="K978" s="14"/>
      <c r="L978" s="16" t="s">
        <v>1880</v>
      </c>
      <c r="M978" s="16" t="s">
        <v>75</v>
      </c>
      <c r="N978" s="11"/>
      <c r="O978" s="11"/>
      <c r="P978" s="16" t="s">
        <v>1366</v>
      </c>
      <c r="Q978" s="16" t="s">
        <v>1879</v>
      </c>
      <c r="R978" s="16" t="s">
        <v>142</v>
      </c>
      <c r="S978" s="11"/>
    </row>
    <row r="979" spans="1:19" s="20" customFormat="1" ht="21.75" hidden="1" customHeight="1" x14ac:dyDescent="0.2">
      <c r="A979" s="16" t="s">
        <v>1911</v>
      </c>
      <c r="B979" s="17">
        <v>13692688</v>
      </c>
      <c r="C979" s="18">
        <v>46088</v>
      </c>
      <c r="D979" s="21">
        <v>48</v>
      </c>
      <c r="E979" s="19">
        <v>2</v>
      </c>
      <c r="F979" s="16" t="s">
        <v>18</v>
      </c>
      <c r="G979" s="16" t="s">
        <v>109</v>
      </c>
      <c r="H979" s="16" t="s">
        <v>76</v>
      </c>
      <c r="I979" s="16" t="s">
        <v>134</v>
      </c>
      <c r="J979" s="17">
        <v>20100070970</v>
      </c>
      <c r="K979" s="11"/>
      <c r="L979" s="16" t="s">
        <v>1632</v>
      </c>
      <c r="M979" s="16" t="s">
        <v>77</v>
      </c>
      <c r="N979" s="11"/>
      <c r="O979" s="11"/>
      <c r="P979" s="16" t="s">
        <v>1912</v>
      </c>
      <c r="Q979" s="16" t="s">
        <v>1795</v>
      </c>
      <c r="R979" s="16" t="s">
        <v>143</v>
      </c>
      <c r="S979" s="11" t="s">
        <v>1913</v>
      </c>
    </row>
    <row r="980" spans="1:19" s="20" customFormat="1" ht="21.75" hidden="1" customHeight="1" x14ac:dyDescent="0.2">
      <c r="A980" s="16" t="s">
        <v>1911</v>
      </c>
      <c r="B980" s="17">
        <v>13692688</v>
      </c>
      <c r="C980" s="18">
        <v>46088</v>
      </c>
      <c r="D980" s="21">
        <v>84</v>
      </c>
      <c r="E980" s="19">
        <v>7</v>
      </c>
      <c r="F980" s="16" t="s">
        <v>19</v>
      </c>
      <c r="G980" s="16" t="s">
        <v>120</v>
      </c>
      <c r="H980" s="16" t="s">
        <v>76</v>
      </c>
      <c r="I980" s="16" t="s">
        <v>134</v>
      </c>
      <c r="J980" s="17">
        <v>20100070970</v>
      </c>
      <c r="K980" s="11"/>
      <c r="L980" s="16" t="s">
        <v>1632</v>
      </c>
      <c r="M980" s="16" t="s">
        <v>77</v>
      </c>
      <c r="N980" s="11"/>
      <c r="O980" s="11"/>
      <c r="P980" s="16" t="s">
        <v>1912</v>
      </c>
      <c r="Q980" s="16" t="s">
        <v>1795</v>
      </c>
      <c r="R980" s="16" t="s">
        <v>143</v>
      </c>
      <c r="S980" s="11" t="s">
        <v>1913</v>
      </c>
    </row>
    <row r="981" spans="1:19" s="20" customFormat="1" ht="21.75" hidden="1" customHeight="1" x14ac:dyDescent="0.2">
      <c r="A981" s="16" t="s">
        <v>1911</v>
      </c>
      <c r="B981" s="17">
        <v>13692688</v>
      </c>
      <c r="C981" s="18">
        <v>46088</v>
      </c>
      <c r="D981" s="21">
        <v>36</v>
      </c>
      <c r="E981" s="19">
        <v>3</v>
      </c>
      <c r="F981" s="16" t="s">
        <v>20</v>
      </c>
      <c r="G981" s="16" t="s">
        <v>113</v>
      </c>
      <c r="H981" s="16" t="s">
        <v>76</v>
      </c>
      <c r="I981" s="16" t="s">
        <v>134</v>
      </c>
      <c r="J981" s="17">
        <v>20100070970</v>
      </c>
      <c r="K981" s="11"/>
      <c r="L981" s="16" t="s">
        <v>1632</v>
      </c>
      <c r="M981" s="16" t="s">
        <v>77</v>
      </c>
      <c r="N981" s="11"/>
      <c r="O981" s="11"/>
      <c r="P981" s="16" t="s">
        <v>1912</v>
      </c>
      <c r="Q981" s="16" t="s">
        <v>1795</v>
      </c>
      <c r="R981" s="16" t="s">
        <v>143</v>
      </c>
      <c r="S981" s="11" t="s">
        <v>1913</v>
      </c>
    </row>
    <row r="982" spans="1:19" s="20" customFormat="1" ht="21.75" hidden="1" customHeight="1" x14ac:dyDescent="0.2">
      <c r="A982" s="16" t="s">
        <v>1911</v>
      </c>
      <c r="B982" s="17">
        <v>13692688</v>
      </c>
      <c r="C982" s="18">
        <v>46088</v>
      </c>
      <c r="D982" s="21">
        <v>60</v>
      </c>
      <c r="E982" s="19">
        <v>5</v>
      </c>
      <c r="F982" s="16" t="s">
        <v>21</v>
      </c>
      <c r="G982" s="16" t="s">
        <v>115</v>
      </c>
      <c r="H982" s="16" t="s">
        <v>76</v>
      </c>
      <c r="I982" s="16" t="s">
        <v>134</v>
      </c>
      <c r="J982" s="17">
        <v>20100070970</v>
      </c>
      <c r="K982" s="11"/>
      <c r="L982" s="16" t="s">
        <v>1632</v>
      </c>
      <c r="M982" s="16" t="s">
        <v>77</v>
      </c>
      <c r="N982" s="11"/>
      <c r="O982" s="11"/>
      <c r="P982" s="16" t="s">
        <v>1912</v>
      </c>
      <c r="Q982" s="16" t="s">
        <v>1795</v>
      </c>
      <c r="R982" s="16" t="s">
        <v>143</v>
      </c>
      <c r="S982" s="11" t="s">
        <v>1913</v>
      </c>
    </row>
    <row r="983" spans="1:19" s="20" customFormat="1" ht="21.75" hidden="1" customHeight="1" x14ac:dyDescent="0.2">
      <c r="A983" s="16" t="s">
        <v>1911</v>
      </c>
      <c r="B983" s="17">
        <v>13692688</v>
      </c>
      <c r="C983" s="18">
        <v>46088</v>
      </c>
      <c r="D983" s="21">
        <v>144</v>
      </c>
      <c r="E983" s="19">
        <v>3</v>
      </c>
      <c r="F983" s="16" t="s">
        <v>22</v>
      </c>
      <c r="G983" s="16" t="s">
        <v>108</v>
      </c>
      <c r="H983" s="16" t="s">
        <v>76</v>
      </c>
      <c r="I983" s="16" t="s">
        <v>134</v>
      </c>
      <c r="J983" s="17">
        <v>20100070970</v>
      </c>
      <c r="K983" s="11"/>
      <c r="L983" s="16" t="s">
        <v>1632</v>
      </c>
      <c r="M983" s="16" t="s">
        <v>77</v>
      </c>
      <c r="N983" s="11"/>
      <c r="O983" s="11"/>
      <c r="P983" s="16" t="s">
        <v>1912</v>
      </c>
      <c r="Q983" s="16" t="s">
        <v>1795</v>
      </c>
      <c r="R983" s="16" t="s">
        <v>143</v>
      </c>
      <c r="S983" s="11" t="s">
        <v>1913</v>
      </c>
    </row>
    <row r="984" spans="1:19" s="20" customFormat="1" ht="21.75" hidden="1" customHeight="1" x14ac:dyDescent="0.2">
      <c r="A984" s="16" t="s">
        <v>1911</v>
      </c>
      <c r="B984" s="17">
        <v>13692688</v>
      </c>
      <c r="C984" s="18">
        <v>46088</v>
      </c>
      <c r="D984" s="21">
        <v>264</v>
      </c>
      <c r="E984" s="19">
        <v>22</v>
      </c>
      <c r="F984" s="16" t="s">
        <v>23</v>
      </c>
      <c r="G984" s="16" t="s">
        <v>119</v>
      </c>
      <c r="H984" s="16" t="s">
        <v>76</v>
      </c>
      <c r="I984" s="16" t="s">
        <v>134</v>
      </c>
      <c r="J984" s="17">
        <v>20100070970</v>
      </c>
      <c r="K984" s="11"/>
      <c r="L984" s="16" t="s">
        <v>1632</v>
      </c>
      <c r="M984" s="16" t="s">
        <v>77</v>
      </c>
      <c r="N984" s="11"/>
      <c r="O984" s="11"/>
      <c r="P984" s="16" t="s">
        <v>1912</v>
      </c>
      <c r="Q984" s="16" t="s">
        <v>1795</v>
      </c>
      <c r="R984" s="16" t="s">
        <v>143</v>
      </c>
      <c r="S984" s="11" t="s">
        <v>1913</v>
      </c>
    </row>
    <row r="985" spans="1:19" s="20" customFormat="1" ht="21.75" hidden="1" customHeight="1" x14ac:dyDescent="0.2">
      <c r="A985" s="16" t="s">
        <v>1911</v>
      </c>
      <c r="B985" s="17">
        <v>13692688</v>
      </c>
      <c r="C985" s="18">
        <v>46088</v>
      </c>
      <c r="D985" s="21">
        <v>60</v>
      </c>
      <c r="E985" s="19">
        <v>5</v>
      </c>
      <c r="F985" s="16" t="s">
        <v>24</v>
      </c>
      <c r="G985" s="16" t="s">
        <v>112</v>
      </c>
      <c r="H985" s="16" t="s">
        <v>76</v>
      </c>
      <c r="I985" s="16" t="s">
        <v>134</v>
      </c>
      <c r="J985" s="17">
        <v>20100070970</v>
      </c>
      <c r="K985" s="11"/>
      <c r="L985" s="16" t="s">
        <v>1632</v>
      </c>
      <c r="M985" s="16" t="s">
        <v>77</v>
      </c>
      <c r="N985" s="11"/>
      <c r="O985" s="11"/>
      <c r="P985" s="16" t="s">
        <v>1912</v>
      </c>
      <c r="Q985" s="16" t="s">
        <v>1795</v>
      </c>
      <c r="R985" s="16" t="s">
        <v>143</v>
      </c>
      <c r="S985" s="11" t="s">
        <v>1913</v>
      </c>
    </row>
    <row r="986" spans="1:19" s="20" customFormat="1" ht="21.75" hidden="1" customHeight="1" x14ac:dyDescent="0.2">
      <c r="A986" s="16" t="s">
        <v>1911</v>
      </c>
      <c r="B986" s="17">
        <v>13692688</v>
      </c>
      <c r="C986" s="18">
        <v>46088</v>
      </c>
      <c r="D986" s="21">
        <v>24</v>
      </c>
      <c r="E986" s="19">
        <v>2</v>
      </c>
      <c r="F986" s="16" t="s">
        <v>25</v>
      </c>
      <c r="G986" s="16" t="s">
        <v>136</v>
      </c>
      <c r="H986" s="16" t="s">
        <v>76</v>
      </c>
      <c r="I986" s="16" t="s">
        <v>134</v>
      </c>
      <c r="J986" s="17">
        <v>20100070970</v>
      </c>
      <c r="K986" s="11"/>
      <c r="L986" s="16" t="s">
        <v>1632</v>
      </c>
      <c r="M986" s="16" t="s">
        <v>77</v>
      </c>
      <c r="N986" s="11"/>
      <c r="O986" s="11"/>
      <c r="P986" s="16" t="s">
        <v>1912</v>
      </c>
      <c r="Q986" s="16" t="s">
        <v>1795</v>
      </c>
      <c r="R986" s="16" t="s">
        <v>143</v>
      </c>
      <c r="S986" s="11" t="s">
        <v>1913</v>
      </c>
    </row>
    <row r="987" spans="1:19" s="20" customFormat="1" ht="21.75" hidden="1" customHeight="1" x14ac:dyDescent="0.2">
      <c r="A987" s="16" t="s">
        <v>1911</v>
      </c>
      <c r="B987" s="17">
        <v>13692688</v>
      </c>
      <c r="C987" s="18">
        <v>46088</v>
      </c>
      <c r="D987" s="21">
        <v>102</v>
      </c>
      <c r="E987" s="19">
        <v>17</v>
      </c>
      <c r="F987" s="16" t="s">
        <v>26</v>
      </c>
      <c r="G987" s="16" t="s">
        <v>111</v>
      </c>
      <c r="H987" s="16" t="s">
        <v>76</v>
      </c>
      <c r="I987" s="16" t="s">
        <v>134</v>
      </c>
      <c r="J987" s="17">
        <v>20100070970</v>
      </c>
      <c r="K987" s="11"/>
      <c r="L987" s="16" t="s">
        <v>1632</v>
      </c>
      <c r="M987" s="16" t="s">
        <v>77</v>
      </c>
      <c r="N987" s="11"/>
      <c r="O987" s="11"/>
      <c r="P987" s="16" t="s">
        <v>1912</v>
      </c>
      <c r="Q987" s="16" t="s">
        <v>1795</v>
      </c>
      <c r="R987" s="16" t="s">
        <v>143</v>
      </c>
      <c r="S987" s="11" t="s">
        <v>1913</v>
      </c>
    </row>
    <row r="988" spans="1:19" s="20" customFormat="1" ht="21.75" hidden="1" customHeight="1" x14ac:dyDescent="0.2">
      <c r="A988" s="16" t="s">
        <v>1911</v>
      </c>
      <c r="B988" s="17">
        <v>13692688</v>
      </c>
      <c r="C988" s="18">
        <v>46088</v>
      </c>
      <c r="D988" s="21">
        <v>48</v>
      </c>
      <c r="E988" s="19">
        <v>4</v>
      </c>
      <c r="F988" s="16" t="s">
        <v>27</v>
      </c>
      <c r="G988" s="16" t="s">
        <v>103</v>
      </c>
      <c r="H988" s="16" t="s">
        <v>76</v>
      </c>
      <c r="I988" s="16" t="s">
        <v>134</v>
      </c>
      <c r="J988" s="17">
        <v>20100070970</v>
      </c>
      <c r="K988" s="11"/>
      <c r="L988" s="16" t="s">
        <v>1632</v>
      </c>
      <c r="M988" s="16" t="s">
        <v>77</v>
      </c>
      <c r="N988" s="11"/>
      <c r="O988" s="11"/>
      <c r="P988" s="16" t="s">
        <v>1912</v>
      </c>
      <c r="Q988" s="16" t="s">
        <v>1795</v>
      </c>
      <c r="R988" s="16" t="s">
        <v>143</v>
      </c>
      <c r="S988" s="11" t="s">
        <v>1913</v>
      </c>
    </row>
    <row r="989" spans="1:19" ht="21.75" hidden="1" customHeight="1" x14ac:dyDescent="0.25">
      <c r="A989" s="84" t="s">
        <v>1882</v>
      </c>
      <c r="B989" s="84" t="s">
        <v>1884</v>
      </c>
      <c r="C989" s="18">
        <v>46086</v>
      </c>
      <c r="D989" s="55">
        <v>36</v>
      </c>
      <c r="E989" s="54">
        <v>3</v>
      </c>
      <c r="F989" s="84" t="s">
        <v>85</v>
      </c>
      <c r="G989" s="84" t="s">
        <v>90</v>
      </c>
      <c r="H989" s="56" t="s">
        <v>99</v>
      </c>
      <c r="I989" s="84" t="s">
        <v>553</v>
      </c>
      <c r="J989" s="80">
        <v>20101904874</v>
      </c>
      <c r="K989" s="84" t="s">
        <v>73</v>
      </c>
      <c r="L989" s="16" t="s">
        <v>534</v>
      </c>
      <c r="M989" s="16" t="s">
        <v>474</v>
      </c>
      <c r="N989" s="11"/>
      <c r="O989" s="11"/>
      <c r="P989" s="16" t="s">
        <v>513</v>
      </c>
      <c r="Q989" s="16" t="s">
        <v>516</v>
      </c>
      <c r="R989" s="16" t="s">
        <v>505</v>
      </c>
      <c r="S989" s="11" t="s">
        <v>1887</v>
      </c>
    </row>
    <row r="990" spans="1:19" ht="21.75" hidden="1" customHeight="1" x14ac:dyDescent="0.25">
      <c r="A990" s="84" t="s">
        <v>1882</v>
      </c>
      <c r="B990" s="84" t="s">
        <v>1884</v>
      </c>
      <c r="C990" s="18">
        <v>46086</v>
      </c>
      <c r="D990" s="55">
        <v>12</v>
      </c>
      <c r="E990" s="54">
        <v>1</v>
      </c>
      <c r="F990" s="84" t="s">
        <v>85</v>
      </c>
      <c r="G990" s="84" t="s">
        <v>90</v>
      </c>
      <c r="H990" s="56" t="s">
        <v>99</v>
      </c>
      <c r="I990" s="84" t="s">
        <v>575</v>
      </c>
      <c r="J990" s="17">
        <v>20101904874</v>
      </c>
      <c r="K990" s="17" t="s">
        <v>73</v>
      </c>
      <c r="L990" s="16" t="s">
        <v>535</v>
      </c>
      <c r="M990" s="16" t="s">
        <v>299</v>
      </c>
      <c r="N990" s="11"/>
      <c r="O990" s="11"/>
      <c r="P990" s="16" t="s">
        <v>513</v>
      </c>
      <c r="Q990" s="16" t="s">
        <v>517</v>
      </c>
      <c r="R990" s="16" t="s">
        <v>505</v>
      </c>
      <c r="S990" s="11" t="s">
        <v>1888</v>
      </c>
    </row>
    <row r="991" spans="1:19" ht="21.75" hidden="1" customHeight="1" x14ac:dyDescent="0.25">
      <c r="A991" s="84" t="s">
        <v>1882</v>
      </c>
      <c r="B991" s="84" t="s">
        <v>1884</v>
      </c>
      <c r="C991" s="18">
        <v>46086</v>
      </c>
      <c r="D991" s="55">
        <v>24</v>
      </c>
      <c r="E991" s="54">
        <v>2</v>
      </c>
      <c r="F991" s="84" t="s">
        <v>85</v>
      </c>
      <c r="G991" s="84" t="s">
        <v>90</v>
      </c>
      <c r="H991" s="56" t="s">
        <v>99</v>
      </c>
      <c r="I991" s="84" t="s">
        <v>184</v>
      </c>
      <c r="J991" s="17">
        <v>20101904874</v>
      </c>
      <c r="K991" s="17" t="s">
        <v>73</v>
      </c>
      <c r="L991" s="16" t="s">
        <v>536</v>
      </c>
      <c r="M991" s="16" t="s">
        <v>312</v>
      </c>
      <c r="N991" s="11"/>
      <c r="O991" s="11"/>
      <c r="P991" s="16" t="s">
        <v>514</v>
      </c>
      <c r="Q991" s="16" t="s">
        <v>518</v>
      </c>
      <c r="R991" s="16" t="s">
        <v>505</v>
      </c>
      <c r="S991" s="11" t="s">
        <v>1889</v>
      </c>
    </row>
    <row r="992" spans="1:19" ht="21.75" hidden="1" customHeight="1" x14ac:dyDescent="0.25">
      <c r="A992" s="84" t="s">
        <v>1882</v>
      </c>
      <c r="B992" s="84" t="s">
        <v>1884</v>
      </c>
      <c r="C992" s="18">
        <v>46086</v>
      </c>
      <c r="D992" s="55">
        <v>12</v>
      </c>
      <c r="E992" s="54">
        <v>1</v>
      </c>
      <c r="F992" s="84" t="s">
        <v>85</v>
      </c>
      <c r="G992" s="84" t="s">
        <v>90</v>
      </c>
      <c r="H992" s="56" t="s">
        <v>99</v>
      </c>
      <c r="I992" s="101" t="s">
        <v>576</v>
      </c>
      <c r="J992" s="17">
        <v>20101904874</v>
      </c>
      <c r="K992" s="17" t="s">
        <v>73</v>
      </c>
      <c r="L992" s="16" t="s">
        <v>537</v>
      </c>
      <c r="M992" s="16" t="s">
        <v>299</v>
      </c>
      <c r="N992" s="11"/>
      <c r="O992" s="11"/>
      <c r="P992" s="16" t="s">
        <v>514</v>
      </c>
      <c r="Q992" s="16" t="s">
        <v>519</v>
      </c>
      <c r="R992" s="16" t="s">
        <v>505</v>
      </c>
      <c r="S992" s="11" t="s">
        <v>1890</v>
      </c>
    </row>
    <row r="993" spans="1:19" ht="21.75" hidden="1" customHeight="1" x14ac:dyDescent="0.25">
      <c r="A993" s="84" t="s">
        <v>1882</v>
      </c>
      <c r="B993" s="84" t="s">
        <v>1884</v>
      </c>
      <c r="C993" s="18">
        <v>46086</v>
      </c>
      <c r="D993" s="55">
        <v>6</v>
      </c>
      <c r="E993" s="54">
        <v>1</v>
      </c>
      <c r="F993" s="84" t="s">
        <v>506</v>
      </c>
      <c r="G993" s="84" t="s">
        <v>509</v>
      </c>
      <c r="H993" s="56" t="s">
        <v>99</v>
      </c>
      <c r="I993" s="101" t="s">
        <v>576</v>
      </c>
      <c r="J993" s="17">
        <v>20101904874</v>
      </c>
      <c r="K993" s="17" t="s">
        <v>73</v>
      </c>
      <c r="L993" s="16" t="s">
        <v>537</v>
      </c>
      <c r="M993" s="16" t="s">
        <v>299</v>
      </c>
      <c r="N993" s="11"/>
      <c r="O993" s="11"/>
      <c r="P993" s="16" t="s">
        <v>514</v>
      </c>
      <c r="Q993" s="16" t="s">
        <v>519</v>
      </c>
      <c r="R993" s="16" t="s">
        <v>505</v>
      </c>
      <c r="S993" s="11" t="s">
        <v>1890</v>
      </c>
    </row>
    <row r="994" spans="1:19" ht="21.75" hidden="1" customHeight="1" x14ac:dyDescent="0.25">
      <c r="A994" s="84" t="s">
        <v>1882</v>
      </c>
      <c r="B994" s="84" t="s">
        <v>1884</v>
      </c>
      <c r="C994" s="18">
        <v>46086</v>
      </c>
      <c r="D994" s="55">
        <v>18</v>
      </c>
      <c r="E994" s="54">
        <v>2</v>
      </c>
      <c r="F994" s="84" t="s">
        <v>85</v>
      </c>
      <c r="G994" s="84" t="s">
        <v>90</v>
      </c>
      <c r="H994" s="56" t="s">
        <v>99</v>
      </c>
      <c r="I994" s="84" t="s">
        <v>554</v>
      </c>
      <c r="J994" s="80">
        <v>20101904874</v>
      </c>
      <c r="K994" s="80" t="s">
        <v>73</v>
      </c>
      <c r="L994" s="16" t="s">
        <v>538</v>
      </c>
      <c r="M994" s="16" t="s">
        <v>474</v>
      </c>
      <c r="N994" s="11"/>
      <c r="O994" s="11"/>
      <c r="P994" s="16" t="s">
        <v>513</v>
      </c>
      <c r="Q994" s="16" t="s">
        <v>520</v>
      </c>
      <c r="R994" s="16" t="s">
        <v>505</v>
      </c>
      <c r="S994" s="11" t="s">
        <v>1891</v>
      </c>
    </row>
    <row r="995" spans="1:19" ht="21.75" hidden="1" customHeight="1" x14ac:dyDescent="0.25">
      <c r="A995" s="84" t="s">
        <v>1882</v>
      </c>
      <c r="B995" s="84" t="s">
        <v>1884</v>
      </c>
      <c r="C995" s="18">
        <v>46086</v>
      </c>
      <c r="D995" s="55">
        <v>12</v>
      </c>
      <c r="E995" s="54">
        <v>1</v>
      </c>
      <c r="F995" s="84" t="s">
        <v>85</v>
      </c>
      <c r="G995" s="84" t="s">
        <v>90</v>
      </c>
      <c r="H995" s="56" t="s">
        <v>99</v>
      </c>
      <c r="I995" s="84" t="s">
        <v>577</v>
      </c>
      <c r="J995" s="17">
        <v>20101904874</v>
      </c>
      <c r="K995" s="17" t="s">
        <v>73</v>
      </c>
      <c r="L995" s="16" t="s">
        <v>539</v>
      </c>
      <c r="M995" s="16" t="s">
        <v>306</v>
      </c>
      <c r="N995" s="11"/>
      <c r="O995" s="11"/>
      <c r="P995" s="16" t="s">
        <v>513</v>
      </c>
      <c r="Q995" s="16" t="s">
        <v>521</v>
      </c>
      <c r="R995" s="16" t="s">
        <v>505</v>
      </c>
      <c r="S995" s="11" t="s">
        <v>1892</v>
      </c>
    </row>
    <row r="996" spans="1:19" ht="21.75" hidden="1" customHeight="1" x14ac:dyDescent="0.25">
      <c r="A996" s="84" t="s">
        <v>1882</v>
      </c>
      <c r="B996" s="84" t="s">
        <v>1884</v>
      </c>
      <c r="C996" s="18">
        <v>46086</v>
      </c>
      <c r="D996" s="55">
        <v>12</v>
      </c>
      <c r="E996" s="54">
        <v>1</v>
      </c>
      <c r="F996" s="84" t="s">
        <v>85</v>
      </c>
      <c r="G996" s="84" t="s">
        <v>90</v>
      </c>
      <c r="H996" s="56" t="s">
        <v>99</v>
      </c>
      <c r="I996" s="84" t="s">
        <v>578</v>
      </c>
      <c r="J996" s="17">
        <v>20101904874</v>
      </c>
      <c r="K996" s="16" t="s">
        <v>73</v>
      </c>
      <c r="L996" s="16" t="s">
        <v>540</v>
      </c>
      <c r="M996" s="16" t="s">
        <v>299</v>
      </c>
      <c r="N996" s="11"/>
      <c r="O996" s="11"/>
      <c r="P996" s="16" t="s">
        <v>513</v>
      </c>
      <c r="Q996" s="16" t="s">
        <v>522</v>
      </c>
      <c r="R996" s="16" t="s">
        <v>505</v>
      </c>
      <c r="S996" s="11" t="s">
        <v>1893</v>
      </c>
    </row>
    <row r="997" spans="1:19" ht="21.75" hidden="1" customHeight="1" x14ac:dyDescent="0.25">
      <c r="A997" s="84" t="s">
        <v>1882</v>
      </c>
      <c r="B997" s="84" t="s">
        <v>1884</v>
      </c>
      <c r="C997" s="18">
        <v>46086</v>
      </c>
      <c r="D997" s="55">
        <v>12</v>
      </c>
      <c r="E997" s="54">
        <v>1</v>
      </c>
      <c r="F997" s="84" t="s">
        <v>85</v>
      </c>
      <c r="G997" s="84" t="s">
        <v>90</v>
      </c>
      <c r="H997" s="56" t="s">
        <v>99</v>
      </c>
      <c r="I997" s="84" t="s">
        <v>579</v>
      </c>
      <c r="J997" s="17">
        <v>20101904874</v>
      </c>
      <c r="K997" s="16" t="s">
        <v>73</v>
      </c>
      <c r="L997" s="16" t="s">
        <v>541</v>
      </c>
      <c r="M997" s="16" t="s">
        <v>347</v>
      </c>
      <c r="N997" s="11"/>
      <c r="O997" s="11"/>
      <c r="P997" s="16" t="s">
        <v>514</v>
      </c>
      <c r="Q997" s="16" t="s">
        <v>523</v>
      </c>
      <c r="R997" s="16" t="s">
        <v>505</v>
      </c>
      <c r="S997" s="11" t="s">
        <v>1894</v>
      </c>
    </row>
    <row r="998" spans="1:19" ht="21.75" hidden="1" customHeight="1" x14ac:dyDescent="0.25">
      <c r="A998" s="84" t="s">
        <v>1882</v>
      </c>
      <c r="B998" s="84" t="s">
        <v>1884</v>
      </c>
      <c r="C998" s="18">
        <v>46086</v>
      </c>
      <c r="D998" s="55">
        <v>24</v>
      </c>
      <c r="E998" s="54">
        <v>2</v>
      </c>
      <c r="F998" s="84" t="s">
        <v>85</v>
      </c>
      <c r="G998" s="84" t="s">
        <v>90</v>
      </c>
      <c r="H998" s="56" t="s">
        <v>99</v>
      </c>
      <c r="I998" s="84" t="s">
        <v>555</v>
      </c>
      <c r="J998" s="80">
        <v>20101904874</v>
      </c>
      <c r="K998" s="80" t="s">
        <v>73</v>
      </c>
      <c r="L998" s="16" t="s">
        <v>543</v>
      </c>
      <c r="M998" s="16" t="s">
        <v>474</v>
      </c>
      <c r="N998" s="11"/>
      <c r="O998" s="11"/>
      <c r="P998" s="16" t="s">
        <v>513</v>
      </c>
      <c r="Q998" s="16" t="s">
        <v>525</v>
      </c>
      <c r="R998" s="16" t="s">
        <v>505</v>
      </c>
      <c r="S998" s="11" t="s">
        <v>1895</v>
      </c>
    </row>
    <row r="999" spans="1:19" ht="21.75" hidden="1" customHeight="1" x14ac:dyDescent="0.25">
      <c r="A999" s="84" t="s">
        <v>1882</v>
      </c>
      <c r="B999" s="84" t="s">
        <v>1884</v>
      </c>
      <c r="C999" s="18">
        <v>46086</v>
      </c>
      <c r="D999" s="21">
        <v>24</v>
      </c>
      <c r="E999" s="19">
        <v>2</v>
      </c>
      <c r="F999" s="16" t="s">
        <v>85</v>
      </c>
      <c r="G999" s="16" t="s">
        <v>90</v>
      </c>
      <c r="H999" s="16" t="s">
        <v>99</v>
      </c>
      <c r="I999" s="84" t="s">
        <v>1886</v>
      </c>
      <c r="J999" s="17">
        <v>20101904874</v>
      </c>
      <c r="K999" s="80" t="s">
        <v>73</v>
      </c>
      <c r="L999" s="16" t="s">
        <v>1372</v>
      </c>
      <c r="M999" s="16" t="s">
        <v>533</v>
      </c>
      <c r="N999" s="11"/>
      <c r="O999" s="11"/>
      <c r="P999" s="16" t="s">
        <v>515</v>
      </c>
      <c r="Q999" s="16" t="s">
        <v>1368</v>
      </c>
      <c r="R999" s="16" t="s">
        <v>505</v>
      </c>
      <c r="S999" s="11" t="s">
        <v>1896</v>
      </c>
    </row>
    <row r="1000" spans="1:19" ht="21.75" hidden="1" customHeight="1" x14ac:dyDescent="0.25">
      <c r="A1000" s="84" t="s">
        <v>1883</v>
      </c>
      <c r="B1000" s="84" t="s">
        <v>1885</v>
      </c>
      <c r="C1000" s="18">
        <v>46086</v>
      </c>
      <c r="D1000" s="55">
        <v>36</v>
      </c>
      <c r="E1000" s="54">
        <v>3</v>
      </c>
      <c r="F1000" s="84" t="s">
        <v>85</v>
      </c>
      <c r="G1000" s="84" t="s">
        <v>90</v>
      </c>
      <c r="H1000" s="56" t="s">
        <v>99</v>
      </c>
      <c r="I1000" s="84" t="s">
        <v>556</v>
      </c>
      <c r="J1000" s="80">
        <v>20101904874</v>
      </c>
      <c r="K1000" s="80" t="s">
        <v>73</v>
      </c>
      <c r="L1000" s="16" t="s">
        <v>544</v>
      </c>
      <c r="M1000" s="16" t="s">
        <v>474</v>
      </c>
      <c r="N1000" s="11"/>
      <c r="O1000" s="11"/>
      <c r="P1000" s="16" t="s">
        <v>513</v>
      </c>
      <c r="Q1000" s="16" t="s">
        <v>526</v>
      </c>
      <c r="R1000" s="16" t="s">
        <v>505</v>
      </c>
      <c r="S1000" s="11" t="s">
        <v>1898</v>
      </c>
    </row>
    <row r="1001" spans="1:19" ht="21.75" hidden="1" customHeight="1" x14ac:dyDescent="0.25">
      <c r="A1001" s="84" t="s">
        <v>1883</v>
      </c>
      <c r="B1001" s="84" t="s">
        <v>1885</v>
      </c>
      <c r="C1001" s="18">
        <v>46086</v>
      </c>
      <c r="D1001" s="55">
        <v>12</v>
      </c>
      <c r="E1001" s="54">
        <v>1</v>
      </c>
      <c r="F1001" s="84" t="s">
        <v>507</v>
      </c>
      <c r="G1001" s="84" t="s">
        <v>510</v>
      </c>
      <c r="H1001" s="56" t="s">
        <v>99</v>
      </c>
      <c r="I1001" s="84" t="s">
        <v>556</v>
      </c>
      <c r="J1001" s="80">
        <v>20101904874</v>
      </c>
      <c r="K1001" s="80" t="s">
        <v>73</v>
      </c>
      <c r="L1001" s="16" t="s">
        <v>544</v>
      </c>
      <c r="M1001" s="16" t="s">
        <v>474</v>
      </c>
      <c r="N1001" s="11"/>
      <c r="O1001" s="11"/>
      <c r="P1001" s="16" t="s">
        <v>513</v>
      </c>
      <c r="Q1001" s="16" t="s">
        <v>526</v>
      </c>
      <c r="R1001" s="16" t="s">
        <v>505</v>
      </c>
      <c r="S1001" s="11" t="s">
        <v>1898</v>
      </c>
    </row>
    <row r="1002" spans="1:19" ht="21.75" hidden="1" customHeight="1" x14ac:dyDescent="0.25">
      <c r="A1002" s="84" t="s">
        <v>1883</v>
      </c>
      <c r="B1002" s="84" t="s">
        <v>1885</v>
      </c>
      <c r="C1002" s="18">
        <v>46086</v>
      </c>
      <c r="D1002" s="55">
        <v>24</v>
      </c>
      <c r="E1002" s="54">
        <v>2</v>
      </c>
      <c r="F1002" s="84" t="s">
        <v>85</v>
      </c>
      <c r="G1002" s="84" t="s">
        <v>90</v>
      </c>
      <c r="H1002" s="56" t="s">
        <v>99</v>
      </c>
      <c r="I1002" s="84" t="s">
        <v>581</v>
      </c>
      <c r="J1002" s="17">
        <v>20101904874</v>
      </c>
      <c r="K1002" s="17" t="s">
        <v>73</v>
      </c>
      <c r="L1002" s="16" t="s">
        <v>545</v>
      </c>
      <c r="M1002" s="16" t="s">
        <v>299</v>
      </c>
      <c r="N1002" s="11"/>
      <c r="O1002" s="11"/>
      <c r="P1002" s="16" t="s">
        <v>513</v>
      </c>
      <c r="Q1002" s="16" t="s">
        <v>527</v>
      </c>
      <c r="R1002" s="16" t="s">
        <v>505</v>
      </c>
      <c r="S1002" s="11" t="s">
        <v>1899</v>
      </c>
    </row>
    <row r="1003" spans="1:19" ht="21.75" hidden="1" customHeight="1" x14ac:dyDescent="0.25">
      <c r="A1003" s="84" t="s">
        <v>1883</v>
      </c>
      <c r="B1003" s="84" t="s">
        <v>1885</v>
      </c>
      <c r="C1003" s="18">
        <v>46085</v>
      </c>
      <c r="D1003" s="55">
        <v>24</v>
      </c>
      <c r="E1003" s="54">
        <v>2</v>
      </c>
      <c r="F1003" s="84" t="s">
        <v>85</v>
      </c>
      <c r="G1003" s="84" t="s">
        <v>90</v>
      </c>
      <c r="H1003" s="56" t="s">
        <v>99</v>
      </c>
      <c r="I1003" s="84" t="s">
        <v>582</v>
      </c>
      <c r="J1003" s="17">
        <v>20101904874</v>
      </c>
      <c r="K1003" s="17" t="s">
        <v>73</v>
      </c>
      <c r="L1003" s="16" t="s">
        <v>546</v>
      </c>
      <c r="M1003" s="16" t="s">
        <v>306</v>
      </c>
      <c r="N1003" s="11"/>
      <c r="O1003" s="11"/>
      <c r="P1003" s="16" t="s">
        <v>513</v>
      </c>
      <c r="Q1003" s="16" t="s">
        <v>528</v>
      </c>
      <c r="R1003" s="16" t="s">
        <v>505</v>
      </c>
      <c r="S1003" s="11" t="s">
        <v>1900</v>
      </c>
    </row>
    <row r="1004" spans="1:19" ht="21.75" hidden="1" customHeight="1" x14ac:dyDescent="0.25">
      <c r="A1004" s="84" t="s">
        <v>1883</v>
      </c>
      <c r="B1004" s="84" t="s">
        <v>1885</v>
      </c>
      <c r="C1004" s="18">
        <v>46085</v>
      </c>
      <c r="D1004" s="55">
        <v>24</v>
      </c>
      <c r="E1004" s="54">
        <v>2</v>
      </c>
      <c r="F1004" s="84" t="s">
        <v>507</v>
      </c>
      <c r="G1004" s="84" t="s">
        <v>510</v>
      </c>
      <c r="H1004" s="56" t="s">
        <v>99</v>
      </c>
      <c r="I1004" s="84" t="s">
        <v>582</v>
      </c>
      <c r="J1004" s="17">
        <v>20101904874</v>
      </c>
      <c r="K1004" s="17" t="s">
        <v>73</v>
      </c>
      <c r="L1004" s="16" t="s">
        <v>546</v>
      </c>
      <c r="M1004" s="16" t="s">
        <v>306</v>
      </c>
      <c r="N1004" s="11"/>
      <c r="O1004" s="11"/>
      <c r="P1004" s="16" t="s">
        <v>513</v>
      </c>
      <c r="Q1004" s="16" t="s">
        <v>528</v>
      </c>
      <c r="R1004" s="16" t="s">
        <v>505</v>
      </c>
      <c r="S1004" s="11" t="s">
        <v>1900</v>
      </c>
    </row>
    <row r="1005" spans="1:19" ht="21.75" hidden="1" customHeight="1" x14ac:dyDescent="0.25">
      <c r="A1005" s="84" t="s">
        <v>1883</v>
      </c>
      <c r="B1005" s="84" t="s">
        <v>1885</v>
      </c>
      <c r="C1005" s="18">
        <v>46086</v>
      </c>
      <c r="D1005" s="55">
        <v>12</v>
      </c>
      <c r="E1005" s="54">
        <v>1</v>
      </c>
      <c r="F1005" s="84" t="s">
        <v>85</v>
      </c>
      <c r="G1005" s="84" t="s">
        <v>90</v>
      </c>
      <c r="H1005" s="56" t="s">
        <v>99</v>
      </c>
      <c r="I1005" s="84" t="s">
        <v>583</v>
      </c>
      <c r="J1005" s="17">
        <v>20101904874</v>
      </c>
      <c r="K1005" s="17" t="s">
        <v>73</v>
      </c>
      <c r="L1005" s="16" t="s">
        <v>548</v>
      </c>
      <c r="M1005" s="16" t="s">
        <v>312</v>
      </c>
      <c r="N1005" s="11"/>
      <c r="O1005" s="11"/>
      <c r="P1005" s="16" t="s">
        <v>514</v>
      </c>
      <c r="Q1005" s="16" t="s">
        <v>530</v>
      </c>
      <c r="R1005" s="16" t="s">
        <v>505</v>
      </c>
      <c r="S1005" s="11" t="s">
        <v>1901</v>
      </c>
    </row>
    <row r="1006" spans="1:19" s="20" customFormat="1" ht="21.75" hidden="1" customHeight="1" x14ac:dyDescent="0.2">
      <c r="A1006" s="84" t="s">
        <v>1883</v>
      </c>
      <c r="B1006" s="84" t="s">
        <v>1885</v>
      </c>
      <c r="C1006" s="18">
        <v>46086</v>
      </c>
      <c r="D1006" s="21">
        <v>24</v>
      </c>
      <c r="E1006" s="19">
        <v>2</v>
      </c>
      <c r="F1006" s="16" t="s">
        <v>85</v>
      </c>
      <c r="G1006" s="16" t="s">
        <v>90</v>
      </c>
      <c r="H1006" s="16" t="s">
        <v>99</v>
      </c>
      <c r="I1006" s="84" t="s">
        <v>1897</v>
      </c>
      <c r="J1006" s="17">
        <v>20101904874</v>
      </c>
      <c r="K1006" s="11"/>
      <c r="L1006" s="16" t="s">
        <v>1374</v>
      </c>
      <c r="M1006" s="16" t="s">
        <v>286</v>
      </c>
      <c r="N1006" s="11"/>
      <c r="O1006" s="11"/>
      <c r="P1006" s="16" t="s">
        <v>514</v>
      </c>
      <c r="Q1006" s="16" t="s">
        <v>1370</v>
      </c>
      <c r="R1006" s="16" t="s">
        <v>505</v>
      </c>
      <c r="S1006" s="11" t="s">
        <v>1902</v>
      </c>
    </row>
    <row r="1007" spans="1:19" ht="21.75" hidden="1" customHeight="1" x14ac:dyDescent="0.25">
      <c r="A1007" s="84" t="s">
        <v>1883</v>
      </c>
      <c r="B1007" s="84" t="s">
        <v>1885</v>
      </c>
      <c r="C1007" s="18">
        <v>46086</v>
      </c>
      <c r="D1007" s="55">
        <v>12</v>
      </c>
      <c r="E1007" s="54">
        <v>1</v>
      </c>
      <c r="F1007" s="84" t="s">
        <v>85</v>
      </c>
      <c r="G1007" s="84" t="s">
        <v>90</v>
      </c>
      <c r="H1007" s="56" t="s">
        <v>99</v>
      </c>
      <c r="I1007" s="84" t="s">
        <v>558</v>
      </c>
      <c r="J1007" s="80">
        <v>20101904874</v>
      </c>
      <c r="K1007" s="80" t="s">
        <v>73</v>
      </c>
      <c r="L1007" s="16" t="s">
        <v>549</v>
      </c>
      <c r="M1007" s="16" t="s">
        <v>533</v>
      </c>
      <c r="N1007" s="11"/>
      <c r="O1007" s="11"/>
      <c r="P1007" s="16" t="s">
        <v>515</v>
      </c>
      <c r="Q1007" s="16" t="s">
        <v>531</v>
      </c>
      <c r="R1007" s="16" t="s">
        <v>505</v>
      </c>
      <c r="S1007" s="11" t="s">
        <v>1903</v>
      </c>
    </row>
    <row r="1008" spans="1:19" ht="21.75" hidden="1" customHeight="1" x14ac:dyDescent="0.25">
      <c r="A1008" s="84" t="s">
        <v>1883</v>
      </c>
      <c r="B1008" s="84" t="s">
        <v>1885</v>
      </c>
      <c r="C1008" s="18">
        <v>46086</v>
      </c>
      <c r="D1008" s="55">
        <v>24</v>
      </c>
      <c r="E1008" s="54">
        <v>2</v>
      </c>
      <c r="F1008" s="84" t="s">
        <v>85</v>
      </c>
      <c r="G1008" s="84" t="s">
        <v>90</v>
      </c>
      <c r="H1008" s="56" t="s">
        <v>99</v>
      </c>
      <c r="I1008" s="84" t="s">
        <v>559</v>
      </c>
      <c r="J1008" s="80">
        <v>20101904874</v>
      </c>
      <c r="K1008" s="84" t="s">
        <v>73</v>
      </c>
      <c r="L1008" s="16" t="s">
        <v>550</v>
      </c>
      <c r="M1008" s="16" t="s">
        <v>533</v>
      </c>
      <c r="N1008" s="11"/>
      <c r="O1008" s="11"/>
      <c r="P1008" s="16" t="s">
        <v>515</v>
      </c>
      <c r="Q1008" s="16" t="s">
        <v>532</v>
      </c>
      <c r="R1008" s="16" t="s">
        <v>505</v>
      </c>
      <c r="S1008" s="11" t="s">
        <v>1904</v>
      </c>
    </row>
    <row r="1009" spans="1:19" s="20" customFormat="1" ht="21.75" hidden="1" customHeight="1" x14ac:dyDescent="0.2">
      <c r="A1009" s="84" t="s">
        <v>1905</v>
      </c>
      <c r="B1009" s="14" t="s">
        <v>1906</v>
      </c>
      <c r="C1009" s="18">
        <v>46086</v>
      </c>
      <c r="D1009" s="55">
        <v>12</v>
      </c>
      <c r="E1009" s="54">
        <v>1</v>
      </c>
      <c r="F1009" s="84" t="s">
        <v>68</v>
      </c>
      <c r="G1009" s="14" t="s">
        <v>277</v>
      </c>
      <c r="H1009" s="56" t="s">
        <v>99</v>
      </c>
      <c r="I1009" s="84" t="s">
        <v>1907</v>
      </c>
      <c r="J1009" s="80">
        <v>20101904874</v>
      </c>
      <c r="K1009" s="84" t="s">
        <v>73</v>
      </c>
      <c r="L1009" s="16" t="s">
        <v>1909</v>
      </c>
      <c r="M1009" s="16" t="s">
        <v>286</v>
      </c>
      <c r="N1009" s="11"/>
      <c r="O1009" s="11"/>
      <c r="P1009" s="11" t="s">
        <v>514</v>
      </c>
      <c r="Q1009" s="16" t="s">
        <v>1910</v>
      </c>
      <c r="R1009" s="16" t="s">
        <v>505</v>
      </c>
      <c r="S1009" s="11" t="s">
        <v>1908</v>
      </c>
    </row>
    <row r="1010" spans="1:19" s="20" customFormat="1" ht="21.75" hidden="1" customHeight="1" x14ac:dyDescent="0.2">
      <c r="A1010" s="16" t="s">
        <v>1916</v>
      </c>
      <c r="B1010" s="16" t="s">
        <v>1914</v>
      </c>
      <c r="C1010" s="18">
        <v>46088</v>
      </c>
      <c r="D1010" s="40">
        <v>3</v>
      </c>
      <c r="E1010" s="19">
        <v>3</v>
      </c>
      <c r="F1010" s="16" t="s">
        <v>1820</v>
      </c>
      <c r="G1010" s="16" t="s">
        <v>1821</v>
      </c>
      <c r="H1010" s="11" t="s">
        <v>76</v>
      </c>
      <c r="I1010" s="16" t="s">
        <v>457</v>
      </c>
      <c r="J1010" s="17">
        <v>20536876953</v>
      </c>
      <c r="K1010" s="16" t="s">
        <v>73</v>
      </c>
      <c r="L1010" s="16" t="s">
        <v>464</v>
      </c>
      <c r="M1010" s="16" t="s">
        <v>472</v>
      </c>
      <c r="N1010" s="11"/>
      <c r="O1010" s="11"/>
      <c r="P1010" s="16" t="s">
        <v>1819</v>
      </c>
      <c r="Q1010" s="11"/>
      <c r="R1010" s="16" t="s">
        <v>439</v>
      </c>
      <c r="S1010" s="11" t="s">
        <v>1915</v>
      </c>
    </row>
    <row r="1011" spans="1:19" s="20" customFormat="1" ht="21.75" hidden="1" customHeight="1" x14ac:dyDescent="0.2">
      <c r="A1011" s="16" t="s">
        <v>1917</v>
      </c>
      <c r="B1011" s="16" t="s">
        <v>1918</v>
      </c>
      <c r="C1011" s="18">
        <v>46088</v>
      </c>
      <c r="D1011" s="40">
        <v>1</v>
      </c>
      <c r="E1011" s="19">
        <v>1</v>
      </c>
      <c r="F1011" s="16" t="s">
        <v>17</v>
      </c>
      <c r="G1011" s="16" t="s">
        <v>91</v>
      </c>
      <c r="H1011" s="11" t="s">
        <v>99</v>
      </c>
      <c r="I1011" s="16" t="s">
        <v>1919</v>
      </c>
      <c r="J1011" s="17" t="s">
        <v>1920</v>
      </c>
      <c r="K1011" s="16" t="s">
        <v>1921</v>
      </c>
      <c r="L1011" s="16" t="s">
        <v>1922</v>
      </c>
      <c r="M1011" s="16" t="s">
        <v>1923</v>
      </c>
      <c r="N1011" s="11"/>
      <c r="O1011" s="11"/>
      <c r="P1011" s="16" t="s">
        <v>1673</v>
      </c>
      <c r="Q1011" s="11"/>
      <c r="R1011" s="16" t="s">
        <v>441</v>
      </c>
      <c r="S1011" s="11" t="s">
        <v>1924</v>
      </c>
    </row>
    <row r="1012" spans="1:19" s="20" customFormat="1" ht="21.75" hidden="1" customHeight="1" x14ac:dyDescent="0.2">
      <c r="A1012" s="16" t="s">
        <v>1925</v>
      </c>
      <c r="B1012" s="16" t="s">
        <v>73</v>
      </c>
      <c r="C1012" s="18">
        <v>46088</v>
      </c>
      <c r="D1012" s="21">
        <v>96</v>
      </c>
      <c r="E1012" s="19">
        <v>8</v>
      </c>
      <c r="F1012" s="16" t="s">
        <v>19</v>
      </c>
      <c r="G1012" s="16" t="s">
        <v>120</v>
      </c>
      <c r="H1012" s="16" t="s">
        <v>76</v>
      </c>
      <c r="I1012" s="16" t="s">
        <v>827</v>
      </c>
      <c r="J1012" s="17">
        <v>20455996806</v>
      </c>
      <c r="K1012" s="17">
        <v>14248709</v>
      </c>
      <c r="L1012" s="16" t="s">
        <v>278</v>
      </c>
      <c r="M1012" s="16" t="s">
        <v>75</v>
      </c>
      <c r="N1012" s="11"/>
      <c r="O1012" s="11"/>
      <c r="P1012" s="16" t="s">
        <v>1674</v>
      </c>
      <c r="Q1012" s="16" t="s">
        <v>830</v>
      </c>
      <c r="R1012" s="16" t="s">
        <v>142</v>
      </c>
      <c r="S1012" s="11" t="s">
        <v>1926</v>
      </c>
    </row>
    <row r="1013" spans="1:19" s="20" customFormat="1" ht="21.75" hidden="1" customHeight="1" x14ac:dyDescent="0.2">
      <c r="A1013" s="16" t="s">
        <v>1925</v>
      </c>
      <c r="B1013" s="16" t="s">
        <v>73</v>
      </c>
      <c r="C1013" s="18">
        <v>46088</v>
      </c>
      <c r="D1013" s="21">
        <v>48</v>
      </c>
      <c r="E1013" s="19">
        <v>4</v>
      </c>
      <c r="F1013" s="16" t="s">
        <v>35</v>
      </c>
      <c r="G1013" s="16" t="s">
        <v>106</v>
      </c>
      <c r="H1013" s="16" t="s">
        <v>76</v>
      </c>
      <c r="I1013" s="16" t="s">
        <v>827</v>
      </c>
      <c r="J1013" s="17">
        <v>20455996806</v>
      </c>
      <c r="K1013" s="17">
        <v>14248709</v>
      </c>
      <c r="L1013" s="16" t="s">
        <v>278</v>
      </c>
      <c r="M1013" s="16" t="s">
        <v>75</v>
      </c>
      <c r="N1013" s="11"/>
      <c r="O1013" s="11"/>
      <c r="P1013" s="16" t="s">
        <v>1674</v>
      </c>
      <c r="Q1013" s="16" t="s">
        <v>830</v>
      </c>
      <c r="R1013" s="16" t="s">
        <v>142</v>
      </c>
      <c r="S1013" s="11" t="s">
        <v>1926</v>
      </c>
    </row>
    <row r="1014" spans="1:19" s="20" customFormat="1" ht="21.75" hidden="1" customHeight="1" x14ac:dyDescent="0.2">
      <c r="A1014" s="16" t="s">
        <v>1925</v>
      </c>
      <c r="B1014" s="16" t="s">
        <v>73</v>
      </c>
      <c r="C1014" s="18">
        <v>46088</v>
      </c>
      <c r="D1014" s="21">
        <v>48</v>
      </c>
      <c r="E1014" s="19">
        <v>4</v>
      </c>
      <c r="F1014" s="16" t="s">
        <v>766</v>
      </c>
      <c r="G1014" s="16" t="s">
        <v>780</v>
      </c>
      <c r="H1014" s="16" t="s">
        <v>76</v>
      </c>
      <c r="I1014" s="16" t="s">
        <v>827</v>
      </c>
      <c r="J1014" s="17">
        <v>20455996806</v>
      </c>
      <c r="K1014" s="17">
        <v>14248709</v>
      </c>
      <c r="L1014" s="16" t="s">
        <v>278</v>
      </c>
      <c r="M1014" s="16" t="s">
        <v>75</v>
      </c>
      <c r="N1014" s="11"/>
      <c r="O1014" s="11"/>
      <c r="P1014" s="16" t="s">
        <v>1674</v>
      </c>
      <c r="Q1014" s="16" t="s">
        <v>830</v>
      </c>
      <c r="R1014" s="16" t="s">
        <v>142</v>
      </c>
      <c r="S1014" s="11" t="s">
        <v>1926</v>
      </c>
    </row>
    <row r="1015" spans="1:19" s="20" customFormat="1" ht="21.75" hidden="1" customHeight="1" x14ac:dyDescent="0.2">
      <c r="A1015" s="16" t="s">
        <v>1925</v>
      </c>
      <c r="B1015" s="16" t="s">
        <v>73</v>
      </c>
      <c r="C1015" s="18">
        <v>46088</v>
      </c>
      <c r="D1015" s="21">
        <v>48</v>
      </c>
      <c r="E1015" s="19">
        <v>4</v>
      </c>
      <c r="F1015" s="16" t="s">
        <v>23</v>
      </c>
      <c r="G1015" s="16" t="s">
        <v>119</v>
      </c>
      <c r="H1015" s="16" t="s">
        <v>76</v>
      </c>
      <c r="I1015" s="16" t="s">
        <v>827</v>
      </c>
      <c r="J1015" s="17">
        <v>20455996806</v>
      </c>
      <c r="K1015" s="17">
        <v>14248709</v>
      </c>
      <c r="L1015" s="16" t="s">
        <v>278</v>
      </c>
      <c r="M1015" s="16" t="s">
        <v>75</v>
      </c>
      <c r="N1015" s="11"/>
      <c r="O1015" s="11"/>
      <c r="P1015" s="16" t="s">
        <v>1674</v>
      </c>
      <c r="Q1015" s="16" t="s">
        <v>830</v>
      </c>
      <c r="R1015" s="16" t="s">
        <v>142</v>
      </c>
      <c r="S1015" s="11" t="s">
        <v>1926</v>
      </c>
    </row>
    <row r="1016" spans="1:19" s="20" customFormat="1" ht="21.75" hidden="1" customHeight="1" x14ac:dyDescent="0.2">
      <c r="A1016" s="16" t="s">
        <v>1925</v>
      </c>
      <c r="B1016" s="16" t="s">
        <v>73</v>
      </c>
      <c r="C1016" s="18">
        <v>46088</v>
      </c>
      <c r="D1016" s="21">
        <v>24</v>
      </c>
      <c r="E1016" s="19">
        <v>1</v>
      </c>
      <c r="F1016" s="16" t="s">
        <v>598</v>
      </c>
      <c r="G1016" s="16" t="s">
        <v>603</v>
      </c>
      <c r="H1016" s="16" t="s">
        <v>76</v>
      </c>
      <c r="I1016" s="16" t="s">
        <v>827</v>
      </c>
      <c r="J1016" s="17">
        <v>20455996806</v>
      </c>
      <c r="K1016" s="17">
        <v>14248709</v>
      </c>
      <c r="L1016" s="16" t="s">
        <v>278</v>
      </c>
      <c r="M1016" s="16" t="s">
        <v>75</v>
      </c>
      <c r="N1016" s="11"/>
      <c r="O1016" s="11"/>
      <c r="P1016" s="16" t="s">
        <v>1674</v>
      </c>
      <c r="Q1016" s="16" t="s">
        <v>830</v>
      </c>
      <c r="R1016" s="16" t="s">
        <v>142</v>
      </c>
      <c r="S1016" s="11" t="s">
        <v>1926</v>
      </c>
    </row>
    <row r="1017" spans="1:19" s="20" customFormat="1" ht="21.75" hidden="1" customHeight="1" x14ac:dyDescent="0.2">
      <c r="A1017" s="16" t="s">
        <v>1929</v>
      </c>
      <c r="B1017" s="16" t="s">
        <v>73</v>
      </c>
      <c r="C1017" s="18">
        <v>46092</v>
      </c>
      <c r="D1017" s="21">
        <v>600</v>
      </c>
      <c r="E1017" s="19">
        <v>50</v>
      </c>
      <c r="F1017" s="16" t="s">
        <v>157</v>
      </c>
      <c r="G1017" s="16" t="s">
        <v>126</v>
      </c>
      <c r="H1017" s="16" t="s">
        <v>1650</v>
      </c>
      <c r="I1017" s="16" t="s">
        <v>1434</v>
      </c>
      <c r="J1017" s="17">
        <v>20609429659</v>
      </c>
      <c r="K1017" s="17">
        <v>989372072</v>
      </c>
      <c r="L1017" s="16" t="s">
        <v>1637</v>
      </c>
      <c r="M1017" s="16" t="s">
        <v>75</v>
      </c>
      <c r="N1017" s="11"/>
      <c r="O1017" s="11"/>
      <c r="P1017" s="16" t="s">
        <v>1638</v>
      </c>
      <c r="Q1017" s="11" t="s">
        <v>1940</v>
      </c>
      <c r="R1017" s="16" t="s">
        <v>396</v>
      </c>
      <c r="S1017" s="11" t="s">
        <v>1927</v>
      </c>
    </row>
    <row r="1018" spans="1:19" s="20" customFormat="1" ht="21.75" hidden="1" customHeight="1" x14ac:dyDescent="0.2">
      <c r="A1018" s="16" t="s">
        <v>1929</v>
      </c>
      <c r="B1018" s="16" t="s">
        <v>73</v>
      </c>
      <c r="C1018" s="18">
        <v>46092</v>
      </c>
      <c r="D1018" s="21">
        <v>360</v>
      </c>
      <c r="E1018" s="19">
        <v>30</v>
      </c>
      <c r="F1018" s="16" t="s">
        <v>161</v>
      </c>
      <c r="G1018" s="16" t="s">
        <v>132</v>
      </c>
      <c r="H1018" s="16" t="s">
        <v>1650</v>
      </c>
      <c r="I1018" s="16" t="s">
        <v>1434</v>
      </c>
      <c r="J1018" s="17">
        <v>20609429659</v>
      </c>
      <c r="K1018" s="17">
        <v>989372072</v>
      </c>
      <c r="L1018" s="16" t="s">
        <v>1637</v>
      </c>
      <c r="M1018" s="16" t="s">
        <v>75</v>
      </c>
      <c r="N1018" s="11"/>
      <c r="O1018" s="11"/>
      <c r="P1018" s="16" t="s">
        <v>1638</v>
      </c>
      <c r="Q1018" s="11" t="s">
        <v>1940</v>
      </c>
      <c r="R1018" s="16" t="s">
        <v>396</v>
      </c>
      <c r="S1018" s="11" t="s">
        <v>1927</v>
      </c>
    </row>
    <row r="1019" spans="1:19" s="20" customFormat="1" ht="21.75" hidden="1" customHeight="1" x14ac:dyDescent="0.2">
      <c r="A1019" s="16" t="s">
        <v>1928</v>
      </c>
      <c r="B1019" s="16" t="s">
        <v>73</v>
      </c>
      <c r="C1019" s="18">
        <v>46092</v>
      </c>
      <c r="D1019" s="21">
        <v>24</v>
      </c>
      <c r="E1019" s="19">
        <v>2</v>
      </c>
      <c r="F1019" s="16" t="s">
        <v>822</v>
      </c>
      <c r="G1019" s="16" t="s">
        <v>824</v>
      </c>
      <c r="H1019" s="16" t="s">
        <v>1650</v>
      </c>
      <c r="I1019" s="16" t="s">
        <v>811</v>
      </c>
      <c r="J1019" s="17">
        <v>20513174919</v>
      </c>
      <c r="K1019" s="17">
        <v>983406070</v>
      </c>
      <c r="L1019" s="16" t="s">
        <v>1941</v>
      </c>
      <c r="M1019" s="37" t="s">
        <v>347</v>
      </c>
      <c r="N1019" s="11"/>
      <c r="O1019" s="11"/>
      <c r="P1019" s="16" t="s">
        <v>1942</v>
      </c>
      <c r="Q1019" s="102" t="s">
        <v>1943</v>
      </c>
      <c r="R1019" s="16" t="s">
        <v>396</v>
      </c>
      <c r="S1019" s="11" t="s">
        <v>1945</v>
      </c>
    </row>
    <row r="1020" spans="1:19" s="20" customFormat="1" ht="21.75" hidden="1" customHeight="1" x14ac:dyDescent="0.2">
      <c r="A1020" s="16" t="s">
        <v>1946</v>
      </c>
      <c r="B1020" s="16" t="s">
        <v>73</v>
      </c>
      <c r="C1020" s="18">
        <v>46092</v>
      </c>
      <c r="D1020" s="21">
        <v>19</v>
      </c>
      <c r="E1020" s="19">
        <v>2</v>
      </c>
      <c r="F1020" s="16" t="s">
        <v>33</v>
      </c>
      <c r="G1020" s="16" t="s">
        <v>107</v>
      </c>
      <c r="H1020" s="16" t="s">
        <v>1650</v>
      </c>
      <c r="I1020" s="16" t="s">
        <v>811</v>
      </c>
      <c r="J1020" s="17">
        <v>20513174919</v>
      </c>
      <c r="K1020" s="17">
        <v>983406070</v>
      </c>
      <c r="L1020" s="16" t="s">
        <v>1941</v>
      </c>
      <c r="M1020" s="37" t="s">
        <v>347</v>
      </c>
      <c r="N1020" s="11"/>
      <c r="O1020" s="11"/>
      <c r="P1020" s="16" t="s">
        <v>1942</v>
      </c>
      <c r="Q1020" s="102" t="s">
        <v>1943</v>
      </c>
      <c r="R1020" s="16" t="s">
        <v>396</v>
      </c>
      <c r="S1020" s="11" t="s">
        <v>1944</v>
      </c>
    </row>
    <row r="1021" spans="1:19" s="20" customFormat="1" ht="21.75" hidden="1" customHeight="1" x14ac:dyDescent="0.2">
      <c r="A1021" s="11" t="s">
        <v>1935</v>
      </c>
      <c r="B1021" s="16" t="s">
        <v>73</v>
      </c>
      <c r="C1021" s="18">
        <v>46092</v>
      </c>
      <c r="D1021" s="19">
        <v>1</v>
      </c>
      <c r="E1021" s="19">
        <v>1</v>
      </c>
      <c r="F1021" s="11" t="s">
        <v>1933</v>
      </c>
      <c r="G1021" s="14" t="s">
        <v>1934</v>
      </c>
      <c r="H1021" s="11" t="s">
        <v>933</v>
      </c>
      <c r="I1021" s="16" t="s">
        <v>1930</v>
      </c>
      <c r="J1021" s="11"/>
      <c r="K1021" s="14">
        <v>965727480</v>
      </c>
      <c r="L1021" s="16" t="s">
        <v>1931</v>
      </c>
      <c r="M1021" s="16" t="s">
        <v>312</v>
      </c>
      <c r="N1021" s="11"/>
      <c r="O1021" s="11"/>
      <c r="P1021" s="11"/>
      <c r="Q1021" s="11" t="s">
        <v>1932</v>
      </c>
      <c r="R1021" s="16" t="s">
        <v>933</v>
      </c>
      <c r="S1021" s="11" t="s">
        <v>1935</v>
      </c>
    </row>
    <row r="1022" spans="1:19" s="20" customFormat="1" ht="21.75" hidden="1" customHeight="1" x14ac:dyDescent="0.2">
      <c r="A1022" s="11" t="s">
        <v>1935</v>
      </c>
      <c r="B1022" s="16" t="s">
        <v>73</v>
      </c>
      <c r="C1022" s="18">
        <v>46092</v>
      </c>
      <c r="D1022" s="19">
        <v>3</v>
      </c>
      <c r="E1022" s="19">
        <v>1</v>
      </c>
      <c r="F1022" s="11" t="s">
        <v>1936</v>
      </c>
      <c r="G1022" s="14" t="s">
        <v>1937</v>
      </c>
      <c r="H1022" s="11" t="s">
        <v>933</v>
      </c>
      <c r="I1022" s="16" t="s">
        <v>1930</v>
      </c>
      <c r="J1022" s="11"/>
      <c r="K1022" s="14">
        <v>965727480</v>
      </c>
      <c r="L1022" s="16" t="s">
        <v>1931</v>
      </c>
      <c r="M1022" s="16" t="s">
        <v>312</v>
      </c>
      <c r="N1022" s="11"/>
      <c r="O1022" s="11"/>
      <c r="P1022" s="11"/>
      <c r="Q1022" s="11" t="s">
        <v>1932</v>
      </c>
      <c r="R1022" s="16" t="s">
        <v>933</v>
      </c>
      <c r="S1022" s="11" t="s">
        <v>1935</v>
      </c>
    </row>
    <row r="1023" spans="1:19" s="20" customFormat="1" ht="21.75" hidden="1" customHeight="1" x14ac:dyDescent="0.2">
      <c r="A1023" s="11" t="s">
        <v>1935</v>
      </c>
      <c r="B1023" s="16" t="s">
        <v>73</v>
      </c>
      <c r="C1023" s="18">
        <v>46092</v>
      </c>
      <c r="D1023" s="19">
        <v>3</v>
      </c>
      <c r="E1023" s="19">
        <v>1</v>
      </c>
      <c r="F1023" s="11" t="s">
        <v>1938</v>
      </c>
      <c r="G1023" s="14" t="s">
        <v>1939</v>
      </c>
      <c r="H1023" s="11" t="s">
        <v>933</v>
      </c>
      <c r="I1023" s="16" t="s">
        <v>1930</v>
      </c>
      <c r="J1023" s="11"/>
      <c r="K1023" s="14">
        <v>965727480</v>
      </c>
      <c r="L1023" s="16" t="s">
        <v>1931</v>
      </c>
      <c r="M1023" s="16" t="s">
        <v>312</v>
      </c>
      <c r="N1023" s="11"/>
      <c r="O1023" s="11"/>
      <c r="P1023" s="11"/>
      <c r="Q1023" s="11" t="s">
        <v>1932</v>
      </c>
      <c r="R1023" s="16" t="s">
        <v>933</v>
      </c>
      <c r="S1023" s="11" t="s">
        <v>1935</v>
      </c>
    </row>
    <row r="1024" spans="1:19" s="20" customFormat="1" ht="21.75" hidden="1" customHeight="1" x14ac:dyDescent="0.2">
      <c r="A1024" s="16" t="s">
        <v>1947</v>
      </c>
      <c r="B1024" s="16" t="s">
        <v>73</v>
      </c>
      <c r="C1024" s="18">
        <v>46093</v>
      </c>
      <c r="D1024" s="21">
        <v>36</v>
      </c>
      <c r="E1024" s="19">
        <v>3</v>
      </c>
      <c r="F1024" s="16" t="s">
        <v>854</v>
      </c>
      <c r="G1024" s="16" t="s">
        <v>864</v>
      </c>
      <c r="H1024" s="16" t="s">
        <v>1650</v>
      </c>
      <c r="I1024" s="16" t="s">
        <v>733</v>
      </c>
      <c r="J1024" s="17">
        <v>20610373608</v>
      </c>
      <c r="K1024" s="17">
        <v>981468403</v>
      </c>
      <c r="L1024" s="16" t="s">
        <v>1957</v>
      </c>
      <c r="M1024" s="16" t="s">
        <v>299</v>
      </c>
      <c r="N1024" s="11"/>
      <c r="O1024" s="11"/>
      <c r="P1024" s="16" t="s">
        <v>987</v>
      </c>
      <c r="Q1024" s="16" t="s">
        <v>73</v>
      </c>
      <c r="R1024" s="11" t="s">
        <v>144</v>
      </c>
      <c r="S1024" s="11" t="s">
        <v>1959</v>
      </c>
    </row>
    <row r="1025" spans="1:19" s="20" customFormat="1" ht="21.75" hidden="1" customHeight="1" x14ac:dyDescent="0.2">
      <c r="A1025" s="16" t="s">
        <v>1947</v>
      </c>
      <c r="B1025" s="16" t="s">
        <v>73</v>
      </c>
      <c r="C1025" s="18">
        <v>46093</v>
      </c>
      <c r="D1025" s="21">
        <v>48</v>
      </c>
      <c r="E1025" s="19">
        <v>4</v>
      </c>
      <c r="F1025" s="16" t="s">
        <v>734</v>
      </c>
      <c r="G1025" s="16" t="s">
        <v>735</v>
      </c>
      <c r="H1025" s="16" t="s">
        <v>1650</v>
      </c>
      <c r="I1025" s="16" t="s">
        <v>733</v>
      </c>
      <c r="J1025" s="17">
        <v>20610373608</v>
      </c>
      <c r="K1025" s="17">
        <v>981468403</v>
      </c>
      <c r="L1025" s="16" t="s">
        <v>1957</v>
      </c>
      <c r="M1025" s="16" t="s">
        <v>299</v>
      </c>
      <c r="N1025" s="11"/>
      <c r="O1025" s="11"/>
      <c r="P1025" s="16" t="s">
        <v>987</v>
      </c>
      <c r="Q1025" s="16" t="s">
        <v>73</v>
      </c>
      <c r="R1025" s="11" t="s">
        <v>144</v>
      </c>
      <c r="S1025" s="11" t="s">
        <v>1959</v>
      </c>
    </row>
    <row r="1026" spans="1:19" s="20" customFormat="1" ht="21.75" hidden="1" customHeight="1" x14ac:dyDescent="0.2">
      <c r="A1026" s="16" t="s">
        <v>1948</v>
      </c>
      <c r="B1026" s="17">
        <v>13727000</v>
      </c>
      <c r="C1026" s="18">
        <v>46098</v>
      </c>
      <c r="D1026" s="21">
        <v>72</v>
      </c>
      <c r="E1026" s="19">
        <v>3</v>
      </c>
      <c r="F1026" s="16" t="s">
        <v>18</v>
      </c>
      <c r="G1026" s="16" t="s">
        <v>109</v>
      </c>
      <c r="H1026" s="16" t="s">
        <v>76</v>
      </c>
      <c r="I1026" s="16" t="s">
        <v>134</v>
      </c>
      <c r="J1026" s="17">
        <v>20100070970</v>
      </c>
      <c r="K1026" s="17" t="s">
        <v>73</v>
      </c>
      <c r="L1026" s="17" t="s">
        <v>1632</v>
      </c>
      <c r="M1026" s="16" t="s">
        <v>77</v>
      </c>
      <c r="N1026" s="11"/>
      <c r="O1026" s="11"/>
      <c r="P1026" s="16" t="s">
        <v>1912</v>
      </c>
      <c r="Q1026" s="16" t="s">
        <v>1795</v>
      </c>
      <c r="R1026" s="16" t="s">
        <v>143</v>
      </c>
      <c r="S1026" s="11" t="s">
        <v>2061</v>
      </c>
    </row>
    <row r="1027" spans="1:19" s="20" customFormat="1" ht="21.75" hidden="1" customHeight="1" x14ac:dyDescent="0.2">
      <c r="A1027" s="16" t="s">
        <v>1948</v>
      </c>
      <c r="B1027" s="17">
        <v>13727000</v>
      </c>
      <c r="C1027" s="18">
        <v>46098</v>
      </c>
      <c r="D1027" s="21">
        <v>48</v>
      </c>
      <c r="E1027" s="19">
        <v>4</v>
      </c>
      <c r="F1027" s="16" t="s">
        <v>19</v>
      </c>
      <c r="G1027" s="16" t="s">
        <v>120</v>
      </c>
      <c r="H1027" s="16" t="s">
        <v>76</v>
      </c>
      <c r="I1027" s="16" t="s">
        <v>134</v>
      </c>
      <c r="J1027" s="17">
        <v>20100070970</v>
      </c>
      <c r="K1027" s="17" t="s">
        <v>73</v>
      </c>
      <c r="L1027" s="17" t="s">
        <v>1632</v>
      </c>
      <c r="M1027" s="16" t="s">
        <v>77</v>
      </c>
      <c r="N1027" s="11"/>
      <c r="O1027" s="11"/>
      <c r="P1027" s="16" t="s">
        <v>1912</v>
      </c>
      <c r="Q1027" s="16" t="s">
        <v>1795</v>
      </c>
      <c r="R1027" s="16" t="s">
        <v>143</v>
      </c>
      <c r="S1027" s="11" t="s">
        <v>2061</v>
      </c>
    </row>
    <row r="1028" spans="1:19" s="20" customFormat="1" ht="21.75" hidden="1" customHeight="1" x14ac:dyDescent="0.2">
      <c r="A1028" s="16" t="s">
        <v>1948</v>
      </c>
      <c r="B1028" s="17">
        <v>13727000</v>
      </c>
      <c r="C1028" s="18">
        <v>46098</v>
      </c>
      <c r="D1028" s="21">
        <v>12</v>
      </c>
      <c r="E1028" s="19">
        <v>1</v>
      </c>
      <c r="F1028" s="16" t="s">
        <v>20</v>
      </c>
      <c r="G1028" s="16" t="s">
        <v>113</v>
      </c>
      <c r="H1028" s="16" t="s">
        <v>76</v>
      </c>
      <c r="I1028" s="16" t="s">
        <v>134</v>
      </c>
      <c r="J1028" s="17">
        <v>20100070970</v>
      </c>
      <c r="K1028" s="17" t="s">
        <v>73</v>
      </c>
      <c r="L1028" s="17" t="s">
        <v>1632</v>
      </c>
      <c r="M1028" s="16" t="s">
        <v>77</v>
      </c>
      <c r="N1028" s="11"/>
      <c r="O1028" s="11"/>
      <c r="P1028" s="16" t="s">
        <v>1912</v>
      </c>
      <c r="Q1028" s="16" t="s">
        <v>1795</v>
      </c>
      <c r="R1028" s="16" t="s">
        <v>143</v>
      </c>
      <c r="S1028" s="11" t="s">
        <v>2061</v>
      </c>
    </row>
    <row r="1029" spans="1:19" s="20" customFormat="1" ht="21.75" hidden="1" customHeight="1" x14ac:dyDescent="0.2">
      <c r="A1029" s="16" t="s">
        <v>1948</v>
      </c>
      <c r="B1029" s="17">
        <v>13727000</v>
      </c>
      <c r="C1029" s="18">
        <v>46098</v>
      </c>
      <c r="D1029" s="21">
        <v>24</v>
      </c>
      <c r="E1029" s="19">
        <v>2</v>
      </c>
      <c r="F1029" s="16" t="s">
        <v>21</v>
      </c>
      <c r="G1029" s="16" t="s">
        <v>115</v>
      </c>
      <c r="H1029" s="16" t="s">
        <v>76</v>
      </c>
      <c r="I1029" s="16" t="s">
        <v>134</v>
      </c>
      <c r="J1029" s="17">
        <v>20100070970</v>
      </c>
      <c r="K1029" s="17" t="s">
        <v>73</v>
      </c>
      <c r="L1029" s="17" t="s">
        <v>1632</v>
      </c>
      <c r="M1029" s="16" t="s">
        <v>77</v>
      </c>
      <c r="N1029" s="11"/>
      <c r="O1029" s="11"/>
      <c r="P1029" s="16" t="s">
        <v>1912</v>
      </c>
      <c r="Q1029" s="16" t="s">
        <v>1795</v>
      </c>
      <c r="R1029" s="16" t="s">
        <v>143</v>
      </c>
      <c r="S1029" s="11" t="s">
        <v>2061</v>
      </c>
    </row>
    <row r="1030" spans="1:19" s="20" customFormat="1" ht="21.75" hidden="1" customHeight="1" x14ac:dyDescent="0.2">
      <c r="A1030" s="16" t="s">
        <v>1948</v>
      </c>
      <c r="B1030" s="17">
        <v>13727000</v>
      </c>
      <c r="C1030" s="18">
        <v>46098</v>
      </c>
      <c r="D1030" s="21">
        <v>288</v>
      </c>
      <c r="E1030" s="19">
        <f>288/48</f>
        <v>6</v>
      </c>
      <c r="F1030" s="16" t="s">
        <v>22</v>
      </c>
      <c r="G1030" s="16" t="s">
        <v>108</v>
      </c>
      <c r="H1030" s="16" t="s">
        <v>76</v>
      </c>
      <c r="I1030" s="16" t="s">
        <v>134</v>
      </c>
      <c r="J1030" s="17">
        <v>20100070970</v>
      </c>
      <c r="K1030" s="17" t="s">
        <v>73</v>
      </c>
      <c r="L1030" s="17" t="s">
        <v>1632</v>
      </c>
      <c r="M1030" s="16" t="s">
        <v>77</v>
      </c>
      <c r="N1030" s="11"/>
      <c r="O1030" s="11"/>
      <c r="P1030" s="16" t="s">
        <v>1912</v>
      </c>
      <c r="Q1030" s="16" t="s">
        <v>1795</v>
      </c>
      <c r="R1030" s="16" t="s">
        <v>143</v>
      </c>
      <c r="S1030" s="11" t="s">
        <v>2061</v>
      </c>
    </row>
    <row r="1031" spans="1:19" s="20" customFormat="1" ht="21.75" hidden="1" customHeight="1" x14ac:dyDescent="0.2">
      <c r="A1031" s="16" t="s">
        <v>1948</v>
      </c>
      <c r="B1031" s="17">
        <v>13727000</v>
      </c>
      <c r="C1031" s="18">
        <v>46098</v>
      </c>
      <c r="D1031" s="21">
        <v>156</v>
      </c>
      <c r="E1031" s="19">
        <f>156/12</f>
        <v>13</v>
      </c>
      <c r="F1031" s="16" t="s">
        <v>23</v>
      </c>
      <c r="G1031" s="16" t="s">
        <v>119</v>
      </c>
      <c r="H1031" s="16" t="s">
        <v>76</v>
      </c>
      <c r="I1031" s="16" t="s">
        <v>134</v>
      </c>
      <c r="J1031" s="17">
        <v>20100070970</v>
      </c>
      <c r="K1031" s="17" t="s">
        <v>73</v>
      </c>
      <c r="L1031" s="17" t="s">
        <v>1632</v>
      </c>
      <c r="M1031" s="16" t="s">
        <v>77</v>
      </c>
      <c r="N1031" s="11"/>
      <c r="O1031" s="11"/>
      <c r="P1031" s="16" t="s">
        <v>1912</v>
      </c>
      <c r="Q1031" s="16" t="s">
        <v>1795</v>
      </c>
      <c r="R1031" s="16" t="s">
        <v>143</v>
      </c>
      <c r="S1031" s="11" t="s">
        <v>2061</v>
      </c>
    </row>
    <row r="1032" spans="1:19" s="20" customFormat="1" ht="21.75" hidden="1" customHeight="1" x14ac:dyDescent="0.2">
      <c r="A1032" s="16" t="s">
        <v>1948</v>
      </c>
      <c r="B1032" s="17">
        <v>13727000</v>
      </c>
      <c r="C1032" s="18">
        <v>46098</v>
      </c>
      <c r="D1032" s="21">
        <v>108</v>
      </c>
      <c r="E1032" s="19">
        <v>9</v>
      </c>
      <c r="F1032" s="16" t="s">
        <v>24</v>
      </c>
      <c r="G1032" s="16" t="s">
        <v>112</v>
      </c>
      <c r="H1032" s="16" t="s">
        <v>76</v>
      </c>
      <c r="I1032" s="16" t="s">
        <v>134</v>
      </c>
      <c r="J1032" s="17">
        <v>20100070970</v>
      </c>
      <c r="K1032" s="17" t="s">
        <v>73</v>
      </c>
      <c r="L1032" s="17" t="s">
        <v>1632</v>
      </c>
      <c r="M1032" s="16" t="s">
        <v>77</v>
      </c>
      <c r="N1032" s="11"/>
      <c r="O1032" s="11"/>
      <c r="P1032" s="16" t="s">
        <v>1912</v>
      </c>
      <c r="Q1032" s="16" t="s">
        <v>1795</v>
      </c>
      <c r="R1032" s="16" t="s">
        <v>143</v>
      </c>
      <c r="S1032" s="11" t="s">
        <v>2061</v>
      </c>
    </row>
    <row r="1033" spans="1:19" s="20" customFormat="1" ht="21.75" hidden="1" customHeight="1" x14ac:dyDescent="0.2">
      <c r="A1033" s="16" t="s">
        <v>1948</v>
      </c>
      <c r="B1033" s="17">
        <v>13727000</v>
      </c>
      <c r="C1033" s="18">
        <v>46098</v>
      </c>
      <c r="D1033" s="21">
        <v>108</v>
      </c>
      <c r="E1033" s="19">
        <f>108/6</f>
        <v>18</v>
      </c>
      <c r="F1033" s="16" t="s">
        <v>26</v>
      </c>
      <c r="G1033" s="16" t="s">
        <v>111</v>
      </c>
      <c r="H1033" s="16" t="s">
        <v>76</v>
      </c>
      <c r="I1033" s="16" t="s">
        <v>134</v>
      </c>
      <c r="J1033" s="17">
        <v>20100070970</v>
      </c>
      <c r="K1033" s="17" t="s">
        <v>73</v>
      </c>
      <c r="L1033" s="17" t="s">
        <v>1632</v>
      </c>
      <c r="M1033" s="16" t="s">
        <v>77</v>
      </c>
      <c r="N1033" s="11"/>
      <c r="O1033" s="11"/>
      <c r="P1033" s="16" t="s">
        <v>1912</v>
      </c>
      <c r="Q1033" s="16" t="s">
        <v>1795</v>
      </c>
      <c r="R1033" s="16" t="s">
        <v>143</v>
      </c>
      <c r="S1033" s="11" t="s">
        <v>2061</v>
      </c>
    </row>
    <row r="1034" spans="1:19" s="20" customFormat="1" ht="21.75" hidden="1" customHeight="1" x14ac:dyDescent="0.2">
      <c r="A1034" s="16" t="s">
        <v>1948</v>
      </c>
      <c r="B1034" s="17">
        <v>13727000</v>
      </c>
      <c r="C1034" s="18">
        <v>46098</v>
      </c>
      <c r="D1034" s="21">
        <v>12</v>
      </c>
      <c r="E1034" s="19">
        <v>1</v>
      </c>
      <c r="F1034" s="16" t="s">
        <v>27</v>
      </c>
      <c r="G1034" s="16" t="s">
        <v>103</v>
      </c>
      <c r="H1034" s="16" t="s">
        <v>76</v>
      </c>
      <c r="I1034" s="16" t="s">
        <v>134</v>
      </c>
      <c r="J1034" s="17">
        <v>20100070970</v>
      </c>
      <c r="K1034" s="17" t="s">
        <v>73</v>
      </c>
      <c r="L1034" s="17" t="s">
        <v>1632</v>
      </c>
      <c r="M1034" s="16" t="s">
        <v>77</v>
      </c>
      <c r="N1034" s="11"/>
      <c r="O1034" s="11"/>
      <c r="P1034" s="16" t="s">
        <v>1912</v>
      </c>
      <c r="Q1034" s="16" t="s">
        <v>1795</v>
      </c>
      <c r="R1034" s="16" t="s">
        <v>143</v>
      </c>
      <c r="S1034" s="11" t="s">
        <v>2061</v>
      </c>
    </row>
    <row r="1035" spans="1:19" s="20" customFormat="1" ht="21.75" hidden="1" customHeight="1" x14ac:dyDescent="0.2">
      <c r="A1035" s="16" t="s">
        <v>1949</v>
      </c>
      <c r="B1035" s="17" t="s">
        <v>1953</v>
      </c>
      <c r="C1035" s="18">
        <v>46093</v>
      </c>
      <c r="D1035" s="21">
        <v>36</v>
      </c>
      <c r="E1035" s="19">
        <v>3</v>
      </c>
      <c r="F1035" s="16" t="s">
        <v>717</v>
      </c>
      <c r="G1035" s="16" t="s">
        <v>718</v>
      </c>
      <c r="H1035" s="16" t="s">
        <v>76</v>
      </c>
      <c r="I1035" s="16" t="s">
        <v>66</v>
      </c>
      <c r="J1035" s="17">
        <v>20334539149</v>
      </c>
      <c r="K1035" s="17">
        <v>977804261</v>
      </c>
      <c r="L1035" s="16" t="s">
        <v>722</v>
      </c>
      <c r="M1035" s="16" t="s">
        <v>299</v>
      </c>
      <c r="N1035" s="11"/>
      <c r="O1035" s="11"/>
      <c r="P1035" s="16" t="s">
        <v>720</v>
      </c>
      <c r="Q1035" s="16" t="s">
        <v>73</v>
      </c>
      <c r="R1035" s="16" t="s">
        <v>395</v>
      </c>
      <c r="S1035" s="11" t="s">
        <v>1960</v>
      </c>
    </row>
    <row r="1036" spans="1:19" s="20" customFormat="1" ht="21.75" hidden="1" customHeight="1" x14ac:dyDescent="0.2">
      <c r="A1036" s="16" t="s">
        <v>1950</v>
      </c>
      <c r="B1036" s="17" t="s">
        <v>73</v>
      </c>
      <c r="C1036" s="18">
        <v>46092</v>
      </c>
      <c r="D1036" s="21">
        <v>6</v>
      </c>
      <c r="E1036" s="19">
        <v>1</v>
      </c>
      <c r="F1036" s="16" t="s">
        <v>855</v>
      </c>
      <c r="G1036" s="16" t="s">
        <v>865</v>
      </c>
      <c r="H1036" s="16" t="s">
        <v>99</v>
      </c>
      <c r="I1036" s="16" t="s">
        <v>1954</v>
      </c>
      <c r="J1036" s="17">
        <v>20609580764</v>
      </c>
      <c r="K1036" s="103"/>
      <c r="L1036" s="70"/>
      <c r="M1036" s="70"/>
      <c r="N1036" s="11"/>
      <c r="O1036" s="11"/>
      <c r="P1036" s="16"/>
      <c r="Q1036" s="16" t="s">
        <v>73</v>
      </c>
      <c r="R1036" s="16" t="s">
        <v>397</v>
      </c>
      <c r="S1036" s="11" t="s">
        <v>1963</v>
      </c>
    </row>
    <row r="1037" spans="1:19" s="20" customFormat="1" ht="21.75" hidden="1" customHeight="1" x14ac:dyDescent="0.2">
      <c r="A1037" s="16" t="s">
        <v>1951</v>
      </c>
      <c r="B1037" s="16" t="s">
        <v>73</v>
      </c>
      <c r="C1037" s="18">
        <v>46092</v>
      </c>
      <c r="D1037" s="21">
        <v>6</v>
      </c>
      <c r="E1037" s="19">
        <v>1</v>
      </c>
      <c r="F1037" s="16" t="s">
        <v>1955</v>
      </c>
      <c r="G1037" s="16" t="s">
        <v>1956</v>
      </c>
      <c r="H1037" s="16" t="s">
        <v>99</v>
      </c>
      <c r="I1037" s="16" t="s">
        <v>1954</v>
      </c>
      <c r="J1037" s="17">
        <v>20609580764</v>
      </c>
      <c r="K1037" s="70"/>
      <c r="L1037" s="70"/>
      <c r="M1037" s="70"/>
      <c r="N1037" s="11"/>
      <c r="O1037" s="11"/>
      <c r="P1037" s="16"/>
      <c r="Q1037" s="16" t="s">
        <v>73</v>
      </c>
      <c r="R1037" s="16" t="s">
        <v>397</v>
      </c>
      <c r="S1037" s="11" t="s">
        <v>1964</v>
      </c>
    </row>
    <row r="1038" spans="1:19" s="20" customFormat="1" ht="21.75" hidden="1" customHeight="1" x14ac:dyDescent="0.2">
      <c r="A1038" s="16" t="s">
        <v>1951</v>
      </c>
      <c r="B1038" s="16" t="s">
        <v>73</v>
      </c>
      <c r="C1038" s="18">
        <v>46092</v>
      </c>
      <c r="D1038" s="21">
        <v>6</v>
      </c>
      <c r="E1038" s="19">
        <v>1</v>
      </c>
      <c r="F1038" s="16" t="s">
        <v>853</v>
      </c>
      <c r="G1038" s="16" t="s">
        <v>863</v>
      </c>
      <c r="H1038" s="16" t="s">
        <v>99</v>
      </c>
      <c r="I1038" s="16" t="s">
        <v>1954</v>
      </c>
      <c r="J1038" s="17">
        <v>20609580764</v>
      </c>
      <c r="K1038" s="70"/>
      <c r="L1038" s="70"/>
      <c r="M1038" s="70"/>
      <c r="N1038" s="11"/>
      <c r="O1038" s="11"/>
      <c r="P1038" s="16"/>
      <c r="Q1038" s="16" t="s">
        <v>73</v>
      </c>
      <c r="R1038" s="16" t="s">
        <v>397</v>
      </c>
      <c r="S1038" s="11" t="s">
        <v>1964</v>
      </c>
    </row>
    <row r="1039" spans="1:19" s="20" customFormat="1" ht="21.75" hidden="1" customHeight="1" x14ac:dyDescent="0.2">
      <c r="A1039" s="16" t="s">
        <v>1952</v>
      </c>
      <c r="B1039" s="16" t="s">
        <v>73</v>
      </c>
      <c r="C1039" s="18">
        <v>46093</v>
      </c>
      <c r="D1039" s="21">
        <v>720</v>
      </c>
      <c r="E1039" s="19">
        <v>15</v>
      </c>
      <c r="F1039" s="16" t="s">
        <v>159</v>
      </c>
      <c r="G1039" s="16" t="s">
        <v>140</v>
      </c>
      <c r="H1039" s="16" t="s">
        <v>1650</v>
      </c>
      <c r="I1039" s="16" t="s">
        <v>39</v>
      </c>
      <c r="J1039" s="17">
        <v>20606036711</v>
      </c>
      <c r="K1039" s="17">
        <v>997942928</v>
      </c>
      <c r="L1039" s="16" t="s">
        <v>1958</v>
      </c>
      <c r="M1039" s="16" t="s">
        <v>347</v>
      </c>
      <c r="N1039" s="11"/>
      <c r="O1039" s="11"/>
      <c r="P1039" s="16" t="s">
        <v>1962</v>
      </c>
      <c r="Q1039" s="16" t="s">
        <v>73</v>
      </c>
      <c r="R1039" s="16" t="s">
        <v>396</v>
      </c>
      <c r="S1039" s="11" t="s">
        <v>1961</v>
      </c>
    </row>
    <row r="1040" spans="1:19" s="20" customFormat="1" ht="21.75" hidden="1" customHeight="1" x14ac:dyDescent="0.2">
      <c r="A1040" s="16" t="s">
        <v>1952</v>
      </c>
      <c r="B1040" s="16" t="s">
        <v>73</v>
      </c>
      <c r="C1040" s="18">
        <v>46093</v>
      </c>
      <c r="D1040" s="21">
        <v>120</v>
      </c>
      <c r="E1040" s="19">
        <v>10</v>
      </c>
      <c r="F1040" s="16" t="s">
        <v>822</v>
      </c>
      <c r="G1040" s="16" t="s">
        <v>824</v>
      </c>
      <c r="H1040" s="16" t="s">
        <v>1650</v>
      </c>
      <c r="I1040" s="16" t="s">
        <v>39</v>
      </c>
      <c r="J1040" s="17">
        <v>20606036711</v>
      </c>
      <c r="K1040" s="17">
        <v>997942928</v>
      </c>
      <c r="L1040" s="16" t="s">
        <v>1958</v>
      </c>
      <c r="M1040" s="16" t="s">
        <v>347</v>
      </c>
      <c r="N1040" s="11"/>
      <c r="O1040" s="11"/>
      <c r="P1040" s="16" t="s">
        <v>1962</v>
      </c>
      <c r="Q1040" s="16" t="s">
        <v>73</v>
      </c>
      <c r="R1040" s="16" t="s">
        <v>396</v>
      </c>
      <c r="S1040" s="11" t="s">
        <v>1961</v>
      </c>
    </row>
    <row r="1041" spans="1:19" s="20" customFormat="1" ht="21.75" hidden="1" customHeight="1" x14ac:dyDescent="0.2">
      <c r="A1041" s="16" t="s">
        <v>1965</v>
      </c>
      <c r="B1041" s="16" t="s">
        <v>73</v>
      </c>
      <c r="C1041" s="18">
        <v>46094</v>
      </c>
      <c r="D1041" s="21">
        <v>48</v>
      </c>
      <c r="E1041" s="19">
        <v>4</v>
      </c>
      <c r="F1041" s="16" t="s">
        <v>1966</v>
      </c>
      <c r="G1041" s="16" t="s">
        <v>1967</v>
      </c>
      <c r="H1041" s="16" t="s">
        <v>1650</v>
      </c>
      <c r="I1041" s="16" t="s">
        <v>733</v>
      </c>
      <c r="J1041" s="17">
        <v>20610373608</v>
      </c>
      <c r="K1041" s="17">
        <v>981468403</v>
      </c>
      <c r="L1041" s="16" t="s">
        <v>1957</v>
      </c>
      <c r="M1041" s="16" t="s">
        <v>299</v>
      </c>
      <c r="N1041" s="11"/>
      <c r="O1041" s="11"/>
      <c r="P1041" s="16" t="s">
        <v>987</v>
      </c>
      <c r="Q1041" s="16" t="s">
        <v>73</v>
      </c>
      <c r="R1041" s="11" t="s">
        <v>144</v>
      </c>
      <c r="S1041" s="11" t="s">
        <v>1974</v>
      </c>
    </row>
    <row r="1042" spans="1:19" s="20" customFormat="1" ht="21.75" hidden="1" customHeight="1" x14ac:dyDescent="0.2">
      <c r="A1042" s="16" t="s">
        <v>1990</v>
      </c>
      <c r="B1042" s="17" t="s">
        <v>73</v>
      </c>
      <c r="C1042" s="18">
        <v>46093</v>
      </c>
      <c r="D1042" s="21">
        <v>6</v>
      </c>
      <c r="E1042" s="19">
        <v>1</v>
      </c>
      <c r="F1042" s="87" t="s">
        <v>855</v>
      </c>
      <c r="G1042" s="87" t="s">
        <v>865</v>
      </c>
      <c r="H1042" s="16" t="s">
        <v>99</v>
      </c>
      <c r="I1042" s="16" t="s">
        <v>1954</v>
      </c>
      <c r="J1042" s="17">
        <v>20609580764</v>
      </c>
      <c r="K1042" s="103"/>
      <c r="L1042" s="70"/>
      <c r="M1042" s="70"/>
      <c r="N1042" s="11"/>
      <c r="O1042" s="11"/>
      <c r="P1042" s="16"/>
      <c r="Q1042" s="16" t="s">
        <v>1995</v>
      </c>
      <c r="R1042" s="16" t="s">
        <v>397</v>
      </c>
      <c r="S1042" s="11" t="s">
        <v>1963</v>
      </c>
    </row>
    <row r="1043" spans="1:19" s="20" customFormat="1" ht="21.75" hidden="1" customHeight="1" x14ac:dyDescent="0.2">
      <c r="A1043" s="16" t="s">
        <v>1990</v>
      </c>
      <c r="B1043" s="16" t="s">
        <v>73</v>
      </c>
      <c r="C1043" s="18">
        <v>46093</v>
      </c>
      <c r="D1043" s="21">
        <v>6</v>
      </c>
      <c r="E1043" s="19">
        <v>1</v>
      </c>
      <c r="F1043" s="87" t="s">
        <v>1991</v>
      </c>
      <c r="G1043" s="87" t="s">
        <v>1993</v>
      </c>
      <c r="H1043" s="16" t="s">
        <v>99</v>
      </c>
      <c r="I1043" s="16" t="s">
        <v>1954</v>
      </c>
      <c r="J1043" s="17">
        <v>20609580764</v>
      </c>
      <c r="K1043" s="70"/>
      <c r="L1043" s="70"/>
      <c r="M1043" s="70"/>
      <c r="N1043" s="11"/>
      <c r="O1043" s="11"/>
      <c r="P1043" s="16"/>
      <c r="Q1043" s="16" t="s">
        <v>1995</v>
      </c>
      <c r="R1043" s="16" t="s">
        <v>397</v>
      </c>
      <c r="S1043" s="11" t="s">
        <v>1964</v>
      </c>
    </row>
    <row r="1044" spans="1:19" s="20" customFormat="1" ht="21.75" hidden="1" customHeight="1" x14ac:dyDescent="0.2">
      <c r="A1044" s="16" t="s">
        <v>1990</v>
      </c>
      <c r="B1044" s="16" t="s">
        <v>73</v>
      </c>
      <c r="C1044" s="18">
        <v>46093</v>
      </c>
      <c r="D1044" s="21">
        <v>6</v>
      </c>
      <c r="E1044" s="19">
        <v>1</v>
      </c>
      <c r="F1044" s="87" t="s">
        <v>1992</v>
      </c>
      <c r="G1044" s="87" t="s">
        <v>1994</v>
      </c>
      <c r="H1044" s="16" t="s">
        <v>99</v>
      </c>
      <c r="I1044" s="16" t="s">
        <v>1954</v>
      </c>
      <c r="J1044" s="17">
        <v>20609580764</v>
      </c>
      <c r="K1044" s="70"/>
      <c r="L1044" s="70"/>
      <c r="M1044" s="70"/>
      <c r="N1044" s="11"/>
      <c r="O1044" s="11"/>
      <c r="P1044" s="16"/>
      <c r="Q1044" s="16" t="s">
        <v>1995</v>
      </c>
      <c r="R1044" s="16" t="s">
        <v>397</v>
      </c>
      <c r="S1044" s="11" t="s">
        <v>1964</v>
      </c>
    </row>
    <row r="1045" spans="1:19" s="20" customFormat="1" ht="21.75" hidden="1" customHeight="1" x14ac:dyDescent="0.2">
      <c r="A1045" s="16" t="s">
        <v>1982</v>
      </c>
      <c r="B1045" s="16" t="s">
        <v>73</v>
      </c>
      <c r="C1045" s="18">
        <v>46094</v>
      </c>
      <c r="D1045" s="21">
        <v>24</v>
      </c>
      <c r="E1045" s="19">
        <v>1</v>
      </c>
      <c r="F1045" s="16" t="s">
        <v>1978</v>
      </c>
      <c r="G1045" s="16" t="s">
        <v>1979</v>
      </c>
      <c r="H1045" s="11" t="s">
        <v>76</v>
      </c>
      <c r="I1045" s="16" t="s">
        <v>1977</v>
      </c>
      <c r="J1045" s="17">
        <v>20602364039</v>
      </c>
      <c r="K1045" s="16" t="s">
        <v>1985</v>
      </c>
      <c r="L1045" s="16" t="s">
        <v>1980</v>
      </c>
      <c r="M1045" s="16" t="s">
        <v>420</v>
      </c>
      <c r="N1045" s="16"/>
      <c r="O1045" s="16"/>
      <c r="P1045" s="16" t="s">
        <v>1981</v>
      </c>
      <c r="Q1045" s="11" t="s">
        <v>1984</v>
      </c>
      <c r="R1045" s="16" t="s">
        <v>396</v>
      </c>
      <c r="S1045" s="11" t="s">
        <v>1983</v>
      </c>
    </row>
    <row r="1046" spans="1:19" s="20" customFormat="1" ht="21.75" hidden="1" customHeight="1" x14ac:dyDescent="0.2">
      <c r="A1046" s="16" t="s">
        <v>1986</v>
      </c>
      <c r="B1046" s="16" t="s">
        <v>73</v>
      </c>
      <c r="C1046" s="18">
        <v>46094</v>
      </c>
      <c r="D1046" s="21">
        <v>144</v>
      </c>
      <c r="E1046" s="19">
        <f>144/24</f>
        <v>6</v>
      </c>
      <c r="F1046" s="104" t="s">
        <v>1071</v>
      </c>
      <c r="G1046" s="104" t="s">
        <v>1075</v>
      </c>
      <c r="H1046" s="16" t="s">
        <v>1650</v>
      </c>
      <c r="I1046" s="16" t="s">
        <v>419</v>
      </c>
      <c r="J1046" s="17">
        <v>10418900682</v>
      </c>
      <c r="K1046" s="17" t="s">
        <v>1798</v>
      </c>
      <c r="L1046" s="16" t="s">
        <v>1797</v>
      </c>
      <c r="M1046" s="16" t="s">
        <v>420</v>
      </c>
      <c r="N1046" s="11"/>
      <c r="O1046" s="11"/>
      <c r="P1046" s="16" t="s">
        <v>1801</v>
      </c>
      <c r="Q1046" s="16" t="s">
        <v>1802</v>
      </c>
      <c r="R1046" s="16" t="s">
        <v>396</v>
      </c>
      <c r="S1046" s="11" t="s">
        <v>1987</v>
      </c>
    </row>
    <row r="1047" spans="1:19" s="20" customFormat="1" ht="21.75" hidden="1" customHeight="1" x14ac:dyDescent="0.2">
      <c r="A1047" s="16" t="s">
        <v>1986</v>
      </c>
      <c r="B1047" s="16" t="s">
        <v>73</v>
      </c>
      <c r="C1047" s="18">
        <v>46094</v>
      </c>
      <c r="D1047" s="21">
        <v>24</v>
      </c>
      <c r="E1047" s="19">
        <v>1</v>
      </c>
      <c r="F1047" s="104" t="s">
        <v>598</v>
      </c>
      <c r="G1047" s="104" t="s">
        <v>603</v>
      </c>
      <c r="H1047" s="16" t="s">
        <v>1650</v>
      </c>
      <c r="I1047" s="16" t="s">
        <v>419</v>
      </c>
      <c r="J1047" s="17">
        <v>10418900682</v>
      </c>
      <c r="K1047" s="17" t="s">
        <v>1798</v>
      </c>
      <c r="L1047" s="16" t="s">
        <v>1797</v>
      </c>
      <c r="M1047" s="16" t="s">
        <v>420</v>
      </c>
      <c r="N1047" s="11"/>
      <c r="O1047" s="11"/>
      <c r="P1047" s="16" t="s">
        <v>1801</v>
      </c>
      <c r="Q1047" s="16" t="s">
        <v>1802</v>
      </c>
      <c r="R1047" s="16" t="s">
        <v>396</v>
      </c>
      <c r="S1047" s="11" t="s">
        <v>1987</v>
      </c>
    </row>
    <row r="1048" spans="1:19" s="20" customFormat="1" ht="21.75" hidden="1" customHeight="1" x14ac:dyDescent="0.2">
      <c r="A1048" s="16" t="s">
        <v>1986</v>
      </c>
      <c r="B1048" s="16" t="s">
        <v>73</v>
      </c>
      <c r="C1048" s="18">
        <v>46094</v>
      </c>
      <c r="D1048" s="21">
        <v>2</v>
      </c>
      <c r="E1048" s="19">
        <v>1</v>
      </c>
      <c r="F1048" s="104" t="s">
        <v>1531</v>
      </c>
      <c r="G1048" s="104" t="s">
        <v>1530</v>
      </c>
      <c r="H1048" s="16" t="s">
        <v>1650</v>
      </c>
      <c r="I1048" s="16" t="s">
        <v>419</v>
      </c>
      <c r="J1048" s="17">
        <v>10418900682</v>
      </c>
      <c r="K1048" s="17" t="s">
        <v>1798</v>
      </c>
      <c r="L1048" s="16" t="s">
        <v>1797</v>
      </c>
      <c r="M1048" s="16" t="s">
        <v>420</v>
      </c>
      <c r="N1048" s="11"/>
      <c r="O1048" s="11"/>
      <c r="P1048" s="16" t="s">
        <v>1801</v>
      </c>
      <c r="Q1048" s="16" t="s">
        <v>1802</v>
      </c>
      <c r="R1048" s="16" t="s">
        <v>396</v>
      </c>
      <c r="S1048" s="11" t="s">
        <v>1987</v>
      </c>
    </row>
    <row r="1049" spans="1:19" s="20" customFormat="1" ht="21.75" hidden="1" customHeight="1" x14ac:dyDescent="0.2">
      <c r="A1049" s="16" t="s">
        <v>1968</v>
      </c>
      <c r="B1049" s="16" t="s">
        <v>73</v>
      </c>
      <c r="C1049" s="18">
        <v>46094</v>
      </c>
      <c r="D1049" s="21">
        <v>1</v>
      </c>
      <c r="E1049" s="19">
        <v>1</v>
      </c>
      <c r="F1049" s="11" t="s">
        <v>1970</v>
      </c>
      <c r="G1049" s="14" t="s">
        <v>1971</v>
      </c>
      <c r="H1049" s="11" t="s">
        <v>933</v>
      </c>
      <c r="I1049" s="16" t="s">
        <v>1988</v>
      </c>
      <c r="J1049" s="14" t="s">
        <v>1989</v>
      </c>
      <c r="K1049" s="11"/>
      <c r="L1049" s="16" t="s">
        <v>1969</v>
      </c>
      <c r="M1049" s="16" t="s">
        <v>533</v>
      </c>
      <c r="N1049" s="11"/>
      <c r="O1049" s="11"/>
      <c r="P1049" s="11"/>
      <c r="Q1049" s="11"/>
      <c r="R1049" s="16" t="s">
        <v>933</v>
      </c>
      <c r="S1049" s="11" t="s">
        <v>1968</v>
      </c>
    </row>
    <row r="1050" spans="1:19" s="20" customFormat="1" ht="21.75" hidden="1" customHeight="1" x14ac:dyDescent="0.2">
      <c r="A1050" s="16" t="s">
        <v>1968</v>
      </c>
      <c r="B1050" s="16" t="s">
        <v>73</v>
      </c>
      <c r="C1050" s="18">
        <v>46094</v>
      </c>
      <c r="D1050" s="21">
        <v>1</v>
      </c>
      <c r="E1050" s="19">
        <v>1</v>
      </c>
      <c r="F1050" s="11" t="s">
        <v>1972</v>
      </c>
      <c r="G1050" s="14" t="s">
        <v>1973</v>
      </c>
      <c r="H1050" s="11" t="s">
        <v>933</v>
      </c>
      <c r="I1050" s="16" t="s">
        <v>1988</v>
      </c>
      <c r="J1050" s="14" t="s">
        <v>1989</v>
      </c>
      <c r="K1050" s="11"/>
      <c r="L1050" s="16" t="s">
        <v>1969</v>
      </c>
      <c r="M1050" s="16" t="s">
        <v>533</v>
      </c>
      <c r="N1050" s="11"/>
      <c r="O1050" s="11"/>
      <c r="P1050" s="11"/>
      <c r="Q1050" s="11"/>
      <c r="R1050" s="16" t="s">
        <v>933</v>
      </c>
      <c r="S1050" s="11" t="s">
        <v>1968</v>
      </c>
    </row>
    <row r="1051" spans="1:19" s="20" customFormat="1" ht="21.75" hidden="1" customHeight="1" x14ac:dyDescent="0.2">
      <c r="A1051" s="16" t="s">
        <v>1968</v>
      </c>
      <c r="B1051" s="16" t="s">
        <v>73</v>
      </c>
      <c r="C1051" s="18">
        <v>46094</v>
      </c>
      <c r="D1051" s="21">
        <v>1</v>
      </c>
      <c r="E1051" s="19">
        <v>1</v>
      </c>
      <c r="F1051" s="11" t="s">
        <v>1976</v>
      </c>
      <c r="G1051" s="14" t="s">
        <v>1975</v>
      </c>
      <c r="H1051" s="11" t="s">
        <v>933</v>
      </c>
      <c r="I1051" s="16" t="s">
        <v>1988</v>
      </c>
      <c r="J1051" s="14" t="s">
        <v>1989</v>
      </c>
      <c r="K1051" s="11"/>
      <c r="L1051" s="16" t="s">
        <v>1969</v>
      </c>
      <c r="M1051" s="16" t="s">
        <v>533</v>
      </c>
      <c r="N1051" s="11"/>
      <c r="O1051" s="11"/>
      <c r="P1051" s="11"/>
      <c r="Q1051" s="11"/>
      <c r="R1051" s="16" t="s">
        <v>933</v>
      </c>
      <c r="S1051" s="11" t="s">
        <v>1968</v>
      </c>
    </row>
    <row r="1052" spans="1:19" s="20" customFormat="1" ht="21.75" hidden="1" customHeight="1" x14ac:dyDescent="0.2">
      <c r="A1052" s="16" t="s">
        <v>1996</v>
      </c>
      <c r="B1052" s="16" t="s">
        <v>73</v>
      </c>
      <c r="C1052" s="18">
        <v>46095</v>
      </c>
      <c r="D1052" s="21">
        <v>24</v>
      </c>
      <c r="E1052" s="19">
        <v>2</v>
      </c>
      <c r="F1052" s="16" t="s">
        <v>1298</v>
      </c>
      <c r="G1052" s="16" t="s">
        <v>1304</v>
      </c>
      <c r="H1052" s="16" t="s">
        <v>76</v>
      </c>
      <c r="I1052" s="16" t="s">
        <v>844</v>
      </c>
      <c r="J1052" s="17">
        <v>20136847237</v>
      </c>
      <c r="K1052" s="17" t="s">
        <v>2022</v>
      </c>
      <c r="L1052" s="16" t="s">
        <v>876</v>
      </c>
      <c r="M1052" s="16" t="s">
        <v>2021</v>
      </c>
      <c r="N1052" s="11"/>
      <c r="O1052" s="11"/>
      <c r="P1052" s="16" t="s">
        <v>2020</v>
      </c>
      <c r="Q1052" s="11" t="s">
        <v>2019</v>
      </c>
      <c r="R1052" s="16" t="s">
        <v>395</v>
      </c>
      <c r="S1052" s="11"/>
    </row>
    <row r="1053" spans="1:19" s="20" customFormat="1" ht="21.75" hidden="1" customHeight="1" x14ac:dyDescent="0.2">
      <c r="A1053" s="16" t="s">
        <v>1996</v>
      </c>
      <c r="B1053" s="16" t="s">
        <v>73</v>
      </c>
      <c r="C1053" s="18">
        <v>46095</v>
      </c>
      <c r="D1053" s="21">
        <v>12</v>
      </c>
      <c r="E1053" s="19">
        <v>1</v>
      </c>
      <c r="F1053" s="16" t="s">
        <v>2005</v>
      </c>
      <c r="G1053" s="16" t="s">
        <v>2007</v>
      </c>
      <c r="H1053" s="16" t="s">
        <v>76</v>
      </c>
      <c r="I1053" s="16" t="s">
        <v>844</v>
      </c>
      <c r="J1053" s="17">
        <v>20136847237</v>
      </c>
      <c r="K1053" s="17" t="s">
        <v>2022</v>
      </c>
      <c r="L1053" s="16" t="s">
        <v>876</v>
      </c>
      <c r="M1053" s="16" t="s">
        <v>2021</v>
      </c>
      <c r="N1053" s="11"/>
      <c r="O1053" s="11"/>
      <c r="P1053" s="16" t="s">
        <v>2020</v>
      </c>
      <c r="Q1053" s="11" t="s">
        <v>2019</v>
      </c>
      <c r="R1053" s="16" t="s">
        <v>395</v>
      </c>
      <c r="S1053" s="11"/>
    </row>
    <row r="1054" spans="1:19" s="20" customFormat="1" ht="21.75" hidden="1" customHeight="1" x14ac:dyDescent="0.2">
      <c r="A1054" s="16" t="s">
        <v>1996</v>
      </c>
      <c r="B1054" s="16" t="s">
        <v>73</v>
      </c>
      <c r="C1054" s="18">
        <v>46095</v>
      </c>
      <c r="D1054" s="21">
        <v>12</v>
      </c>
      <c r="E1054" s="19">
        <v>1</v>
      </c>
      <c r="F1054" s="16" t="s">
        <v>2006</v>
      </c>
      <c r="G1054" s="16" t="s">
        <v>2008</v>
      </c>
      <c r="H1054" s="16" t="s">
        <v>76</v>
      </c>
      <c r="I1054" s="16" t="s">
        <v>844</v>
      </c>
      <c r="J1054" s="17">
        <v>20136847237</v>
      </c>
      <c r="K1054" s="17" t="s">
        <v>2022</v>
      </c>
      <c r="L1054" s="16" t="s">
        <v>876</v>
      </c>
      <c r="M1054" s="16" t="s">
        <v>2021</v>
      </c>
      <c r="N1054" s="11"/>
      <c r="O1054" s="11"/>
      <c r="P1054" s="16" t="s">
        <v>2020</v>
      </c>
      <c r="Q1054" s="11" t="s">
        <v>2019</v>
      </c>
      <c r="R1054" s="16" t="s">
        <v>395</v>
      </c>
      <c r="S1054" s="11"/>
    </row>
    <row r="1055" spans="1:19" s="20" customFormat="1" ht="21.75" hidden="1" customHeight="1" x14ac:dyDescent="0.2">
      <c r="A1055" s="16" t="s">
        <v>1997</v>
      </c>
      <c r="B1055" s="17" t="s">
        <v>73</v>
      </c>
      <c r="C1055" s="18">
        <v>46095</v>
      </c>
      <c r="D1055" s="21">
        <v>24</v>
      </c>
      <c r="E1055" s="19">
        <v>2</v>
      </c>
      <c r="F1055" s="16" t="s">
        <v>1385</v>
      </c>
      <c r="G1055" s="16" t="s">
        <v>1391</v>
      </c>
      <c r="H1055" s="16" t="s">
        <v>76</v>
      </c>
      <c r="I1055" s="16" t="s">
        <v>2002</v>
      </c>
      <c r="J1055" s="17">
        <v>20565653378</v>
      </c>
      <c r="K1055" s="17" t="s">
        <v>2022</v>
      </c>
      <c r="L1055" s="16" t="s">
        <v>2013</v>
      </c>
      <c r="M1055" s="16" t="s">
        <v>299</v>
      </c>
      <c r="N1055" s="11"/>
      <c r="O1055" s="11"/>
      <c r="P1055" s="16" t="s">
        <v>2018</v>
      </c>
      <c r="Q1055" s="11"/>
      <c r="R1055" s="16" t="s">
        <v>144</v>
      </c>
      <c r="S1055" s="11"/>
    </row>
    <row r="1056" spans="1:19" s="20" customFormat="1" ht="21.75" hidden="1" customHeight="1" x14ac:dyDescent="0.2">
      <c r="A1056" s="16" t="s">
        <v>1998</v>
      </c>
      <c r="B1056" s="17" t="s">
        <v>2000</v>
      </c>
      <c r="C1056" s="18">
        <v>46095</v>
      </c>
      <c r="D1056" s="21">
        <v>1</v>
      </c>
      <c r="E1056" s="19">
        <v>1</v>
      </c>
      <c r="F1056" s="16" t="s">
        <v>17</v>
      </c>
      <c r="G1056" s="16" t="s">
        <v>91</v>
      </c>
      <c r="H1056" s="16" t="s">
        <v>99</v>
      </c>
      <c r="I1056" s="16" t="s">
        <v>2003</v>
      </c>
      <c r="J1056" s="17">
        <v>3335532</v>
      </c>
      <c r="K1056" s="17" t="s">
        <v>2011</v>
      </c>
      <c r="L1056" s="16" t="s">
        <v>2010</v>
      </c>
      <c r="M1056" s="16" t="s">
        <v>1060</v>
      </c>
      <c r="N1056" s="11"/>
      <c r="O1056" s="11"/>
      <c r="P1056" s="16" t="s">
        <v>1673</v>
      </c>
      <c r="Q1056" s="11"/>
      <c r="R1056" s="16" t="s">
        <v>440</v>
      </c>
      <c r="S1056" s="11"/>
    </row>
    <row r="1057" spans="1:19" s="20" customFormat="1" ht="21.75" hidden="1" customHeight="1" x14ac:dyDescent="0.2">
      <c r="A1057" s="16" t="s">
        <v>1999</v>
      </c>
      <c r="B1057" s="17" t="s">
        <v>2001</v>
      </c>
      <c r="C1057" s="18">
        <v>46095</v>
      </c>
      <c r="D1057" s="21">
        <v>1</v>
      </c>
      <c r="E1057" s="19">
        <v>1</v>
      </c>
      <c r="F1057" s="16" t="s">
        <v>17</v>
      </c>
      <c r="G1057" s="16" t="s">
        <v>91</v>
      </c>
      <c r="H1057" s="16" t="s">
        <v>99</v>
      </c>
      <c r="I1057" s="16" t="s">
        <v>2004</v>
      </c>
      <c r="J1057" s="17" t="s">
        <v>2009</v>
      </c>
      <c r="K1057" s="17" t="s">
        <v>2012</v>
      </c>
      <c r="L1057" s="16" t="s">
        <v>2046</v>
      </c>
      <c r="M1057" s="16" t="s">
        <v>474</v>
      </c>
      <c r="N1057" s="11"/>
      <c r="O1057" s="11"/>
      <c r="P1057" s="16" t="s">
        <v>1673</v>
      </c>
      <c r="Q1057" s="11"/>
      <c r="R1057" s="16" t="s">
        <v>441</v>
      </c>
      <c r="S1057" s="11"/>
    </row>
    <row r="1058" spans="1:19" s="20" customFormat="1" ht="21.75" hidden="1" customHeight="1" x14ac:dyDescent="0.2">
      <c r="A1058" s="16" t="s">
        <v>2014</v>
      </c>
      <c r="B1058" s="16" t="s">
        <v>73</v>
      </c>
      <c r="C1058" s="18">
        <v>46097</v>
      </c>
      <c r="D1058" s="21">
        <v>36</v>
      </c>
      <c r="E1058" s="19">
        <v>3</v>
      </c>
      <c r="F1058" s="16" t="s">
        <v>822</v>
      </c>
      <c r="G1058" s="16" t="s">
        <v>824</v>
      </c>
      <c r="H1058" s="16" t="s">
        <v>1544</v>
      </c>
      <c r="I1058" s="16" t="s">
        <v>2024</v>
      </c>
      <c r="J1058" s="17">
        <v>20361947151</v>
      </c>
      <c r="K1058" s="16">
        <v>924328658</v>
      </c>
      <c r="L1058" s="16" t="s">
        <v>1880</v>
      </c>
      <c r="M1058" s="16" t="s">
        <v>75</v>
      </c>
      <c r="N1058" s="11"/>
      <c r="O1058" s="11"/>
      <c r="P1058" s="16" t="s">
        <v>1366</v>
      </c>
      <c r="Q1058" s="16" t="s">
        <v>1879</v>
      </c>
      <c r="R1058" s="16" t="s">
        <v>142</v>
      </c>
      <c r="S1058" s="11" t="s">
        <v>2047</v>
      </c>
    </row>
    <row r="1059" spans="1:19" s="20" customFormat="1" ht="21.75" hidden="1" customHeight="1" x14ac:dyDescent="0.2">
      <c r="A1059" s="16" t="s">
        <v>2014</v>
      </c>
      <c r="B1059" s="16" t="s">
        <v>73</v>
      </c>
      <c r="C1059" s="18">
        <v>46097</v>
      </c>
      <c r="D1059" s="21">
        <v>72</v>
      </c>
      <c r="E1059" s="19">
        <v>3</v>
      </c>
      <c r="F1059" s="16" t="s">
        <v>56</v>
      </c>
      <c r="G1059" s="16" t="s">
        <v>86</v>
      </c>
      <c r="H1059" s="16" t="s">
        <v>1544</v>
      </c>
      <c r="I1059" s="16" t="s">
        <v>2024</v>
      </c>
      <c r="J1059" s="17">
        <v>20361947151</v>
      </c>
      <c r="K1059" s="16">
        <v>924328658</v>
      </c>
      <c r="L1059" s="16" t="s">
        <v>1880</v>
      </c>
      <c r="M1059" s="16" t="s">
        <v>75</v>
      </c>
      <c r="N1059" s="11"/>
      <c r="O1059" s="11"/>
      <c r="P1059" s="16" t="s">
        <v>1366</v>
      </c>
      <c r="Q1059" s="16" t="s">
        <v>1879</v>
      </c>
      <c r="R1059" s="16" t="s">
        <v>142</v>
      </c>
      <c r="S1059" s="11" t="s">
        <v>2047</v>
      </c>
    </row>
    <row r="1060" spans="1:19" s="20" customFormat="1" ht="21.75" hidden="1" customHeight="1" x14ac:dyDescent="0.2">
      <c r="A1060" s="16" t="s">
        <v>2014</v>
      </c>
      <c r="B1060" s="16" t="s">
        <v>73</v>
      </c>
      <c r="C1060" s="18">
        <v>46097</v>
      </c>
      <c r="D1060" s="21">
        <v>96</v>
      </c>
      <c r="E1060" s="19">
        <v>4</v>
      </c>
      <c r="F1060" s="16" t="s">
        <v>36</v>
      </c>
      <c r="G1060" s="16" t="s">
        <v>128</v>
      </c>
      <c r="H1060" s="16" t="s">
        <v>1544</v>
      </c>
      <c r="I1060" s="16" t="s">
        <v>2024</v>
      </c>
      <c r="J1060" s="17">
        <v>20361947151</v>
      </c>
      <c r="K1060" s="16">
        <v>924328658</v>
      </c>
      <c r="L1060" s="16" t="s">
        <v>1880</v>
      </c>
      <c r="M1060" s="16" t="s">
        <v>75</v>
      </c>
      <c r="N1060" s="11"/>
      <c r="O1060" s="11"/>
      <c r="P1060" s="16" t="s">
        <v>1366</v>
      </c>
      <c r="Q1060" s="16" t="s">
        <v>1879</v>
      </c>
      <c r="R1060" s="16" t="s">
        <v>142</v>
      </c>
      <c r="S1060" s="11" t="s">
        <v>2047</v>
      </c>
    </row>
    <row r="1061" spans="1:19" s="20" customFormat="1" ht="21.75" hidden="1" customHeight="1" x14ac:dyDescent="0.2">
      <c r="A1061" s="16" t="s">
        <v>2014</v>
      </c>
      <c r="B1061" s="16" t="s">
        <v>73</v>
      </c>
      <c r="C1061" s="18">
        <v>46097</v>
      </c>
      <c r="D1061" s="21">
        <v>48</v>
      </c>
      <c r="E1061" s="19">
        <v>4</v>
      </c>
      <c r="F1061" s="16" t="s">
        <v>19</v>
      </c>
      <c r="G1061" s="16" t="s">
        <v>120</v>
      </c>
      <c r="H1061" s="16" t="s">
        <v>1544</v>
      </c>
      <c r="I1061" s="16" t="s">
        <v>2024</v>
      </c>
      <c r="J1061" s="17">
        <v>20361947151</v>
      </c>
      <c r="K1061" s="16">
        <v>924328658</v>
      </c>
      <c r="L1061" s="16" t="s">
        <v>1880</v>
      </c>
      <c r="M1061" s="16" t="s">
        <v>75</v>
      </c>
      <c r="N1061" s="11"/>
      <c r="O1061" s="11"/>
      <c r="P1061" s="16" t="s">
        <v>1366</v>
      </c>
      <c r="Q1061" s="16" t="s">
        <v>1879</v>
      </c>
      <c r="R1061" s="16" t="s">
        <v>142</v>
      </c>
      <c r="S1061" s="11" t="s">
        <v>2047</v>
      </c>
    </row>
    <row r="1062" spans="1:19" s="20" customFormat="1" ht="21.75" hidden="1" customHeight="1" x14ac:dyDescent="0.2">
      <c r="A1062" s="16" t="s">
        <v>2014</v>
      </c>
      <c r="B1062" s="16" t="s">
        <v>73</v>
      </c>
      <c r="C1062" s="18">
        <v>46097</v>
      </c>
      <c r="D1062" s="21">
        <v>8</v>
      </c>
      <c r="E1062" s="19">
        <v>2</v>
      </c>
      <c r="F1062" s="16" t="s">
        <v>1547</v>
      </c>
      <c r="G1062" s="16" t="s">
        <v>1550</v>
      </c>
      <c r="H1062" s="16" t="s">
        <v>1544</v>
      </c>
      <c r="I1062" s="16" t="s">
        <v>2024</v>
      </c>
      <c r="J1062" s="17">
        <v>20361947151</v>
      </c>
      <c r="K1062" s="16">
        <v>924328658</v>
      </c>
      <c r="L1062" s="16" t="s">
        <v>1880</v>
      </c>
      <c r="M1062" s="16" t="s">
        <v>75</v>
      </c>
      <c r="N1062" s="11"/>
      <c r="O1062" s="11"/>
      <c r="P1062" s="16" t="s">
        <v>1366</v>
      </c>
      <c r="Q1062" s="16" t="s">
        <v>1879</v>
      </c>
      <c r="R1062" s="16" t="s">
        <v>142</v>
      </c>
      <c r="S1062" s="11" t="s">
        <v>2047</v>
      </c>
    </row>
    <row r="1063" spans="1:19" s="20" customFormat="1" ht="21.75" hidden="1" customHeight="1" x14ac:dyDescent="0.2">
      <c r="A1063" s="16" t="s">
        <v>2014</v>
      </c>
      <c r="B1063" s="16" t="s">
        <v>73</v>
      </c>
      <c r="C1063" s="18">
        <v>46097</v>
      </c>
      <c r="D1063" s="21">
        <v>36</v>
      </c>
      <c r="E1063" s="19">
        <v>3</v>
      </c>
      <c r="F1063" s="16" t="s">
        <v>914</v>
      </c>
      <c r="G1063" s="16" t="s">
        <v>931</v>
      </c>
      <c r="H1063" s="16" t="s">
        <v>1544</v>
      </c>
      <c r="I1063" s="16" t="s">
        <v>2024</v>
      </c>
      <c r="J1063" s="17">
        <v>20361947151</v>
      </c>
      <c r="K1063" s="16">
        <v>924328658</v>
      </c>
      <c r="L1063" s="16" t="s">
        <v>1880</v>
      </c>
      <c r="M1063" s="16" t="s">
        <v>75</v>
      </c>
      <c r="N1063" s="11"/>
      <c r="O1063" s="11"/>
      <c r="P1063" s="16" t="s">
        <v>1366</v>
      </c>
      <c r="Q1063" s="16" t="s">
        <v>1879</v>
      </c>
      <c r="R1063" s="16" t="s">
        <v>142</v>
      </c>
      <c r="S1063" s="11" t="s">
        <v>2047</v>
      </c>
    </row>
    <row r="1064" spans="1:19" s="20" customFormat="1" ht="21.75" hidden="1" customHeight="1" x14ac:dyDescent="0.2">
      <c r="A1064" s="84" t="s">
        <v>2044</v>
      </c>
      <c r="B1064" s="16" t="s">
        <v>73</v>
      </c>
      <c r="C1064" s="52">
        <v>46112</v>
      </c>
      <c r="D1064" s="21">
        <v>3</v>
      </c>
      <c r="E1064" s="19">
        <v>1</v>
      </c>
      <c r="F1064" s="16" t="s">
        <v>904</v>
      </c>
      <c r="G1064" s="16" t="s">
        <v>2030</v>
      </c>
      <c r="H1064" s="26" t="s">
        <v>1544</v>
      </c>
      <c r="I1064" s="16" t="s">
        <v>2025</v>
      </c>
      <c r="J1064" s="23">
        <v>20542233231</v>
      </c>
      <c r="K1064" s="23">
        <v>924328658</v>
      </c>
      <c r="L1064" s="26" t="s">
        <v>1880</v>
      </c>
      <c r="M1064" s="26" t="s">
        <v>75</v>
      </c>
      <c r="N1064" s="11"/>
      <c r="O1064" s="11"/>
      <c r="P1064" s="16" t="s">
        <v>1366</v>
      </c>
      <c r="Q1064" s="16" t="s">
        <v>1879</v>
      </c>
      <c r="R1064" s="16" t="s">
        <v>142</v>
      </c>
      <c r="S1064" s="11"/>
    </row>
    <row r="1065" spans="1:19" s="20" customFormat="1" ht="21.75" hidden="1" customHeight="1" x14ac:dyDescent="0.2">
      <c r="A1065" s="84" t="s">
        <v>2044</v>
      </c>
      <c r="B1065" s="16" t="s">
        <v>73</v>
      </c>
      <c r="C1065" s="52">
        <v>46112</v>
      </c>
      <c r="D1065" s="21">
        <v>3</v>
      </c>
      <c r="E1065" s="19">
        <v>1</v>
      </c>
      <c r="F1065" s="16" t="s">
        <v>905</v>
      </c>
      <c r="G1065" s="16" t="s">
        <v>2031</v>
      </c>
      <c r="H1065" s="26" t="s">
        <v>1544</v>
      </c>
      <c r="I1065" s="16" t="s">
        <v>2025</v>
      </c>
      <c r="J1065" s="23">
        <v>20542233231</v>
      </c>
      <c r="K1065" s="23">
        <v>924328658</v>
      </c>
      <c r="L1065" s="26" t="s">
        <v>1880</v>
      </c>
      <c r="M1065" s="26" t="s">
        <v>75</v>
      </c>
      <c r="N1065" s="11"/>
      <c r="O1065" s="11"/>
      <c r="P1065" s="16" t="s">
        <v>1366</v>
      </c>
      <c r="Q1065" s="16" t="s">
        <v>1879</v>
      </c>
      <c r="R1065" s="16" t="s">
        <v>142</v>
      </c>
      <c r="S1065" s="11"/>
    </row>
    <row r="1066" spans="1:19" s="20" customFormat="1" ht="21.75" hidden="1" customHeight="1" x14ac:dyDescent="0.2">
      <c r="A1066" s="84" t="s">
        <v>2044</v>
      </c>
      <c r="B1066" s="16" t="s">
        <v>73</v>
      </c>
      <c r="C1066" s="52">
        <v>46112</v>
      </c>
      <c r="D1066" s="21">
        <v>2</v>
      </c>
      <c r="E1066" s="19">
        <v>2</v>
      </c>
      <c r="F1066" s="16" t="s">
        <v>906</v>
      </c>
      <c r="G1066" s="16" t="s">
        <v>2032</v>
      </c>
      <c r="H1066" s="26" t="s">
        <v>1544</v>
      </c>
      <c r="I1066" s="16" t="s">
        <v>2025</v>
      </c>
      <c r="J1066" s="23">
        <v>20542233231</v>
      </c>
      <c r="K1066" s="23">
        <v>924328658</v>
      </c>
      <c r="L1066" s="26" t="s">
        <v>1880</v>
      </c>
      <c r="M1066" s="26" t="s">
        <v>75</v>
      </c>
      <c r="N1066" s="11"/>
      <c r="O1066" s="11"/>
      <c r="P1066" s="16" t="s">
        <v>1366</v>
      </c>
      <c r="Q1066" s="16" t="s">
        <v>1879</v>
      </c>
      <c r="R1066" s="16" t="s">
        <v>142</v>
      </c>
      <c r="S1066" s="11"/>
    </row>
    <row r="1067" spans="1:19" s="20" customFormat="1" ht="21.75" hidden="1" customHeight="1" x14ac:dyDescent="0.2">
      <c r="A1067" s="84" t="s">
        <v>2044</v>
      </c>
      <c r="B1067" s="16" t="s">
        <v>73</v>
      </c>
      <c r="C1067" s="52">
        <v>46112</v>
      </c>
      <c r="D1067" s="21">
        <v>2</v>
      </c>
      <c r="E1067" s="19">
        <v>2</v>
      </c>
      <c r="F1067" s="16" t="s">
        <v>907</v>
      </c>
      <c r="G1067" s="16" t="s">
        <v>2033</v>
      </c>
      <c r="H1067" s="26" t="s">
        <v>1544</v>
      </c>
      <c r="I1067" s="16" t="s">
        <v>2025</v>
      </c>
      <c r="J1067" s="23">
        <v>20542233231</v>
      </c>
      <c r="K1067" s="23">
        <v>924328658</v>
      </c>
      <c r="L1067" s="26" t="s">
        <v>1880</v>
      </c>
      <c r="M1067" s="26" t="s">
        <v>75</v>
      </c>
      <c r="N1067" s="11"/>
      <c r="O1067" s="11"/>
      <c r="P1067" s="16" t="s">
        <v>1366</v>
      </c>
      <c r="Q1067" s="16" t="s">
        <v>1879</v>
      </c>
      <c r="R1067" s="16" t="s">
        <v>142</v>
      </c>
      <c r="S1067" s="11"/>
    </row>
    <row r="1068" spans="1:19" s="20" customFormat="1" ht="21.75" hidden="1" customHeight="1" x14ac:dyDescent="0.2">
      <c r="A1068" s="84" t="s">
        <v>2044</v>
      </c>
      <c r="B1068" s="16" t="s">
        <v>73</v>
      </c>
      <c r="C1068" s="52">
        <v>46112</v>
      </c>
      <c r="D1068" s="21">
        <v>2</v>
      </c>
      <c r="E1068" s="19">
        <v>2</v>
      </c>
      <c r="F1068" s="16" t="s">
        <v>1132</v>
      </c>
      <c r="G1068" s="16" t="s">
        <v>2034</v>
      </c>
      <c r="H1068" s="26" t="s">
        <v>1544</v>
      </c>
      <c r="I1068" s="16" t="s">
        <v>2025</v>
      </c>
      <c r="J1068" s="23">
        <v>20542233231</v>
      </c>
      <c r="K1068" s="23">
        <v>924328658</v>
      </c>
      <c r="L1068" s="26" t="s">
        <v>1880</v>
      </c>
      <c r="M1068" s="26" t="s">
        <v>75</v>
      </c>
      <c r="N1068" s="11"/>
      <c r="O1068" s="11"/>
      <c r="P1068" s="16" t="s">
        <v>1366</v>
      </c>
      <c r="Q1068" s="16" t="s">
        <v>1879</v>
      </c>
      <c r="R1068" s="16" t="s">
        <v>142</v>
      </c>
      <c r="S1068" s="11"/>
    </row>
    <row r="1069" spans="1:19" s="20" customFormat="1" ht="21.75" hidden="1" customHeight="1" x14ac:dyDescent="0.2">
      <c r="A1069" s="84" t="s">
        <v>2044</v>
      </c>
      <c r="B1069" s="16" t="s">
        <v>73</v>
      </c>
      <c r="C1069" s="52">
        <v>46112</v>
      </c>
      <c r="D1069" s="21">
        <v>2</v>
      </c>
      <c r="E1069" s="19">
        <v>2</v>
      </c>
      <c r="F1069" s="16" t="s">
        <v>1134</v>
      </c>
      <c r="G1069" s="16" t="s">
        <v>2035</v>
      </c>
      <c r="H1069" s="26" t="s">
        <v>1544</v>
      </c>
      <c r="I1069" s="16" t="s">
        <v>2025</v>
      </c>
      <c r="J1069" s="23">
        <v>20542233231</v>
      </c>
      <c r="K1069" s="23">
        <v>924328658</v>
      </c>
      <c r="L1069" s="26" t="s">
        <v>1880</v>
      </c>
      <c r="M1069" s="26" t="s">
        <v>75</v>
      </c>
      <c r="N1069" s="11"/>
      <c r="O1069" s="11"/>
      <c r="P1069" s="16" t="s">
        <v>1366</v>
      </c>
      <c r="Q1069" s="16" t="s">
        <v>1879</v>
      </c>
      <c r="R1069" s="16" t="s">
        <v>142</v>
      </c>
      <c r="S1069" s="11"/>
    </row>
    <row r="1070" spans="1:19" s="20" customFormat="1" ht="21.75" hidden="1" customHeight="1" x14ac:dyDescent="0.2">
      <c r="A1070" s="84" t="s">
        <v>2044</v>
      </c>
      <c r="B1070" s="16" t="s">
        <v>73</v>
      </c>
      <c r="C1070" s="52">
        <v>46112</v>
      </c>
      <c r="D1070" s="21">
        <v>2</v>
      </c>
      <c r="E1070" s="19">
        <v>2</v>
      </c>
      <c r="F1070" s="16" t="s">
        <v>1133</v>
      </c>
      <c r="G1070" s="16" t="s">
        <v>2036</v>
      </c>
      <c r="H1070" s="26" t="s">
        <v>1544</v>
      </c>
      <c r="I1070" s="16" t="s">
        <v>2025</v>
      </c>
      <c r="J1070" s="23">
        <v>20542233231</v>
      </c>
      <c r="K1070" s="23">
        <v>924328658</v>
      </c>
      <c r="L1070" s="26" t="s">
        <v>1880</v>
      </c>
      <c r="M1070" s="26" t="s">
        <v>75</v>
      </c>
      <c r="N1070" s="11"/>
      <c r="O1070" s="11"/>
      <c r="P1070" s="16" t="s">
        <v>1366</v>
      </c>
      <c r="Q1070" s="16" t="s">
        <v>1879</v>
      </c>
      <c r="R1070" s="16" t="s">
        <v>142</v>
      </c>
      <c r="S1070" s="11"/>
    </row>
    <row r="1071" spans="1:19" s="20" customFormat="1" ht="21.75" hidden="1" customHeight="1" x14ac:dyDescent="0.2">
      <c r="A1071" s="84" t="s">
        <v>2044</v>
      </c>
      <c r="B1071" s="16" t="s">
        <v>73</v>
      </c>
      <c r="C1071" s="52">
        <v>46112</v>
      </c>
      <c r="D1071" s="21">
        <v>12</v>
      </c>
      <c r="E1071" s="19">
        <v>2</v>
      </c>
      <c r="F1071" s="16" t="s">
        <v>174</v>
      </c>
      <c r="G1071" s="16" t="s">
        <v>130</v>
      </c>
      <c r="H1071" s="16" t="s">
        <v>1544</v>
      </c>
      <c r="I1071" s="16" t="s">
        <v>2025</v>
      </c>
      <c r="J1071" s="23">
        <v>20542233231</v>
      </c>
      <c r="K1071" s="23">
        <v>924328658</v>
      </c>
      <c r="L1071" s="26" t="s">
        <v>1880</v>
      </c>
      <c r="M1071" s="26" t="s">
        <v>75</v>
      </c>
      <c r="N1071" s="11"/>
      <c r="O1071" s="11"/>
      <c r="P1071" s="16" t="s">
        <v>1366</v>
      </c>
      <c r="Q1071" s="16" t="s">
        <v>1879</v>
      </c>
      <c r="R1071" s="16" t="s">
        <v>142</v>
      </c>
      <c r="S1071" s="11"/>
    </row>
    <row r="1072" spans="1:19" s="20" customFormat="1" ht="21.75" hidden="1" customHeight="1" x14ac:dyDescent="0.2">
      <c r="A1072" s="16" t="s">
        <v>2045</v>
      </c>
      <c r="B1072" s="17" t="s">
        <v>73</v>
      </c>
      <c r="C1072" s="18" t="s">
        <v>2123</v>
      </c>
      <c r="D1072" s="21">
        <v>60</v>
      </c>
      <c r="E1072" s="19">
        <v>0</v>
      </c>
      <c r="F1072" s="16" t="s">
        <v>156</v>
      </c>
      <c r="G1072" s="16" t="s">
        <v>127</v>
      </c>
      <c r="H1072" s="16" t="s">
        <v>1544</v>
      </c>
      <c r="I1072" s="16" t="s">
        <v>2025</v>
      </c>
      <c r="J1072" s="17">
        <v>20542233231</v>
      </c>
      <c r="K1072" s="17">
        <v>924328658</v>
      </c>
      <c r="L1072" s="16" t="s">
        <v>1880</v>
      </c>
      <c r="M1072" s="16" t="s">
        <v>75</v>
      </c>
      <c r="N1072" s="11"/>
      <c r="O1072" s="11"/>
      <c r="P1072" s="16" t="s">
        <v>1366</v>
      </c>
      <c r="Q1072" s="16" t="s">
        <v>1879</v>
      </c>
      <c r="R1072" s="16" t="s">
        <v>142</v>
      </c>
      <c r="S1072" s="11"/>
    </row>
    <row r="1073" spans="1:19" s="20" customFormat="1" ht="21.75" hidden="1" customHeight="1" x14ac:dyDescent="0.2">
      <c r="A1073" s="16" t="s">
        <v>2015</v>
      </c>
      <c r="B1073" s="17" t="s">
        <v>73</v>
      </c>
      <c r="C1073" s="18">
        <v>46094</v>
      </c>
      <c r="D1073" s="21">
        <v>24</v>
      </c>
      <c r="E1073" s="19">
        <v>8</v>
      </c>
      <c r="F1073" s="16" t="s">
        <v>362</v>
      </c>
      <c r="G1073" s="16" t="s">
        <v>374</v>
      </c>
      <c r="H1073" s="16" t="s">
        <v>1650</v>
      </c>
      <c r="I1073" s="16" t="s">
        <v>380</v>
      </c>
      <c r="J1073" s="17">
        <v>10009600111</v>
      </c>
      <c r="K1073" s="103"/>
      <c r="L1073" s="70"/>
      <c r="M1073" s="70"/>
      <c r="N1073" s="11"/>
      <c r="O1073" s="11"/>
      <c r="P1073" s="16" t="s">
        <v>1579</v>
      </c>
      <c r="Q1073" s="105"/>
      <c r="R1073" s="16" t="s">
        <v>397</v>
      </c>
      <c r="S1073" s="11"/>
    </row>
    <row r="1074" spans="1:19" s="20" customFormat="1" ht="21.75" hidden="1" customHeight="1" x14ac:dyDescent="0.2">
      <c r="A1074" s="16" t="s">
        <v>2016</v>
      </c>
      <c r="B1074" s="17" t="s">
        <v>2023</v>
      </c>
      <c r="C1074" s="18">
        <v>46095</v>
      </c>
      <c r="D1074" s="21">
        <v>2</v>
      </c>
      <c r="E1074" s="19">
        <v>1</v>
      </c>
      <c r="F1074" s="16" t="s">
        <v>2028</v>
      </c>
      <c r="G1074" s="16" t="s">
        <v>2039</v>
      </c>
      <c r="H1074" s="16" t="s">
        <v>99</v>
      </c>
      <c r="I1074" s="16" t="s">
        <v>2026</v>
      </c>
      <c r="J1074" s="17">
        <v>71732711</v>
      </c>
      <c r="K1074" s="17">
        <v>51910624982</v>
      </c>
      <c r="L1074" s="16" t="s">
        <v>2042</v>
      </c>
      <c r="M1074" s="16" t="s">
        <v>473</v>
      </c>
      <c r="N1074" s="11"/>
      <c r="O1074" s="11"/>
      <c r="P1074" s="16" t="s">
        <v>1673</v>
      </c>
      <c r="Q1074" s="16" t="s">
        <v>73</v>
      </c>
      <c r="R1074" s="16" t="s">
        <v>442</v>
      </c>
      <c r="S1074" s="11"/>
    </row>
    <row r="1075" spans="1:19" s="20" customFormat="1" ht="21.75" hidden="1" customHeight="1" x14ac:dyDescent="0.2">
      <c r="A1075" s="16" t="s">
        <v>2017</v>
      </c>
      <c r="B1075" s="17" t="s">
        <v>73</v>
      </c>
      <c r="C1075" s="18">
        <v>46095</v>
      </c>
      <c r="D1075" s="21">
        <v>48</v>
      </c>
      <c r="E1075" s="19">
        <v>4</v>
      </c>
      <c r="F1075" s="16" t="s">
        <v>2029</v>
      </c>
      <c r="G1075" s="16" t="s">
        <v>2040</v>
      </c>
      <c r="H1075" s="16" t="s">
        <v>76</v>
      </c>
      <c r="I1075" s="16" t="s">
        <v>2027</v>
      </c>
      <c r="J1075" s="17">
        <v>20602681263</v>
      </c>
      <c r="K1075" s="17"/>
      <c r="L1075" s="16" t="s">
        <v>2043</v>
      </c>
      <c r="M1075" s="16" t="s">
        <v>299</v>
      </c>
      <c r="N1075" s="11"/>
      <c r="O1075" s="11"/>
      <c r="P1075" s="16" t="s">
        <v>2041</v>
      </c>
      <c r="Q1075" s="16" t="s">
        <v>73</v>
      </c>
      <c r="R1075" s="16" t="s">
        <v>144</v>
      </c>
      <c r="S1075" s="11"/>
    </row>
    <row r="1076" spans="1:19" s="20" customFormat="1" ht="21.75" hidden="1" customHeight="1" x14ac:dyDescent="0.2">
      <c r="A1076" s="84" t="s">
        <v>2048</v>
      </c>
      <c r="B1076" s="16" t="s">
        <v>73</v>
      </c>
      <c r="C1076" s="18">
        <v>46113</v>
      </c>
      <c r="D1076" s="21">
        <v>2</v>
      </c>
      <c r="E1076" s="205">
        <v>5</v>
      </c>
      <c r="F1076" s="16" t="s">
        <v>908</v>
      </c>
      <c r="G1076" s="16" t="s">
        <v>2037</v>
      </c>
      <c r="H1076" s="26" t="s">
        <v>1544</v>
      </c>
      <c r="I1076" s="16" t="s">
        <v>2057</v>
      </c>
      <c r="J1076" s="17">
        <v>10452707948</v>
      </c>
      <c r="K1076" s="17">
        <v>969750667</v>
      </c>
      <c r="L1076" s="16" t="s">
        <v>2162</v>
      </c>
      <c r="M1076" s="16" t="s">
        <v>697</v>
      </c>
      <c r="N1076" s="11"/>
      <c r="O1076" s="11"/>
      <c r="P1076" s="16" t="s">
        <v>1579</v>
      </c>
      <c r="Q1076" s="16" t="s">
        <v>2161</v>
      </c>
      <c r="R1076" s="16" t="s">
        <v>142</v>
      </c>
      <c r="S1076" s="11"/>
    </row>
    <row r="1077" spans="1:19" s="20" customFormat="1" ht="21.75" hidden="1" customHeight="1" x14ac:dyDescent="0.2">
      <c r="A1077" s="84" t="s">
        <v>2048</v>
      </c>
      <c r="B1077" s="16" t="s">
        <v>73</v>
      </c>
      <c r="C1077" s="18">
        <v>46113</v>
      </c>
      <c r="D1077" s="21">
        <v>2</v>
      </c>
      <c r="E1077" s="206"/>
      <c r="F1077" s="16" t="s">
        <v>909</v>
      </c>
      <c r="G1077" s="16" t="s">
        <v>2038</v>
      </c>
      <c r="H1077" s="26" t="s">
        <v>1544</v>
      </c>
      <c r="I1077" s="16" t="s">
        <v>2057</v>
      </c>
      <c r="J1077" s="17">
        <v>10452707948</v>
      </c>
      <c r="K1077" s="17">
        <v>969750667</v>
      </c>
      <c r="L1077" s="16" t="s">
        <v>2162</v>
      </c>
      <c r="M1077" s="16" t="s">
        <v>697</v>
      </c>
      <c r="N1077" s="11"/>
      <c r="O1077" s="11"/>
      <c r="P1077" s="16" t="s">
        <v>1579</v>
      </c>
      <c r="Q1077" s="16" t="s">
        <v>2161</v>
      </c>
      <c r="R1077" s="16" t="s">
        <v>142</v>
      </c>
      <c r="S1077" s="11"/>
    </row>
    <row r="1078" spans="1:19" s="20" customFormat="1" ht="21.75" hidden="1" customHeight="1" x14ac:dyDescent="0.2">
      <c r="A1078" s="84" t="s">
        <v>2048</v>
      </c>
      <c r="B1078" s="16" t="s">
        <v>73</v>
      </c>
      <c r="C1078" s="18">
        <v>46113</v>
      </c>
      <c r="D1078" s="21">
        <v>2</v>
      </c>
      <c r="E1078" s="206"/>
      <c r="F1078" s="16" t="s">
        <v>906</v>
      </c>
      <c r="G1078" s="16" t="s">
        <v>2032</v>
      </c>
      <c r="H1078" s="26" t="s">
        <v>1544</v>
      </c>
      <c r="I1078" s="16" t="s">
        <v>2057</v>
      </c>
      <c r="J1078" s="17">
        <v>10452707948</v>
      </c>
      <c r="K1078" s="17">
        <v>969750667</v>
      </c>
      <c r="L1078" s="16" t="s">
        <v>2162</v>
      </c>
      <c r="M1078" s="16" t="s">
        <v>697</v>
      </c>
      <c r="N1078" s="11"/>
      <c r="O1078" s="11"/>
      <c r="P1078" s="16" t="s">
        <v>1579</v>
      </c>
      <c r="Q1078" s="16" t="s">
        <v>2161</v>
      </c>
      <c r="R1078" s="16" t="s">
        <v>142</v>
      </c>
      <c r="S1078" s="11"/>
    </row>
    <row r="1079" spans="1:19" s="20" customFormat="1" ht="21.75" hidden="1" customHeight="1" x14ac:dyDescent="0.2">
      <c r="A1079" s="84" t="s">
        <v>2048</v>
      </c>
      <c r="B1079" s="16" t="s">
        <v>73</v>
      </c>
      <c r="C1079" s="18">
        <v>46113</v>
      </c>
      <c r="D1079" s="21">
        <v>2</v>
      </c>
      <c r="E1079" s="206"/>
      <c r="F1079" s="16" t="s">
        <v>907</v>
      </c>
      <c r="G1079" s="16" t="s">
        <v>2033</v>
      </c>
      <c r="H1079" s="26" t="s">
        <v>1544</v>
      </c>
      <c r="I1079" s="16" t="s">
        <v>2057</v>
      </c>
      <c r="J1079" s="17">
        <v>10452707948</v>
      </c>
      <c r="K1079" s="17">
        <v>969750667</v>
      </c>
      <c r="L1079" s="16" t="s">
        <v>2162</v>
      </c>
      <c r="M1079" s="16" t="s">
        <v>697</v>
      </c>
      <c r="N1079" s="11"/>
      <c r="O1079" s="11"/>
      <c r="P1079" s="16" t="s">
        <v>1579</v>
      </c>
      <c r="Q1079" s="16" t="s">
        <v>2161</v>
      </c>
      <c r="R1079" s="16" t="s">
        <v>142</v>
      </c>
      <c r="S1079" s="11"/>
    </row>
    <row r="1080" spans="1:19" s="20" customFormat="1" ht="21.75" hidden="1" customHeight="1" x14ac:dyDescent="0.2">
      <c r="A1080" s="84" t="s">
        <v>2048</v>
      </c>
      <c r="B1080" s="16" t="s">
        <v>73</v>
      </c>
      <c r="C1080" s="18">
        <v>46113</v>
      </c>
      <c r="D1080" s="21">
        <v>3</v>
      </c>
      <c r="E1080" s="206"/>
      <c r="F1080" s="16" t="s">
        <v>904</v>
      </c>
      <c r="G1080" s="16" t="s">
        <v>2030</v>
      </c>
      <c r="H1080" s="26" t="s">
        <v>1544</v>
      </c>
      <c r="I1080" s="16" t="s">
        <v>2057</v>
      </c>
      <c r="J1080" s="17">
        <v>10452707948</v>
      </c>
      <c r="K1080" s="17">
        <v>969750667</v>
      </c>
      <c r="L1080" s="16" t="s">
        <v>2162</v>
      </c>
      <c r="M1080" s="16" t="s">
        <v>697</v>
      </c>
      <c r="N1080" s="11"/>
      <c r="O1080" s="11"/>
      <c r="P1080" s="16" t="s">
        <v>1579</v>
      </c>
      <c r="Q1080" s="16" t="s">
        <v>2161</v>
      </c>
      <c r="R1080" s="16" t="s">
        <v>142</v>
      </c>
      <c r="S1080" s="11"/>
    </row>
    <row r="1081" spans="1:19" s="20" customFormat="1" ht="21.75" hidden="1" customHeight="1" x14ac:dyDescent="0.2">
      <c r="A1081" s="84" t="s">
        <v>2048</v>
      </c>
      <c r="B1081" s="16" t="s">
        <v>73</v>
      </c>
      <c r="C1081" s="18">
        <v>46113</v>
      </c>
      <c r="D1081" s="21">
        <v>3</v>
      </c>
      <c r="E1081" s="206"/>
      <c r="F1081" s="16" t="s">
        <v>905</v>
      </c>
      <c r="G1081" s="16" t="s">
        <v>2031</v>
      </c>
      <c r="H1081" s="26" t="s">
        <v>1544</v>
      </c>
      <c r="I1081" s="16" t="s">
        <v>2057</v>
      </c>
      <c r="J1081" s="17">
        <v>10452707948</v>
      </c>
      <c r="K1081" s="17">
        <v>969750667</v>
      </c>
      <c r="L1081" s="16" t="s">
        <v>2162</v>
      </c>
      <c r="M1081" s="16" t="s">
        <v>697</v>
      </c>
      <c r="N1081" s="11"/>
      <c r="O1081" s="11"/>
      <c r="P1081" s="16" t="s">
        <v>1579</v>
      </c>
      <c r="Q1081" s="16" t="s">
        <v>2161</v>
      </c>
      <c r="R1081" s="16" t="s">
        <v>142</v>
      </c>
      <c r="S1081" s="11"/>
    </row>
    <row r="1082" spans="1:19" s="20" customFormat="1" ht="21.75" hidden="1" customHeight="1" x14ac:dyDescent="0.2">
      <c r="A1082" s="84" t="s">
        <v>2048</v>
      </c>
      <c r="B1082" s="16" t="s">
        <v>73</v>
      </c>
      <c r="C1082" s="18">
        <v>46113</v>
      </c>
      <c r="D1082" s="21">
        <v>6</v>
      </c>
      <c r="E1082" s="206"/>
      <c r="F1082" s="16" t="s">
        <v>1302</v>
      </c>
      <c r="G1082" s="16" t="s">
        <v>2054</v>
      </c>
      <c r="H1082" s="26" t="s">
        <v>1544</v>
      </c>
      <c r="I1082" s="16" t="s">
        <v>2057</v>
      </c>
      <c r="J1082" s="17">
        <v>10452707948</v>
      </c>
      <c r="K1082" s="17">
        <v>969750667</v>
      </c>
      <c r="L1082" s="16" t="s">
        <v>2162</v>
      </c>
      <c r="M1082" s="16" t="s">
        <v>697</v>
      </c>
      <c r="N1082" s="11"/>
      <c r="O1082" s="11"/>
      <c r="P1082" s="16" t="s">
        <v>1579</v>
      </c>
      <c r="Q1082" s="16" t="s">
        <v>2161</v>
      </c>
      <c r="R1082" s="16" t="s">
        <v>142</v>
      </c>
      <c r="S1082" s="11"/>
    </row>
    <row r="1083" spans="1:19" s="20" customFormat="1" ht="21.75" hidden="1" customHeight="1" x14ac:dyDescent="0.2">
      <c r="A1083" s="84" t="s">
        <v>2048</v>
      </c>
      <c r="B1083" s="16" t="s">
        <v>73</v>
      </c>
      <c r="C1083" s="18">
        <v>46113</v>
      </c>
      <c r="D1083" s="21">
        <v>6</v>
      </c>
      <c r="E1083" s="206"/>
      <c r="F1083" s="16" t="s">
        <v>1303</v>
      </c>
      <c r="G1083" s="16" t="s">
        <v>2055</v>
      </c>
      <c r="H1083" s="26" t="s">
        <v>1544</v>
      </c>
      <c r="I1083" s="16" t="s">
        <v>2057</v>
      </c>
      <c r="J1083" s="17">
        <v>10452707948</v>
      </c>
      <c r="K1083" s="17">
        <v>969750667</v>
      </c>
      <c r="L1083" s="16" t="s">
        <v>2162</v>
      </c>
      <c r="M1083" s="16" t="s">
        <v>697</v>
      </c>
      <c r="N1083" s="11"/>
      <c r="O1083" s="11"/>
      <c r="P1083" s="16" t="s">
        <v>1579</v>
      </c>
      <c r="Q1083" s="16" t="s">
        <v>2161</v>
      </c>
      <c r="R1083" s="16" t="s">
        <v>142</v>
      </c>
      <c r="S1083" s="11"/>
    </row>
    <row r="1084" spans="1:19" s="20" customFormat="1" ht="21.75" hidden="1" customHeight="1" x14ac:dyDescent="0.2">
      <c r="A1084" s="84" t="s">
        <v>2048</v>
      </c>
      <c r="B1084" s="16" t="s">
        <v>73</v>
      </c>
      <c r="C1084" s="18">
        <v>46113</v>
      </c>
      <c r="D1084" s="21">
        <v>2</v>
      </c>
      <c r="E1084" s="206"/>
      <c r="F1084" s="16" t="s">
        <v>1132</v>
      </c>
      <c r="G1084" s="16" t="s">
        <v>2034</v>
      </c>
      <c r="H1084" s="26" t="s">
        <v>1544</v>
      </c>
      <c r="I1084" s="16" t="s">
        <v>2057</v>
      </c>
      <c r="J1084" s="17">
        <v>10452707948</v>
      </c>
      <c r="K1084" s="17">
        <v>969750667</v>
      </c>
      <c r="L1084" s="16" t="s">
        <v>2162</v>
      </c>
      <c r="M1084" s="16" t="s">
        <v>697</v>
      </c>
      <c r="N1084" s="11"/>
      <c r="O1084" s="11"/>
      <c r="P1084" s="16" t="s">
        <v>1579</v>
      </c>
      <c r="Q1084" s="16" t="s">
        <v>2161</v>
      </c>
      <c r="R1084" s="16" t="s">
        <v>142</v>
      </c>
      <c r="S1084" s="11"/>
    </row>
    <row r="1085" spans="1:19" s="20" customFormat="1" ht="21.75" hidden="1" customHeight="1" x14ac:dyDescent="0.2">
      <c r="A1085" s="84" t="s">
        <v>2048</v>
      </c>
      <c r="B1085" s="16" t="s">
        <v>73</v>
      </c>
      <c r="C1085" s="18">
        <v>46113</v>
      </c>
      <c r="D1085" s="21">
        <v>1</v>
      </c>
      <c r="E1085" s="206"/>
      <c r="F1085" s="16" t="s">
        <v>1134</v>
      </c>
      <c r="G1085" s="16" t="s">
        <v>2035</v>
      </c>
      <c r="H1085" s="26" t="s">
        <v>1544</v>
      </c>
      <c r="I1085" s="16" t="s">
        <v>2057</v>
      </c>
      <c r="J1085" s="17">
        <v>10452707948</v>
      </c>
      <c r="K1085" s="17">
        <v>969750667</v>
      </c>
      <c r="L1085" s="16" t="s">
        <v>2162</v>
      </c>
      <c r="M1085" s="16" t="s">
        <v>697</v>
      </c>
      <c r="N1085" s="11"/>
      <c r="O1085" s="11"/>
      <c r="P1085" s="16" t="s">
        <v>1579</v>
      </c>
      <c r="Q1085" s="16" t="s">
        <v>2161</v>
      </c>
      <c r="R1085" s="16" t="s">
        <v>142</v>
      </c>
      <c r="S1085" s="11"/>
    </row>
    <row r="1086" spans="1:19" s="20" customFormat="1" ht="21.75" hidden="1" customHeight="1" x14ac:dyDescent="0.2">
      <c r="A1086" s="84" t="s">
        <v>2048</v>
      </c>
      <c r="B1086" s="16" t="s">
        <v>73</v>
      </c>
      <c r="C1086" s="18">
        <v>46113</v>
      </c>
      <c r="D1086" s="21">
        <v>1</v>
      </c>
      <c r="E1086" s="207"/>
      <c r="F1086" s="16" t="s">
        <v>1133</v>
      </c>
      <c r="G1086" s="16" t="s">
        <v>2036</v>
      </c>
      <c r="H1086" s="26" t="s">
        <v>1544</v>
      </c>
      <c r="I1086" s="16" t="s">
        <v>2057</v>
      </c>
      <c r="J1086" s="17">
        <v>10452707948</v>
      </c>
      <c r="K1086" s="17">
        <v>969750667</v>
      </c>
      <c r="L1086" s="16" t="s">
        <v>2162</v>
      </c>
      <c r="M1086" s="16" t="s">
        <v>697</v>
      </c>
      <c r="N1086" s="11"/>
      <c r="O1086" s="11"/>
      <c r="P1086" s="16" t="s">
        <v>1579</v>
      </c>
      <c r="Q1086" s="16" t="s">
        <v>2161</v>
      </c>
      <c r="R1086" s="16" t="s">
        <v>142</v>
      </c>
      <c r="S1086" s="11"/>
    </row>
    <row r="1087" spans="1:19" s="20" customFormat="1" ht="21.75" hidden="1" customHeight="1" x14ac:dyDescent="0.2">
      <c r="A1087" s="84" t="s">
        <v>2049</v>
      </c>
      <c r="B1087" s="16" t="s">
        <v>73</v>
      </c>
      <c r="C1087" s="18">
        <v>46112</v>
      </c>
      <c r="D1087" s="21">
        <v>6</v>
      </c>
      <c r="E1087" s="19">
        <v>1</v>
      </c>
      <c r="F1087" s="16" t="s">
        <v>1302</v>
      </c>
      <c r="G1087" s="16" t="s">
        <v>2054</v>
      </c>
      <c r="H1087" s="26" t="s">
        <v>1544</v>
      </c>
      <c r="I1087" s="16" t="s">
        <v>2058</v>
      </c>
      <c r="J1087" s="17">
        <v>10423248241</v>
      </c>
      <c r="K1087" s="17">
        <v>924328658</v>
      </c>
      <c r="L1087" s="16" t="s">
        <v>1880</v>
      </c>
      <c r="M1087" s="16" t="s">
        <v>75</v>
      </c>
      <c r="N1087" s="11"/>
      <c r="O1087" s="11"/>
      <c r="P1087" s="16" t="s">
        <v>1366</v>
      </c>
      <c r="Q1087" s="16" t="s">
        <v>1879</v>
      </c>
      <c r="R1087" s="16" t="s">
        <v>142</v>
      </c>
      <c r="S1087" s="11"/>
    </row>
    <row r="1088" spans="1:19" s="20" customFormat="1" ht="21.75" hidden="1" customHeight="1" x14ac:dyDescent="0.2">
      <c r="A1088" s="84" t="s">
        <v>2049</v>
      </c>
      <c r="B1088" s="16" t="s">
        <v>73</v>
      </c>
      <c r="C1088" s="18">
        <v>46112</v>
      </c>
      <c r="D1088" s="21">
        <v>6</v>
      </c>
      <c r="E1088" s="19">
        <v>1</v>
      </c>
      <c r="F1088" s="16" t="s">
        <v>1303</v>
      </c>
      <c r="G1088" s="16" t="s">
        <v>2055</v>
      </c>
      <c r="H1088" s="26" t="s">
        <v>1544</v>
      </c>
      <c r="I1088" s="16" t="s">
        <v>2058</v>
      </c>
      <c r="J1088" s="17">
        <v>10423248241</v>
      </c>
      <c r="K1088" s="17">
        <v>924328658</v>
      </c>
      <c r="L1088" s="16" t="s">
        <v>1880</v>
      </c>
      <c r="M1088" s="16" t="s">
        <v>75</v>
      </c>
      <c r="N1088" s="11"/>
      <c r="O1088" s="11"/>
      <c r="P1088" s="16" t="s">
        <v>1366</v>
      </c>
      <c r="Q1088" s="16" t="s">
        <v>1879</v>
      </c>
      <c r="R1088" s="16" t="s">
        <v>142</v>
      </c>
      <c r="S1088" s="11"/>
    </row>
    <row r="1089" spans="1:19" s="20" customFormat="1" ht="21.75" hidden="1" customHeight="1" x14ac:dyDescent="0.2">
      <c r="A1089" s="84" t="s">
        <v>2049</v>
      </c>
      <c r="B1089" s="16" t="s">
        <v>73</v>
      </c>
      <c r="C1089" s="18">
        <v>46112</v>
      </c>
      <c r="D1089" s="21">
        <v>3</v>
      </c>
      <c r="E1089" s="19">
        <v>1</v>
      </c>
      <c r="F1089" s="16" t="s">
        <v>904</v>
      </c>
      <c r="G1089" s="16" t="s">
        <v>2030</v>
      </c>
      <c r="H1089" s="26" t="s">
        <v>1544</v>
      </c>
      <c r="I1089" s="16" t="s">
        <v>2058</v>
      </c>
      <c r="J1089" s="17">
        <v>10423248241</v>
      </c>
      <c r="K1089" s="17">
        <v>924328658</v>
      </c>
      <c r="L1089" s="16" t="s">
        <v>1880</v>
      </c>
      <c r="M1089" s="16" t="s">
        <v>75</v>
      </c>
      <c r="N1089" s="11"/>
      <c r="O1089" s="11"/>
      <c r="P1089" s="16" t="s">
        <v>1366</v>
      </c>
      <c r="Q1089" s="16" t="s">
        <v>1879</v>
      </c>
      <c r="R1089" s="16" t="s">
        <v>142</v>
      </c>
      <c r="S1089" s="11"/>
    </row>
    <row r="1090" spans="1:19" s="20" customFormat="1" ht="21.75" hidden="1" customHeight="1" x14ac:dyDescent="0.2">
      <c r="A1090" s="84" t="s">
        <v>2049</v>
      </c>
      <c r="B1090" s="16" t="s">
        <v>73</v>
      </c>
      <c r="C1090" s="18">
        <v>46112</v>
      </c>
      <c r="D1090" s="21">
        <v>3</v>
      </c>
      <c r="E1090" s="19">
        <v>1</v>
      </c>
      <c r="F1090" s="16" t="s">
        <v>905</v>
      </c>
      <c r="G1090" s="16" t="s">
        <v>2031</v>
      </c>
      <c r="H1090" s="26" t="s">
        <v>1544</v>
      </c>
      <c r="I1090" s="16" t="s">
        <v>2058</v>
      </c>
      <c r="J1090" s="17">
        <v>10423248241</v>
      </c>
      <c r="K1090" s="17">
        <v>924328658</v>
      </c>
      <c r="L1090" s="16" t="s">
        <v>1880</v>
      </c>
      <c r="M1090" s="16" t="s">
        <v>75</v>
      </c>
      <c r="N1090" s="11"/>
      <c r="O1090" s="11"/>
      <c r="P1090" s="16" t="s">
        <v>1366</v>
      </c>
      <c r="Q1090" s="16" t="s">
        <v>1879</v>
      </c>
      <c r="R1090" s="16" t="s">
        <v>142</v>
      </c>
      <c r="S1090" s="11"/>
    </row>
    <row r="1091" spans="1:19" s="20" customFormat="1" ht="21.75" hidden="1" customHeight="1" x14ac:dyDescent="0.2">
      <c r="A1091" s="84" t="s">
        <v>2049</v>
      </c>
      <c r="B1091" s="16" t="s">
        <v>73</v>
      </c>
      <c r="C1091" s="18">
        <v>46112</v>
      </c>
      <c r="D1091" s="21">
        <v>2</v>
      </c>
      <c r="E1091" s="19">
        <v>2</v>
      </c>
      <c r="F1091" s="16" t="s">
        <v>908</v>
      </c>
      <c r="G1091" s="16" t="s">
        <v>2037</v>
      </c>
      <c r="H1091" s="26" t="s">
        <v>1544</v>
      </c>
      <c r="I1091" s="16" t="s">
        <v>2058</v>
      </c>
      <c r="J1091" s="17">
        <v>10423248241</v>
      </c>
      <c r="K1091" s="17">
        <v>924328658</v>
      </c>
      <c r="L1091" s="16" t="s">
        <v>1880</v>
      </c>
      <c r="M1091" s="16" t="s">
        <v>75</v>
      </c>
      <c r="N1091" s="11"/>
      <c r="O1091" s="11"/>
      <c r="P1091" s="16" t="s">
        <v>1366</v>
      </c>
      <c r="Q1091" s="16" t="s">
        <v>1879</v>
      </c>
      <c r="R1091" s="16" t="s">
        <v>142</v>
      </c>
      <c r="S1091" s="11"/>
    </row>
    <row r="1092" spans="1:19" s="20" customFormat="1" ht="21.75" hidden="1" customHeight="1" x14ac:dyDescent="0.2">
      <c r="A1092" s="84" t="s">
        <v>2049</v>
      </c>
      <c r="B1092" s="16" t="s">
        <v>73</v>
      </c>
      <c r="C1092" s="18">
        <v>46112</v>
      </c>
      <c r="D1092" s="21">
        <v>2</v>
      </c>
      <c r="E1092" s="19">
        <v>2</v>
      </c>
      <c r="F1092" s="16" t="s">
        <v>909</v>
      </c>
      <c r="G1092" s="16" t="s">
        <v>2038</v>
      </c>
      <c r="H1092" s="26" t="s">
        <v>1544</v>
      </c>
      <c r="I1092" s="16" t="s">
        <v>2058</v>
      </c>
      <c r="J1092" s="17">
        <v>10423248241</v>
      </c>
      <c r="K1092" s="17">
        <v>924328658</v>
      </c>
      <c r="L1092" s="16" t="s">
        <v>1880</v>
      </c>
      <c r="M1092" s="16" t="s">
        <v>75</v>
      </c>
      <c r="N1092" s="11"/>
      <c r="O1092" s="11"/>
      <c r="P1092" s="16" t="s">
        <v>1366</v>
      </c>
      <c r="Q1092" s="16" t="s">
        <v>1879</v>
      </c>
      <c r="R1092" s="16" t="s">
        <v>142</v>
      </c>
      <c r="S1092" s="11"/>
    </row>
    <row r="1093" spans="1:19" s="20" customFormat="1" ht="21.75" hidden="1" customHeight="1" x14ac:dyDescent="0.2">
      <c r="A1093" s="84" t="s">
        <v>2049</v>
      </c>
      <c r="B1093" s="16" t="s">
        <v>73</v>
      </c>
      <c r="C1093" s="18">
        <v>46112</v>
      </c>
      <c r="D1093" s="21">
        <v>2</v>
      </c>
      <c r="E1093" s="19">
        <v>2</v>
      </c>
      <c r="F1093" s="16" t="s">
        <v>906</v>
      </c>
      <c r="G1093" s="16" t="s">
        <v>2032</v>
      </c>
      <c r="H1093" s="26" t="s">
        <v>1544</v>
      </c>
      <c r="I1093" s="16" t="s">
        <v>2058</v>
      </c>
      <c r="J1093" s="17">
        <v>10423248241</v>
      </c>
      <c r="K1093" s="17">
        <v>924328658</v>
      </c>
      <c r="L1093" s="16" t="s">
        <v>1880</v>
      </c>
      <c r="M1093" s="16" t="s">
        <v>75</v>
      </c>
      <c r="N1093" s="11"/>
      <c r="O1093" s="11"/>
      <c r="P1093" s="16" t="s">
        <v>1366</v>
      </c>
      <c r="Q1093" s="16" t="s">
        <v>1879</v>
      </c>
      <c r="R1093" s="16" t="s">
        <v>142</v>
      </c>
      <c r="S1093" s="11"/>
    </row>
    <row r="1094" spans="1:19" s="20" customFormat="1" ht="21.75" hidden="1" customHeight="1" x14ac:dyDescent="0.2">
      <c r="A1094" s="84" t="s">
        <v>2049</v>
      </c>
      <c r="B1094" s="16" t="s">
        <v>73</v>
      </c>
      <c r="C1094" s="18">
        <v>46112</v>
      </c>
      <c r="D1094" s="21">
        <v>2</v>
      </c>
      <c r="E1094" s="19">
        <v>2</v>
      </c>
      <c r="F1094" s="16" t="s">
        <v>907</v>
      </c>
      <c r="G1094" s="16" t="s">
        <v>2033</v>
      </c>
      <c r="H1094" s="26" t="s">
        <v>1544</v>
      </c>
      <c r="I1094" s="16" t="s">
        <v>2058</v>
      </c>
      <c r="J1094" s="17">
        <v>10423248241</v>
      </c>
      <c r="K1094" s="17">
        <v>924328658</v>
      </c>
      <c r="L1094" s="16" t="s">
        <v>1880</v>
      </c>
      <c r="M1094" s="16" t="s">
        <v>75</v>
      </c>
      <c r="N1094" s="11"/>
      <c r="O1094" s="11"/>
      <c r="P1094" s="16" t="s">
        <v>1366</v>
      </c>
      <c r="Q1094" s="16" t="s">
        <v>1879</v>
      </c>
      <c r="R1094" s="16" t="s">
        <v>142</v>
      </c>
      <c r="S1094" s="11"/>
    </row>
    <row r="1095" spans="1:19" s="20" customFormat="1" ht="21.75" hidden="1" customHeight="1" x14ac:dyDescent="0.2">
      <c r="A1095" s="16" t="s">
        <v>2050</v>
      </c>
      <c r="B1095" s="16" t="s">
        <v>73</v>
      </c>
      <c r="C1095" s="18">
        <v>46098</v>
      </c>
      <c r="D1095" s="21">
        <v>4</v>
      </c>
      <c r="E1095" s="211">
        <v>1</v>
      </c>
      <c r="F1095" s="16" t="s">
        <v>2053</v>
      </c>
      <c r="G1095" s="16" t="s">
        <v>2056</v>
      </c>
      <c r="H1095" s="16" t="s">
        <v>99</v>
      </c>
      <c r="I1095" s="16" t="s">
        <v>782</v>
      </c>
      <c r="J1095" s="17">
        <v>40205833</v>
      </c>
      <c r="K1095" s="17">
        <v>965406783</v>
      </c>
      <c r="L1095" s="16" t="s">
        <v>790</v>
      </c>
      <c r="M1095" s="16" t="s">
        <v>474</v>
      </c>
      <c r="N1095" s="11"/>
      <c r="O1095" s="11"/>
      <c r="P1095" s="16"/>
      <c r="Q1095" s="16" t="s">
        <v>73</v>
      </c>
      <c r="R1095" s="16" t="s">
        <v>820</v>
      </c>
      <c r="S1095" s="11" t="s">
        <v>2062</v>
      </c>
    </row>
    <row r="1096" spans="1:19" s="20" customFormat="1" ht="21.75" hidden="1" customHeight="1" x14ac:dyDescent="0.2">
      <c r="A1096" s="16" t="s">
        <v>2050</v>
      </c>
      <c r="B1096" s="16" t="s">
        <v>73</v>
      </c>
      <c r="C1096" s="18">
        <v>46098</v>
      </c>
      <c r="D1096" s="21">
        <v>5</v>
      </c>
      <c r="E1096" s="216"/>
      <c r="F1096" s="16" t="s">
        <v>757</v>
      </c>
      <c r="G1096" s="16" t="s">
        <v>771</v>
      </c>
      <c r="H1096" s="16" t="s">
        <v>99</v>
      </c>
      <c r="I1096" s="16" t="s">
        <v>782</v>
      </c>
      <c r="J1096" s="17">
        <v>40205833</v>
      </c>
      <c r="K1096" s="17">
        <v>965406783</v>
      </c>
      <c r="L1096" s="16" t="s">
        <v>790</v>
      </c>
      <c r="M1096" s="16" t="s">
        <v>474</v>
      </c>
      <c r="N1096" s="11"/>
      <c r="O1096" s="11"/>
      <c r="P1096" s="16"/>
      <c r="Q1096" s="16" t="s">
        <v>73</v>
      </c>
      <c r="R1096" s="16" t="s">
        <v>820</v>
      </c>
      <c r="S1096" s="11" t="s">
        <v>2062</v>
      </c>
    </row>
    <row r="1097" spans="1:19" s="20" customFormat="1" ht="21.75" hidden="1" customHeight="1" x14ac:dyDescent="0.2">
      <c r="A1097" s="16" t="s">
        <v>2051</v>
      </c>
      <c r="B1097" s="17" t="s">
        <v>2052</v>
      </c>
      <c r="C1097" s="18">
        <v>46098</v>
      </c>
      <c r="D1097" s="21">
        <v>1</v>
      </c>
      <c r="E1097" s="19">
        <v>1</v>
      </c>
      <c r="F1097" s="16" t="s">
        <v>17</v>
      </c>
      <c r="G1097" s="16" t="s">
        <v>91</v>
      </c>
      <c r="H1097" s="16" t="s">
        <v>99</v>
      </c>
      <c r="I1097" s="16" t="s">
        <v>2059</v>
      </c>
      <c r="J1097" s="17">
        <v>2853838</v>
      </c>
      <c r="K1097" s="17">
        <v>51914023074</v>
      </c>
      <c r="L1097" s="16" t="s">
        <v>2060</v>
      </c>
      <c r="M1097" s="16" t="s">
        <v>420</v>
      </c>
      <c r="N1097" s="11"/>
      <c r="O1097" s="11"/>
      <c r="P1097" s="16"/>
      <c r="Q1097" s="16" t="s">
        <v>73</v>
      </c>
      <c r="R1097" s="16" t="s">
        <v>441</v>
      </c>
      <c r="S1097" s="11" t="s">
        <v>2063</v>
      </c>
    </row>
    <row r="1098" spans="1:19" s="20" customFormat="1" ht="21.75" hidden="1" customHeight="1" x14ac:dyDescent="0.2">
      <c r="A1098" s="16" t="s">
        <v>2069</v>
      </c>
      <c r="B1098" s="17" t="s">
        <v>73</v>
      </c>
      <c r="C1098" s="18">
        <v>46099</v>
      </c>
      <c r="D1098" s="19">
        <v>120</v>
      </c>
      <c r="E1098" s="19">
        <v>5</v>
      </c>
      <c r="F1098" s="16" t="s">
        <v>59</v>
      </c>
      <c r="G1098" s="16" t="s">
        <v>84</v>
      </c>
      <c r="H1098" s="11" t="s">
        <v>99</v>
      </c>
      <c r="I1098" s="16" t="s">
        <v>166</v>
      </c>
      <c r="J1098" s="17">
        <v>20502520947</v>
      </c>
      <c r="K1098" s="17">
        <v>907587181</v>
      </c>
      <c r="L1098" s="16" t="s">
        <v>386</v>
      </c>
      <c r="M1098" s="16" t="s">
        <v>391</v>
      </c>
      <c r="N1098" s="16"/>
      <c r="O1098" s="16"/>
      <c r="P1098" s="16" t="s">
        <v>225</v>
      </c>
      <c r="Q1098" s="16" t="s">
        <v>2064</v>
      </c>
      <c r="R1098" s="16" t="s">
        <v>144</v>
      </c>
      <c r="S1098" s="11" t="s">
        <v>2065</v>
      </c>
    </row>
    <row r="1099" spans="1:19" s="20" customFormat="1" ht="21.75" hidden="1" customHeight="1" x14ac:dyDescent="0.2">
      <c r="A1099" s="16" t="s">
        <v>2066</v>
      </c>
      <c r="B1099" s="17">
        <v>5198</v>
      </c>
      <c r="C1099" s="18">
        <v>46099</v>
      </c>
      <c r="D1099" s="21">
        <v>60</v>
      </c>
      <c r="E1099" s="19">
        <v>1</v>
      </c>
      <c r="F1099" s="16" t="s">
        <v>1298</v>
      </c>
      <c r="G1099" s="16" t="s">
        <v>1304</v>
      </c>
      <c r="H1099" s="16" t="s">
        <v>1650</v>
      </c>
      <c r="I1099" s="16" t="s">
        <v>41</v>
      </c>
      <c r="J1099" s="17">
        <v>20513229080</v>
      </c>
      <c r="K1099" s="16" t="s">
        <v>663</v>
      </c>
      <c r="L1099" s="16" t="s">
        <v>1693</v>
      </c>
      <c r="M1099" s="16" t="s">
        <v>420</v>
      </c>
      <c r="N1099" s="11"/>
      <c r="O1099" s="11"/>
      <c r="P1099" s="16" t="s">
        <v>1313</v>
      </c>
      <c r="Q1099" s="16" t="s">
        <v>2068</v>
      </c>
      <c r="R1099" s="16" t="s">
        <v>396</v>
      </c>
      <c r="S1099" s="11" t="s">
        <v>2067</v>
      </c>
    </row>
    <row r="1100" spans="1:19" s="20" customFormat="1" ht="21.75" hidden="1" customHeight="1" x14ac:dyDescent="0.2">
      <c r="A1100" s="16" t="s">
        <v>2066</v>
      </c>
      <c r="B1100" s="17">
        <v>5198</v>
      </c>
      <c r="C1100" s="18">
        <v>46099</v>
      </c>
      <c r="D1100" s="21">
        <v>24</v>
      </c>
      <c r="E1100" s="19">
        <v>5</v>
      </c>
      <c r="F1100" s="16" t="s">
        <v>853</v>
      </c>
      <c r="G1100" s="35" t="s">
        <v>863</v>
      </c>
      <c r="H1100" s="16" t="s">
        <v>1650</v>
      </c>
      <c r="I1100" s="16" t="s">
        <v>41</v>
      </c>
      <c r="J1100" s="17">
        <v>20513229080</v>
      </c>
      <c r="K1100" s="16" t="s">
        <v>663</v>
      </c>
      <c r="L1100" s="16" t="s">
        <v>1693</v>
      </c>
      <c r="M1100" s="16" t="s">
        <v>420</v>
      </c>
      <c r="N1100" s="11"/>
      <c r="O1100" s="11"/>
      <c r="P1100" s="16" t="s">
        <v>1313</v>
      </c>
      <c r="Q1100" s="16" t="s">
        <v>2068</v>
      </c>
      <c r="R1100" s="16" t="s">
        <v>396</v>
      </c>
      <c r="S1100" s="11" t="s">
        <v>2067</v>
      </c>
    </row>
    <row r="1101" spans="1:19" s="20" customFormat="1" ht="21.75" hidden="1" customHeight="1" x14ac:dyDescent="0.2">
      <c r="A1101" s="16" t="s">
        <v>2066</v>
      </c>
      <c r="B1101" s="17">
        <v>5198</v>
      </c>
      <c r="C1101" s="18">
        <v>46099</v>
      </c>
      <c r="D1101" s="21">
        <v>60</v>
      </c>
      <c r="E1101" s="19">
        <v>8</v>
      </c>
      <c r="F1101" s="16" t="s">
        <v>1690</v>
      </c>
      <c r="G1101" s="16" t="s">
        <v>1691</v>
      </c>
      <c r="H1101" s="16" t="s">
        <v>1650</v>
      </c>
      <c r="I1101" s="16" t="s">
        <v>41</v>
      </c>
      <c r="J1101" s="17">
        <v>20513229080</v>
      </c>
      <c r="K1101" s="16" t="s">
        <v>663</v>
      </c>
      <c r="L1101" s="16" t="s">
        <v>1693</v>
      </c>
      <c r="M1101" s="16" t="s">
        <v>420</v>
      </c>
      <c r="N1101" s="11"/>
      <c r="O1101" s="11"/>
      <c r="P1101" s="16" t="s">
        <v>1313</v>
      </c>
      <c r="Q1101" s="16" t="s">
        <v>2068</v>
      </c>
      <c r="R1101" s="16" t="s">
        <v>396</v>
      </c>
      <c r="S1101" s="11" t="s">
        <v>2067</v>
      </c>
    </row>
    <row r="1102" spans="1:19" s="20" customFormat="1" ht="21.75" hidden="1" customHeight="1" x14ac:dyDescent="0.2">
      <c r="A1102" s="16" t="s">
        <v>2066</v>
      </c>
      <c r="B1102" s="17">
        <v>5198</v>
      </c>
      <c r="C1102" s="18">
        <v>46099</v>
      </c>
      <c r="D1102" s="21">
        <v>60</v>
      </c>
      <c r="E1102" s="19">
        <v>8</v>
      </c>
      <c r="F1102" s="16" t="s">
        <v>952</v>
      </c>
      <c r="G1102" s="16" t="s">
        <v>954</v>
      </c>
      <c r="H1102" s="16" t="s">
        <v>1650</v>
      </c>
      <c r="I1102" s="16" t="s">
        <v>41</v>
      </c>
      <c r="J1102" s="17">
        <v>20513229080</v>
      </c>
      <c r="K1102" s="16" t="s">
        <v>663</v>
      </c>
      <c r="L1102" s="16" t="s">
        <v>1693</v>
      </c>
      <c r="M1102" s="16" t="s">
        <v>420</v>
      </c>
      <c r="N1102" s="11"/>
      <c r="O1102" s="11"/>
      <c r="P1102" s="16" t="s">
        <v>1313</v>
      </c>
      <c r="Q1102" s="16" t="s">
        <v>2068</v>
      </c>
      <c r="R1102" s="16" t="s">
        <v>396</v>
      </c>
      <c r="S1102" s="11" t="s">
        <v>2067</v>
      </c>
    </row>
    <row r="1103" spans="1:19" ht="21.75" hidden="1" customHeight="1" x14ac:dyDescent="0.25">
      <c r="A1103" s="16" t="s">
        <v>2070</v>
      </c>
      <c r="B1103" s="16" t="s">
        <v>73</v>
      </c>
      <c r="C1103" s="18">
        <v>46100</v>
      </c>
      <c r="D1103" s="21">
        <v>240</v>
      </c>
      <c r="E1103" s="19">
        <f>240/12</f>
        <v>20</v>
      </c>
      <c r="F1103" s="16" t="s">
        <v>162</v>
      </c>
      <c r="G1103" s="16" t="s">
        <v>163</v>
      </c>
      <c r="H1103" s="11" t="s">
        <v>99</v>
      </c>
      <c r="I1103" s="16" t="s">
        <v>787</v>
      </c>
      <c r="J1103" s="17">
        <v>20524246661</v>
      </c>
      <c r="K1103" s="17">
        <v>960628425</v>
      </c>
      <c r="L1103" s="16" t="s">
        <v>796</v>
      </c>
      <c r="M1103" s="16" t="s">
        <v>347</v>
      </c>
      <c r="N1103" s="11"/>
      <c r="O1103" s="11"/>
      <c r="P1103" s="16" t="s">
        <v>2074</v>
      </c>
      <c r="Q1103" s="11" t="s">
        <v>797</v>
      </c>
      <c r="R1103" s="16" t="s">
        <v>396</v>
      </c>
      <c r="S1103" s="11" t="s">
        <v>810</v>
      </c>
    </row>
    <row r="1104" spans="1:19" ht="21.75" hidden="1" customHeight="1" x14ac:dyDescent="0.25">
      <c r="A1104" s="16" t="s">
        <v>2070</v>
      </c>
      <c r="B1104" s="16" t="s">
        <v>73</v>
      </c>
      <c r="C1104" s="18">
        <v>46100</v>
      </c>
      <c r="D1104" s="21">
        <v>1440</v>
      </c>
      <c r="E1104" s="19">
        <f>1440/48</f>
        <v>30</v>
      </c>
      <c r="F1104" s="16" t="s">
        <v>159</v>
      </c>
      <c r="G1104" s="16" t="s">
        <v>140</v>
      </c>
      <c r="H1104" s="11" t="s">
        <v>99</v>
      </c>
      <c r="I1104" s="16" t="s">
        <v>787</v>
      </c>
      <c r="J1104" s="17">
        <v>20524246661</v>
      </c>
      <c r="K1104" s="17">
        <v>960628425</v>
      </c>
      <c r="L1104" s="16" t="s">
        <v>796</v>
      </c>
      <c r="M1104" s="16" t="s">
        <v>347</v>
      </c>
      <c r="N1104" s="11"/>
      <c r="O1104" s="11"/>
      <c r="P1104" s="16" t="s">
        <v>2074</v>
      </c>
      <c r="Q1104" s="11" t="s">
        <v>797</v>
      </c>
      <c r="R1104" s="16" t="s">
        <v>396</v>
      </c>
      <c r="S1104" s="11" t="s">
        <v>810</v>
      </c>
    </row>
    <row r="1105" spans="1:19" ht="21.75" hidden="1" customHeight="1" x14ac:dyDescent="0.25">
      <c r="A1105" s="84" t="s">
        <v>2092</v>
      </c>
      <c r="B1105" s="84" t="s">
        <v>2071</v>
      </c>
      <c r="C1105" s="18">
        <v>46106</v>
      </c>
      <c r="D1105" s="21">
        <v>24</v>
      </c>
      <c r="E1105" s="19">
        <v>2</v>
      </c>
      <c r="F1105" s="16" t="s">
        <v>85</v>
      </c>
      <c r="G1105" s="16" t="s">
        <v>90</v>
      </c>
      <c r="H1105" s="16" t="s">
        <v>99</v>
      </c>
      <c r="I1105" s="84" t="s">
        <v>2075</v>
      </c>
      <c r="J1105" s="17">
        <v>20101904874</v>
      </c>
      <c r="K1105" s="80" t="s">
        <v>73</v>
      </c>
      <c r="L1105" s="16" t="s">
        <v>1372</v>
      </c>
      <c r="M1105" s="16" t="s">
        <v>533</v>
      </c>
      <c r="N1105" s="11"/>
      <c r="O1105" s="11"/>
      <c r="P1105" s="16" t="s">
        <v>515</v>
      </c>
      <c r="Q1105" s="46" t="s">
        <v>2097</v>
      </c>
      <c r="R1105" s="16" t="s">
        <v>505</v>
      </c>
      <c r="S1105" s="11" t="s">
        <v>1896</v>
      </c>
    </row>
    <row r="1106" spans="1:19" ht="21.75" hidden="1" customHeight="1" x14ac:dyDescent="0.25">
      <c r="A1106" s="84" t="s">
        <v>2092</v>
      </c>
      <c r="B1106" s="84" t="s">
        <v>2071</v>
      </c>
      <c r="C1106" s="18">
        <v>46106</v>
      </c>
      <c r="D1106" s="21">
        <v>4</v>
      </c>
      <c r="E1106" s="205">
        <v>1</v>
      </c>
      <c r="F1106" s="16" t="s">
        <v>506</v>
      </c>
      <c r="G1106" s="16" t="s">
        <v>509</v>
      </c>
      <c r="H1106" s="16" t="s">
        <v>99</v>
      </c>
      <c r="I1106" s="84" t="s">
        <v>2075</v>
      </c>
      <c r="J1106" s="17">
        <v>20101904874</v>
      </c>
      <c r="K1106" s="80" t="s">
        <v>73</v>
      </c>
      <c r="L1106" s="16" t="s">
        <v>1372</v>
      </c>
      <c r="M1106" s="16" t="s">
        <v>533</v>
      </c>
      <c r="N1106" s="11"/>
      <c r="O1106" s="11"/>
      <c r="P1106" s="16" t="s">
        <v>515</v>
      </c>
      <c r="Q1106" s="46" t="s">
        <v>2097</v>
      </c>
      <c r="R1106" s="16" t="s">
        <v>505</v>
      </c>
      <c r="S1106" s="11" t="s">
        <v>1896</v>
      </c>
    </row>
    <row r="1107" spans="1:19" ht="21.75" hidden="1" customHeight="1" x14ac:dyDescent="0.25">
      <c r="A1107" s="84" t="s">
        <v>2092</v>
      </c>
      <c r="B1107" s="84" t="s">
        <v>2071</v>
      </c>
      <c r="C1107" s="18">
        <v>46106</v>
      </c>
      <c r="D1107" s="21">
        <v>4</v>
      </c>
      <c r="E1107" s="207"/>
      <c r="F1107" s="16" t="s">
        <v>2072</v>
      </c>
      <c r="G1107" s="16" t="s">
        <v>2073</v>
      </c>
      <c r="H1107" s="16" t="s">
        <v>99</v>
      </c>
      <c r="I1107" s="84" t="s">
        <v>2075</v>
      </c>
      <c r="J1107" s="17">
        <v>20101904874</v>
      </c>
      <c r="K1107" s="80" t="s">
        <v>73</v>
      </c>
      <c r="L1107" s="16" t="s">
        <v>1372</v>
      </c>
      <c r="M1107" s="16" t="s">
        <v>533</v>
      </c>
      <c r="N1107" s="11"/>
      <c r="O1107" s="11"/>
      <c r="P1107" s="16" t="s">
        <v>515</v>
      </c>
      <c r="Q1107" s="46" t="s">
        <v>2097</v>
      </c>
      <c r="R1107" s="16" t="s">
        <v>505</v>
      </c>
      <c r="S1107" s="11" t="s">
        <v>1896</v>
      </c>
    </row>
    <row r="1108" spans="1:19" ht="21.75" hidden="1" customHeight="1" x14ac:dyDescent="0.25">
      <c r="A1108" s="16" t="s">
        <v>2076</v>
      </c>
      <c r="B1108" s="17">
        <v>13763320</v>
      </c>
      <c r="C1108" s="18">
        <v>46102</v>
      </c>
      <c r="D1108" s="21">
        <v>24</v>
      </c>
      <c r="E1108" s="19">
        <v>1</v>
      </c>
      <c r="F1108" s="16" t="s">
        <v>18</v>
      </c>
      <c r="G1108" s="16" t="s">
        <v>109</v>
      </c>
      <c r="H1108" s="16" t="s">
        <v>76</v>
      </c>
      <c r="I1108" s="16" t="s">
        <v>134</v>
      </c>
      <c r="J1108" s="17">
        <v>20100070970</v>
      </c>
      <c r="K1108" s="17" t="s">
        <v>73</v>
      </c>
      <c r="L1108" s="17" t="s">
        <v>1632</v>
      </c>
      <c r="M1108" s="16" t="s">
        <v>77</v>
      </c>
      <c r="N1108" s="11"/>
      <c r="O1108" s="11"/>
      <c r="P1108" s="16" t="s">
        <v>1912</v>
      </c>
      <c r="Q1108" s="16" t="s">
        <v>1795</v>
      </c>
      <c r="R1108" s="16" t="s">
        <v>143</v>
      </c>
      <c r="S1108" s="11" t="s">
        <v>2078</v>
      </c>
    </row>
    <row r="1109" spans="1:19" ht="21.75" hidden="1" customHeight="1" x14ac:dyDescent="0.25">
      <c r="A1109" s="16" t="s">
        <v>2076</v>
      </c>
      <c r="B1109" s="17">
        <v>13763320</v>
      </c>
      <c r="C1109" s="18">
        <v>46102</v>
      </c>
      <c r="D1109" s="21">
        <v>24</v>
      </c>
      <c r="E1109" s="19">
        <v>2</v>
      </c>
      <c r="F1109" s="16" t="s">
        <v>19</v>
      </c>
      <c r="G1109" s="16" t="s">
        <v>120</v>
      </c>
      <c r="H1109" s="16" t="s">
        <v>76</v>
      </c>
      <c r="I1109" s="16" t="s">
        <v>134</v>
      </c>
      <c r="J1109" s="17">
        <v>20100070970</v>
      </c>
      <c r="K1109" s="17" t="s">
        <v>73</v>
      </c>
      <c r="L1109" s="17" t="s">
        <v>1632</v>
      </c>
      <c r="M1109" s="16" t="s">
        <v>77</v>
      </c>
      <c r="N1109" s="11"/>
      <c r="O1109" s="11"/>
      <c r="P1109" s="16" t="s">
        <v>1912</v>
      </c>
      <c r="Q1109" s="16" t="s">
        <v>1795</v>
      </c>
      <c r="R1109" s="16" t="s">
        <v>143</v>
      </c>
      <c r="S1109" s="11" t="s">
        <v>2078</v>
      </c>
    </row>
    <row r="1110" spans="1:19" ht="21.75" hidden="1" customHeight="1" x14ac:dyDescent="0.25">
      <c r="A1110" s="16" t="s">
        <v>2076</v>
      </c>
      <c r="B1110" s="17">
        <v>13763320</v>
      </c>
      <c r="C1110" s="18">
        <v>46102</v>
      </c>
      <c r="D1110" s="21">
        <v>12</v>
      </c>
      <c r="E1110" s="19">
        <v>1</v>
      </c>
      <c r="F1110" s="16" t="s">
        <v>20</v>
      </c>
      <c r="G1110" s="16" t="s">
        <v>113</v>
      </c>
      <c r="H1110" s="16" t="s">
        <v>76</v>
      </c>
      <c r="I1110" s="16" t="s">
        <v>134</v>
      </c>
      <c r="J1110" s="17">
        <v>20100070970</v>
      </c>
      <c r="K1110" s="17" t="s">
        <v>73</v>
      </c>
      <c r="L1110" s="17" t="s">
        <v>1632</v>
      </c>
      <c r="M1110" s="16" t="s">
        <v>77</v>
      </c>
      <c r="N1110" s="11"/>
      <c r="O1110" s="11"/>
      <c r="P1110" s="16" t="s">
        <v>1912</v>
      </c>
      <c r="Q1110" s="16" t="s">
        <v>1795</v>
      </c>
      <c r="R1110" s="16" t="s">
        <v>143</v>
      </c>
      <c r="S1110" s="11" t="s">
        <v>2078</v>
      </c>
    </row>
    <row r="1111" spans="1:19" ht="21.75" hidden="1" customHeight="1" x14ac:dyDescent="0.25">
      <c r="A1111" s="16" t="s">
        <v>2076</v>
      </c>
      <c r="B1111" s="17">
        <v>13763320</v>
      </c>
      <c r="C1111" s="18">
        <v>46102</v>
      </c>
      <c r="D1111" s="21">
        <v>24</v>
      </c>
      <c r="E1111" s="19">
        <v>2</v>
      </c>
      <c r="F1111" s="16" t="s">
        <v>21</v>
      </c>
      <c r="G1111" s="16" t="s">
        <v>115</v>
      </c>
      <c r="H1111" s="16" t="s">
        <v>76</v>
      </c>
      <c r="I1111" s="16" t="s">
        <v>134</v>
      </c>
      <c r="J1111" s="17">
        <v>20100070970</v>
      </c>
      <c r="K1111" s="17" t="s">
        <v>73</v>
      </c>
      <c r="L1111" s="17" t="s">
        <v>1632</v>
      </c>
      <c r="M1111" s="16" t="s">
        <v>77</v>
      </c>
      <c r="N1111" s="11"/>
      <c r="O1111" s="11"/>
      <c r="P1111" s="16" t="s">
        <v>1912</v>
      </c>
      <c r="Q1111" s="16" t="s">
        <v>1795</v>
      </c>
      <c r="R1111" s="16" t="s">
        <v>143</v>
      </c>
      <c r="S1111" s="11" t="s">
        <v>2078</v>
      </c>
    </row>
    <row r="1112" spans="1:19" ht="21.75" hidden="1" customHeight="1" x14ac:dyDescent="0.25">
      <c r="A1112" s="16" t="s">
        <v>2076</v>
      </c>
      <c r="B1112" s="17">
        <v>13763320</v>
      </c>
      <c r="C1112" s="18">
        <v>46102</v>
      </c>
      <c r="D1112" s="21">
        <v>288</v>
      </c>
      <c r="E1112" s="19">
        <v>6</v>
      </c>
      <c r="F1112" s="16" t="s">
        <v>22</v>
      </c>
      <c r="G1112" s="16" t="s">
        <v>108</v>
      </c>
      <c r="H1112" s="16" t="s">
        <v>76</v>
      </c>
      <c r="I1112" s="16" t="s">
        <v>134</v>
      </c>
      <c r="J1112" s="17">
        <v>20100070970</v>
      </c>
      <c r="K1112" s="17" t="s">
        <v>73</v>
      </c>
      <c r="L1112" s="17" t="s">
        <v>1632</v>
      </c>
      <c r="M1112" s="16" t="s">
        <v>77</v>
      </c>
      <c r="N1112" s="11"/>
      <c r="O1112" s="11"/>
      <c r="P1112" s="16" t="s">
        <v>1912</v>
      </c>
      <c r="Q1112" s="16" t="s">
        <v>1795</v>
      </c>
      <c r="R1112" s="16" t="s">
        <v>143</v>
      </c>
      <c r="S1112" s="11" t="s">
        <v>2078</v>
      </c>
    </row>
    <row r="1113" spans="1:19" ht="21.75" hidden="1" customHeight="1" x14ac:dyDescent="0.25">
      <c r="A1113" s="16" t="s">
        <v>2076</v>
      </c>
      <c r="B1113" s="17">
        <v>13763320</v>
      </c>
      <c r="C1113" s="18">
        <v>46102</v>
      </c>
      <c r="D1113" s="21">
        <v>168</v>
      </c>
      <c r="E1113" s="19">
        <v>14</v>
      </c>
      <c r="F1113" s="16" t="s">
        <v>23</v>
      </c>
      <c r="G1113" s="16" t="s">
        <v>119</v>
      </c>
      <c r="H1113" s="16" t="s">
        <v>76</v>
      </c>
      <c r="I1113" s="16" t="s">
        <v>134</v>
      </c>
      <c r="J1113" s="17">
        <v>20100070970</v>
      </c>
      <c r="K1113" s="17" t="s">
        <v>73</v>
      </c>
      <c r="L1113" s="17" t="s">
        <v>1632</v>
      </c>
      <c r="M1113" s="16" t="s">
        <v>77</v>
      </c>
      <c r="N1113" s="11"/>
      <c r="O1113" s="11"/>
      <c r="P1113" s="16" t="s">
        <v>1912</v>
      </c>
      <c r="Q1113" s="16" t="s">
        <v>1795</v>
      </c>
      <c r="R1113" s="16" t="s">
        <v>143</v>
      </c>
      <c r="S1113" s="11" t="s">
        <v>2078</v>
      </c>
    </row>
    <row r="1114" spans="1:19" ht="21.75" hidden="1" customHeight="1" x14ac:dyDescent="0.25">
      <c r="A1114" s="16" t="s">
        <v>2076</v>
      </c>
      <c r="B1114" s="17">
        <v>13763320</v>
      </c>
      <c r="C1114" s="18">
        <v>46102</v>
      </c>
      <c r="D1114" s="21">
        <v>48</v>
      </c>
      <c r="E1114" s="19">
        <v>4</v>
      </c>
      <c r="F1114" s="16" t="s">
        <v>24</v>
      </c>
      <c r="G1114" s="16" t="s">
        <v>112</v>
      </c>
      <c r="H1114" s="16" t="s">
        <v>76</v>
      </c>
      <c r="I1114" s="16" t="s">
        <v>134</v>
      </c>
      <c r="J1114" s="17">
        <v>20100070970</v>
      </c>
      <c r="K1114" s="17" t="s">
        <v>73</v>
      </c>
      <c r="L1114" s="17" t="s">
        <v>1632</v>
      </c>
      <c r="M1114" s="16" t="s">
        <v>77</v>
      </c>
      <c r="N1114" s="11"/>
      <c r="O1114" s="11"/>
      <c r="P1114" s="16" t="s">
        <v>1912</v>
      </c>
      <c r="Q1114" s="16" t="s">
        <v>1795</v>
      </c>
      <c r="R1114" s="16" t="s">
        <v>143</v>
      </c>
      <c r="S1114" s="11" t="s">
        <v>2078</v>
      </c>
    </row>
    <row r="1115" spans="1:19" ht="21.75" hidden="1" customHeight="1" x14ac:dyDescent="0.25">
      <c r="A1115" s="16" t="s">
        <v>2076</v>
      </c>
      <c r="B1115" s="17">
        <v>13763320</v>
      </c>
      <c r="C1115" s="18">
        <v>46102</v>
      </c>
      <c r="D1115" s="21">
        <v>36</v>
      </c>
      <c r="E1115" s="19">
        <v>3</v>
      </c>
      <c r="F1115" s="16" t="s">
        <v>25</v>
      </c>
      <c r="G1115" s="16" t="s">
        <v>136</v>
      </c>
      <c r="H1115" s="16" t="s">
        <v>76</v>
      </c>
      <c r="I1115" s="16" t="s">
        <v>134</v>
      </c>
      <c r="J1115" s="17">
        <v>20100070970</v>
      </c>
      <c r="K1115" s="11"/>
      <c r="L1115" s="16" t="s">
        <v>1632</v>
      </c>
      <c r="M1115" s="16" t="s">
        <v>77</v>
      </c>
      <c r="N1115" s="11"/>
      <c r="O1115" s="11"/>
      <c r="P1115" s="16" t="s">
        <v>1912</v>
      </c>
      <c r="Q1115" s="16" t="s">
        <v>1795</v>
      </c>
      <c r="R1115" s="16" t="s">
        <v>143</v>
      </c>
      <c r="S1115" s="11" t="s">
        <v>2078</v>
      </c>
    </row>
    <row r="1116" spans="1:19" ht="21.75" hidden="1" customHeight="1" x14ac:dyDescent="0.25">
      <c r="A1116" s="16" t="s">
        <v>2076</v>
      </c>
      <c r="B1116" s="17">
        <v>13763320</v>
      </c>
      <c r="C1116" s="18">
        <v>46102</v>
      </c>
      <c r="D1116" s="21">
        <v>84</v>
      </c>
      <c r="E1116" s="19">
        <v>14</v>
      </c>
      <c r="F1116" s="16" t="s">
        <v>26</v>
      </c>
      <c r="G1116" s="16" t="s">
        <v>111</v>
      </c>
      <c r="H1116" s="16" t="s">
        <v>76</v>
      </c>
      <c r="I1116" s="16" t="s">
        <v>134</v>
      </c>
      <c r="J1116" s="17">
        <v>20100070970</v>
      </c>
      <c r="K1116" s="17" t="s">
        <v>73</v>
      </c>
      <c r="L1116" s="17" t="s">
        <v>1632</v>
      </c>
      <c r="M1116" s="16" t="s">
        <v>77</v>
      </c>
      <c r="N1116" s="11"/>
      <c r="O1116" s="11"/>
      <c r="P1116" s="16" t="s">
        <v>1912</v>
      </c>
      <c r="Q1116" s="16" t="s">
        <v>1795</v>
      </c>
      <c r="R1116" s="16" t="s">
        <v>143</v>
      </c>
      <c r="S1116" s="11" t="s">
        <v>2078</v>
      </c>
    </row>
    <row r="1117" spans="1:19" ht="21.75" hidden="1" customHeight="1" x14ac:dyDescent="0.25">
      <c r="A1117" s="16" t="s">
        <v>2076</v>
      </c>
      <c r="B1117" s="17">
        <v>13763320</v>
      </c>
      <c r="C1117" s="18">
        <v>46102</v>
      </c>
      <c r="D1117" s="21">
        <v>48</v>
      </c>
      <c r="E1117" s="19">
        <v>4</v>
      </c>
      <c r="F1117" s="16" t="s">
        <v>27</v>
      </c>
      <c r="G1117" s="16" t="s">
        <v>103</v>
      </c>
      <c r="H1117" s="16" t="s">
        <v>76</v>
      </c>
      <c r="I1117" s="16" t="s">
        <v>134</v>
      </c>
      <c r="J1117" s="17">
        <v>20100070970</v>
      </c>
      <c r="K1117" s="17" t="s">
        <v>73</v>
      </c>
      <c r="L1117" s="17" t="s">
        <v>1632</v>
      </c>
      <c r="M1117" s="16" t="s">
        <v>77</v>
      </c>
      <c r="N1117" s="11"/>
      <c r="O1117" s="11"/>
      <c r="P1117" s="16" t="s">
        <v>1912</v>
      </c>
      <c r="Q1117" s="16" t="s">
        <v>1795</v>
      </c>
      <c r="R1117" s="16" t="s">
        <v>143</v>
      </c>
      <c r="S1117" s="11" t="s">
        <v>2078</v>
      </c>
    </row>
    <row r="1118" spans="1:19" ht="21.75" hidden="1" customHeight="1" x14ac:dyDescent="0.25">
      <c r="A1118" s="16" t="s">
        <v>2077</v>
      </c>
      <c r="B1118" s="16" t="s">
        <v>73</v>
      </c>
      <c r="C1118" s="18">
        <v>46102</v>
      </c>
      <c r="D1118" s="21">
        <v>72</v>
      </c>
      <c r="E1118" s="19">
        <v>6</v>
      </c>
      <c r="F1118" s="16" t="s">
        <v>854</v>
      </c>
      <c r="G1118" s="16" t="s">
        <v>864</v>
      </c>
      <c r="H1118" s="16" t="s">
        <v>1650</v>
      </c>
      <c r="I1118" s="16" t="s">
        <v>733</v>
      </c>
      <c r="J1118" s="17">
        <v>20610373608</v>
      </c>
      <c r="K1118" s="17">
        <v>981468403</v>
      </c>
      <c r="L1118" s="16" t="s">
        <v>1957</v>
      </c>
      <c r="M1118" s="16" t="s">
        <v>299</v>
      </c>
      <c r="N1118" s="11"/>
      <c r="O1118" s="11"/>
      <c r="P1118" s="16" t="s">
        <v>987</v>
      </c>
      <c r="Q1118" s="16" t="s">
        <v>73</v>
      </c>
      <c r="R1118" s="11" t="s">
        <v>144</v>
      </c>
      <c r="S1118" s="11" t="s">
        <v>2079</v>
      </c>
    </row>
    <row r="1119" spans="1:19" ht="21.75" hidden="1" customHeight="1" x14ac:dyDescent="0.25">
      <c r="A1119" s="16" t="s">
        <v>2077</v>
      </c>
      <c r="B1119" s="16" t="s">
        <v>73</v>
      </c>
      <c r="C1119" s="18">
        <v>46102</v>
      </c>
      <c r="D1119" s="21">
        <v>36</v>
      </c>
      <c r="E1119" s="19">
        <v>1</v>
      </c>
      <c r="F1119" s="16" t="s">
        <v>855</v>
      </c>
      <c r="G1119" s="16" t="s">
        <v>865</v>
      </c>
      <c r="H1119" s="16" t="s">
        <v>1650</v>
      </c>
      <c r="I1119" s="16" t="s">
        <v>733</v>
      </c>
      <c r="J1119" s="17">
        <v>20610373608</v>
      </c>
      <c r="K1119" s="17">
        <v>981468403</v>
      </c>
      <c r="L1119" s="16" t="s">
        <v>1957</v>
      </c>
      <c r="M1119" s="16" t="s">
        <v>299</v>
      </c>
      <c r="N1119" s="11"/>
      <c r="O1119" s="11"/>
      <c r="P1119" s="16" t="s">
        <v>987</v>
      </c>
      <c r="Q1119" s="16" t="s">
        <v>73</v>
      </c>
      <c r="R1119" s="11" t="s">
        <v>144</v>
      </c>
      <c r="S1119" s="11" t="s">
        <v>2079</v>
      </c>
    </row>
    <row r="1120" spans="1:19" s="20" customFormat="1" ht="21.75" hidden="1" customHeight="1" x14ac:dyDescent="0.2">
      <c r="A1120" s="16" t="s">
        <v>2080</v>
      </c>
      <c r="B1120" s="17" t="s">
        <v>2081</v>
      </c>
      <c r="C1120" s="18">
        <v>46104</v>
      </c>
      <c r="D1120" s="21">
        <v>1</v>
      </c>
      <c r="E1120" s="19">
        <v>1</v>
      </c>
      <c r="F1120" s="16" t="s">
        <v>53</v>
      </c>
      <c r="G1120" s="16" t="s">
        <v>121</v>
      </c>
      <c r="H1120" s="16" t="s">
        <v>99</v>
      </c>
      <c r="I1120" s="16" t="s">
        <v>2082</v>
      </c>
      <c r="J1120" s="17">
        <v>5654165</v>
      </c>
      <c r="K1120" s="17" t="s">
        <v>2084</v>
      </c>
      <c r="L1120" s="16" t="s">
        <v>2083</v>
      </c>
      <c r="M1120" s="16" t="s">
        <v>474</v>
      </c>
      <c r="N1120" s="11"/>
      <c r="O1120" s="11"/>
      <c r="P1120" s="16" t="s">
        <v>1673</v>
      </c>
      <c r="Q1120" s="11"/>
      <c r="R1120" s="16" t="s">
        <v>442</v>
      </c>
      <c r="S1120" s="11" t="s">
        <v>2085</v>
      </c>
    </row>
    <row r="1121" spans="1:19" s="20" customFormat="1" ht="21.75" hidden="1" customHeight="1" x14ac:dyDescent="0.2">
      <c r="A1121" s="16" t="s">
        <v>2086</v>
      </c>
      <c r="B1121" s="16" t="s">
        <v>2088</v>
      </c>
      <c r="C1121" s="18">
        <v>46105</v>
      </c>
      <c r="D1121" s="21">
        <v>2</v>
      </c>
      <c r="E1121" s="19">
        <v>1</v>
      </c>
      <c r="F1121" s="16" t="s">
        <v>1820</v>
      </c>
      <c r="G1121" s="16" t="s">
        <v>1821</v>
      </c>
      <c r="H1121" s="11" t="s">
        <v>76</v>
      </c>
      <c r="I1121" s="16" t="s">
        <v>457</v>
      </c>
      <c r="J1121" s="17">
        <v>20536876953</v>
      </c>
      <c r="K1121" s="16" t="s">
        <v>73</v>
      </c>
      <c r="L1121" s="16" t="s">
        <v>464</v>
      </c>
      <c r="M1121" s="16" t="s">
        <v>472</v>
      </c>
      <c r="N1121" s="11"/>
      <c r="O1121" s="11"/>
      <c r="P1121" s="11" t="s">
        <v>2091</v>
      </c>
      <c r="Q1121" s="11"/>
      <c r="R1121" s="16" t="s">
        <v>439</v>
      </c>
      <c r="S1121" s="11" t="s">
        <v>2089</v>
      </c>
    </row>
    <row r="1122" spans="1:19" s="20" customFormat="1" ht="21.75" hidden="1" customHeight="1" x14ac:dyDescent="0.2">
      <c r="A1122" s="16" t="s">
        <v>2086</v>
      </c>
      <c r="B1122" s="16" t="s">
        <v>2088</v>
      </c>
      <c r="C1122" s="18">
        <v>46105</v>
      </c>
      <c r="D1122" s="21">
        <v>2</v>
      </c>
      <c r="E1122" s="19">
        <v>1</v>
      </c>
      <c r="F1122" s="16" t="s">
        <v>444</v>
      </c>
      <c r="G1122" s="16" t="s">
        <v>451</v>
      </c>
      <c r="H1122" s="11" t="s">
        <v>76</v>
      </c>
      <c r="I1122" s="16" t="s">
        <v>457</v>
      </c>
      <c r="J1122" s="17">
        <v>20536876953</v>
      </c>
      <c r="K1122" s="16" t="s">
        <v>73</v>
      </c>
      <c r="L1122" s="16" t="s">
        <v>464</v>
      </c>
      <c r="M1122" s="16" t="s">
        <v>472</v>
      </c>
      <c r="N1122" s="11"/>
      <c r="O1122" s="11"/>
      <c r="P1122" s="11" t="s">
        <v>2091</v>
      </c>
      <c r="Q1122" s="11"/>
      <c r="R1122" s="16" t="s">
        <v>439</v>
      </c>
      <c r="S1122" s="11" t="s">
        <v>2089</v>
      </c>
    </row>
    <row r="1123" spans="1:19" s="20" customFormat="1" ht="21.75" hidden="1" customHeight="1" x14ac:dyDescent="0.2">
      <c r="A1123" s="16" t="s">
        <v>2087</v>
      </c>
      <c r="B1123" s="17" t="s">
        <v>73</v>
      </c>
      <c r="C1123" s="18">
        <v>46105</v>
      </c>
      <c r="D1123" s="21">
        <v>24</v>
      </c>
      <c r="E1123" s="19">
        <v>2</v>
      </c>
      <c r="F1123" s="16" t="s">
        <v>567</v>
      </c>
      <c r="G1123" s="16" t="s">
        <v>568</v>
      </c>
      <c r="H1123" s="11" t="s">
        <v>76</v>
      </c>
      <c r="I1123" s="16" t="s">
        <v>569</v>
      </c>
      <c r="J1123" s="17">
        <v>20509076945</v>
      </c>
      <c r="K1123" s="17">
        <v>987311326</v>
      </c>
      <c r="L1123" s="16" t="s">
        <v>1580</v>
      </c>
      <c r="M1123" s="16" t="s">
        <v>474</v>
      </c>
      <c r="N1123" s="11"/>
      <c r="O1123" s="11"/>
      <c r="P1123" s="16" t="s">
        <v>572</v>
      </c>
      <c r="Q1123" s="11"/>
      <c r="R1123" s="16" t="s">
        <v>144</v>
      </c>
      <c r="S1123" s="11" t="s">
        <v>2090</v>
      </c>
    </row>
    <row r="1124" spans="1:19" ht="21.75" hidden="1" customHeight="1" x14ac:dyDescent="0.25">
      <c r="A1124" s="16" t="s">
        <v>2093</v>
      </c>
      <c r="B1124" s="16" t="s">
        <v>73</v>
      </c>
      <c r="C1124" s="18">
        <v>46106</v>
      </c>
      <c r="D1124" s="21">
        <v>480</v>
      </c>
      <c r="E1124" s="19">
        <v>10</v>
      </c>
      <c r="F1124" s="16" t="s">
        <v>48</v>
      </c>
      <c r="G1124" s="16" t="s">
        <v>160</v>
      </c>
      <c r="H1124" s="26" t="s">
        <v>1650</v>
      </c>
      <c r="I1124" s="16" t="s">
        <v>1768</v>
      </c>
      <c r="J1124" s="17">
        <v>20600893735</v>
      </c>
      <c r="K1124" s="16" t="s">
        <v>1788</v>
      </c>
      <c r="L1124" s="16" t="s">
        <v>1787</v>
      </c>
      <c r="M1124" s="16" t="s">
        <v>420</v>
      </c>
      <c r="N1124" s="11"/>
      <c r="O1124" s="11"/>
      <c r="P1124" s="16" t="s">
        <v>1784</v>
      </c>
      <c r="Q1124" s="16" t="s">
        <v>1785</v>
      </c>
      <c r="R1124" s="16" t="s">
        <v>396</v>
      </c>
      <c r="S1124" s="11" t="s">
        <v>2099</v>
      </c>
    </row>
    <row r="1125" spans="1:19" ht="21.75" hidden="1" customHeight="1" x14ac:dyDescent="0.25">
      <c r="A1125" s="16" t="s">
        <v>2093</v>
      </c>
      <c r="B1125" s="16" t="s">
        <v>73</v>
      </c>
      <c r="C1125" s="18">
        <v>46106</v>
      </c>
      <c r="D1125" s="68">
        <v>72</v>
      </c>
      <c r="E1125" s="19">
        <v>6</v>
      </c>
      <c r="F1125" s="16" t="s">
        <v>34</v>
      </c>
      <c r="G1125" s="16" t="s">
        <v>93</v>
      </c>
      <c r="H1125" s="26" t="s">
        <v>1650</v>
      </c>
      <c r="I1125" s="16" t="s">
        <v>1768</v>
      </c>
      <c r="J1125" s="17">
        <v>20600893735</v>
      </c>
      <c r="K1125" s="16" t="s">
        <v>1788</v>
      </c>
      <c r="L1125" s="16" t="s">
        <v>1787</v>
      </c>
      <c r="M1125" s="16" t="s">
        <v>420</v>
      </c>
      <c r="N1125" s="11"/>
      <c r="O1125" s="11"/>
      <c r="P1125" s="16" t="s">
        <v>1784</v>
      </c>
      <c r="Q1125" s="16" t="s">
        <v>1785</v>
      </c>
      <c r="R1125" s="16" t="s">
        <v>396</v>
      </c>
      <c r="S1125" s="11" t="s">
        <v>2099</v>
      </c>
    </row>
    <row r="1126" spans="1:19" ht="21.75" hidden="1" customHeight="1" x14ac:dyDescent="0.25">
      <c r="A1126" s="16" t="s">
        <v>2093</v>
      </c>
      <c r="B1126" s="16" t="s">
        <v>73</v>
      </c>
      <c r="C1126" s="18">
        <v>46106</v>
      </c>
      <c r="D1126" s="21">
        <v>12</v>
      </c>
      <c r="E1126" s="19">
        <v>3</v>
      </c>
      <c r="F1126" s="16" t="s">
        <v>357</v>
      </c>
      <c r="G1126" s="16" t="s">
        <v>369</v>
      </c>
      <c r="H1126" s="16" t="s">
        <v>1650</v>
      </c>
      <c r="I1126" s="16" t="s">
        <v>1768</v>
      </c>
      <c r="J1126" s="17">
        <v>20600893735</v>
      </c>
      <c r="K1126" s="16" t="s">
        <v>1788</v>
      </c>
      <c r="L1126" s="16" t="s">
        <v>1787</v>
      </c>
      <c r="M1126" s="16" t="s">
        <v>420</v>
      </c>
      <c r="N1126" s="11"/>
      <c r="O1126" s="11"/>
      <c r="P1126" s="16" t="s">
        <v>1784</v>
      </c>
      <c r="Q1126" s="16" t="s">
        <v>1785</v>
      </c>
      <c r="R1126" s="16" t="s">
        <v>396</v>
      </c>
      <c r="S1126" s="11" t="s">
        <v>2099</v>
      </c>
    </row>
    <row r="1127" spans="1:19" ht="21.75" hidden="1" customHeight="1" x14ac:dyDescent="0.25">
      <c r="A1127" s="16" t="s">
        <v>2093</v>
      </c>
      <c r="B1127" s="16" t="s">
        <v>73</v>
      </c>
      <c r="C1127" s="18">
        <v>46106</v>
      </c>
      <c r="D1127" s="21">
        <v>240</v>
      </c>
      <c r="E1127" s="19">
        <v>20</v>
      </c>
      <c r="F1127" s="16" t="s">
        <v>24</v>
      </c>
      <c r="G1127" s="16" t="s">
        <v>112</v>
      </c>
      <c r="H1127" s="16" t="s">
        <v>1650</v>
      </c>
      <c r="I1127" s="16" t="s">
        <v>1768</v>
      </c>
      <c r="J1127" s="17">
        <v>20600893735</v>
      </c>
      <c r="K1127" s="16" t="s">
        <v>1788</v>
      </c>
      <c r="L1127" s="16" t="s">
        <v>1787</v>
      </c>
      <c r="M1127" s="16" t="s">
        <v>420</v>
      </c>
      <c r="N1127" s="11"/>
      <c r="O1127" s="11"/>
      <c r="P1127" s="16" t="s">
        <v>1784</v>
      </c>
      <c r="Q1127" s="16" t="s">
        <v>1785</v>
      </c>
      <c r="R1127" s="16" t="s">
        <v>396</v>
      </c>
      <c r="S1127" s="11" t="s">
        <v>2099</v>
      </c>
    </row>
    <row r="1128" spans="1:19" ht="21.75" hidden="1" customHeight="1" x14ac:dyDescent="0.25">
      <c r="A1128" s="16" t="s">
        <v>2093</v>
      </c>
      <c r="B1128" s="16" t="s">
        <v>73</v>
      </c>
      <c r="C1128" s="18">
        <v>46106</v>
      </c>
      <c r="D1128" s="21">
        <v>71</v>
      </c>
      <c r="E1128" s="19">
        <v>3</v>
      </c>
      <c r="F1128" s="16" t="s">
        <v>2094</v>
      </c>
      <c r="G1128" s="16" t="s">
        <v>2095</v>
      </c>
      <c r="H1128" s="16" t="s">
        <v>1650</v>
      </c>
      <c r="I1128" s="16" t="s">
        <v>1768</v>
      </c>
      <c r="J1128" s="17">
        <v>20600893735</v>
      </c>
      <c r="K1128" s="16" t="s">
        <v>1788</v>
      </c>
      <c r="L1128" s="16" t="s">
        <v>1787</v>
      </c>
      <c r="M1128" s="16" t="s">
        <v>420</v>
      </c>
      <c r="N1128" s="11"/>
      <c r="O1128" s="11"/>
      <c r="P1128" s="16" t="s">
        <v>1784</v>
      </c>
      <c r="Q1128" s="16" t="s">
        <v>1785</v>
      </c>
      <c r="R1128" s="16" t="s">
        <v>396</v>
      </c>
      <c r="S1128" s="11" t="s">
        <v>2099</v>
      </c>
    </row>
    <row r="1129" spans="1:19" ht="21.75" hidden="1" customHeight="1" x14ac:dyDescent="0.25">
      <c r="A1129" s="16" t="s">
        <v>2093</v>
      </c>
      <c r="B1129" s="16" t="s">
        <v>73</v>
      </c>
      <c r="C1129" s="18">
        <v>46106</v>
      </c>
      <c r="D1129" s="21">
        <v>120</v>
      </c>
      <c r="E1129" s="19">
        <v>10</v>
      </c>
      <c r="F1129" s="16" t="s">
        <v>33</v>
      </c>
      <c r="G1129" s="16" t="s">
        <v>107</v>
      </c>
      <c r="H1129" s="16" t="s">
        <v>1650</v>
      </c>
      <c r="I1129" s="16" t="s">
        <v>1768</v>
      </c>
      <c r="J1129" s="17">
        <v>20600893735</v>
      </c>
      <c r="K1129" s="16" t="s">
        <v>1788</v>
      </c>
      <c r="L1129" s="16" t="s">
        <v>1787</v>
      </c>
      <c r="M1129" s="16" t="s">
        <v>420</v>
      </c>
      <c r="N1129" s="11"/>
      <c r="O1129" s="11"/>
      <c r="P1129" s="16" t="s">
        <v>1784</v>
      </c>
      <c r="Q1129" s="16" t="s">
        <v>1785</v>
      </c>
      <c r="R1129" s="16" t="s">
        <v>396</v>
      </c>
      <c r="S1129" s="11" t="s">
        <v>2099</v>
      </c>
    </row>
    <row r="1130" spans="1:19" s="20" customFormat="1" ht="21.75" hidden="1" customHeight="1" x14ac:dyDescent="0.2">
      <c r="A1130" s="16" t="s">
        <v>2096</v>
      </c>
      <c r="B1130" s="16" t="s">
        <v>2111</v>
      </c>
      <c r="C1130" s="18">
        <v>46106</v>
      </c>
      <c r="D1130" s="21">
        <v>1</v>
      </c>
      <c r="E1130" s="19">
        <v>1</v>
      </c>
      <c r="F1130" s="16" t="s">
        <v>445</v>
      </c>
      <c r="G1130" s="16" t="s">
        <v>452</v>
      </c>
      <c r="H1130" s="16" t="s">
        <v>99</v>
      </c>
      <c r="I1130" s="16" t="s">
        <v>2109</v>
      </c>
      <c r="J1130" s="17">
        <v>20525029426</v>
      </c>
      <c r="K1130" s="16" t="s">
        <v>2110</v>
      </c>
      <c r="L1130" s="16" t="s">
        <v>2107</v>
      </c>
      <c r="M1130" s="16" t="s">
        <v>2108</v>
      </c>
      <c r="N1130" s="11"/>
      <c r="O1130" s="11"/>
      <c r="P1130" s="16" t="s">
        <v>2113</v>
      </c>
      <c r="Q1130" s="16"/>
      <c r="R1130" s="16" t="s">
        <v>2112</v>
      </c>
      <c r="S1130" s="11" t="s">
        <v>2098</v>
      </c>
    </row>
    <row r="1131" spans="1:19" ht="21.75" hidden="1" customHeight="1" x14ac:dyDescent="0.25">
      <c r="A1131" s="16" t="s">
        <v>2104</v>
      </c>
      <c r="B1131" s="16" t="s">
        <v>73</v>
      </c>
      <c r="C1131" s="18">
        <v>46106</v>
      </c>
      <c r="D1131" s="21">
        <v>9</v>
      </c>
      <c r="E1131" s="19">
        <v>3</v>
      </c>
      <c r="F1131" s="16" t="s">
        <v>362</v>
      </c>
      <c r="G1131" s="16" t="s">
        <v>374</v>
      </c>
      <c r="H1131" s="16" t="s">
        <v>1650</v>
      </c>
      <c r="I1131" s="16" t="s">
        <v>1434</v>
      </c>
      <c r="J1131" s="17">
        <v>20609429659</v>
      </c>
      <c r="K1131" s="17">
        <v>989372072</v>
      </c>
      <c r="L1131" s="16" t="s">
        <v>1637</v>
      </c>
      <c r="M1131" s="16" t="s">
        <v>75</v>
      </c>
      <c r="N1131" s="11"/>
      <c r="O1131" s="11"/>
      <c r="P1131" s="16" t="s">
        <v>1638</v>
      </c>
      <c r="Q1131" s="11" t="s">
        <v>1639</v>
      </c>
      <c r="R1131" s="16" t="s">
        <v>396</v>
      </c>
      <c r="S1131" s="11" t="s">
        <v>1662</v>
      </c>
    </row>
    <row r="1132" spans="1:19" ht="21.75" hidden="1" customHeight="1" x14ac:dyDescent="0.25">
      <c r="A1132" s="16" t="s">
        <v>2104</v>
      </c>
      <c r="B1132" s="16" t="s">
        <v>73</v>
      </c>
      <c r="C1132" s="18">
        <v>46106</v>
      </c>
      <c r="D1132" s="21">
        <v>12</v>
      </c>
      <c r="E1132" s="19">
        <v>2</v>
      </c>
      <c r="F1132" s="16" t="s">
        <v>71</v>
      </c>
      <c r="G1132" s="16" t="s">
        <v>176</v>
      </c>
      <c r="H1132" s="16" t="s">
        <v>1650</v>
      </c>
      <c r="I1132" s="16" t="s">
        <v>1434</v>
      </c>
      <c r="J1132" s="17">
        <v>20609429659</v>
      </c>
      <c r="K1132" s="17">
        <v>989372072</v>
      </c>
      <c r="L1132" s="16" t="s">
        <v>1637</v>
      </c>
      <c r="M1132" s="16" t="s">
        <v>75</v>
      </c>
      <c r="N1132" s="11"/>
      <c r="O1132" s="11"/>
      <c r="P1132" s="16" t="s">
        <v>1638</v>
      </c>
      <c r="Q1132" s="11" t="s">
        <v>1639</v>
      </c>
      <c r="R1132" s="16" t="s">
        <v>396</v>
      </c>
      <c r="S1132" s="11" t="s">
        <v>1662</v>
      </c>
    </row>
    <row r="1133" spans="1:19" ht="21.75" hidden="1" customHeight="1" x14ac:dyDescent="0.25">
      <c r="A1133" s="16" t="s">
        <v>2104</v>
      </c>
      <c r="B1133" s="16" t="s">
        <v>73</v>
      </c>
      <c r="C1133" s="18">
        <v>46106</v>
      </c>
      <c r="D1133" s="21">
        <v>12</v>
      </c>
      <c r="E1133" s="19">
        <v>1</v>
      </c>
      <c r="F1133" s="16" t="s">
        <v>2105</v>
      </c>
      <c r="G1133" s="16" t="s">
        <v>2106</v>
      </c>
      <c r="H1133" s="16" t="s">
        <v>1650</v>
      </c>
      <c r="I1133" s="16" t="s">
        <v>1434</v>
      </c>
      <c r="J1133" s="17">
        <v>20609429659</v>
      </c>
      <c r="K1133" s="17">
        <v>989372072</v>
      </c>
      <c r="L1133" s="16" t="s">
        <v>1637</v>
      </c>
      <c r="M1133" s="16" t="s">
        <v>75</v>
      </c>
      <c r="N1133" s="11"/>
      <c r="O1133" s="11"/>
      <c r="P1133" s="16" t="s">
        <v>1638</v>
      </c>
      <c r="Q1133" s="11" t="s">
        <v>1639</v>
      </c>
      <c r="R1133" s="16" t="s">
        <v>396</v>
      </c>
      <c r="S1133" s="11" t="s">
        <v>1662</v>
      </c>
    </row>
    <row r="1134" spans="1:19" ht="21.75" hidden="1" customHeight="1" x14ac:dyDescent="0.25">
      <c r="A1134" s="16" t="s">
        <v>2104</v>
      </c>
      <c r="B1134" s="16" t="s">
        <v>73</v>
      </c>
      <c r="C1134" s="18">
        <v>46106</v>
      </c>
      <c r="D1134" s="21">
        <v>120</v>
      </c>
      <c r="E1134" s="19">
        <v>10</v>
      </c>
      <c r="F1134" s="16" t="s">
        <v>21</v>
      </c>
      <c r="G1134" s="16" t="s">
        <v>115</v>
      </c>
      <c r="H1134" s="16" t="s">
        <v>1650</v>
      </c>
      <c r="I1134" s="16" t="s">
        <v>1434</v>
      </c>
      <c r="J1134" s="17">
        <v>20609429659</v>
      </c>
      <c r="K1134" s="17">
        <v>989372072</v>
      </c>
      <c r="L1134" s="16" t="s">
        <v>1637</v>
      </c>
      <c r="M1134" s="16" t="s">
        <v>75</v>
      </c>
      <c r="N1134" s="11"/>
      <c r="O1134" s="11"/>
      <c r="P1134" s="16" t="s">
        <v>1638</v>
      </c>
      <c r="Q1134" s="11" t="s">
        <v>1639</v>
      </c>
      <c r="R1134" s="16" t="s">
        <v>396</v>
      </c>
      <c r="S1134" s="11" t="s">
        <v>1662</v>
      </c>
    </row>
    <row r="1135" spans="1:19" ht="21.75" hidden="1" customHeight="1" x14ac:dyDescent="0.25">
      <c r="A1135" s="16" t="s">
        <v>2104</v>
      </c>
      <c r="B1135" s="16" t="s">
        <v>73</v>
      </c>
      <c r="C1135" s="18">
        <v>46106</v>
      </c>
      <c r="D1135" s="21">
        <v>8</v>
      </c>
      <c r="E1135" s="19">
        <v>2</v>
      </c>
      <c r="F1135" s="16" t="s">
        <v>40</v>
      </c>
      <c r="G1135" s="16" t="s">
        <v>117</v>
      </c>
      <c r="H1135" s="16" t="s">
        <v>1650</v>
      </c>
      <c r="I1135" s="16" t="s">
        <v>1434</v>
      </c>
      <c r="J1135" s="17">
        <v>20609429659</v>
      </c>
      <c r="K1135" s="17">
        <v>989372072</v>
      </c>
      <c r="L1135" s="16" t="s">
        <v>1637</v>
      </c>
      <c r="M1135" s="16" t="s">
        <v>75</v>
      </c>
      <c r="N1135" s="11"/>
      <c r="O1135" s="11"/>
      <c r="P1135" s="16" t="s">
        <v>1638</v>
      </c>
      <c r="Q1135" s="11" t="s">
        <v>1639</v>
      </c>
      <c r="R1135" s="16" t="s">
        <v>396</v>
      </c>
      <c r="S1135" s="11" t="s">
        <v>1662</v>
      </c>
    </row>
    <row r="1136" spans="1:19" s="20" customFormat="1" ht="21.75" hidden="1" customHeight="1" x14ac:dyDescent="0.2">
      <c r="A1136" s="16" t="s">
        <v>2103</v>
      </c>
      <c r="B1136" s="84" t="s">
        <v>2071</v>
      </c>
      <c r="C1136" s="18">
        <v>46106</v>
      </c>
      <c r="D1136" s="21">
        <v>24</v>
      </c>
      <c r="E1136" s="19">
        <v>2</v>
      </c>
      <c r="F1136" s="16" t="s">
        <v>85</v>
      </c>
      <c r="G1136" s="16" t="s">
        <v>90</v>
      </c>
      <c r="H1136" s="16" t="s">
        <v>76</v>
      </c>
      <c r="I1136" s="16" t="s">
        <v>2102</v>
      </c>
      <c r="J1136" s="17">
        <v>20101904874</v>
      </c>
      <c r="K1136" s="11"/>
      <c r="L1136" s="16" t="s">
        <v>1372</v>
      </c>
      <c r="M1136" s="16" t="s">
        <v>533</v>
      </c>
      <c r="N1136" s="11"/>
      <c r="O1136" s="11"/>
      <c r="P1136" s="16" t="s">
        <v>515</v>
      </c>
      <c r="Q1136" s="16" t="s">
        <v>1368</v>
      </c>
      <c r="R1136" s="16" t="s">
        <v>505</v>
      </c>
      <c r="S1136" s="11" t="s">
        <v>2100</v>
      </c>
    </row>
    <row r="1137" spans="1:19" s="20" customFormat="1" ht="21.75" hidden="1" customHeight="1" x14ac:dyDescent="0.2">
      <c r="A1137" s="16" t="s">
        <v>2103</v>
      </c>
      <c r="B1137" s="84" t="s">
        <v>2071</v>
      </c>
      <c r="C1137" s="18">
        <v>46106</v>
      </c>
      <c r="D1137" s="21">
        <v>12</v>
      </c>
      <c r="E1137" s="19">
        <v>1</v>
      </c>
      <c r="F1137" s="16" t="s">
        <v>85</v>
      </c>
      <c r="G1137" s="16" t="s">
        <v>90</v>
      </c>
      <c r="H1137" s="16" t="s">
        <v>76</v>
      </c>
      <c r="I1137" s="16" t="s">
        <v>184</v>
      </c>
      <c r="J1137" s="17">
        <v>20101904874</v>
      </c>
      <c r="K1137" s="11"/>
      <c r="L1137" s="16" t="s">
        <v>536</v>
      </c>
      <c r="M1137" s="16" t="s">
        <v>312</v>
      </c>
      <c r="N1137" s="11"/>
      <c r="O1137" s="11"/>
      <c r="P1137" s="16" t="s">
        <v>514</v>
      </c>
      <c r="Q1137" s="16" t="s">
        <v>518</v>
      </c>
      <c r="R1137" s="16" t="s">
        <v>505</v>
      </c>
      <c r="S1137" s="11" t="s">
        <v>2101</v>
      </c>
    </row>
    <row r="1138" spans="1:19" s="20" customFormat="1" ht="21.75" hidden="1" customHeight="1" x14ac:dyDescent="0.2">
      <c r="A1138" s="16" t="s">
        <v>2103</v>
      </c>
      <c r="B1138" s="84" t="s">
        <v>2071</v>
      </c>
      <c r="C1138" s="18">
        <v>46106</v>
      </c>
      <c r="D1138" s="21">
        <v>4</v>
      </c>
      <c r="E1138" s="19">
        <v>1</v>
      </c>
      <c r="F1138" s="16" t="s">
        <v>2072</v>
      </c>
      <c r="G1138" s="16" t="s">
        <v>2073</v>
      </c>
      <c r="H1138" s="16" t="s">
        <v>76</v>
      </c>
      <c r="I1138" s="16" t="s">
        <v>580</v>
      </c>
      <c r="J1138" s="17">
        <v>20101904874</v>
      </c>
      <c r="K1138" s="11"/>
      <c r="L1138" s="16" t="s">
        <v>542</v>
      </c>
      <c r="M1138" s="16" t="s">
        <v>299</v>
      </c>
      <c r="N1138" s="11"/>
      <c r="O1138" s="11"/>
      <c r="P1138" s="16" t="s">
        <v>513</v>
      </c>
      <c r="Q1138" s="16" t="s">
        <v>524</v>
      </c>
      <c r="R1138" s="16" t="s">
        <v>505</v>
      </c>
      <c r="S1138" s="11" t="s">
        <v>2114</v>
      </c>
    </row>
    <row r="1139" spans="1:19" s="20" customFormat="1" ht="21.75" hidden="1" customHeight="1" x14ac:dyDescent="0.2">
      <c r="A1139" s="16" t="s">
        <v>2103</v>
      </c>
      <c r="B1139" s="84" t="s">
        <v>2071</v>
      </c>
      <c r="C1139" s="18">
        <v>46106</v>
      </c>
      <c r="D1139" s="21">
        <v>12</v>
      </c>
      <c r="E1139" s="19">
        <v>1</v>
      </c>
      <c r="F1139" s="16" t="s">
        <v>85</v>
      </c>
      <c r="G1139" s="16" t="s">
        <v>90</v>
      </c>
      <c r="H1139" s="16" t="s">
        <v>76</v>
      </c>
      <c r="I1139" s="16" t="s">
        <v>580</v>
      </c>
      <c r="J1139" s="17">
        <v>20101904874</v>
      </c>
      <c r="K1139" s="11"/>
      <c r="L1139" s="16" t="s">
        <v>542</v>
      </c>
      <c r="M1139" s="16" t="s">
        <v>299</v>
      </c>
      <c r="N1139" s="11"/>
      <c r="O1139" s="11"/>
      <c r="P1139" s="16" t="s">
        <v>513</v>
      </c>
      <c r="Q1139" s="16" t="s">
        <v>524</v>
      </c>
      <c r="R1139" s="16" t="s">
        <v>505</v>
      </c>
      <c r="S1139" s="11" t="s">
        <v>2114</v>
      </c>
    </row>
    <row r="1140" spans="1:19" s="20" customFormat="1" ht="21.75" hidden="1" customHeight="1" x14ac:dyDescent="0.2">
      <c r="A1140" s="16" t="s">
        <v>2103</v>
      </c>
      <c r="B1140" s="84" t="s">
        <v>2071</v>
      </c>
      <c r="C1140" s="18">
        <v>46106</v>
      </c>
      <c r="D1140" s="21">
        <v>4</v>
      </c>
      <c r="E1140" s="19">
        <v>1</v>
      </c>
      <c r="F1140" s="16" t="s">
        <v>506</v>
      </c>
      <c r="G1140" s="16" t="s">
        <v>509</v>
      </c>
      <c r="H1140" s="16" t="s">
        <v>76</v>
      </c>
      <c r="I1140" s="16" t="s">
        <v>577</v>
      </c>
      <c r="J1140" s="17">
        <v>20101904874</v>
      </c>
      <c r="K1140" s="11"/>
      <c r="L1140" s="16" t="s">
        <v>539</v>
      </c>
      <c r="M1140" s="16" t="s">
        <v>306</v>
      </c>
      <c r="N1140" s="11"/>
      <c r="O1140" s="11"/>
      <c r="P1140" s="16" t="s">
        <v>513</v>
      </c>
      <c r="Q1140" s="16" t="s">
        <v>521</v>
      </c>
      <c r="R1140" s="16" t="s">
        <v>505</v>
      </c>
      <c r="S1140" s="11" t="s">
        <v>2115</v>
      </c>
    </row>
    <row r="1141" spans="1:19" s="20" customFormat="1" ht="21.75" hidden="1" customHeight="1" x14ac:dyDescent="0.2">
      <c r="A1141" s="26" t="s">
        <v>2119</v>
      </c>
      <c r="B1141" s="23">
        <v>13796422</v>
      </c>
      <c r="C1141" s="18">
        <v>46109</v>
      </c>
      <c r="D1141" s="21">
        <v>72</v>
      </c>
      <c r="E1141" s="25">
        <v>3</v>
      </c>
      <c r="F1141" s="16" t="s">
        <v>18</v>
      </c>
      <c r="G1141" s="16" t="s">
        <v>109</v>
      </c>
      <c r="H1141" s="16" t="s">
        <v>76</v>
      </c>
      <c r="I1141" s="26" t="s">
        <v>134</v>
      </c>
      <c r="J1141" s="23">
        <v>20100070970</v>
      </c>
      <c r="K1141" s="11"/>
      <c r="L1141" s="26" t="s">
        <v>1632</v>
      </c>
      <c r="M1141" s="16" t="s">
        <v>77</v>
      </c>
      <c r="N1141" s="11"/>
      <c r="O1141" s="11"/>
      <c r="P1141" s="16" t="s">
        <v>1912</v>
      </c>
      <c r="Q1141" s="16"/>
      <c r="R1141" s="26" t="s">
        <v>143</v>
      </c>
      <c r="S1141" s="11" t="s">
        <v>2151</v>
      </c>
    </row>
    <row r="1142" spans="1:19" s="20" customFormat="1" ht="21.75" hidden="1" customHeight="1" x14ac:dyDescent="0.2">
      <c r="A1142" s="26" t="s">
        <v>2119</v>
      </c>
      <c r="B1142" s="23">
        <v>13796422</v>
      </c>
      <c r="C1142" s="18">
        <v>46109</v>
      </c>
      <c r="D1142" s="21">
        <v>12</v>
      </c>
      <c r="E1142" s="25">
        <v>1</v>
      </c>
      <c r="F1142" s="16" t="s">
        <v>19</v>
      </c>
      <c r="G1142" s="16" t="s">
        <v>120</v>
      </c>
      <c r="H1142" s="16" t="s">
        <v>76</v>
      </c>
      <c r="I1142" s="26" t="s">
        <v>134</v>
      </c>
      <c r="J1142" s="23">
        <v>20100070970</v>
      </c>
      <c r="K1142" s="11"/>
      <c r="L1142" s="26" t="s">
        <v>1632</v>
      </c>
      <c r="M1142" s="16" t="s">
        <v>77</v>
      </c>
      <c r="N1142" s="11"/>
      <c r="O1142" s="11"/>
      <c r="P1142" s="16" t="s">
        <v>1912</v>
      </c>
      <c r="Q1142" s="16"/>
      <c r="R1142" s="26" t="s">
        <v>143</v>
      </c>
      <c r="S1142" s="11" t="s">
        <v>2151</v>
      </c>
    </row>
    <row r="1143" spans="1:19" s="20" customFormat="1" ht="21.75" hidden="1" customHeight="1" x14ac:dyDescent="0.2">
      <c r="A1143" s="26" t="s">
        <v>2119</v>
      </c>
      <c r="B1143" s="23">
        <v>13796422</v>
      </c>
      <c r="C1143" s="18">
        <v>46109</v>
      </c>
      <c r="D1143" s="21">
        <v>12</v>
      </c>
      <c r="E1143" s="25">
        <v>1</v>
      </c>
      <c r="F1143" s="16" t="s">
        <v>21</v>
      </c>
      <c r="G1143" s="16" t="s">
        <v>115</v>
      </c>
      <c r="H1143" s="16" t="s">
        <v>76</v>
      </c>
      <c r="I1143" s="26" t="s">
        <v>134</v>
      </c>
      <c r="J1143" s="23">
        <v>20100070970</v>
      </c>
      <c r="K1143" s="11"/>
      <c r="L1143" s="26" t="s">
        <v>1632</v>
      </c>
      <c r="M1143" s="16" t="s">
        <v>77</v>
      </c>
      <c r="N1143" s="11"/>
      <c r="O1143" s="11"/>
      <c r="P1143" s="16" t="s">
        <v>1912</v>
      </c>
      <c r="Q1143" s="16"/>
      <c r="R1143" s="26" t="s">
        <v>143</v>
      </c>
      <c r="S1143" s="11" t="s">
        <v>2151</v>
      </c>
    </row>
    <row r="1144" spans="1:19" s="20" customFormat="1" ht="21.75" hidden="1" customHeight="1" x14ac:dyDescent="0.2">
      <c r="A1144" s="26" t="s">
        <v>2119</v>
      </c>
      <c r="B1144" s="23">
        <v>13796422</v>
      </c>
      <c r="C1144" s="18">
        <v>46109</v>
      </c>
      <c r="D1144" s="21">
        <v>336</v>
      </c>
      <c r="E1144" s="25">
        <f>336/48</f>
        <v>7</v>
      </c>
      <c r="F1144" s="16" t="s">
        <v>22</v>
      </c>
      <c r="G1144" s="16" t="s">
        <v>108</v>
      </c>
      <c r="H1144" s="16" t="s">
        <v>76</v>
      </c>
      <c r="I1144" s="26" t="s">
        <v>134</v>
      </c>
      <c r="J1144" s="23">
        <v>20100070970</v>
      </c>
      <c r="K1144" s="11"/>
      <c r="L1144" s="26" t="s">
        <v>1632</v>
      </c>
      <c r="M1144" s="16" t="s">
        <v>77</v>
      </c>
      <c r="N1144" s="11"/>
      <c r="O1144" s="11"/>
      <c r="P1144" s="16" t="s">
        <v>1912</v>
      </c>
      <c r="Q1144" s="16"/>
      <c r="R1144" s="26" t="s">
        <v>143</v>
      </c>
      <c r="S1144" s="11" t="s">
        <v>2151</v>
      </c>
    </row>
    <row r="1145" spans="1:19" s="20" customFormat="1" ht="21.75" hidden="1" customHeight="1" x14ac:dyDescent="0.2">
      <c r="A1145" s="26" t="s">
        <v>2119</v>
      </c>
      <c r="B1145" s="23">
        <v>13796422</v>
      </c>
      <c r="C1145" s="18">
        <v>46109</v>
      </c>
      <c r="D1145" s="21">
        <v>108</v>
      </c>
      <c r="E1145" s="25">
        <v>9</v>
      </c>
      <c r="F1145" s="16" t="s">
        <v>23</v>
      </c>
      <c r="G1145" s="16" t="s">
        <v>119</v>
      </c>
      <c r="H1145" s="16" t="s">
        <v>76</v>
      </c>
      <c r="I1145" s="26" t="s">
        <v>134</v>
      </c>
      <c r="J1145" s="23">
        <v>20100070970</v>
      </c>
      <c r="K1145" s="11"/>
      <c r="L1145" s="26" t="s">
        <v>1632</v>
      </c>
      <c r="M1145" s="16" t="s">
        <v>77</v>
      </c>
      <c r="N1145" s="11"/>
      <c r="O1145" s="11"/>
      <c r="P1145" s="16" t="s">
        <v>1912</v>
      </c>
      <c r="Q1145" s="16"/>
      <c r="R1145" s="26" t="s">
        <v>143</v>
      </c>
      <c r="S1145" s="11" t="s">
        <v>2151</v>
      </c>
    </row>
    <row r="1146" spans="1:19" s="20" customFormat="1" ht="21.75" hidden="1" customHeight="1" x14ac:dyDescent="0.2">
      <c r="A1146" s="26" t="s">
        <v>2119</v>
      </c>
      <c r="B1146" s="23">
        <v>13796422</v>
      </c>
      <c r="C1146" s="18">
        <v>46109</v>
      </c>
      <c r="D1146" s="21">
        <v>36</v>
      </c>
      <c r="E1146" s="25">
        <v>3</v>
      </c>
      <c r="F1146" s="16" t="s">
        <v>24</v>
      </c>
      <c r="G1146" s="16" t="s">
        <v>112</v>
      </c>
      <c r="H1146" s="16" t="s">
        <v>76</v>
      </c>
      <c r="I1146" s="26" t="s">
        <v>134</v>
      </c>
      <c r="J1146" s="23">
        <v>20100070970</v>
      </c>
      <c r="K1146" s="11"/>
      <c r="L1146" s="26" t="s">
        <v>1632</v>
      </c>
      <c r="M1146" s="16" t="s">
        <v>77</v>
      </c>
      <c r="N1146" s="11"/>
      <c r="O1146" s="11"/>
      <c r="P1146" s="16" t="s">
        <v>1912</v>
      </c>
      <c r="Q1146" s="16"/>
      <c r="R1146" s="26" t="s">
        <v>143</v>
      </c>
      <c r="S1146" s="11" t="s">
        <v>2151</v>
      </c>
    </row>
    <row r="1147" spans="1:19" s="20" customFormat="1" ht="21.75" hidden="1" customHeight="1" x14ac:dyDescent="0.2">
      <c r="A1147" s="26" t="s">
        <v>2119</v>
      </c>
      <c r="B1147" s="23">
        <v>13796422</v>
      </c>
      <c r="C1147" s="18">
        <v>46109</v>
      </c>
      <c r="D1147" s="21">
        <v>66</v>
      </c>
      <c r="E1147" s="25">
        <v>11</v>
      </c>
      <c r="F1147" s="16" t="s">
        <v>26</v>
      </c>
      <c r="G1147" s="16" t="s">
        <v>111</v>
      </c>
      <c r="H1147" s="16" t="s">
        <v>76</v>
      </c>
      <c r="I1147" s="26" t="s">
        <v>134</v>
      </c>
      <c r="J1147" s="23">
        <v>20100070970</v>
      </c>
      <c r="K1147" s="11"/>
      <c r="L1147" s="26" t="s">
        <v>1632</v>
      </c>
      <c r="M1147" s="16" t="s">
        <v>77</v>
      </c>
      <c r="N1147" s="11"/>
      <c r="O1147" s="11"/>
      <c r="P1147" s="16" t="s">
        <v>1912</v>
      </c>
      <c r="Q1147" s="16"/>
      <c r="R1147" s="26" t="s">
        <v>143</v>
      </c>
      <c r="S1147" s="11" t="s">
        <v>2151</v>
      </c>
    </row>
    <row r="1148" spans="1:19" s="20" customFormat="1" ht="21.75" hidden="1" customHeight="1" x14ac:dyDescent="0.2">
      <c r="A1148" s="16" t="s">
        <v>2119</v>
      </c>
      <c r="B1148" s="17">
        <v>13796422</v>
      </c>
      <c r="C1148" s="18">
        <v>46109</v>
      </c>
      <c r="D1148" s="21">
        <v>24</v>
      </c>
      <c r="E1148" s="19">
        <v>2</v>
      </c>
      <c r="F1148" s="16" t="s">
        <v>27</v>
      </c>
      <c r="G1148" s="16" t="s">
        <v>103</v>
      </c>
      <c r="H1148" s="16" t="s">
        <v>76</v>
      </c>
      <c r="I1148" s="16" t="s">
        <v>134</v>
      </c>
      <c r="J1148" s="17">
        <v>20100070970</v>
      </c>
      <c r="K1148" s="11"/>
      <c r="L1148" s="16" t="s">
        <v>1632</v>
      </c>
      <c r="M1148" s="16" t="s">
        <v>77</v>
      </c>
      <c r="N1148" s="11"/>
      <c r="O1148" s="11"/>
      <c r="P1148" s="16" t="s">
        <v>1912</v>
      </c>
      <c r="Q1148" s="16"/>
      <c r="R1148" s="16" t="s">
        <v>143</v>
      </c>
      <c r="S1148" s="11" t="s">
        <v>2151</v>
      </c>
    </row>
    <row r="1149" spans="1:19" s="20" customFormat="1" ht="21.75" hidden="1" customHeight="1" x14ac:dyDescent="0.2">
      <c r="A1149" s="16" t="s">
        <v>2116</v>
      </c>
      <c r="B1149" s="16" t="s">
        <v>2117</v>
      </c>
      <c r="C1149" s="18">
        <v>46107</v>
      </c>
      <c r="D1149" s="21">
        <v>3</v>
      </c>
      <c r="E1149" s="205">
        <v>7</v>
      </c>
      <c r="F1149" s="16" t="s">
        <v>317</v>
      </c>
      <c r="G1149" s="16" t="s">
        <v>330</v>
      </c>
      <c r="H1149" s="16" t="s">
        <v>99</v>
      </c>
      <c r="I1149" s="16" t="s">
        <v>343</v>
      </c>
      <c r="J1149" s="17">
        <v>20609463695</v>
      </c>
      <c r="K1149" s="16" t="s">
        <v>73</v>
      </c>
      <c r="L1149" s="16" t="s">
        <v>1654</v>
      </c>
      <c r="M1149" s="16" t="s">
        <v>347</v>
      </c>
      <c r="N1149" s="11"/>
      <c r="O1149" s="11"/>
      <c r="P1149" s="16" t="s">
        <v>344</v>
      </c>
      <c r="Q1149" s="16" t="s">
        <v>345</v>
      </c>
      <c r="R1149" s="16" t="s">
        <v>342</v>
      </c>
      <c r="S1149" s="11" t="s">
        <v>2118</v>
      </c>
    </row>
    <row r="1150" spans="1:19" s="20" customFormat="1" ht="21.75" hidden="1" customHeight="1" x14ac:dyDescent="0.2">
      <c r="A1150" s="16" t="s">
        <v>2116</v>
      </c>
      <c r="B1150" s="16" t="s">
        <v>2117</v>
      </c>
      <c r="C1150" s="18">
        <v>46107</v>
      </c>
      <c r="D1150" s="21">
        <v>3</v>
      </c>
      <c r="E1150" s="206"/>
      <c r="F1150" s="16" t="s">
        <v>321</v>
      </c>
      <c r="G1150" s="16" t="s">
        <v>334</v>
      </c>
      <c r="H1150" s="16" t="s">
        <v>99</v>
      </c>
      <c r="I1150" s="16" t="s">
        <v>343</v>
      </c>
      <c r="J1150" s="17">
        <v>20609463695</v>
      </c>
      <c r="K1150" s="16" t="s">
        <v>73</v>
      </c>
      <c r="L1150" s="16" t="s">
        <v>1654</v>
      </c>
      <c r="M1150" s="16" t="s">
        <v>347</v>
      </c>
      <c r="N1150" s="11"/>
      <c r="O1150" s="11"/>
      <c r="P1150" s="16" t="s">
        <v>344</v>
      </c>
      <c r="Q1150" s="16" t="s">
        <v>345</v>
      </c>
      <c r="R1150" s="16" t="s">
        <v>342</v>
      </c>
      <c r="S1150" s="11" t="s">
        <v>2118</v>
      </c>
    </row>
    <row r="1151" spans="1:19" s="20" customFormat="1" ht="21.75" hidden="1" customHeight="1" x14ac:dyDescent="0.2">
      <c r="A1151" s="16" t="s">
        <v>2116</v>
      </c>
      <c r="B1151" s="16" t="s">
        <v>2117</v>
      </c>
      <c r="C1151" s="18">
        <v>46107</v>
      </c>
      <c r="D1151" s="21">
        <v>3</v>
      </c>
      <c r="E1151" s="206"/>
      <c r="F1151" s="16" t="s">
        <v>323</v>
      </c>
      <c r="G1151" s="16" t="s">
        <v>336</v>
      </c>
      <c r="H1151" s="16" t="s">
        <v>99</v>
      </c>
      <c r="I1151" s="16" t="s">
        <v>343</v>
      </c>
      <c r="J1151" s="17">
        <v>20609463695</v>
      </c>
      <c r="K1151" s="16" t="s">
        <v>73</v>
      </c>
      <c r="L1151" s="16" t="s">
        <v>1654</v>
      </c>
      <c r="M1151" s="16" t="s">
        <v>347</v>
      </c>
      <c r="N1151" s="11"/>
      <c r="O1151" s="11"/>
      <c r="P1151" s="16" t="s">
        <v>344</v>
      </c>
      <c r="Q1151" s="16" t="s">
        <v>345</v>
      </c>
      <c r="R1151" s="16" t="s">
        <v>342</v>
      </c>
      <c r="S1151" s="11" t="s">
        <v>2118</v>
      </c>
    </row>
    <row r="1152" spans="1:19" s="20" customFormat="1" ht="21.75" hidden="1" customHeight="1" x14ac:dyDescent="0.2">
      <c r="A1152" s="16" t="s">
        <v>2116</v>
      </c>
      <c r="B1152" s="16" t="s">
        <v>2117</v>
      </c>
      <c r="C1152" s="18">
        <v>46107</v>
      </c>
      <c r="D1152" s="21">
        <v>3</v>
      </c>
      <c r="E1152" s="206"/>
      <c r="F1152" s="16" t="s">
        <v>325</v>
      </c>
      <c r="G1152" s="16" t="s">
        <v>338</v>
      </c>
      <c r="H1152" s="16" t="s">
        <v>99</v>
      </c>
      <c r="I1152" s="16" t="s">
        <v>343</v>
      </c>
      <c r="J1152" s="17">
        <v>20609463695</v>
      </c>
      <c r="K1152" s="16" t="s">
        <v>73</v>
      </c>
      <c r="L1152" s="16" t="s">
        <v>1654</v>
      </c>
      <c r="M1152" s="16" t="s">
        <v>347</v>
      </c>
      <c r="N1152" s="11"/>
      <c r="O1152" s="11"/>
      <c r="P1152" s="16" t="s">
        <v>344</v>
      </c>
      <c r="Q1152" s="16" t="s">
        <v>345</v>
      </c>
      <c r="R1152" s="16" t="s">
        <v>342</v>
      </c>
      <c r="S1152" s="11" t="s">
        <v>2118</v>
      </c>
    </row>
    <row r="1153" spans="1:19" s="20" customFormat="1" ht="21.75" hidden="1" customHeight="1" x14ac:dyDescent="0.2">
      <c r="A1153" s="16" t="s">
        <v>2116</v>
      </c>
      <c r="B1153" s="16" t="s">
        <v>2117</v>
      </c>
      <c r="C1153" s="18">
        <v>46107</v>
      </c>
      <c r="D1153" s="21">
        <v>3</v>
      </c>
      <c r="E1153" s="206"/>
      <c r="F1153" s="16" t="s">
        <v>326</v>
      </c>
      <c r="G1153" s="16" t="s">
        <v>339</v>
      </c>
      <c r="H1153" s="16" t="s">
        <v>99</v>
      </c>
      <c r="I1153" s="16" t="s">
        <v>343</v>
      </c>
      <c r="J1153" s="17">
        <v>20609463695</v>
      </c>
      <c r="K1153" s="16" t="s">
        <v>73</v>
      </c>
      <c r="L1153" s="16" t="s">
        <v>1654</v>
      </c>
      <c r="M1153" s="16" t="s">
        <v>347</v>
      </c>
      <c r="N1153" s="11"/>
      <c r="O1153" s="11"/>
      <c r="P1153" s="16" t="s">
        <v>344</v>
      </c>
      <c r="Q1153" s="16" t="s">
        <v>345</v>
      </c>
      <c r="R1153" s="16" t="s">
        <v>342</v>
      </c>
      <c r="S1153" s="11" t="s">
        <v>2118</v>
      </c>
    </row>
    <row r="1154" spans="1:19" s="20" customFormat="1" ht="21.75" hidden="1" customHeight="1" x14ac:dyDescent="0.2">
      <c r="A1154" s="16" t="s">
        <v>2116</v>
      </c>
      <c r="B1154" s="16" t="s">
        <v>2117</v>
      </c>
      <c r="C1154" s="18">
        <v>46107</v>
      </c>
      <c r="D1154" s="21">
        <v>3</v>
      </c>
      <c r="E1154" s="207"/>
      <c r="F1154" s="16" t="s">
        <v>328</v>
      </c>
      <c r="G1154" s="16" t="s">
        <v>341</v>
      </c>
      <c r="H1154" s="16" t="s">
        <v>99</v>
      </c>
      <c r="I1154" s="16" t="s">
        <v>343</v>
      </c>
      <c r="J1154" s="17">
        <v>20609463695</v>
      </c>
      <c r="K1154" s="16" t="s">
        <v>73</v>
      </c>
      <c r="L1154" s="16" t="s">
        <v>1654</v>
      </c>
      <c r="M1154" s="16" t="s">
        <v>347</v>
      </c>
      <c r="N1154" s="11"/>
      <c r="O1154" s="11"/>
      <c r="P1154" s="16" t="s">
        <v>344</v>
      </c>
      <c r="Q1154" s="16" t="s">
        <v>345</v>
      </c>
      <c r="R1154" s="16" t="s">
        <v>342</v>
      </c>
      <c r="S1154" s="11" t="s">
        <v>2118</v>
      </c>
    </row>
    <row r="1155" spans="1:19" s="20" customFormat="1" ht="21.75" hidden="1" customHeight="1" x14ac:dyDescent="0.2">
      <c r="A1155" s="16" t="s">
        <v>2120</v>
      </c>
      <c r="B1155" s="17" t="s">
        <v>2121</v>
      </c>
      <c r="C1155" s="18">
        <v>46107</v>
      </c>
      <c r="D1155" s="21">
        <v>48</v>
      </c>
      <c r="E1155" s="19">
        <v>4</v>
      </c>
      <c r="F1155" s="16" t="s">
        <v>85</v>
      </c>
      <c r="G1155" s="16" t="s">
        <v>90</v>
      </c>
      <c r="H1155" s="16" t="s">
        <v>76</v>
      </c>
      <c r="I1155" s="16" t="s">
        <v>1361</v>
      </c>
      <c r="J1155" s="17">
        <v>20101904874</v>
      </c>
      <c r="K1155" s="11"/>
      <c r="L1155" s="105"/>
      <c r="M1155" s="16"/>
      <c r="N1155" s="11"/>
      <c r="O1155" s="11"/>
      <c r="P1155" s="16"/>
      <c r="Q1155" s="16" t="s">
        <v>2122</v>
      </c>
      <c r="R1155" s="16"/>
      <c r="S1155" s="11"/>
    </row>
    <row r="1156" spans="1:19" ht="21.75" hidden="1" customHeight="1" x14ac:dyDescent="0.25">
      <c r="A1156" s="16" t="s">
        <v>2148</v>
      </c>
      <c r="B1156" s="16" t="s">
        <v>2149</v>
      </c>
      <c r="C1156" s="18">
        <v>46109</v>
      </c>
      <c r="D1156" s="21">
        <v>48</v>
      </c>
      <c r="E1156" s="19">
        <v>4</v>
      </c>
      <c r="F1156" s="16" t="s">
        <v>85</v>
      </c>
      <c r="G1156" s="16" t="s">
        <v>90</v>
      </c>
      <c r="H1156" s="16" t="s">
        <v>99</v>
      </c>
      <c r="I1156" s="16" t="s">
        <v>1361</v>
      </c>
      <c r="J1156" s="17">
        <v>20101904874</v>
      </c>
      <c r="K1156" s="11"/>
      <c r="L1156" s="16" t="s">
        <v>547</v>
      </c>
      <c r="M1156" s="16" t="s">
        <v>474</v>
      </c>
      <c r="N1156" s="11"/>
      <c r="O1156" s="11"/>
      <c r="P1156" s="16" t="s">
        <v>513</v>
      </c>
      <c r="Q1156" s="16" t="s">
        <v>529</v>
      </c>
      <c r="R1156" s="16" t="s">
        <v>505</v>
      </c>
      <c r="S1156" s="11" t="s">
        <v>2150</v>
      </c>
    </row>
    <row r="1157" spans="1:19" ht="21.75" hidden="1" customHeight="1" x14ac:dyDescent="0.25">
      <c r="A1157" s="16" t="s">
        <v>2152</v>
      </c>
      <c r="B1157" s="14"/>
      <c r="C1157" s="18">
        <v>46109</v>
      </c>
      <c r="D1157" s="21">
        <v>240</v>
      </c>
      <c r="E1157" s="19">
        <v>20</v>
      </c>
      <c r="F1157" s="16" t="s">
        <v>23</v>
      </c>
      <c r="G1157" s="14" t="s">
        <v>2153</v>
      </c>
      <c r="H1157" s="11" t="s">
        <v>1650</v>
      </c>
      <c r="I1157" s="11" t="s">
        <v>1709</v>
      </c>
      <c r="J1157" s="14">
        <v>20505694202</v>
      </c>
      <c r="K1157" s="14">
        <v>998328225</v>
      </c>
      <c r="L1157" s="11" t="s">
        <v>1710</v>
      </c>
      <c r="M1157" s="16" t="s">
        <v>347</v>
      </c>
      <c r="N1157" s="11"/>
      <c r="O1157" s="11"/>
      <c r="P1157" s="16" t="s">
        <v>1818</v>
      </c>
      <c r="Q1157" s="11" t="s">
        <v>1711</v>
      </c>
      <c r="R1157" s="16" t="s">
        <v>396</v>
      </c>
      <c r="S1157" s="11" t="s">
        <v>1816</v>
      </c>
    </row>
    <row r="1158" spans="1:19" s="20" customFormat="1" ht="21.75" hidden="1" customHeight="1" x14ac:dyDescent="0.2">
      <c r="A1158" s="16" t="s">
        <v>2163</v>
      </c>
      <c r="B1158" s="14" t="s">
        <v>2164</v>
      </c>
      <c r="C1158" s="18">
        <v>46112</v>
      </c>
      <c r="D1158" s="21">
        <v>1</v>
      </c>
      <c r="E1158" s="19">
        <v>1</v>
      </c>
      <c r="F1158" s="16" t="s">
        <v>755</v>
      </c>
      <c r="G1158" s="14" t="s">
        <v>769</v>
      </c>
      <c r="H1158" s="16" t="s">
        <v>99</v>
      </c>
      <c r="I1158" s="16" t="s">
        <v>2165</v>
      </c>
      <c r="J1158" s="17" t="s">
        <v>2166</v>
      </c>
      <c r="K1158" s="11" t="s">
        <v>2168</v>
      </c>
      <c r="L1158" s="16" t="s">
        <v>2167</v>
      </c>
      <c r="M1158" s="16" t="s">
        <v>476</v>
      </c>
      <c r="N1158" s="11"/>
      <c r="O1158" s="11"/>
      <c r="P1158" s="11" t="s">
        <v>2169</v>
      </c>
      <c r="Q1158" s="11"/>
      <c r="R1158" s="16" t="s">
        <v>933</v>
      </c>
      <c r="S1158" s="11"/>
    </row>
    <row r="1159" spans="1:19" ht="21.75" hidden="1" customHeight="1" x14ac:dyDescent="0.25">
      <c r="A1159" s="16" t="s">
        <v>2204</v>
      </c>
      <c r="B1159" s="16" t="s">
        <v>73</v>
      </c>
      <c r="C1159" s="52">
        <v>46119</v>
      </c>
      <c r="D1159" s="21">
        <v>600</v>
      </c>
      <c r="E1159" s="19">
        <v>50</v>
      </c>
      <c r="F1159" s="16" t="s">
        <v>33</v>
      </c>
      <c r="G1159" s="16" t="s">
        <v>107</v>
      </c>
      <c r="H1159" s="16" t="s">
        <v>1650</v>
      </c>
      <c r="I1159" s="16" t="s">
        <v>826</v>
      </c>
      <c r="J1159" s="17">
        <v>20521326574</v>
      </c>
      <c r="K1159" s="17" t="s">
        <v>841</v>
      </c>
      <c r="L1159" s="16" t="s">
        <v>832</v>
      </c>
      <c r="M1159" s="16" t="s">
        <v>347</v>
      </c>
      <c r="N1159" s="11"/>
      <c r="O1159" s="11"/>
      <c r="P1159" s="16" t="s">
        <v>828</v>
      </c>
      <c r="Q1159" s="69" t="s">
        <v>835</v>
      </c>
      <c r="R1159" s="16" t="s">
        <v>396</v>
      </c>
      <c r="S1159" s="11"/>
    </row>
    <row r="1160" spans="1:19" ht="21.75" hidden="1" customHeight="1" x14ac:dyDescent="0.25">
      <c r="A1160" s="16" t="s">
        <v>2204</v>
      </c>
      <c r="B1160" s="16" t="s">
        <v>73</v>
      </c>
      <c r="C1160" s="52">
        <v>46119</v>
      </c>
      <c r="D1160" s="21">
        <v>300</v>
      </c>
      <c r="E1160" s="19">
        <v>50</v>
      </c>
      <c r="F1160" s="16" t="s">
        <v>822</v>
      </c>
      <c r="G1160" s="16" t="s">
        <v>824</v>
      </c>
      <c r="H1160" s="16" t="s">
        <v>1650</v>
      </c>
      <c r="I1160" s="16" t="s">
        <v>826</v>
      </c>
      <c r="J1160" s="17">
        <v>20521326574</v>
      </c>
      <c r="K1160" s="17" t="s">
        <v>841</v>
      </c>
      <c r="L1160" s="16" t="s">
        <v>832</v>
      </c>
      <c r="M1160" s="16" t="s">
        <v>347</v>
      </c>
      <c r="N1160" s="11"/>
      <c r="O1160" s="11"/>
      <c r="P1160" s="16" t="s">
        <v>828</v>
      </c>
      <c r="Q1160" s="69" t="s">
        <v>835</v>
      </c>
      <c r="R1160" s="16" t="s">
        <v>396</v>
      </c>
      <c r="S1160" s="11"/>
    </row>
    <row r="1161" spans="1:19" s="20" customFormat="1" ht="21.75" hidden="1" customHeight="1" x14ac:dyDescent="0.2">
      <c r="A1161" s="16" t="s">
        <v>2209</v>
      </c>
      <c r="B1161" s="14" t="s">
        <v>2210</v>
      </c>
      <c r="C1161" s="52">
        <v>46119</v>
      </c>
      <c r="D1161" s="21">
        <v>1</v>
      </c>
      <c r="E1161" s="25">
        <v>1</v>
      </c>
      <c r="F1161" s="16" t="s">
        <v>2211</v>
      </c>
      <c r="G1161" s="14" t="s">
        <v>2212</v>
      </c>
      <c r="H1161" s="16" t="s">
        <v>99</v>
      </c>
      <c r="I1161" s="16" t="s">
        <v>2213</v>
      </c>
      <c r="J1161" s="16" t="s">
        <v>2214</v>
      </c>
      <c r="K1161" s="11" t="s">
        <v>2215</v>
      </c>
      <c r="L1161" s="16" t="s">
        <v>2216</v>
      </c>
      <c r="M1161" s="16" t="s">
        <v>1657</v>
      </c>
      <c r="N1161" s="11"/>
      <c r="O1161" s="11"/>
      <c r="P1161" s="11"/>
      <c r="Q1161" s="11" t="s">
        <v>2217</v>
      </c>
      <c r="R1161" s="16" t="s">
        <v>933</v>
      </c>
      <c r="S1161" s="11"/>
    </row>
    <row r="1162" spans="1:19" s="20" customFormat="1" ht="21.75" hidden="1" customHeight="1" x14ac:dyDescent="0.2">
      <c r="A1162" s="84" t="s">
        <v>2218</v>
      </c>
      <c r="B1162" s="84" t="s">
        <v>2219</v>
      </c>
      <c r="C1162" s="52">
        <v>46119</v>
      </c>
      <c r="D1162" s="55">
        <v>24</v>
      </c>
      <c r="E1162" s="54">
        <v>2</v>
      </c>
      <c r="F1162" s="84" t="s">
        <v>85</v>
      </c>
      <c r="G1162" s="84" t="s">
        <v>90</v>
      </c>
      <c r="H1162" s="56" t="s">
        <v>99</v>
      </c>
      <c r="I1162" s="84" t="s">
        <v>575</v>
      </c>
      <c r="J1162" s="17">
        <v>20101904874</v>
      </c>
      <c r="K1162" s="17" t="s">
        <v>73</v>
      </c>
      <c r="L1162" s="16" t="s">
        <v>535</v>
      </c>
      <c r="M1162" s="16" t="s">
        <v>299</v>
      </c>
      <c r="N1162" s="11"/>
      <c r="O1162" s="11"/>
      <c r="P1162" s="16" t="s">
        <v>513</v>
      </c>
      <c r="Q1162" s="16" t="s">
        <v>517</v>
      </c>
      <c r="R1162" s="16" t="s">
        <v>505</v>
      </c>
      <c r="S1162" s="11"/>
    </row>
    <row r="1163" spans="1:19" s="20" customFormat="1" ht="21.75" hidden="1" customHeight="1" x14ac:dyDescent="0.2">
      <c r="A1163" s="84" t="s">
        <v>2218</v>
      </c>
      <c r="B1163" s="84" t="s">
        <v>2219</v>
      </c>
      <c r="C1163" s="52">
        <v>46119</v>
      </c>
      <c r="D1163" s="55">
        <v>6</v>
      </c>
      <c r="E1163" s="54">
        <v>1</v>
      </c>
      <c r="F1163" s="84" t="s">
        <v>506</v>
      </c>
      <c r="G1163" s="84" t="s">
        <v>509</v>
      </c>
      <c r="H1163" s="56" t="s">
        <v>99</v>
      </c>
      <c r="I1163" s="84" t="s">
        <v>575</v>
      </c>
      <c r="J1163" s="17">
        <v>20101904874</v>
      </c>
      <c r="K1163" s="17" t="s">
        <v>73</v>
      </c>
      <c r="L1163" s="16" t="s">
        <v>535</v>
      </c>
      <c r="M1163" s="16" t="s">
        <v>299</v>
      </c>
      <c r="N1163" s="11"/>
      <c r="O1163" s="11"/>
      <c r="P1163" s="16" t="s">
        <v>513</v>
      </c>
      <c r="Q1163" s="16" t="s">
        <v>517</v>
      </c>
      <c r="R1163" s="16" t="s">
        <v>505</v>
      </c>
      <c r="S1163" s="11"/>
    </row>
    <row r="1164" spans="1:19" s="20" customFormat="1" ht="21.75" hidden="1" customHeight="1" x14ac:dyDescent="0.2">
      <c r="A1164" s="84" t="s">
        <v>2218</v>
      </c>
      <c r="B1164" s="84" t="s">
        <v>2219</v>
      </c>
      <c r="C1164" s="52">
        <v>46119</v>
      </c>
      <c r="D1164" s="55">
        <v>36</v>
      </c>
      <c r="E1164" s="54">
        <v>3</v>
      </c>
      <c r="F1164" s="84" t="s">
        <v>85</v>
      </c>
      <c r="G1164" s="84" t="s">
        <v>90</v>
      </c>
      <c r="H1164" s="56" t="s">
        <v>99</v>
      </c>
      <c r="I1164" s="84" t="s">
        <v>184</v>
      </c>
      <c r="J1164" s="17">
        <v>20101904874</v>
      </c>
      <c r="K1164" s="17" t="s">
        <v>73</v>
      </c>
      <c r="L1164" s="16" t="s">
        <v>536</v>
      </c>
      <c r="M1164" s="16" t="s">
        <v>312</v>
      </c>
      <c r="N1164" s="11"/>
      <c r="O1164" s="11"/>
      <c r="P1164" s="16" t="s">
        <v>514</v>
      </c>
      <c r="Q1164" s="16" t="s">
        <v>518</v>
      </c>
      <c r="R1164" s="16" t="s">
        <v>505</v>
      </c>
      <c r="S1164" s="11"/>
    </row>
    <row r="1165" spans="1:19" s="20" customFormat="1" ht="21.75" hidden="1" customHeight="1" x14ac:dyDescent="0.2">
      <c r="A1165" s="84" t="s">
        <v>2218</v>
      </c>
      <c r="B1165" s="84" t="s">
        <v>2219</v>
      </c>
      <c r="C1165" s="52">
        <v>46119</v>
      </c>
      <c r="D1165" s="55">
        <v>12</v>
      </c>
      <c r="E1165" s="54">
        <v>1</v>
      </c>
      <c r="F1165" s="84" t="s">
        <v>85</v>
      </c>
      <c r="G1165" s="84" t="s">
        <v>90</v>
      </c>
      <c r="H1165" s="56" t="s">
        <v>99</v>
      </c>
      <c r="I1165" s="84" t="s">
        <v>554</v>
      </c>
      <c r="J1165" s="80">
        <v>20101904874</v>
      </c>
      <c r="K1165" s="80" t="s">
        <v>73</v>
      </c>
      <c r="L1165" s="16" t="s">
        <v>538</v>
      </c>
      <c r="M1165" s="16" t="s">
        <v>474</v>
      </c>
      <c r="N1165" s="11"/>
      <c r="O1165" s="11"/>
      <c r="P1165" s="16" t="s">
        <v>513</v>
      </c>
      <c r="Q1165" s="16" t="s">
        <v>520</v>
      </c>
      <c r="R1165" s="16" t="s">
        <v>505</v>
      </c>
      <c r="S1165" s="11"/>
    </row>
    <row r="1166" spans="1:19" s="20" customFormat="1" ht="21.75" hidden="1" customHeight="1" x14ac:dyDescent="0.2">
      <c r="A1166" s="84" t="s">
        <v>2218</v>
      </c>
      <c r="B1166" s="84" t="s">
        <v>2219</v>
      </c>
      <c r="C1166" s="52">
        <v>46119</v>
      </c>
      <c r="D1166" s="55">
        <v>12</v>
      </c>
      <c r="E1166" s="54">
        <v>1</v>
      </c>
      <c r="F1166" s="84" t="s">
        <v>85</v>
      </c>
      <c r="G1166" s="84" t="s">
        <v>90</v>
      </c>
      <c r="H1166" s="56" t="s">
        <v>99</v>
      </c>
      <c r="I1166" s="84" t="s">
        <v>577</v>
      </c>
      <c r="J1166" s="17">
        <v>20101904874</v>
      </c>
      <c r="K1166" s="17" t="s">
        <v>73</v>
      </c>
      <c r="L1166" s="16" t="s">
        <v>539</v>
      </c>
      <c r="M1166" s="16" t="s">
        <v>306</v>
      </c>
      <c r="N1166" s="11"/>
      <c r="O1166" s="11"/>
      <c r="P1166" s="16" t="s">
        <v>513</v>
      </c>
      <c r="Q1166" s="16" t="s">
        <v>521</v>
      </c>
      <c r="R1166" s="16" t="s">
        <v>505</v>
      </c>
      <c r="S1166" s="11"/>
    </row>
    <row r="1167" spans="1:19" s="20" customFormat="1" ht="21.75" hidden="1" customHeight="1" x14ac:dyDescent="0.2">
      <c r="A1167" s="84" t="s">
        <v>2218</v>
      </c>
      <c r="B1167" s="84" t="s">
        <v>2219</v>
      </c>
      <c r="C1167" s="52">
        <v>46119</v>
      </c>
      <c r="D1167" s="55">
        <v>12</v>
      </c>
      <c r="E1167" s="54">
        <v>1</v>
      </c>
      <c r="F1167" s="84" t="s">
        <v>85</v>
      </c>
      <c r="G1167" s="84" t="s">
        <v>90</v>
      </c>
      <c r="H1167" s="56" t="s">
        <v>99</v>
      </c>
      <c r="I1167" s="84" t="s">
        <v>578</v>
      </c>
      <c r="J1167" s="17">
        <v>20101904874</v>
      </c>
      <c r="K1167" s="16" t="s">
        <v>73</v>
      </c>
      <c r="L1167" s="16" t="s">
        <v>540</v>
      </c>
      <c r="M1167" s="16" t="s">
        <v>299</v>
      </c>
      <c r="N1167" s="11"/>
      <c r="O1167" s="11"/>
      <c r="P1167" s="16" t="s">
        <v>513</v>
      </c>
      <c r="Q1167" s="16" t="s">
        <v>522</v>
      </c>
      <c r="R1167" s="16" t="s">
        <v>505</v>
      </c>
      <c r="S1167" s="11"/>
    </row>
    <row r="1168" spans="1:19" s="20" customFormat="1" ht="21.75" hidden="1" customHeight="1" x14ac:dyDescent="0.2">
      <c r="A1168" s="84" t="s">
        <v>2218</v>
      </c>
      <c r="B1168" s="84" t="s">
        <v>2219</v>
      </c>
      <c r="C1168" s="52">
        <v>46119</v>
      </c>
      <c r="D1168" s="55">
        <v>12</v>
      </c>
      <c r="E1168" s="54">
        <v>1</v>
      </c>
      <c r="F1168" s="84" t="s">
        <v>85</v>
      </c>
      <c r="G1168" s="84" t="s">
        <v>90</v>
      </c>
      <c r="H1168" s="56" t="s">
        <v>99</v>
      </c>
      <c r="I1168" s="84" t="s">
        <v>579</v>
      </c>
      <c r="J1168" s="17">
        <v>20101904874</v>
      </c>
      <c r="K1168" s="16" t="s">
        <v>73</v>
      </c>
      <c r="L1168" s="16" t="s">
        <v>541</v>
      </c>
      <c r="M1168" s="16" t="s">
        <v>347</v>
      </c>
      <c r="N1168" s="11"/>
      <c r="O1168" s="11"/>
      <c r="P1168" s="16" t="s">
        <v>514</v>
      </c>
      <c r="Q1168" s="16" t="s">
        <v>523</v>
      </c>
      <c r="R1168" s="16" t="s">
        <v>505</v>
      </c>
      <c r="S1168" s="11"/>
    </row>
    <row r="1169" spans="1:19" s="20" customFormat="1" ht="21.75" hidden="1" customHeight="1" x14ac:dyDescent="0.2">
      <c r="A1169" s="84" t="s">
        <v>2218</v>
      </c>
      <c r="B1169" s="84" t="s">
        <v>2219</v>
      </c>
      <c r="C1169" s="52">
        <v>46119</v>
      </c>
      <c r="D1169" s="55">
        <v>12</v>
      </c>
      <c r="E1169" s="54">
        <v>1</v>
      </c>
      <c r="F1169" s="84" t="s">
        <v>85</v>
      </c>
      <c r="G1169" s="84" t="s">
        <v>90</v>
      </c>
      <c r="H1169" s="16" t="s">
        <v>76</v>
      </c>
      <c r="I1169" s="16" t="s">
        <v>580</v>
      </c>
      <c r="J1169" s="17">
        <v>20101904874</v>
      </c>
      <c r="K1169" s="11"/>
      <c r="L1169" s="16" t="s">
        <v>542</v>
      </c>
      <c r="M1169" s="16" t="s">
        <v>299</v>
      </c>
      <c r="N1169" s="11"/>
      <c r="O1169" s="11"/>
      <c r="P1169" s="16" t="s">
        <v>513</v>
      </c>
      <c r="Q1169" s="16" t="s">
        <v>524</v>
      </c>
      <c r="R1169" s="16" t="s">
        <v>505</v>
      </c>
      <c r="S1169" s="11"/>
    </row>
    <row r="1170" spans="1:19" s="20" customFormat="1" ht="21.75" hidden="1" customHeight="1" x14ac:dyDescent="0.2">
      <c r="A1170" s="84" t="s">
        <v>2218</v>
      </c>
      <c r="B1170" s="84" t="s">
        <v>2219</v>
      </c>
      <c r="C1170" s="52">
        <v>46119</v>
      </c>
      <c r="D1170" s="55">
        <v>24</v>
      </c>
      <c r="E1170" s="54">
        <v>2</v>
      </c>
      <c r="F1170" s="84" t="s">
        <v>85</v>
      </c>
      <c r="G1170" s="84" t="s">
        <v>90</v>
      </c>
      <c r="H1170" s="16" t="s">
        <v>99</v>
      </c>
      <c r="I1170" s="84" t="s">
        <v>1886</v>
      </c>
      <c r="J1170" s="17">
        <v>20101904874</v>
      </c>
      <c r="K1170" s="80" t="s">
        <v>73</v>
      </c>
      <c r="L1170" s="16" t="s">
        <v>1372</v>
      </c>
      <c r="M1170" s="16" t="s">
        <v>533</v>
      </c>
      <c r="N1170" s="11"/>
      <c r="O1170" s="11"/>
      <c r="P1170" s="16" t="s">
        <v>515</v>
      </c>
      <c r="Q1170" s="16" t="s">
        <v>1368</v>
      </c>
      <c r="R1170" s="16" t="s">
        <v>505</v>
      </c>
      <c r="S1170" s="11"/>
    </row>
    <row r="1171" spans="1:19" s="20" customFormat="1" ht="21.75" hidden="1" customHeight="1" x14ac:dyDescent="0.2">
      <c r="A1171" s="84" t="s">
        <v>2220</v>
      </c>
      <c r="B1171" s="84" t="s">
        <v>2221</v>
      </c>
      <c r="C1171" s="52">
        <v>46119</v>
      </c>
      <c r="D1171" s="21">
        <v>24</v>
      </c>
      <c r="E1171" s="19">
        <v>2</v>
      </c>
      <c r="F1171" s="16" t="s">
        <v>85</v>
      </c>
      <c r="G1171" s="16" t="s">
        <v>90</v>
      </c>
      <c r="H1171" s="16" t="s">
        <v>99</v>
      </c>
      <c r="I1171" s="16" t="s">
        <v>2222</v>
      </c>
      <c r="J1171" s="17">
        <v>20101904874</v>
      </c>
      <c r="K1171" s="11"/>
      <c r="L1171" s="16" t="s">
        <v>1373</v>
      </c>
      <c r="M1171" s="16" t="s">
        <v>299</v>
      </c>
      <c r="N1171" s="11"/>
      <c r="O1171" s="11"/>
      <c r="P1171" s="16" t="s">
        <v>513</v>
      </c>
      <c r="Q1171" s="16" t="s">
        <v>1369</v>
      </c>
      <c r="R1171" s="16" t="s">
        <v>505</v>
      </c>
      <c r="S1171" s="11"/>
    </row>
    <row r="1172" spans="1:19" s="20" customFormat="1" ht="21.75" hidden="1" customHeight="1" x14ac:dyDescent="0.2">
      <c r="A1172" s="84" t="s">
        <v>2220</v>
      </c>
      <c r="B1172" s="84" t="s">
        <v>2221</v>
      </c>
      <c r="C1172" s="52">
        <v>46119</v>
      </c>
      <c r="D1172" s="55">
        <v>24</v>
      </c>
      <c r="E1172" s="54">
        <v>2</v>
      </c>
      <c r="F1172" s="84" t="s">
        <v>85</v>
      </c>
      <c r="G1172" s="84" t="s">
        <v>90</v>
      </c>
      <c r="H1172" s="56" t="s">
        <v>99</v>
      </c>
      <c r="I1172" s="84" t="s">
        <v>556</v>
      </c>
      <c r="J1172" s="80">
        <v>20101904874</v>
      </c>
      <c r="K1172" s="80" t="s">
        <v>73</v>
      </c>
      <c r="L1172" s="16" t="s">
        <v>544</v>
      </c>
      <c r="M1172" s="16" t="s">
        <v>474</v>
      </c>
      <c r="N1172" s="11"/>
      <c r="O1172" s="11"/>
      <c r="P1172" s="16" t="s">
        <v>513</v>
      </c>
      <c r="Q1172" s="16" t="s">
        <v>526</v>
      </c>
      <c r="R1172" s="16" t="s">
        <v>505</v>
      </c>
      <c r="S1172" s="11"/>
    </row>
    <row r="1173" spans="1:19" s="20" customFormat="1" ht="21.75" hidden="1" customHeight="1" x14ac:dyDescent="0.2">
      <c r="A1173" s="84" t="s">
        <v>2220</v>
      </c>
      <c r="B1173" s="84" t="s">
        <v>2221</v>
      </c>
      <c r="C1173" s="52">
        <v>46119</v>
      </c>
      <c r="D1173" s="55">
        <v>24</v>
      </c>
      <c r="E1173" s="54">
        <v>2</v>
      </c>
      <c r="F1173" s="84" t="s">
        <v>85</v>
      </c>
      <c r="G1173" s="84" t="s">
        <v>90</v>
      </c>
      <c r="H1173" s="56" t="s">
        <v>99</v>
      </c>
      <c r="I1173" s="84" t="s">
        <v>582</v>
      </c>
      <c r="J1173" s="17">
        <v>20101904874</v>
      </c>
      <c r="K1173" s="17" t="s">
        <v>73</v>
      </c>
      <c r="L1173" s="16" t="s">
        <v>546</v>
      </c>
      <c r="M1173" s="16" t="s">
        <v>306</v>
      </c>
      <c r="N1173" s="11"/>
      <c r="O1173" s="11"/>
      <c r="P1173" s="16" t="s">
        <v>513</v>
      </c>
      <c r="Q1173" s="16" t="s">
        <v>528</v>
      </c>
      <c r="R1173" s="16" t="s">
        <v>505</v>
      </c>
      <c r="S1173" s="11"/>
    </row>
    <row r="1174" spans="1:19" s="20" customFormat="1" ht="21.75" hidden="1" customHeight="1" x14ac:dyDescent="0.2">
      <c r="A1174" s="84" t="s">
        <v>2220</v>
      </c>
      <c r="B1174" s="84" t="s">
        <v>2221</v>
      </c>
      <c r="C1174" s="52">
        <v>46119</v>
      </c>
      <c r="D1174" s="55">
        <v>24</v>
      </c>
      <c r="E1174" s="54">
        <v>2</v>
      </c>
      <c r="F1174" s="84" t="s">
        <v>85</v>
      </c>
      <c r="G1174" s="84" t="s">
        <v>90</v>
      </c>
      <c r="H1174" s="56" t="s">
        <v>99</v>
      </c>
      <c r="I1174" s="84" t="s">
        <v>583</v>
      </c>
      <c r="J1174" s="17">
        <v>20101904874</v>
      </c>
      <c r="K1174" s="17" t="s">
        <v>73</v>
      </c>
      <c r="L1174" s="16" t="s">
        <v>548</v>
      </c>
      <c r="M1174" s="16" t="s">
        <v>312</v>
      </c>
      <c r="N1174" s="11"/>
      <c r="O1174" s="11"/>
      <c r="P1174" s="16" t="s">
        <v>514</v>
      </c>
      <c r="Q1174" s="16" t="s">
        <v>530</v>
      </c>
      <c r="R1174" s="16" t="s">
        <v>505</v>
      </c>
      <c r="S1174" s="11"/>
    </row>
    <row r="1175" spans="1:19" s="20" customFormat="1" ht="21.75" hidden="1" customHeight="1" x14ac:dyDescent="0.2">
      <c r="A1175" s="84" t="s">
        <v>2220</v>
      </c>
      <c r="B1175" s="84" t="s">
        <v>2221</v>
      </c>
      <c r="C1175" s="52">
        <v>46119</v>
      </c>
      <c r="D1175" s="21">
        <v>24</v>
      </c>
      <c r="E1175" s="19">
        <v>2</v>
      </c>
      <c r="F1175" s="16" t="s">
        <v>85</v>
      </c>
      <c r="G1175" s="16" t="s">
        <v>90</v>
      </c>
      <c r="H1175" s="16" t="s">
        <v>99</v>
      </c>
      <c r="I1175" s="84" t="s">
        <v>1897</v>
      </c>
      <c r="J1175" s="17">
        <v>20101904874</v>
      </c>
      <c r="K1175" s="11"/>
      <c r="L1175" s="16" t="s">
        <v>1374</v>
      </c>
      <c r="M1175" s="16" t="s">
        <v>286</v>
      </c>
      <c r="N1175" s="11"/>
      <c r="O1175" s="11"/>
      <c r="P1175" s="16" t="s">
        <v>514</v>
      </c>
      <c r="Q1175" s="16" t="s">
        <v>1370</v>
      </c>
      <c r="R1175" s="16" t="s">
        <v>505</v>
      </c>
      <c r="S1175" s="11"/>
    </row>
    <row r="1176" spans="1:19" s="20" customFormat="1" ht="21.75" hidden="1" customHeight="1" x14ac:dyDescent="0.2">
      <c r="A1176" s="84" t="s">
        <v>2220</v>
      </c>
      <c r="B1176" s="84" t="s">
        <v>2221</v>
      </c>
      <c r="C1176" s="52">
        <v>46119</v>
      </c>
      <c r="D1176" s="21">
        <v>12</v>
      </c>
      <c r="E1176" s="19">
        <v>1</v>
      </c>
      <c r="F1176" s="84" t="s">
        <v>507</v>
      </c>
      <c r="G1176" s="84" t="s">
        <v>510</v>
      </c>
      <c r="H1176" s="16" t="s">
        <v>99</v>
      </c>
      <c r="I1176" s="84" t="s">
        <v>1897</v>
      </c>
      <c r="J1176" s="17">
        <v>20101904874</v>
      </c>
      <c r="K1176" s="11"/>
      <c r="L1176" s="16" t="s">
        <v>1374</v>
      </c>
      <c r="M1176" s="16" t="s">
        <v>286</v>
      </c>
      <c r="N1176" s="11"/>
      <c r="O1176" s="11"/>
      <c r="P1176" s="16" t="s">
        <v>514</v>
      </c>
      <c r="Q1176" s="16" t="s">
        <v>1370</v>
      </c>
      <c r="R1176" s="16" t="s">
        <v>505</v>
      </c>
      <c r="S1176" s="11"/>
    </row>
    <row r="1177" spans="1:19" s="20" customFormat="1" ht="21.75" hidden="1" customHeight="1" x14ac:dyDescent="0.2">
      <c r="A1177" s="84" t="s">
        <v>2220</v>
      </c>
      <c r="B1177" s="84" t="s">
        <v>2221</v>
      </c>
      <c r="C1177" s="52">
        <v>46119</v>
      </c>
      <c r="D1177" s="55">
        <v>12</v>
      </c>
      <c r="E1177" s="54">
        <v>1</v>
      </c>
      <c r="F1177" s="84" t="s">
        <v>85</v>
      </c>
      <c r="G1177" s="84" t="s">
        <v>90</v>
      </c>
      <c r="H1177" s="56" t="s">
        <v>99</v>
      </c>
      <c r="I1177" s="84" t="s">
        <v>558</v>
      </c>
      <c r="J1177" s="80">
        <v>20101904874</v>
      </c>
      <c r="K1177" s="80" t="s">
        <v>73</v>
      </c>
      <c r="L1177" s="16" t="s">
        <v>549</v>
      </c>
      <c r="M1177" s="16" t="s">
        <v>533</v>
      </c>
      <c r="N1177" s="11"/>
      <c r="O1177" s="11"/>
      <c r="P1177" s="16" t="s">
        <v>515</v>
      </c>
      <c r="Q1177" s="16" t="s">
        <v>531</v>
      </c>
      <c r="R1177" s="16" t="s">
        <v>505</v>
      </c>
      <c r="S1177" s="11"/>
    </row>
    <row r="1178" spans="1:19" s="20" customFormat="1" ht="21.75" hidden="1" customHeight="1" x14ac:dyDescent="0.2">
      <c r="A1178" s="84" t="s">
        <v>2220</v>
      </c>
      <c r="B1178" s="84" t="s">
        <v>2221</v>
      </c>
      <c r="C1178" s="52">
        <v>46119</v>
      </c>
      <c r="D1178" s="55">
        <v>12</v>
      </c>
      <c r="E1178" s="54">
        <v>1</v>
      </c>
      <c r="F1178" s="84" t="s">
        <v>507</v>
      </c>
      <c r="G1178" s="84" t="s">
        <v>510</v>
      </c>
      <c r="H1178" s="56" t="s">
        <v>99</v>
      </c>
      <c r="I1178" s="84" t="s">
        <v>558</v>
      </c>
      <c r="J1178" s="80">
        <v>20101904874</v>
      </c>
      <c r="K1178" s="80" t="s">
        <v>73</v>
      </c>
      <c r="L1178" s="16" t="s">
        <v>549</v>
      </c>
      <c r="M1178" s="16" t="s">
        <v>533</v>
      </c>
      <c r="N1178" s="11"/>
      <c r="O1178" s="11"/>
      <c r="P1178" s="16" t="s">
        <v>515</v>
      </c>
      <c r="Q1178" s="16" t="s">
        <v>531</v>
      </c>
      <c r="R1178" s="16" t="s">
        <v>505</v>
      </c>
      <c r="S1178" s="11"/>
    </row>
    <row r="1179" spans="1:19" s="20" customFormat="1" ht="21.75" hidden="1" customHeight="1" x14ac:dyDescent="0.2">
      <c r="A1179" s="84" t="s">
        <v>2220</v>
      </c>
      <c r="B1179" s="84" t="s">
        <v>2221</v>
      </c>
      <c r="C1179" s="52">
        <v>46119</v>
      </c>
      <c r="D1179" s="55">
        <v>12</v>
      </c>
      <c r="E1179" s="54">
        <v>1</v>
      </c>
      <c r="F1179" s="84" t="s">
        <v>85</v>
      </c>
      <c r="G1179" s="84" t="s">
        <v>90</v>
      </c>
      <c r="H1179" s="56" t="s">
        <v>99</v>
      </c>
      <c r="I1179" s="84" t="s">
        <v>559</v>
      </c>
      <c r="J1179" s="80">
        <v>20101904874</v>
      </c>
      <c r="K1179" s="84" t="s">
        <v>73</v>
      </c>
      <c r="L1179" s="16" t="s">
        <v>550</v>
      </c>
      <c r="M1179" s="16" t="s">
        <v>533</v>
      </c>
      <c r="N1179" s="11"/>
      <c r="O1179" s="11"/>
      <c r="P1179" s="16" t="s">
        <v>515</v>
      </c>
      <c r="Q1179" s="16" t="s">
        <v>532</v>
      </c>
      <c r="R1179" s="16" t="s">
        <v>505</v>
      </c>
      <c r="S1179" s="11"/>
    </row>
    <row r="1180" spans="1:19" s="20" customFormat="1" ht="21.75" hidden="1" customHeight="1" x14ac:dyDescent="0.2">
      <c r="A1180" s="84" t="s">
        <v>2220</v>
      </c>
      <c r="B1180" s="84" t="s">
        <v>2221</v>
      </c>
      <c r="C1180" s="52">
        <v>46119</v>
      </c>
      <c r="D1180" s="55">
        <v>12</v>
      </c>
      <c r="E1180" s="54">
        <v>1</v>
      </c>
      <c r="F1180" s="84" t="s">
        <v>507</v>
      </c>
      <c r="G1180" s="84" t="s">
        <v>510</v>
      </c>
      <c r="H1180" s="56" t="s">
        <v>99</v>
      </c>
      <c r="I1180" s="84" t="s">
        <v>559</v>
      </c>
      <c r="J1180" s="80">
        <v>20101904874</v>
      </c>
      <c r="K1180" s="84" t="s">
        <v>73</v>
      </c>
      <c r="L1180" s="16" t="s">
        <v>550</v>
      </c>
      <c r="M1180" s="16" t="s">
        <v>533</v>
      </c>
      <c r="N1180" s="11"/>
      <c r="O1180" s="11"/>
      <c r="P1180" s="16" t="s">
        <v>515</v>
      </c>
      <c r="Q1180" s="16" t="s">
        <v>532</v>
      </c>
      <c r="R1180" s="16" t="s">
        <v>505</v>
      </c>
      <c r="S1180" s="11"/>
    </row>
    <row r="1181" spans="1:19" s="20" customFormat="1" ht="21.75" hidden="1" customHeight="1" x14ac:dyDescent="0.2">
      <c r="A1181" s="84" t="s">
        <v>2207</v>
      </c>
      <c r="B1181" s="16" t="s">
        <v>2208</v>
      </c>
      <c r="C1181" s="52">
        <v>46119</v>
      </c>
      <c r="D1181" s="21">
        <v>2</v>
      </c>
      <c r="E1181" s="19">
        <v>2</v>
      </c>
      <c r="F1181" s="16" t="s">
        <v>1820</v>
      </c>
      <c r="G1181" s="16" t="s">
        <v>1821</v>
      </c>
      <c r="H1181" s="11" t="s">
        <v>76</v>
      </c>
      <c r="I1181" s="16" t="s">
        <v>457</v>
      </c>
      <c r="J1181" s="17">
        <v>20536876953</v>
      </c>
      <c r="K1181" s="16" t="s">
        <v>73</v>
      </c>
      <c r="L1181" s="16" t="s">
        <v>464</v>
      </c>
      <c r="M1181" s="16" t="s">
        <v>472</v>
      </c>
      <c r="N1181" s="11"/>
      <c r="O1181" s="11"/>
      <c r="P1181" s="11" t="s">
        <v>2091</v>
      </c>
      <c r="Q1181" s="11"/>
      <c r="R1181" s="16" t="s">
        <v>439</v>
      </c>
      <c r="S1181" s="11"/>
    </row>
    <row r="1182" spans="1:19" s="20" customFormat="1" ht="21.75" hidden="1" customHeight="1" x14ac:dyDescent="0.2">
      <c r="A1182" s="84" t="s">
        <v>2207</v>
      </c>
      <c r="B1182" s="16" t="s">
        <v>2208</v>
      </c>
      <c r="C1182" s="52">
        <v>46119</v>
      </c>
      <c r="D1182" s="21">
        <v>2</v>
      </c>
      <c r="E1182" s="19">
        <v>2</v>
      </c>
      <c r="F1182" s="16" t="s">
        <v>443</v>
      </c>
      <c r="G1182" s="16" t="s">
        <v>450</v>
      </c>
      <c r="H1182" s="11" t="s">
        <v>76</v>
      </c>
      <c r="I1182" s="16" t="s">
        <v>457</v>
      </c>
      <c r="J1182" s="17">
        <v>20536876953</v>
      </c>
      <c r="K1182" s="16" t="s">
        <v>73</v>
      </c>
      <c r="L1182" s="16" t="s">
        <v>464</v>
      </c>
      <c r="M1182" s="16" t="s">
        <v>472</v>
      </c>
      <c r="N1182" s="11"/>
      <c r="O1182" s="11"/>
      <c r="P1182" s="11" t="s">
        <v>2091</v>
      </c>
      <c r="Q1182" s="11"/>
      <c r="R1182" s="16" t="s">
        <v>439</v>
      </c>
      <c r="S1182" s="11"/>
    </row>
    <row r="1183" spans="1:19" s="20" customFormat="1" ht="21.75" hidden="1" customHeight="1" x14ac:dyDescent="0.2">
      <c r="A1183" s="84" t="s">
        <v>2205</v>
      </c>
      <c r="B1183" s="16" t="s">
        <v>73</v>
      </c>
      <c r="C1183" s="52">
        <v>46119</v>
      </c>
      <c r="D1183" s="40">
        <v>144</v>
      </c>
      <c r="E1183" s="19">
        <v>6</v>
      </c>
      <c r="F1183" s="16" t="s">
        <v>2206</v>
      </c>
      <c r="G1183" s="16" t="s">
        <v>128</v>
      </c>
      <c r="H1183" s="16" t="s">
        <v>1650</v>
      </c>
      <c r="I1183" s="16" t="s">
        <v>379</v>
      </c>
      <c r="J1183" s="17">
        <v>20101596363</v>
      </c>
      <c r="K1183" s="16" t="s">
        <v>399</v>
      </c>
      <c r="L1183" s="16" t="s">
        <v>1705</v>
      </c>
      <c r="M1183" s="16" t="s">
        <v>347</v>
      </c>
      <c r="N1183" s="11"/>
      <c r="O1183" s="11"/>
      <c r="P1183" s="16" t="s">
        <v>1712</v>
      </c>
      <c r="Q1183" s="11" t="s">
        <v>1713</v>
      </c>
      <c r="R1183" s="16" t="s">
        <v>396</v>
      </c>
      <c r="S1183" s="11"/>
    </row>
    <row r="1184" spans="1:19" s="20" customFormat="1" ht="21.75" hidden="1" customHeight="1" x14ac:dyDescent="0.2">
      <c r="A1184" s="84" t="s">
        <v>2205</v>
      </c>
      <c r="B1184" s="16" t="s">
        <v>73</v>
      </c>
      <c r="C1184" s="52">
        <v>46119</v>
      </c>
      <c r="D1184" s="40">
        <v>24</v>
      </c>
      <c r="E1184" s="19">
        <v>2</v>
      </c>
      <c r="F1184" s="16" t="s">
        <v>27</v>
      </c>
      <c r="G1184" s="16" t="s">
        <v>103</v>
      </c>
      <c r="H1184" s="16" t="s">
        <v>1650</v>
      </c>
      <c r="I1184" s="16" t="s">
        <v>379</v>
      </c>
      <c r="J1184" s="17">
        <v>20101596363</v>
      </c>
      <c r="K1184" s="16" t="s">
        <v>399</v>
      </c>
      <c r="L1184" s="16" t="s">
        <v>1705</v>
      </c>
      <c r="M1184" s="16" t="s">
        <v>347</v>
      </c>
      <c r="N1184" s="11"/>
      <c r="O1184" s="11"/>
      <c r="P1184" s="16" t="s">
        <v>1712</v>
      </c>
      <c r="Q1184" s="11" t="s">
        <v>1713</v>
      </c>
      <c r="R1184" s="16" t="s">
        <v>396</v>
      </c>
      <c r="S1184" s="11"/>
    </row>
    <row r="1185" spans="1:19" s="20" customFormat="1" ht="21.75" hidden="1" customHeight="1" x14ac:dyDescent="0.2">
      <c r="A1185" s="84" t="s">
        <v>2205</v>
      </c>
      <c r="B1185" s="16" t="s">
        <v>73</v>
      </c>
      <c r="C1185" s="52">
        <v>46119</v>
      </c>
      <c r="D1185" s="40">
        <v>24</v>
      </c>
      <c r="E1185" s="19">
        <v>4</v>
      </c>
      <c r="F1185" s="16" t="s">
        <v>822</v>
      </c>
      <c r="G1185" s="16" t="s">
        <v>824</v>
      </c>
      <c r="H1185" s="16" t="s">
        <v>1650</v>
      </c>
      <c r="I1185" s="16" t="s">
        <v>379</v>
      </c>
      <c r="J1185" s="17">
        <v>20101596363</v>
      </c>
      <c r="K1185" s="16" t="s">
        <v>399</v>
      </c>
      <c r="L1185" s="16" t="s">
        <v>1705</v>
      </c>
      <c r="M1185" s="16" t="s">
        <v>347</v>
      </c>
      <c r="N1185" s="11"/>
      <c r="O1185" s="11"/>
      <c r="P1185" s="16" t="s">
        <v>1712</v>
      </c>
      <c r="Q1185" s="11" t="s">
        <v>1713</v>
      </c>
      <c r="R1185" s="16" t="s">
        <v>396</v>
      </c>
      <c r="S1185" s="11"/>
    </row>
    <row r="1186" spans="1:19" ht="21.75" hidden="1" customHeight="1" x14ac:dyDescent="0.25">
      <c r="A1186" s="84" t="s">
        <v>2202</v>
      </c>
      <c r="B1186" s="80"/>
      <c r="C1186" s="52">
        <v>46119</v>
      </c>
      <c r="D1186" s="55">
        <v>10</v>
      </c>
      <c r="E1186" s="213">
        <v>2</v>
      </c>
      <c r="F1186" s="84" t="s">
        <v>2170</v>
      </c>
      <c r="G1186" s="84" t="s">
        <v>2171</v>
      </c>
      <c r="H1186" s="84" t="s">
        <v>76</v>
      </c>
      <c r="I1186" s="84" t="s">
        <v>1627</v>
      </c>
      <c r="J1186" s="17">
        <v>20205605500</v>
      </c>
      <c r="K1186" s="17" t="s">
        <v>73</v>
      </c>
      <c r="L1186" s="16" t="s">
        <v>1633</v>
      </c>
      <c r="M1186" s="16" t="s">
        <v>299</v>
      </c>
      <c r="N1186" s="11"/>
      <c r="O1186" s="11"/>
      <c r="P1186" s="16" t="s">
        <v>1631</v>
      </c>
      <c r="Q1186" s="11"/>
      <c r="R1186" s="16" t="s">
        <v>395</v>
      </c>
      <c r="S1186" s="11"/>
    </row>
    <row r="1187" spans="1:19" ht="21.75" hidden="1" customHeight="1" x14ac:dyDescent="0.25">
      <c r="A1187" s="84" t="s">
        <v>2202</v>
      </c>
      <c r="B1187" s="80"/>
      <c r="C1187" s="52">
        <v>46119</v>
      </c>
      <c r="D1187" s="55">
        <v>9</v>
      </c>
      <c r="E1187" s="214"/>
      <c r="F1187" s="84" t="s">
        <v>2172</v>
      </c>
      <c r="G1187" s="84" t="s">
        <v>2173</v>
      </c>
      <c r="H1187" s="84" t="s">
        <v>76</v>
      </c>
      <c r="I1187" s="84" t="s">
        <v>1627</v>
      </c>
      <c r="J1187" s="17">
        <v>20205605500</v>
      </c>
      <c r="K1187" s="17" t="s">
        <v>73</v>
      </c>
      <c r="L1187" s="16" t="s">
        <v>1633</v>
      </c>
      <c r="M1187" s="16" t="s">
        <v>299</v>
      </c>
      <c r="N1187" s="11"/>
      <c r="O1187" s="11"/>
      <c r="P1187" s="16" t="s">
        <v>1631</v>
      </c>
      <c r="Q1187" s="11"/>
      <c r="R1187" s="16" t="s">
        <v>395</v>
      </c>
      <c r="S1187" s="11"/>
    </row>
    <row r="1188" spans="1:19" ht="21.75" hidden="1" customHeight="1" x14ac:dyDescent="0.25">
      <c r="A1188" s="84" t="s">
        <v>2202</v>
      </c>
      <c r="B1188" s="80"/>
      <c r="C1188" s="52">
        <v>46119</v>
      </c>
      <c r="D1188" s="55">
        <v>3</v>
      </c>
      <c r="E1188" s="214"/>
      <c r="F1188" s="84" t="s">
        <v>1629</v>
      </c>
      <c r="G1188" s="84" t="s">
        <v>1630</v>
      </c>
      <c r="H1188" s="84" t="s">
        <v>76</v>
      </c>
      <c r="I1188" s="84" t="s">
        <v>1627</v>
      </c>
      <c r="J1188" s="17">
        <v>20205605500</v>
      </c>
      <c r="K1188" s="17" t="s">
        <v>73</v>
      </c>
      <c r="L1188" s="16" t="s">
        <v>1633</v>
      </c>
      <c r="M1188" s="16" t="s">
        <v>299</v>
      </c>
      <c r="N1188" s="11"/>
      <c r="O1188" s="11"/>
      <c r="P1188" s="16" t="s">
        <v>1631</v>
      </c>
      <c r="Q1188" s="11"/>
      <c r="R1188" s="16" t="s">
        <v>395</v>
      </c>
      <c r="S1188" s="11"/>
    </row>
    <row r="1189" spans="1:19" ht="21.75" hidden="1" customHeight="1" x14ac:dyDescent="0.25">
      <c r="A1189" s="84" t="s">
        <v>2202</v>
      </c>
      <c r="B1189" s="80"/>
      <c r="C1189" s="52">
        <v>46119</v>
      </c>
      <c r="D1189" s="55">
        <v>2</v>
      </c>
      <c r="E1189" s="214"/>
      <c r="F1189" s="84" t="s">
        <v>2174</v>
      </c>
      <c r="G1189" s="84" t="s">
        <v>2175</v>
      </c>
      <c r="H1189" s="84" t="s">
        <v>76</v>
      </c>
      <c r="I1189" s="84" t="s">
        <v>1627</v>
      </c>
      <c r="J1189" s="17">
        <v>20205605500</v>
      </c>
      <c r="K1189" s="17" t="s">
        <v>73</v>
      </c>
      <c r="L1189" s="16" t="s">
        <v>1633</v>
      </c>
      <c r="M1189" s="16" t="s">
        <v>299</v>
      </c>
      <c r="N1189" s="11"/>
      <c r="O1189" s="11"/>
      <c r="P1189" s="16" t="s">
        <v>1631</v>
      </c>
      <c r="Q1189" s="11"/>
      <c r="R1189" s="16" t="s">
        <v>395</v>
      </c>
      <c r="S1189" s="11"/>
    </row>
    <row r="1190" spans="1:19" ht="21.75" hidden="1" customHeight="1" x14ac:dyDescent="0.25">
      <c r="A1190" s="84" t="s">
        <v>2202</v>
      </c>
      <c r="B1190" s="80"/>
      <c r="C1190" s="52">
        <v>46119</v>
      </c>
      <c r="D1190" s="55">
        <v>5</v>
      </c>
      <c r="E1190" s="214"/>
      <c r="F1190" s="84" t="s">
        <v>2176</v>
      </c>
      <c r="G1190" s="84" t="s">
        <v>2177</v>
      </c>
      <c r="H1190" s="84" t="s">
        <v>76</v>
      </c>
      <c r="I1190" s="84" t="s">
        <v>1627</v>
      </c>
      <c r="J1190" s="17">
        <v>20205605500</v>
      </c>
      <c r="K1190" s="17" t="s">
        <v>73</v>
      </c>
      <c r="L1190" s="16" t="s">
        <v>1633</v>
      </c>
      <c r="M1190" s="16" t="s">
        <v>299</v>
      </c>
      <c r="N1190" s="11"/>
      <c r="O1190" s="11"/>
      <c r="P1190" s="16" t="s">
        <v>1631</v>
      </c>
      <c r="Q1190" s="11"/>
      <c r="R1190" s="16" t="s">
        <v>395</v>
      </c>
      <c r="S1190" s="11"/>
    </row>
    <row r="1191" spans="1:19" ht="21.75" hidden="1" customHeight="1" x14ac:dyDescent="0.25">
      <c r="A1191" s="84" t="s">
        <v>2202</v>
      </c>
      <c r="B1191" s="80"/>
      <c r="C1191" s="52">
        <v>46119</v>
      </c>
      <c r="D1191" s="55">
        <v>1</v>
      </c>
      <c r="E1191" s="215"/>
      <c r="F1191" s="84" t="s">
        <v>2178</v>
      </c>
      <c r="G1191" s="84" t="s">
        <v>2179</v>
      </c>
      <c r="H1191" s="84" t="s">
        <v>76</v>
      </c>
      <c r="I1191" s="84" t="s">
        <v>1627</v>
      </c>
      <c r="J1191" s="17">
        <v>20205605500</v>
      </c>
      <c r="K1191" s="17" t="s">
        <v>73</v>
      </c>
      <c r="L1191" s="16" t="s">
        <v>1633</v>
      </c>
      <c r="M1191" s="16" t="s">
        <v>299</v>
      </c>
      <c r="N1191" s="11"/>
      <c r="O1191" s="11"/>
      <c r="P1191" s="16" t="s">
        <v>1631</v>
      </c>
      <c r="Q1191" s="11"/>
      <c r="R1191" s="16" t="s">
        <v>395</v>
      </c>
      <c r="S1191" s="11"/>
    </row>
    <row r="1192" spans="1:19" ht="21.75" hidden="1" customHeight="1" x14ac:dyDescent="0.25">
      <c r="A1192" s="84" t="s">
        <v>2180</v>
      </c>
      <c r="B1192" s="14"/>
      <c r="C1192" s="18">
        <v>46113</v>
      </c>
      <c r="D1192" s="19">
        <v>240</v>
      </c>
      <c r="E1192" s="19">
        <v>20</v>
      </c>
      <c r="F1192" s="11" t="s">
        <v>33</v>
      </c>
      <c r="G1192" s="14" t="s">
        <v>107</v>
      </c>
      <c r="H1192" s="84" t="s">
        <v>1650</v>
      </c>
      <c r="I1192" s="11" t="s">
        <v>47</v>
      </c>
      <c r="J1192" s="14">
        <v>20609731070</v>
      </c>
      <c r="K1192" s="14">
        <v>996752772</v>
      </c>
      <c r="L1192" s="11" t="s">
        <v>1009</v>
      </c>
      <c r="M1192" s="16" t="s">
        <v>347</v>
      </c>
      <c r="N1192" s="11"/>
      <c r="O1192" s="11"/>
      <c r="P1192" s="16" t="s">
        <v>1001</v>
      </c>
      <c r="Q1192" s="11" t="s">
        <v>1003</v>
      </c>
      <c r="R1192" s="11" t="s">
        <v>396</v>
      </c>
      <c r="S1192" s="11"/>
    </row>
    <row r="1193" spans="1:19" ht="21.75" hidden="1" customHeight="1" x14ac:dyDescent="0.25">
      <c r="A1193" s="46" t="s">
        <v>2181</v>
      </c>
      <c r="B1193" s="34" t="s">
        <v>2185</v>
      </c>
      <c r="C1193" s="115">
        <v>46113</v>
      </c>
      <c r="D1193" s="116">
        <v>1</v>
      </c>
      <c r="E1193" s="116">
        <v>1</v>
      </c>
      <c r="F1193" s="29" t="s">
        <v>17</v>
      </c>
      <c r="G1193" s="34" t="s">
        <v>91</v>
      </c>
      <c r="H1193" s="84" t="s">
        <v>99</v>
      </c>
      <c r="I1193" s="11" t="s">
        <v>2182</v>
      </c>
      <c r="J1193" s="14" t="s">
        <v>2183</v>
      </c>
      <c r="K1193" s="14" t="s">
        <v>2184</v>
      </c>
      <c r="L1193" s="11" t="s">
        <v>2186</v>
      </c>
      <c r="M1193" s="16" t="s">
        <v>392</v>
      </c>
      <c r="N1193" s="11"/>
      <c r="O1193" s="11"/>
      <c r="P1193" s="16" t="s">
        <v>2187</v>
      </c>
      <c r="Q1193" s="11"/>
      <c r="R1193" s="11" t="s">
        <v>933</v>
      </c>
      <c r="S1193" s="11"/>
    </row>
    <row r="1194" spans="1:19" ht="21.75" hidden="1" customHeight="1" x14ac:dyDescent="0.25">
      <c r="A1194" s="84" t="s">
        <v>2189</v>
      </c>
      <c r="B1194" s="17"/>
      <c r="C1194" s="18">
        <v>46113</v>
      </c>
      <c r="D1194" s="19">
        <v>5</v>
      </c>
      <c r="E1194" s="19">
        <v>1</v>
      </c>
      <c r="F1194" s="16" t="s">
        <v>2191</v>
      </c>
      <c r="G1194" s="16" t="s">
        <v>2193</v>
      </c>
      <c r="H1194" s="84" t="s">
        <v>99</v>
      </c>
      <c r="I1194" s="16" t="s">
        <v>2190</v>
      </c>
      <c r="J1194" s="17">
        <v>20206062402</v>
      </c>
      <c r="K1194" s="17">
        <v>997524398</v>
      </c>
      <c r="L1194" s="16" t="s">
        <v>2192</v>
      </c>
      <c r="M1194" s="16" t="s">
        <v>474</v>
      </c>
      <c r="N1194" s="11"/>
      <c r="O1194" s="11"/>
      <c r="P1194" s="16" t="s">
        <v>2187</v>
      </c>
      <c r="Q1194" s="11"/>
      <c r="R1194" s="11" t="s">
        <v>933</v>
      </c>
      <c r="S1194" s="11"/>
    </row>
    <row r="1195" spans="1:19" ht="21.75" hidden="1" customHeight="1" x14ac:dyDescent="0.25">
      <c r="A1195" s="84" t="s">
        <v>2203</v>
      </c>
      <c r="B1195" s="32" t="s">
        <v>260</v>
      </c>
      <c r="C1195" s="52">
        <v>46119</v>
      </c>
      <c r="D1195" s="55">
        <v>1</v>
      </c>
      <c r="E1195" s="54">
        <v>1</v>
      </c>
      <c r="F1195" s="84" t="s">
        <v>2176</v>
      </c>
      <c r="G1195" s="84" t="s">
        <v>2177</v>
      </c>
      <c r="H1195" s="84" t="s">
        <v>76</v>
      </c>
      <c r="I1195" s="84" t="s">
        <v>1627</v>
      </c>
      <c r="J1195" s="17">
        <v>20205605500</v>
      </c>
      <c r="K1195" s="17" t="s">
        <v>73</v>
      </c>
      <c r="L1195" s="16" t="s">
        <v>1633</v>
      </c>
      <c r="M1195" s="16" t="s">
        <v>299</v>
      </c>
      <c r="N1195" s="11"/>
      <c r="O1195" s="11"/>
      <c r="P1195" s="16" t="s">
        <v>1631</v>
      </c>
      <c r="Q1195" s="29" t="s">
        <v>425</v>
      </c>
      <c r="R1195" s="16" t="s">
        <v>395</v>
      </c>
      <c r="S1195" s="11"/>
    </row>
    <row r="1196" spans="1:19" ht="21.75" hidden="1" customHeight="1" x14ac:dyDescent="0.25">
      <c r="A1196" s="84" t="s">
        <v>2188</v>
      </c>
      <c r="B1196" s="16" t="s">
        <v>73</v>
      </c>
      <c r="C1196" s="18">
        <v>46113</v>
      </c>
      <c r="D1196" s="21">
        <v>180</v>
      </c>
      <c r="E1196" s="19">
        <v>10</v>
      </c>
      <c r="F1196" s="16" t="s">
        <v>20</v>
      </c>
      <c r="G1196" s="16" t="s">
        <v>113</v>
      </c>
      <c r="H1196" s="84" t="s">
        <v>1650</v>
      </c>
      <c r="I1196" s="16" t="s">
        <v>1434</v>
      </c>
      <c r="J1196" s="17">
        <v>20609429659</v>
      </c>
      <c r="K1196" s="17">
        <v>989372072</v>
      </c>
      <c r="L1196" s="16" t="s">
        <v>1637</v>
      </c>
      <c r="M1196" s="16" t="s">
        <v>75</v>
      </c>
      <c r="N1196" s="11"/>
      <c r="O1196" s="11"/>
      <c r="P1196" s="16" t="s">
        <v>1638</v>
      </c>
      <c r="Q1196" s="11" t="s">
        <v>1639</v>
      </c>
      <c r="R1196" s="16" t="s">
        <v>396</v>
      </c>
      <c r="S1196" s="11"/>
    </row>
    <row r="1197" spans="1:19" ht="21.75" hidden="1" customHeight="1" x14ac:dyDescent="0.25">
      <c r="A1197" s="84" t="s">
        <v>2188</v>
      </c>
      <c r="B1197" s="16" t="s">
        <v>73</v>
      </c>
      <c r="C1197" s="18">
        <v>46113</v>
      </c>
      <c r="D1197" s="21">
        <v>60</v>
      </c>
      <c r="E1197" s="19">
        <v>2</v>
      </c>
      <c r="F1197" s="16" t="s">
        <v>21</v>
      </c>
      <c r="G1197" s="16" t="s">
        <v>115</v>
      </c>
      <c r="H1197" s="84" t="s">
        <v>1650</v>
      </c>
      <c r="I1197" s="16" t="s">
        <v>1434</v>
      </c>
      <c r="J1197" s="17">
        <v>20609429659</v>
      </c>
      <c r="K1197" s="17">
        <v>989372072</v>
      </c>
      <c r="L1197" s="16" t="s">
        <v>1637</v>
      </c>
      <c r="M1197" s="16" t="s">
        <v>75</v>
      </c>
      <c r="N1197" s="11"/>
      <c r="O1197" s="11"/>
      <c r="P1197" s="16" t="s">
        <v>1638</v>
      </c>
      <c r="Q1197" s="11" t="s">
        <v>1639</v>
      </c>
      <c r="R1197" s="16" t="s">
        <v>396</v>
      </c>
      <c r="S1197" s="11"/>
    </row>
    <row r="1198" spans="1:19" s="20" customFormat="1" ht="21.75" hidden="1" customHeight="1" x14ac:dyDescent="0.2">
      <c r="A1198" s="16" t="s">
        <v>2195</v>
      </c>
      <c r="B1198" s="14"/>
      <c r="C1198" s="18">
        <v>46113</v>
      </c>
      <c r="D1198" s="21">
        <v>72</v>
      </c>
      <c r="E1198" s="19">
        <v>6</v>
      </c>
      <c r="F1198" s="16" t="s">
        <v>24</v>
      </c>
      <c r="G1198" s="16" t="s">
        <v>112</v>
      </c>
      <c r="H1198" s="84" t="s">
        <v>76</v>
      </c>
      <c r="I1198" s="16" t="s">
        <v>1433</v>
      </c>
      <c r="J1198" s="17">
        <v>20609357917</v>
      </c>
      <c r="K1198" s="114"/>
      <c r="L1198" s="105"/>
      <c r="M1198" s="105"/>
      <c r="N1198" s="11"/>
      <c r="O1198" s="11"/>
      <c r="P1198" s="11"/>
      <c r="Q1198" s="11"/>
      <c r="R1198" s="16" t="s">
        <v>396</v>
      </c>
      <c r="S1198" s="11"/>
    </row>
    <row r="1199" spans="1:19" ht="21.75" hidden="1" customHeight="1" x14ac:dyDescent="0.25">
      <c r="A1199" s="16" t="s">
        <v>2194</v>
      </c>
      <c r="B1199" s="17">
        <v>13833549</v>
      </c>
      <c r="C1199" s="18">
        <v>46116</v>
      </c>
      <c r="D1199" s="21">
        <v>192</v>
      </c>
      <c r="E1199" s="25">
        <f>192/24</f>
        <v>8</v>
      </c>
      <c r="F1199" s="16" t="s">
        <v>18</v>
      </c>
      <c r="G1199" s="16" t="s">
        <v>109</v>
      </c>
      <c r="H1199" s="84" t="s">
        <v>76</v>
      </c>
      <c r="I1199" s="26" t="s">
        <v>134</v>
      </c>
      <c r="J1199" s="23">
        <v>20100070970</v>
      </c>
      <c r="K1199" s="11"/>
      <c r="L1199" s="26" t="s">
        <v>1632</v>
      </c>
      <c r="M1199" s="16" t="s">
        <v>77</v>
      </c>
      <c r="N1199" s="11"/>
      <c r="O1199" s="11"/>
      <c r="P1199" s="16" t="s">
        <v>1912</v>
      </c>
      <c r="Q1199" s="16"/>
      <c r="R1199" s="26" t="s">
        <v>143</v>
      </c>
      <c r="S1199" s="11"/>
    </row>
    <row r="1200" spans="1:19" ht="21.75" hidden="1" customHeight="1" x14ac:dyDescent="0.25">
      <c r="A1200" s="16" t="s">
        <v>2194</v>
      </c>
      <c r="B1200" s="17">
        <v>13833549</v>
      </c>
      <c r="C1200" s="18">
        <v>46116</v>
      </c>
      <c r="D1200" s="21">
        <v>48</v>
      </c>
      <c r="E1200" s="25">
        <v>4</v>
      </c>
      <c r="F1200" s="16" t="s">
        <v>19</v>
      </c>
      <c r="G1200" s="16" t="s">
        <v>120</v>
      </c>
      <c r="H1200" s="84" t="s">
        <v>76</v>
      </c>
      <c r="I1200" s="26" t="s">
        <v>134</v>
      </c>
      <c r="J1200" s="23">
        <v>20100070970</v>
      </c>
      <c r="K1200" s="11"/>
      <c r="L1200" s="26" t="s">
        <v>1632</v>
      </c>
      <c r="M1200" s="16" t="s">
        <v>77</v>
      </c>
      <c r="N1200" s="11"/>
      <c r="O1200" s="11"/>
      <c r="P1200" s="16" t="s">
        <v>1912</v>
      </c>
      <c r="Q1200" s="16"/>
      <c r="R1200" s="26" t="s">
        <v>143</v>
      </c>
      <c r="S1200" s="11"/>
    </row>
    <row r="1201" spans="1:19" ht="21.75" hidden="1" customHeight="1" x14ac:dyDescent="0.25">
      <c r="A1201" s="16" t="s">
        <v>2194</v>
      </c>
      <c r="B1201" s="17">
        <v>13833549</v>
      </c>
      <c r="C1201" s="18">
        <v>46116</v>
      </c>
      <c r="D1201" s="21">
        <v>12</v>
      </c>
      <c r="E1201" s="25">
        <v>1</v>
      </c>
      <c r="F1201" s="16" t="s">
        <v>20</v>
      </c>
      <c r="G1201" s="16" t="s">
        <v>120</v>
      </c>
      <c r="H1201" s="84" t="s">
        <v>76</v>
      </c>
      <c r="I1201" s="26" t="s">
        <v>134</v>
      </c>
      <c r="J1201" s="23">
        <v>20100070970</v>
      </c>
      <c r="K1201" s="11"/>
      <c r="L1201" s="26" t="s">
        <v>1632</v>
      </c>
      <c r="M1201" s="16" t="s">
        <v>77</v>
      </c>
      <c r="N1201" s="11"/>
      <c r="O1201" s="11"/>
      <c r="P1201" s="16" t="s">
        <v>1912</v>
      </c>
      <c r="Q1201" s="16"/>
      <c r="R1201" s="26" t="s">
        <v>143</v>
      </c>
      <c r="S1201" s="11"/>
    </row>
    <row r="1202" spans="1:19" ht="21.75" hidden="1" customHeight="1" x14ac:dyDescent="0.25">
      <c r="A1202" s="16" t="s">
        <v>2194</v>
      </c>
      <c r="B1202" s="17">
        <v>13833549</v>
      </c>
      <c r="C1202" s="18">
        <v>46116</v>
      </c>
      <c r="D1202" s="21">
        <v>48</v>
      </c>
      <c r="E1202" s="25">
        <v>4</v>
      </c>
      <c r="F1202" s="16" t="s">
        <v>21</v>
      </c>
      <c r="G1202" s="16" t="s">
        <v>115</v>
      </c>
      <c r="H1202" s="84" t="s">
        <v>76</v>
      </c>
      <c r="I1202" s="26" t="s">
        <v>134</v>
      </c>
      <c r="J1202" s="23">
        <v>20100070970</v>
      </c>
      <c r="K1202" s="11"/>
      <c r="L1202" s="26" t="s">
        <v>1632</v>
      </c>
      <c r="M1202" s="16" t="s">
        <v>77</v>
      </c>
      <c r="N1202" s="11"/>
      <c r="O1202" s="11"/>
      <c r="P1202" s="16" t="s">
        <v>1912</v>
      </c>
      <c r="Q1202" s="16"/>
      <c r="R1202" s="26" t="s">
        <v>143</v>
      </c>
      <c r="S1202" s="11"/>
    </row>
    <row r="1203" spans="1:19" ht="21.75" hidden="1" customHeight="1" x14ac:dyDescent="0.25">
      <c r="A1203" s="16" t="s">
        <v>2194</v>
      </c>
      <c r="B1203" s="17">
        <v>13833549</v>
      </c>
      <c r="C1203" s="18">
        <v>46116</v>
      </c>
      <c r="D1203" s="21">
        <v>192</v>
      </c>
      <c r="E1203" s="25">
        <f>192/48</f>
        <v>4</v>
      </c>
      <c r="F1203" s="16" t="s">
        <v>22</v>
      </c>
      <c r="G1203" s="16" t="s">
        <v>108</v>
      </c>
      <c r="H1203" s="84" t="s">
        <v>76</v>
      </c>
      <c r="I1203" s="26" t="s">
        <v>134</v>
      </c>
      <c r="J1203" s="23">
        <v>20100070970</v>
      </c>
      <c r="K1203" s="11"/>
      <c r="L1203" s="26" t="s">
        <v>1632</v>
      </c>
      <c r="M1203" s="16" t="s">
        <v>77</v>
      </c>
      <c r="N1203" s="11"/>
      <c r="O1203" s="11"/>
      <c r="P1203" s="16" t="s">
        <v>1912</v>
      </c>
      <c r="Q1203" s="16"/>
      <c r="R1203" s="26" t="s">
        <v>143</v>
      </c>
      <c r="S1203" s="11"/>
    </row>
    <row r="1204" spans="1:19" ht="21.75" hidden="1" customHeight="1" x14ac:dyDescent="0.25">
      <c r="A1204" s="16" t="s">
        <v>2194</v>
      </c>
      <c r="B1204" s="17">
        <v>13833549</v>
      </c>
      <c r="C1204" s="18">
        <v>46116</v>
      </c>
      <c r="D1204" s="21">
        <v>204</v>
      </c>
      <c r="E1204" s="25">
        <v>17</v>
      </c>
      <c r="F1204" s="16" t="s">
        <v>23</v>
      </c>
      <c r="G1204" s="16" t="s">
        <v>119</v>
      </c>
      <c r="H1204" s="84" t="s">
        <v>76</v>
      </c>
      <c r="I1204" s="26" t="s">
        <v>134</v>
      </c>
      <c r="J1204" s="23">
        <v>20100070970</v>
      </c>
      <c r="K1204" s="11"/>
      <c r="L1204" s="26" t="s">
        <v>1632</v>
      </c>
      <c r="M1204" s="16" t="s">
        <v>77</v>
      </c>
      <c r="N1204" s="11"/>
      <c r="O1204" s="11"/>
      <c r="P1204" s="16" t="s">
        <v>1912</v>
      </c>
      <c r="Q1204" s="16"/>
      <c r="R1204" s="26" t="s">
        <v>143</v>
      </c>
      <c r="S1204" s="11"/>
    </row>
    <row r="1205" spans="1:19" ht="21.75" hidden="1" customHeight="1" x14ac:dyDescent="0.25">
      <c r="A1205" s="16" t="s">
        <v>2194</v>
      </c>
      <c r="B1205" s="17">
        <v>13833549</v>
      </c>
      <c r="C1205" s="18">
        <v>46116</v>
      </c>
      <c r="D1205" s="21">
        <v>60</v>
      </c>
      <c r="E1205" s="25">
        <v>5</v>
      </c>
      <c r="F1205" s="16" t="s">
        <v>24</v>
      </c>
      <c r="G1205" s="16" t="s">
        <v>112</v>
      </c>
      <c r="H1205" s="84" t="s">
        <v>76</v>
      </c>
      <c r="I1205" s="26" t="s">
        <v>134</v>
      </c>
      <c r="J1205" s="23">
        <v>20100070970</v>
      </c>
      <c r="K1205" s="11"/>
      <c r="L1205" s="26" t="s">
        <v>1632</v>
      </c>
      <c r="M1205" s="16" t="s">
        <v>77</v>
      </c>
      <c r="N1205" s="11"/>
      <c r="O1205" s="11"/>
      <c r="P1205" s="16" t="s">
        <v>1912</v>
      </c>
      <c r="Q1205" s="16"/>
      <c r="R1205" s="26" t="s">
        <v>143</v>
      </c>
      <c r="S1205" s="11"/>
    </row>
    <row r="1206" spans="1:19" ht="21.75" hidden="1" customHeight="1" x14ac:dyDescent="0.25">
      <c r="A1206" s="16" t="s">
        <v>2194</v>
      </c>
      <c r="B1206" s="17">
        <v>13833549</v>
      </c>
      <c r="C1206" s="18">
        <v>46116</v>
      </c>
      <c r="D1206" s="21">
        <v>24</v>
      </c>
      <c r="E1206" s="25">
        <v>2</v>
      </c>
      <c r="F1206" s="16" t="s">
        <v>25</v>
      </c>
      <c r="G1206" s="16" t="s">
        <v>136</v>
      </c>
      <c r="H1206" s="84" t="s">
        <v>76</v>
      </c>
      <c r="I1206" s="26" t="s">
        <v>134</v>
      </c>
      <c r="J1206" s="23">
        <v>20100070970</v>
      </c>
      <c r="K1206" s="11"/>
      <c r="L1206" s="26" t="s">
        <v>1632</v>
      </c>
      <c r="M1206" s="16" t="s">
        <v>77</v>
      </c>
      <c r="N1206" s="11"/>
      <c r="O1206" s="11"/>
      <c r="P1206" s="16" t="s">
        <v>1912</v>
      </c>
      <c r="Q1206" s="16"/>
      <c r="R1206" s="26" t="s">
        <v>143</v>
      </c>
      <c r="S1206" s="11"/>
    </row>
    <row r="1207" spans="1:19" ht="21.75" hidden="1" customHeight="1" x14ac:dyDescent="0.25">
      <c r="A1207" s="16" t="s">
        <v>2194</v>
      </c>
      <c r="B1207" s="17">
        <v>13833549</v>
      </c>
      <c r="C1207" s="18">
        <v>46116</v>
      </c>
      <c r="D1207" s="21">
        <v>84</v>
      </c>
      <c r="E1207" s="19">
        <f>84/6</f>
        <v>14</v>
      </c>
      <c r="F1207" s="16" t="s">
        <v>26</v>
      </c>
      <c r="G1207" s="16" t="s">
        <v>111</v>
      </c>
      <c r="H1207" s="84" t="s">
        <v>76</v>
      </c>
      <c r="I1207" s="16" t="s">
        <v>134</v>
      </c>
      <c r="J1207" s="17">
        <v>20100070970</v>
      </c>
      <c r="K1207" s="11"/>
      <c r="L1207" s="16" t="s">
        <v>1632</v>
      </c>
      <c r="M1207" s="16" t="s">
        <v>77</v>
      </c>
      <c r="N1207" s="11"/>
      <c r="O1207" s="11"/>
      <c r="P1207" s="16" t="s">
        <v>1912</v>
      </c>
      <c r="Q1207" s="16"/>
      <c r="R1207" s="16" t="s">
        <v>143</v>
      </c>
      <c r="S1207" s="11"/>
    </row>
    <row r="1208" spans="1:19" ht="21.75" hidden="1" customHeight="1" x14ac:dyDescent="0.25">
      <c r="A1208" s="16" t="s">
        <v>2194</v>
      </c>
      <c r="B1208" s="17">
        <v>13833549</v>
      </c>
      <c r="C1208" s="18">
        <v>46116</v>
      </c>
      <c r="D1208" s="21">
        <v>48</v>
      </c>
      <c r="E1208" s="19">
        <v>4</v>
      </c>
      <c r="F1208" s="16" t="s">
        <v>27</v>
      </c>
      <c r="G1208" s="16" t="s">
        <v>103</v>
      </c>
      <c r="H1208" s="84" t="s">
        <v>76</v>
      </c>
      <c r="I1208" s="16" t="s">
        <v>134</v>
      </c>
      <c r="J1208" s="17">
        <v>20100070970</v>
      </c>
      <c r="K1208" s="11"/>
      <c r="L1208" s="16" t="s">
        <v>1632</v>
      </c>
      <c r="M1208" s="16" t="s">
        <v>77</v>
      </c>
      <c r="N1208" s="11"/>
      <c r="O1208" s="11"/>
      <c r="P1208" s="16" t="s">
        <v>1912</v>
      </c>
      <c r="Q1208" s="16"/>
      <c r="R1208" s="16" t="s">
        <v>143</v>
      </c>
      <c r="S1208" s="11"/>
    </row>
    <row r="1209" spans="1:19" s="20" customFormat="1" ht="21.75" hidden="1" customHeight="1" x14ac:dyDescent="0.2">
      <c r="A1209" s="46" t="s">
        <v>2196</v>
      </c>
      <c r="B1209" s="34"/>
      <c r="C1209" s="115">
        <v>46116</v>
      </c>
      <c r="D1209" s="117">
        <v>5</v>
      </c>
      <c r="E1209" s="116">
        <v>2</v>
      </c>
      <c r="F1209" s="46" t="s">
        <v>323</v>
      </c>
      <c r="G1209" s="46" t="s">
        <v>336</v>
      </c>
      <c r="H1209" s="56" t="s">
        <v>99</v>
      </c>
      <c r="I1209" s="16" t="s">
        <v>2197</v>
      </c>
      <c r="J1209" s="17" t="s">
        <v>2198</v>
      </c>
      <c r="K1209" s="17" t="s">
        <v>2200</v>
      </c>
      <c r="L1209" s="16" t="s">
        <v>2199</v>
      </c>
      <c r="M1209" s="16" t="s">
        <v>473</v>
      </c>
      <c r="N1209" s="11"/>
      <c r="O1209" s="11"/>
      <c r="P1209" s="11" t="s">
        <v>2201</v>
      </c>
      <c r="Q1209" s="11"/>
      <c r="R1209" s="16" t="s">
        <v>442</v>
      </c>
      <c r="S1209" s="11"/>
    </row>
    <row r="1210" spans="1:19" s="20" customFormat="1" ht="21.75" hidden="1" customHeight="1" x14ac:dyDescent="0.2">
      <c r="A1210" s="16" t="s">
        <v>2224</v>
      </c>
      <c r="B1210" s="17" t="s">
        <v>2225</v>
      </c>
      <c r="C1210" s="119">
        <v>46120</v>
      </c>
      <c r="D1210" s="21">
        <v>36</v>
      </c>
      <c r="E1210" s="19">
        <v>3</v>
      </c>
      <c r="F1210" s="16" t="s">
        <v>85</v>
      </c>
      <c r="G1210" s="16" t="s">
        <v>90</v>
      </c>
      <c r="H1210" s="16" t="s">
        <v>76</v>
      </c>
      <c r="I1210" s="16" t="s">
        <v>1361</v>
      </c>
      <c r="J1210" s="93">
        <v>20101904874</v>
      </c>
      <c r="K1210" s="17"/>
      <c r="L1210" s="16" t="s">
        <v>547</v>
      </c>
      <c r="M1210" s="16" t="s">
        <v>474</v>
      </c>
      <c r="N1210" s="11"/>
      <c r="O1210" s="11"/>
      <c r="P1210" s="16" t="s">
        <v>513</v>
      </c>
      <c r="Q1210" s="16" t="s">
        <v>529</v>
      </c>
      <c r="R1210" s="16" t="s">
        <v>505</v>
      </c>
      <c r="S1210" s="11"/>
    </row>
    <row r="1211" spans="1:19" s="20" customFormat="1" ht="21.75" hidden="1" customHeight="1" x14ac:dyDescent="0.2">
      <c r="A1211" s="16" t="s">
        <v>2223</v>
      </c>
      <c r="B1211" s="16" t="s">
        <v>73</v>
      </c>
      <c r="C1211" s="119">
        <v>46121</v>
      </c>
      <c r="D1211" s="21">
        <v>24</v>
      </c>
      <c r="E1211" s="209">
        <v>20</v>
      </c>
      <c r="F1211" s="16" t="s">
        <v>901</v>
      </c>
      <c r="G1211" s="16" t="s">
        <v>918</v>
      </c>
      <c r="H1211" s="16" t="s">
        <v>1544</v>
      </c>
      <c r="I1211" s="16" t="s">
        <v>1542</v>
      </c>
      <c r="J1211" s="16">
        <v>10421359607</v>
      </c>
      <c r="K1211" s="16">
        <v>933694050</v>
      </c>
      <c r="L1211" s="16" t="s">
        <v>1558</v>
      </c>
      <c r="M1211" s="16" t="s">
        <v>697</v>
      </c>
      <c r="N1211" s="11"/>
      <c r="O1211" s="11"/>
      <c r="P1211" s="16" t="s">
        <v>1553</v>
      </c>
      <c r="Q1211" s="16" t="s">
        <v>1556</v>
      </c>
      <c r="R1211" s="79" t="s">
        <v>142</v>
      </c>
      <c r="S1211" s="11"/>
    </row>
    <row r="1212" spans="1:19" s="20" customFormat="1" ht="21.75" hidden="1" customHeight="1" x14ac:dyDescent="0.2">
      <c r="A1212" s="16" t="s">
        <v>2223</v>
      </c>
      <c r="B1212" s="16" t="s">
        <v>73</v>
      </c>
      <c r="C1212" s="119">
        <v>46121</v>
      </c>
      <c r="D1212" s="21">
        <v>24</v>
      </c>
      <c r="E1212" s="209"/>
      <c r="F1212" s="16" t="s">
        <v>902</v>
      </c>
      <c r="G1212" s="16" t="s">
        <v>919</v>
      </c>
      <c r="H1212" s="16" t="s">
        <v>1544</v>
      </c>
      <c r="I1212" s="16" t="s">
        <v>1542</v>
      </c>
      <c r="J1212" s="16">
        <v>10421359607</v>
      </c>
      <c r="K1212" s="16">
        <v>933694050</v>
      </c>
      <c r="L1212" s="16" t="s">
        <v>1558</v>
      </c>
      <c r="M1212" s="16" t="s">
        <v>697</v>
      </c>
      <c r="N1212" s="11"/>
      <c r="O1212" s="11"/>
      <c r="P1212" s="16" t="s">
        <v>1553</v>
      </c>
      <c r="Q1212" s="16" t="s">
        <v>1556</v>
      </c>
      <c r="R1212" s="79" t="s">
        <v>142</v>
      </c>
      <c r="S1212" s="11"/>
    </row>
    <row r="1213" spans="1:19" s="20" customFormat="1" ht="21.75" hidden="1" customHeight="1" x14ac:dyDescent="0.2">
      <c r="A1213" s="16" t="s">
        <v>2223</v>
      </c>
      <c r="B1213" s="16" t="s">
        <v>73</v>
      </c>
      <c r="C1213" s="119">
        <v>46121</v>
      </c>
      <c r="D1213" s="21">
        <v>24</v>
      </c>
      <c r="E1213" s="209"/>
      <c r="F1213" s="16" t="s">
        <v>903</v>
      </c>
      <c r="G1213" s="16" t="s">
        <v>920</v>
      </c>
      <c r="H1213" s="16" t="s">
        <v>1544</v>
      </c>
      <c r="I1213" s="16" t="s">
        <v>1542</v>
      </c>
      <c r="J1213" s="16">
        <v>10421359607</v>
      </c>
      <c r="K1213" s="16">
        <v>933694050</v>
      </c>
      <c r="L1213" s="16" t="s">
        <v>1558</v>
      </c>
      <c r="M1213" s="16" t="s">
        <v>697</v>
      </c>
      <c r="N1213" s="11"/>
      <c r="O1213" s="11"/>
      <c r="P1213" s="16" t="s">
        <v>1553</v>
      </c>
      <c r="Q1213" s="16" t="s">
        <v>1556</v>
      </c>
      <c r="R1213" s="79" t="s">
        <v>142</v>
      </c>
      <c r="S1213" s="11"/>
    </row>
    <row r="1214" spans="1:19" s="20" customFormat="1" ht="21.75" hidden="1" customHeight="1" x14ac:dyDescent="0.2">
      <c r="A1214" s="16" t="s">
        <v>2223</v>
      </c>
      <c r="B1214" s="16" t="s">
        <v>73</v>
      </c>
      <c r="C1214" s="119">
        <v>46121</v>
      </c>
      <c r="D1214" s="21">
        <v>10</v>
      </c>
      <c r="E1214" s="209"/>
      <c r="F1214" s="16" t="s">
        <v>906</v>
      </c>
      <c r="G1214" s="16" t="s">
        <v>923</v>
      </c>
      <c r="H1214" s="16" t="s">
        <v>1544</v>
      </c>
      <c r="I1214" s="16" t="s">
        <v>1542</v>
      </c>
      <c r="J1214" s="16">
        <v>10421359607</v>
      </c>
      <c r="K1214" s="16">
        <v>933694050</v>
      </c>
      <c r="L1214" s="16" t="s">
        <v>1558</v>
      </c>
      <c r="M1214" s="16" t="s">
        <v>697</v>
      </c>
      <c r="N1214" s="11"/>
      <c r="O1214" s="11"/>
      <c r="P1214" s="16" t="s">
        <v>1553</v>
      </c>
      <c r="Q1214" s="16" t="s">
        <v>1556</v>
      </c>
      <c r="R1214" s="79" t="s">
        <v>142</v>
      </c>
      <c r="S1214" s="11"/>
    </row>
    <row r="1215" spans="1:19" s="20" customFormat="1" ht="21.75" hidden="1" customHeight="1" x14ac:dyDescent="0.2">
      <c r="A1215" s="16" t="s">
        <v>2223</v>
      </c>
      <c r="B1215" s="16" t="s">
        <v>73</v>
      </c>
      <c r="C1215" s="119">
        <v>46121</v>
      </c>
      <c r="D1215" s="21">
        <v>10</v>
      </c>
      <c r="E1215" s="209"/>
      <c r="F1215" s="16" t="s">
        <v>907</v>
      </c>
      <c r="G1215" s="16" t="s">
        <v>924</v>
      </c>
      <c r="H1215" s="16" t="s">
        <v>1544</v>
      </c>
      <c r="I1215" s="16" t="s">
        <v>1542</v>
      </c>
      <c r="J1215" s="16">
        <v>10421359607</v>
      </c>
      <c r="K1215" s="16">
        <v>933694050</v>
      </c>
      <c r="L1215" s="16" t="s">
        <v>1558</v>
      </c>
      <c r="M1215" s="16" t="s">
        <v>697</v>
      </c>
      <c r="N1215" s="11"/>
      <c r="O1215" s="11"/>
      <c r="P1215" s="16" t="s">
        <v>1553</v>
      </c>
      <c r="Q1215" s="16" t="s">
        <v>1556</v>
      </c>
      <c r="R1215" s="79" t="s">
        <v>142</v>
      </c>
      <c r="S1215" s="11"/>
    </row>
    <row r="1216" spans="1:19" s="20" customFormat="1" ht="21.75" hidden="1" customHeight="1" x14ac:dyDescent="0.2">
      <c r="A1216" s="16" t="s">
        <v>2223</v>
      </c>
      <c r="B1216" s="16" t="s">
        <v>73</v>
      </c>
      <c r="C1216" s="119">
        <v>46121</v>
      </c>
      <c r="D1216" s="21">
        <v>10</v>
      </c>
      <c r="E1216" s="209"/>
      <c r="F1216" s="16" t="s">
        <v>908</v>
      </c>
      <c r="G1216" s="16" t="s">
        <v>925</v>
      </c>
      <c r="H1216" s="16" t="s">
        <v>1544</v>
      </c>
      <c r="I1216" s="16" t="s">
        <v>1542</v>
      </c>
      <c r="J1216" s="16">
        <v>10421359607</v>
      </c>
      <c r="K1216" s="16">
        <v>933694050</v>
      </c>
      <c r="L1216" s="16" t="s">
        <v>1558</v>
      </c>
      <c r="M1216" s="16" t="s">
        <v>697</v>
      </c>
      <c r="N1216" s="11"/>
      <c r="O1216" s="11"/>
      <c r="P1216" s="16" t="s">
        <v>1553</v>
      </c>
      <c r="Q1216" s="16" t="s">
        <v>1556</v>
      </c>
      <c r="R1216" s="79" t="s">
        <v>142</v>
      </c>
      <c r="S1216" s="11"/>
    </row>
    <row r="1217" spans="1:19" s="20" customFormat="1" ht="21.75" hidden="1" customHeight="1" x14ac:dyDescent="0.2">
      <c r="A1217" s="16" t="s">
        <v>2223</v>
      </c>
      <c r="B1217" s="16" t="s">
        <v>73</v>
      </c>
      <c r="C1217" s="119">
        <v>46121</v>
      </c>
      <c r="D1217" s="21">
        <v>10</v>
      </c>
      <c r="E1217" s="209"/>
      <c r="F1217" s="16" t="s">
        <v>909</v>
      </c>
      <c r="G1217" s="16" t="s">
        <v>926</v>
      </c>
      <c r="H1217" s="16" t="s">
        <v>1544</v>
      </c>
      <c r="I1217" s="16" t="s">
        <v>1542</v>
      </c>
      <c r="J1217" s="16">
        <v>10421359607</v>
      </c>
      <c r="K1217" s="16">
        <v>933694050</v>
      </c>
      <c r="L1217" s="16" t="s">
        <v>1558</v>
      </c>
      <c r="M1217" s="16" t="s">
        <v>697</v>
      </c>
      <c r="N1217" s="11"/>
      <c r="O1217" s="11"/>
      <c r="P1217" s="16" t="s">
        <v>1553</v>
      </c>
      <c r="Q1217" s="16" t="s">
        <v>1556</v>
      </c>
      <c r="R1217" s="79" t="s">
        <v>142</v>
      </c>
      <c r="S1217" s="11"/>
    </row>
    <row r="1218" spans="1:19" s="20" customFormat="1" ht="21.75" hidden="1" customHeight="1" x14ac:dyDescent="0.2">
      <c r="A1218" s="26" t="s">
        <v>2226</v>
      </c>
      <c r="B1218" s="26" t="s">
        <v>73</v>
      </c>
      <c r="C1218" s="119">
        <v>46121</v>
      </c>
      <c r="D1218" s="21">
        <v>24</v>
      </c>
      <c r="E1218" s="209"/>
      <c r="F1218" s="16" t="s">
        <v>901</v>
      </c>
      <c r="G1218" s="16" t="s">
        <v>918</v>
      </c>
      <c r="H1218" s="16" t="s">
        <v>1544</v>
      </c>
      <c r="I1218" s="16" t="s">
        <v>1542</v>
      </c>
      <c r="J1218" s="16">
        <v>10421359607</v>
      </c>
      <c r="K1218" s="16">
        <v>933694050</v>
      </c>
      <c r="L1218" s="16" t="s">
        <v>1558</v>
      </c>
      <c r="M1218" s="16" t="s">
        <v>697</v>
      </c>
      <c r="N1218" s="11"/>
      <c r="O1218" s="11"/>
      <c r="P1218" s="16" t="s">
        <v>1553</v>
      </c>
      <c r="Q1218" s="26" t="s">
        <v>1556</v>
      </c>
      <c r="R1218" s="26" t="s">
        <v>142</v>
      </c>
      <c r="S1218" s="11"/>
    </row>
    <row r="1219" spans="1:19" s="20" customFormat="1" ht="21.75" hidden="1" customHeight="1" x14ac:dyDescent="0.2">
      <c r="A1219" s="26" t="s">
        <v>2226</v>
      </c>
      <c r="B1219" s="26" t="s">
        <v>73</v>
      </c>
      <c r="C1219" s="119">
        <v>46121</v>
      </c>
      <c r="D1219" s="21">
        <v>24</v>
      </c>
      <c r="E1219" s="209"/>
      <c r="F1219" s="16" t="s">
        <v>902</v>
      </c>
      <c r="G1219" s="16" t="s">
        <v>919</v>
      </c>
      <c r="H1219" s="16" t="s">
        <v>1544</v>
      </c>
      <c r="I1219" s="16" t="s">
        <v>1542</v>
      </c>
      <c r="J1219" s="16">
        <v>10421359607</v>
      </c>
      <c r="K1219" s="16">
        <v>933694050</v>
      </c>
      <c r="L1219" s="16" t="s">
        <v>1558</v>
      </c>
      <c r="M1219" s="16" t="s">
        <v>697</v>
      </c>
      <c r="N1219" s="11"/>
      <c r="O1219" s="11"/>
      <c r="P1219" s="16" t="s">
        <v>1553</v>
      </c>
      <c r="Q1219" s="26" t="s">
        <v>1556</v>
      </c>
      <c r="R1219" s="26" t="s">
        <v>142</v>
      </c>
      <c r="S1219" s="11"/>
    </row>
    <row r="1220" spans="1:19" s="20" customFormat="1" ht="21.75" hidden="1" customHeight="1" x14ac:dyDescent="0.2">
      <c r="A1220" s="26" t="s">
        <v>2226</v>
      </c>
      <c r="B1220" s="26" t="s">
        <v>73</v>
      </c>
      <c r="C1220" s="119">
        <v>46121</v>
      </c>
      <c r="D1220" s="21">
        <v>24</v>
      </c>
      <c r="E1220" s="209"/>
      <c r="F1220" s="16" t="s">
        <v>903</v>
      </c>
      <c r="G1220" s="16" t="s">
        <v>920</v>
      </c>
      <c r="H1220" s="16" t="s">
        <v>1544</v>
      </c>
      <c r="I1220" s="16" t="s">
        <v>1542</v>
      </c>
      <c r="J1220" s="16">
        <v>10421359607</v>
      </c>
      <c r="K1220" s="16">
        <v>933694050</v>
      </c>
      <c r="L1220" s="16" t="s">
        <v>1558</v>
      </c>
      <c r="M1220" s="16" t="s">
        <v>697</v>
      </c>
      <c r="N1220" s="11"/>
      <c r="O1220" s="11"/>
      <c r="P1220" s="16" t="s">
        <v>1553</v>
      </c>
      <c r="Q1220" s="26" t="s">
        <v>1556</v>
      </c>
      <c r="R1220" s="26" t="s">
        <v>142</v>
      </c>
      <c r="S1220" s="11"/>
    </row>
    <row r="1221" spans="1:19" s="20" customFormat="1" ht="21.75" hidden="1" customHeight="1" x14ac:dyDescent="0.2">
      <c r="A1221" s="26" t="s">
        <v>2226</v>
      </c>
      <c r="B1221" s="26" t="s">
        <v>73</v>
      </c>
      <c r="C1221" s="119">
        <v>46121</v>
      </c>
      <c r="D1221" s="21">
        <v>10</v>
      </c>
      <c r="E1221" s="209"/>
      <c r="F1221" s="16" t="s">
        <v>906</v>
      </c>
      <c r="G1221" s="16" t="s">
        <v>923</v>
      </c>
      <c r="H1221" s="16" t="s">
        <v>1544</v>
      </c>
      <c r="I1221" s="16" t="s">
        <v>1542</v>
      </c>
      <c r="J1221" s="16">
        <v>10421359607</v>
      </c>
      <c r="K1221" s="16">
        <v>933694050</v>
      </c>
      <c r="L1221" s="16" t="s">
        <v>1558</v>
      </c>
      <c r="M1221" s="16" t="s">
        <v>697</v>
      </c>
      <c r="N1221" s="11"/>
      <c r="O1221" s="11"/>
      <c r="P1221" s="16" t="s">
        <v>1553</v>
      </c>
      <c r="Q1221" s="26" t="s">
        <v>1556</v>
      </c>
      <c r="R1221" s="26" t="s">
        <v>142</v>
      </c>
      <c r="S1221" s="11"/>
    </row>
    <row r="1222" spans="1:19" s="20" customFormat="1" ht="21.75" hidden="1" customHeight="1" x14ac:dyDescent="0.2">
      <c r="A1222" s="26" t="s">
        <v>2226</v>
      </c>
      <c r="B1222" s="26" t="s">
        <v>73</v>
      </c>
      <c r="C1222" s="119">
        <v>46121</v>
      </c>
      <c r="D1222" s="21">
        <v>10</v>
      </c>
      <c r="E1222" s="209"/>
      <c r="F1222" s="16" t="s">
        <v>907</v>
      </c>
      <c r="G1222" s="16" t="s">
        <v>924</v>
      </c>
      <c r="H1222" s="16" t="s">
        <v>1544</v>
      </c>
      <c r="I1222" s="16" t="s">
        <v>1542</v>
      </c>
      <c r="J1222" s="16">
        <v>10421359607</v>
      </c>
      <c r="K1222" s="16">
        <v>933694050</v>
      </c>
      <c r="L1222" s="16" t="s">
        <v>1558</v>
      </c>
      <c r="M1222" s="16" t="s">
        <v>697</v>
      </c>
      <c r="N1222" s="11"/>
      <c r="O1222" s="11"/>
      <c r="P1222" s="16" t="s">
        <v>1553</v>
      </c>
      <c r="Q1222" s="26" t="s">
        <v>1556</v>
      </c>
      <c r="R1222" s="26" t="s">
        <v>142</v>
      </c>
      <c r="S1222" s="11"/>
    </row>
    <row r="1223" spans="1:19" s="20" customFormat="1" ht="21.75" hidden="1" customHeight="1" x14ac:dyDescent="0.2">
      <c r="A1223" s="26" t="s">
        <v>2226</v>
      </c>
      <c r="B1223" s="26" t="s">
        <v>73</v>
      </c>
      <c r="C1223" s="119">
        <v>46121</v>
      </c>
      <c r="D1223" s="21">
        <v>10</v>
      </c>
      <c r="E1223" s="209"/>
      <c r="F1223" s="16" t="s">
        <v>908</v>
      </c>
      <c r="G1223" s="16" t="s">
        <v>925</v>
      </c>
      <c r="H1223" s="16" t="s">
        <v>1544</v>
      </c>
      <c r="I1223" s="16" t="s">
        <v>1542</v>
      </c>
      <c r="J1223" s="16">
        <v>10421359607</v>
      </c>
      <c r="K1223" s="16">
        <v>933694050</v>
      </c>
      <c r="L1223" s="16" t="s">
        <v>1558</v>
      </c>
      <c r="M1223" s="16" t="s">
        <v>697</v>
      </c>
      <c r="N1223" s="11"/>
      <c r="O1223" s="11"/>
      <c r="P1223" s="16" t="s">
        <v>1553</v>
      </c>
      <c r="Q1223" s="26" t="s">
        <v>1556</v>
      </c>
      <c r="R1223" s="26" t="s">
        <v>142</v>
      </c>
      <c r="S1223" s="11"/>
    </row>
    <row r="1224" spans="1:19" s="20" customFormat="1" ht="21.75" hidden="1" customHeight="1" x14ac:dyDescent="0.2">
      <c r="A1224" s="26" t="s">
        <v>2226</v>
      </c>
      <c r="B1224" s="26" t="s">
        <v>73</v>
      </c>
      <c r="C1224" s="119">
        <v>46121</v>
      </c>
      <c r="D1224" s="21">
        <v>10</v>
      </c>
      <c r="E1224" s="209"/>
      <c r="F1224" s="16" t="s">
        <v>909</v>
      </c>
      <c r="G1224" s="16" t="s">
        <v>926</v>
      </c>
      <c r="H1224" s="16" t="s">
        <v>1544</v>
      </c>
      <c r="I1224" s="16" t="s">
        <v>1542</v>
      </c>
      <c r="J1224" s="16">
        <v>10421359607</v>
      </c>
      <c r="K1224" s="16">
        <v>933694050</v>
      </c>
      <c r="L1224" s="16" t="s">
        <v>1558</v>
      </c>
      <c r="M1224" s="16" t="s">
        <v>697</v>
      </c>
      <c r="N1224" s="11"/>
      <c r="O1224" s="11"/>
      <c r="P1224" s="16" t="s">
        <v>1553</v>
      </c>
      <c r="Q1224" s="26" t="s">
        <v>1556</v>
      </c>
      <c r="R1224" s="26" t="s">
        <v>142</v>
      </c>
      <c r="S1224" s="11"/>
    </row>
    <row r="1225" spans="1:19" s="20" customFormat="1" ht="21.75" hidden="1" customHeight="1" x14ac:dyDescent="0.2">
      <c r="A1225" s="16" t="s">
        <v>2227</v>
      </c>
      <c r="B1225" s="16" t="s">
        <v>73</v>
      </c>
      <c r="C1225" s="119">
        <v>46120</v>
      </c>
      <c r="D1225" s="21">
        <v>24</v>
      </c>
      <c r="E1225" s="206"/>
      <c r="F1225" s="16" t="s">
        <v>855</v>
      </c>
      <c r="G1225" s="16" t="s">
        <v>865</v>
      </c>
      <c r="H1225" s="16" t="s">
        <v>1650</v>
      </c>
      <c r="I1225" s="16" t="s">
        <v>997</v>
      </c>
      <c r="J1225" s="16">
        <v>20100632480</v>
      </c>
      <c r="K1225" s="17">
        <v>946250141</v>
      </c>
      <c r="L1225" s="16" t="s">
        <v>2235</v>
      </c>
      <c r="M1225" s="16" t="s">
        <v>347</v>
      </c>
      <c r="N1225" s="11"/>
      <c r="O1225" s="11"/>
      <c r="P1225" s="16" t="s">
        <v>2238</v>
      </c>
      <c r="Q1225" s="26" t="s">
        <v>2239</v>
      </c>
      <c r="R1225" s="26" t="s">
        <v>396</v>
      </c>
      <c r="S1225" s="11"/>
    </row>
    <row r="1226" spans="1:19" s="20" customFormat="1" ht="21.75" hidden="1" customHeight="1" x14ac:dyDescent="0.2">
      <c r="A1226" s="16" t="s">
        <v>2227</v>
      </c>
      <c r="B1226" s="16" t="s">
        <v>73</v>
      </c>
      <c r="C1226" s="119">
        <v>46120</v>
      </c>
      <c r="D1226" s="21">
        <v>240</v>
      </c>
      <c r="E1226" s="206"/>
      <c r="F1226" s="16" t="s">
        <v>2206</v>
      </c>
      <c r="G1226" s="16" t="s">
        <v>2231</v>
      </c>
      <c r="H1226" s="16" t="s">
        <v>1650</v>
      </c>
      <c r="I1226" s="16" t="s">
        <v>997</v>
      </c>
      <c r="J1226" s="16">
        <v>20100632480</v>
      </c>
      <c r="K1226" s="17">
        <v>946250141</v>
      </c>
      <c r="L1226" s="16" t="s">
        <v>2235</v>
      </c>
      <c r="M1226" s="16" t="s">
        <v>347</v>
      </c>
      <c r="N1226" s="11"/>
      <c r="O1226" s="11"/>
      <c r="P1226" s="16" t="s">
        <v>2238</v>
      </c>
      <c r="Q1226" s="26" t="s">
        <v>2239</v>
      </c>
      <c r="R1226" s="26" t="s">
        <v>396</v>
      </c>
      <c r="S1226" s="11"/>
    </row>
    <row r="1227" spans="1:19" s="20" customFormat="1" ht="21.75" hidden="1" customHeight="1" x14ac:dyDescent="0.2">
      <c r="A1227" s="16" t="s">
        <v>2227</v>
      </c>
      <c r="B1227" s="16" t="s">
        <v>73</v>
      </c>
      <c r="C1227" s="119">
        <v>46120</v>
      </c>
      <c r="D1227" s="21">
        <v>30</v>
      </c>
      <c r="E1227" s="206"/>
      <c r="F1227" s="16" t="s">
        <v>822</v>
      </c>
      <c r="G1227" s="16" t="s">
        <v>824</v>
      </c>
      <c r="H1227" s="16" t="s">
        <v>1650</v>
      </c>
      <c r="I1227" s="16" t="s">
        <v>997</v>
      </c>
      <c r="J1227" s="16">
        <v>20100632480</v>
      </c>
      <c r="K1227" s="17">
        <v>946250141</v>
      </c>
      <c r="L1227" s="16" t="s">
        <v>2235</v>
      </c>
      <c r="M1227" s="16" t="s">
        <v>347</v>
      </c>
      <c r="N1227" s="11"/>
      <c r="O1227" s="11"/>
      <c r="P1227" s="16" t="s">
        <v>2238</v>
      </c>
      <c r="Q1227" s="26" t="s">
        <v>2239</v>
      </c>
      <c r="R1227" s="26" t="s">
        <v>396</v>
      </c>
      <c r="S1227" s="11"/>
    </row>
    <row r="1228" spans="1:19" s="20" customFormat="1" ht="21.75" hidden="1" customHeight="1" x14ac:dyDescent="0.2">
      <c r="A1228" s="16" t="s">
        <v>2227</v>
      </c>
      <c r="B1228" s="16" t="s">
        <v>73</v>
      </c>
      <c r="C1228" s="119">
        <v>46120</v>
      </c>
      <c r="D1228" s="21">
        <v>60</v>
      </c>
      <c r="E1228" s="206"/>
      <c r="F1228" s="16" t="s">
        <v>46</v>
      </c>
      <c r="G1228" s="16" t="s">
        <v>104</v>
      </c>
      <c r="H1228" s="16" t="s">
        <v>1650</v>
      </c>
      <c r="I1228" s="16" t="s">
        <v>997</v>
      </c>
      <c r="J1228" s="16">
        <v>20100632480</v>
      </c>
      <c r="K1228" s="17">
        <v>946250141</v>
      </c>
      <c r="L1228" s="16" t="s">
        <v>2235</v>
      </c>
      <c r="M1228" s="16" t="s">
        <v>347</v>
      </c>
      <c r="N1228" s="11"/>
      <c r="O1228" s="11"/>
      <c r="P1228" s="16" t="s">
        <v>2238</v>
      </c>
      <c r="Q1228" s="26" t="s">
        <v>2239</v>
      </c>
      <c r="R1228" s="26" t="s">
        <v>396</v>
      </c>
      <c r="S1228" s="11"/>
    </row>
    <row r="1229" spans="1:19" s="20" customFormat="1" ht="21.75" hidden="1" customHeight="1" x14ac:dyDescent="0.2">
      <c r="A1229" s="16" t="s">
        <v>2227</v>
      </c>
      <c r="B1229" s="16" t="s">
        <v>73</v>
      </c>
      <c r="C1229" s="119">
        <v>46120</v>
      </c>
      <c r="D1229" s="21">
        <v>60</v>
      </c>
      <c r="E1229" s="206"/>
      <c r="F1229" s="16" t="s">
        <v>1873</v>
      </c>
      <c r="G1229" s="16" t="s">
        <v>1872</v>
      </c>
      <c r="H1229" s="16" t="s">
        <v>1650</v>
      </c>
      <c r="I1229" s="16" t="s">
        <v>997</v>
      </c>
      <c r="J1229" s="16">
        <v>20100632480</v>
      </c>
      <c r="K1229" s="17">
        <v>946250141</v>
      </c>
      <c r="L1229" s="16" t="s">
        <v>2235</v>
      </c>
      <c r="M1229" s="16" t="s">
        <v>347</v>
      </c>
      <c r="N1229" s="11"/>
      <c r="O1229" s="11"/>
      <c r="P1229" s="16" t="s">
        <v>2238</v>
      </c>
      <c r="Q1229" s="26" t="s">
        <v>2239</v>
      </c>
      <c r="R1229" s="26" t="s">
        <v>396</v>
      </c>
      <c r="S1229" s="11"/>
    </row>
    <row r="1230" spans="1:19" s="20" customFormat="1" ht="21.75" hidden="1" customHeight="1" x14ac:dyDescent="0.2">
      <c r="A1230" s="16" t="s">
        <v>2227</v>
      </c>
      <c r="B1230" s="16" t="s">
        <v>73</v>
      </c>
      <c r="C1230" s="119">
        <v>46120</v>
      </c>
      <c r="D1230" s="21">
        <v>60</v>
      </c>
      <c r="E1230" s="206"/>
      <c r="F1230" s="16" t="s">
        <v>56</v>
      </c>
      <c r="G1230" s="16" t="s">
        <v>86</v>
      </c>
      <c r="H1230" s="16" t="s">
        <v>1650</v>
      </c>
      <c r="I1230" s="16" t="s">
        <v>997</v>
      </c>
      <c r="J1230" s="16">
        <v>20100632480</v>
      </c>
      <c r="K1230" s="17">
        <v>946250141</v>
      </c>
      <c r="L1230" s="16" t="s">
        <v>2235</v>
      </c>
      <c r="M1230" s="16" t="s">
        <v>347</v>
      </c>
      <c r="N1230" s="11"/>
      <c r="O1230" s="11"/>
      <c r="P1230" s="16" t="s">
        <v>2238</v>
      </c>
      <c r="Q1230" s="26" t="s">
        <v>2239</v>
      </c>
      <c r="R1230" s="26" t="s">
        <v>396</v>
      </c>
      <c r="S1230" s="11"/>
    </row>
    <row r="1231" spans="1:19" s="20" customFormat="1" ht="21.75" hidden="1" customHeight="1" x14ac:dyDescent="0.2">
      <c r="A1231" s="16" t="s">
        <v>2227</v>
      </c>
      <c r="B1231" s="16" t="s">
        <v>73</v>
      </c>
      <c r="C1231" s="119">
        <v>46120</v>
      </c>
      <c r="D1231" s="21">
        <v>120</v>
      </c>
      <c r="E1231" s="206"/>
      <c r="F1231" s="16" t="s">
        <v>1211</v>
      </c>
      <c r="G1231" s="16" t="s">
        <v>1227</v>
      </c>
      <c r="H1231" s="16" t="s">
        <v>1650</v>
      </c>
      <c r="I1231" s="16" t="s">
        <v>997</v>
      </c>
      <c r="J1231" s="16">
        <v>20100632480</v>
      </c>
      <c r="K1231" s="17">
        <v>946250141</v>
      </c>
      <c r="L1231" s="16" t="s">
        <v>2235</v>
      </c>
      <c r="M1231" s="16" t="s">
        <v>347</v>
      </c>
      <c r="N1231" s="11"/>
      <c r="O1231" s="11"/>
      <c r="P1231" s="16" t="s">
        <v>2238</v>
      </c>
      <c r="Q1231" s="26" t="s">
        <v>2239</v>
      </c>
      <c r="R1231" s="26" t="s">
        <v>396</v>
      </c>
      <c r="S1231" s="11"/>
    </row>
    <row r="1232" spans="1:19" s="20" customFormat="1" ht="21.75" hidden="1" customHeight="1" x14ac:dyDescent="0.2">
      <c r="A1232" s="16" t="s">
        <v>2227</v>
      </c>
      <c r="B1232" s="16" t="s">
        <v>73</v>
      </c>
      <c r="C1232" s="119">
        <v>46120</v>
      </c>
      <c r="D1232" s="21">
        <v>120</v>
      </c>
      <c r="E1232" s="206"/>
      <c r="F1232" s="16" t="s">
        <v>52</v>
      </c>
      <c r="G1232" s="16" t="s">
        <v>110</v>
      </c>
      <c r="H1232" s="16" t="s">
        <v>1650</v>
      </c>
      <c r="I1232" s="16" t="s">
        <v>997</v>
      </c>
      <c r="J1232" s="16">
        <v>20100632480</v>
      </c>
      <c r="K1232" s="17">
        <v>946250141</v>
      </c>
      <c r="L1232" s="16" t="s">
        <v>2235</v>
      </c>
      <c r="M1232" s="16" t="s">
        <v>347</v>
      </c>
      <c r="N1232" s="11"/>
      <c r="O1232" s="11"/>
      <c r="P1232" s="16" t="s">
        <v>2238</v>
      </c>
      <c r="Q1232" s="26" t="s">
        <v>2239</v>
      </c>
      <c r="R1232" s="26" t="s">
        <v>396</v>
      </c>
      <c r="S1232" s="11"/>
    </row>
    <row r="1233" spans="1:19" s="20" customFormat="1" ht="21.75" hidden="1" customHeight="1" x14ac:dyDescent="0.2">
      <c r="A1233" s="16" t="s">
        <v>2228</v>
      </c>
      <c r="B1233" s="16" t="s">
        <v>73</v>
      </c>
      <c r="C1233" s="119">
        <v>46120</v>
      </c>
      <c r="D1233" s="21">
        <v>24</v>
      </c>
      <c r="E1233" s="206"/>
      <c r="F1233" s="16" t="s">
        <v>855</v>
      </c>
      <c r="G1233" s="16" t="s">
        <v>865</v>
      </c>
      <c r="H1233" s="16" t="s">
        <v>1650</v>
      </c>
      <c r="I1233" s="16" t="s">
        <v>2232</v>
      </c>
      <c r="J1233" s="16">
        <v>20549606891</v>
      </c>
      <c r="K1233" s="16" t="s">
        <v>2234</v>
      </c>
      <c r="L1233" s="16" t="s">
        <v>2236</v>
      </c>
      <c r="M1233" s="16" t="s">
        <v>347</v>
      </c>
      <c r="N1233" s="11"/>
      <c r="O1233" s="11"/>
      <c r="P1233" s="16" t="s">
        <v>2238</v>
      </c>
      <c r="Q1233" s="26" t="s">
        <v>2239</v>
      </c>
      <c r="R1233" s="26" t="s">
        <v>396</v>
      </c>
      <c r="S1233" s="11"/>
    </row>
    <row r="1234" spans="1:19" s="20" customFormat="1" ht="21.75" hidden="1" customHeight="1" x14ac:dyDescent="0.2">
      <c r="A1234" s="16" t="s">
        <v>2228</v>
      </c>
      <c r="B1234" s="16" t="s">
        <v>73</v>
      </c>
      <c r="C1234" s="119">
        <v>46120</v>
      </c>
      <c r="D1234" s="21">
        <v>240</v>
      </c>
      <c r="E1234" s="206"/>
      <c r="F1234" s="16" t="s">
        <v>2206</v>
      </c>
      <c r="G1234" s="16" t="s">
        <v>2231</v>
      </c>
      <c r="H1234" s="16" t="s">
        <v>1650</v>
      </c>
      <c r="I1234" s="16" t="s">
        <v>2232</v>
      </c>
      <c r="J1234" s="16">
        <v>20549606891</v>
      </c>
      <c r="K1234" s="16" t="s">
        <v>2234</v>
      </c>
      <c r="L1234" s="16" t="s">
        <v>2236</v>
      </c>
      <c r="M1234" s="16" t="s">
        <v>347</v>
      </c>
      <c r="N1234" s="11"/>
      <c r="O1234" s="11"/>
      <c r="P1234" s="16" t="s">
        <v>2238</v>
      </c>
      <c r="Q1234" s="26" t="s">
        <v>2239</v>
      </c>
      <c r="R1234" s="26" t="s">
        <v>396</v>
      </c>
      <c r="S1234" s="11"/>
    </row>
    <row r="1235" spans="1:19" s="20" customFormat="1" ht="21.75" hidden="1" customHeight="1" x14ac:dyDescent="0.2">
      <c r="A1235" s="16" t="s">
        <v>2228</v>
      </c>
      <c r="B1235" s="16" t="s">
        <v>73</v>
      </c>
      <c r="C1235" s="119">
        <v>46120</v>
      </c>
      <c r="D1235" s="21">
        <v>30</v>
      </c>
      <c r="E1235" s="206"/>
      <c r="F1235" s="16" t="s">
        <v>822</v>
      </c>
      <c r="G1235" s="16" t="s">
        <v>824</v>
      </c>
      <c r="H1235" s="16" t="s">
        <v>1650</v>
      </c>
      <c r="I1235" s="16" t="s">
        <v>2232</v>
      </c>
      <c r="J1235" s="16">
        <v>20549606891</v>
      </c>
      <c r="K1235" s="16" t="s">
        <v>2234</v>
      </c>
      <c r="L1235" s="16" t="s">
        <v>2236</v>
      </c>
      <c r="M1235" s="16" t="s">
        <v>347</v>
      </c>
      <c r="N1235" s="11"/>
      <c r="O1235" s="11"/>
      <c r="P1235" s="16" t="s">
        <v>2238</v>
      </c>
      <c r="Q1235" s="26" t="s">
        <v>2239</v>
      </c>
      <c r="R1235" s="26" t="s">
        <v>396</v>
      </c>
      <c r="S1235" s="11"/>
    </row>
    <row r="1236" spans="1:19" s="20" customFormat="1" ht="21.75" hidden="1" customHeight="1" x14ac:dyDescent="0.2">
      <c r="A1236" s="16" t="s">
        <v>2228</v>
      </c>
      <c r="B1236" s="16" t="s">
        <v>73</v>
      </c>
      <c r="C1236" s="119">
        <v>46120</v>
      </c>
      <c r="D1236" s="21">
        <v>60</v>
      </c>
      <c r="E1236" s="206"/>
      <c r="F1236" s="16" t="s">
        <v>46</v>
      </c>
      <c r="G1236" s="16" t="s">
        <v>104</v>
      </c>
      <c r="H1236" s="16" t="s">
        <v>1650</v>
      </c>
      <c r="I1236" s="16" t="s">
        <v>2232</v>
      </c>
      <c r="J1236" s="16">
        <v>20549606891</v>
      </c>
      <c r="K1236" s="16" t="s">
        <v>2234</v>
      </c>
      <c r="L1236" s="16" t="s">
        <v>2236</v>
      </c>
      <c r="M1236" s="16" t="s">
        <v>347</v>
      </c>
      <c r="N1236" s="11"/>
      <c r="O1236" s="11"/>
      <c r="P1236" s="16" t="s">
        <v>2238</v>
      </c>
      <c r="Q1236" s="26" t="s">
        <v>2239</v>
      </c>
      <c r="R1236" s="26" t="s">
        <v>396</v>
      </c>
      <c r="S1236" s="11"/>
    </row>
    <row r="1237" spans="1:19" s="20" customFormat="1" ht="21.75" hidden="1" customHeight="1" x14ac:dyDescent="0.2">
      <c r="A1237" s="16" t="s">
        <v>2228</v>
      </c>
      <c r="B1237" s="16" t="s">
        <v>73</v>
      </c>
      <c r="C1237" s="119">
        <v>46120</v>
      </c>
      <c r="D1237" s="21">
        <v>60</v>
      </c>
      <c r="E1237" s="206"/>
      <c r="F1237" s="16" t="s">
        <v>1873</v>
      </c>
      <c r="G1237" s="16" t="s">
        <v>1872</v>
      </c>
      <c r="H1237" s="16" t="s">
        <v>1650</v>
      </c>
      <c r="I1237" s="16" t="s">
        <v>2232</v>
      </c>
      <c r="J1237" s="16">
        <v>20549606891</v>
      </c>
      <c r="K1237" s="16" t="s">
        <v>2234</v>
      </c>
      <c r="L1237" s="16" t="s">
        <v>2236</v>
      </c>
      <c r="M1237" s="16" t="s">
        <v>347</v>
      </c>
      <c r="N1237" s="11"/>
      <c r="O1237" s="11"/>
      <c r="P1237" s="16" t="s">
        <v>2238</v>
      </c>
      <c r="Q1237" s="26" t="s">
        <v>2239</v>
      </c>
      <c r="R1237" s="26" t="s">
        <v>396</v>
      </c>
      <c r="S1237" s="11"/>
    </row>
    <row r="1238" spans="1:19" s="20" customFormat="1" ht="21.75" hidden="1" customHeight="1" x14ac:dyDescent="0.2">
      <c r="A1238" s="16" t="s">
        <v>2228</v>
      </c>
      <c r="B1238" s="16" t="s">
        <v>73</v>
      </c>
      <c r="C1238" s="119">
        <v>46120</v>
      </c>
      <c r="D1238" s="21">
        <v>60</v>
      </c>
      <c r="E1238" s="206"/>
      <c r="F1238" s="16" t="s">
        <v>56</v>
      </c>
      <c r="G1238" s="16" t="s">
        <v>86</v>
      </c>
      <c r="H1238" s="16" t="s">
        <v>1650</v>
      </c>
      <c r="I1238" s="16" t="s">
        <v>2232</v>
      </c>
      <c r="J1238" s="16">
        <v>20549606891</v>
      </c>
      <c r="K1238" s="16" t="s">
        <v>2234</v>
      </c>
      <c r="L1238" s="16" t="s">
        <v>2236</v>
      </c>
      <c r="M1238" s="16" t="s">
        <v>347</v>
      </c>
      <c r="N1238" s="11"/>
      <c r="O1238" s="11"/>
      <c r="P1238" s="16" t="s">
        <v>2238</v>
      </c>
      <c r="Q1238" s="26" t="s">
        <v>2239</v>
      </c>
      <c r="R1238" s="26" t="s">
        <v>396</v>
      </c>
      <c r="S1238" s="11"/>
    </row>
    <row r="1239" spans="1:19" s="20" customFormat="1" ht="21.75" hidden="1" customHeight="1" x14ac:dyDescent="0.2">
      <c r="A1239" s="16" t="s">
        <v>2228</v>
      </c>
      <c r="B1239" s="16" t="s">
        <v>73</v>
      </c>
      <c r="C1239" s="119">
        <v>46120</v>
      </c>
      <c r="D1239" s="21">
        <v>120</v>
      </c>
      <c r="E1239" s="206"/>
      <c r="F1239" s="16" t="s">
        <v>1211</v>
      </c>
      <c r="G1239" s="16" t="s">
        <v>1227</v>
      </c>
      <c r="H1239" s="16" t="s">
        <v>1650</v>
      </c>
      <c r="I1239" s="16" t="s">
        <v>2232</v>
      </c>
      <c r="J1239" s="16">
        <v>20549606891</v>
      </c>
      <c r="K1239" s="16" t="s">
        <v>2234</v>
      </c>
      <c r="L1239" s="16" t="s">
        <v>2236</v>
      </c>
      <c r="M1239" s="16" t="s">
        <v>347</v>
      </c>
      <c r="N1239" s="11"/>
      <c r="O1239" s="11"/>
      <c r="P1239" s="16" t="s">
        <v>2238</v>
      </c>
      <c r="Q1239" s="26" t="s">
        <v>2239</v>
      </c>
      <c r="R1239" s="26" t="s">
        <v>396</v>
      </c>
      <c r="S1239" s="11"/>
    </row>
    <row r="1240" spans="1:19" s="20" customFormat="1" ht="21.75" hidden="1" customHeight="1" x14ac:dyDescent="0.2">
      <c r="A1240" s="16" t="s">
        <v>2228</v>
      </c>
      <c r="B1240" s="16" t="s">
        <v>73</v>
      </c>
      <c r="C1240" s="119">
        <v>46120</v>
      </c>
      <c r="D1240" s="21">
        <v>120</v>
      </c>
      <c r="E1240" s="206"/>
      <c r="F1240" s="16" t="s">
        <v>52</v>
      </c>
      <c r="G1240" s="16" t="s">
        <v>110</v>
      </c>
      <c r="H1240" s="16" t="s">
        <v>1650</v>
      </c>
      <c r="I1240" s="16" t="s">
        <v>2232</v>
      </c>
      <c r="J1240" s="16">
        <v>20549606891</v>
      </c>
      <c r="K1240" s="16" t="s">
        <v>2234</v>
      </c>
      <c r="L1240" s="16" t="s">
        <v>2236</v>
      </c>
      <c r="M1240" s="16" t="s">
        <v>347</v>
      </c>
      <c r="N1240" s="11"/>
      <c r="O1240" s="11"/>
      <c r="P1240" s="16" t="s">
        <v>2238</v>
      </c>
      <c r="Q1240" s="26" t="s">
        <v>2239</v>
      </c>
      <c r="R1240" s="26" t="s">
        <v>396</v>
      </c>
      <c r="S1240" s="11"/>
    </row>
    <row r="1241" spans="1:19" s="20" customFormat="1" ht="21.75" hidden="1" customHeight="1" x14ac:dyDescent="0.2">
      <c r="A1241" s="16" t="s">
        <v>2229</v>
      </c>
      <c r="B1241" s="93" t="s">
        <v>2230</v>
      </c>
      <c r="C1241" s="119">
        <v>46120</v>
      </c>
      <c r="D1241" s="21">
        <v>1</v>
      </c>
      <c r="E1241" s="207"/>
      <c r="F1241" s="16" t="s">
        <v>17</v>
      </c>
      <c r="G1241" s="16" t="s">
        <v>91</v>
      </c>
      <c r="H1241" s="16" t="s">
        <v>99</v>
      </c>
      <c r="I1241" s="16" t="s">
        <v>2233</v>
      </c>
      <c r="J1241" s="93">
        <v>2340378</v>
      </c>
      <c r="K1241" s="15">
        <v>51962314055</v>
      </c>
      <c r="L1241" s="16" t="s">
        <v>2237</v>
      </c>
      <c r="M1241" s="16" t="s">
        <v>1155</v>
      </c>
      <c r="N1241" s="11"/>
      <c r="O1241" s="11"/>
      <c r="P1241" s="16" t="s">
        <v>1673</v>
      </c>
      <c r="Q1241" s="11"/>
      <c r="R1241" s="16" t="s">
        <v>441</v>
      </c>
      <c r="S1241" s="11"/>
    </row>
    <row r="1242" spans="1:19" s="20" customFormat="1" ht="22.5" hidden="1" customHeight="1" x14ac:dyDescent="0.2">
      <c r="A1242" s="16" t="s">
        <v>2247</v>
      </c>
      <c r="B1242" s="16" t="s">
        <v>2247</v>
      </c>
      <c r="C1242" s="119">
        <v>46121</v>
      </c>
      <c r="D1242" s="21">
        <v>120</v>
      </c>
      <c r="E1242" s="19">
        <v>10</v>
      </c>
      <c r="F1242" s="16" t="s">
        <v>24</v>
      </c>
      <c r="G1242" s="16" t="s">
        <v>112</v>
      </c>
      <c r="H1242" s="16" t="s">
        <v>76</v>
      </c>
      <c r="I1242" s="16" t="s">
        <v>1433</v>
      </c>
      <c r="J1242" s="17">
        <v>20609357917</v>
      </c>
      <c r="K1242" s="17">
        <v>900956100</v>
      </c>
      <c r="L1242" s="16" t="s">
        <v>2243</v>
      </c>
      <c r="M1242" s="16" t="s">
        <v>474</v>
      </c>
      <c r="N1242" s="11"/>
      <c r="O1242" s="11"/>
      <c r="P1242" s="16" t="s">
        <v>2242</v>
      </c>
      <c r="Q1242" s="26"/>
      <c r="R1242" s="16" t="s">
        <v>396</v>
      </c>
      <c r="S1242" s="11"/>
    </row>
    <row r="1243" spans="1:19" s="20" customFormat="1" ht="22.5" hidden="1" customHeight="1" x14ac:dyDescent="0.2">
      <c r="A1243" s="26" t="s">
        <v>2248</v>
      </c>
      <c r="B1243" s="26" t="s">
        <v>2248</v>
      </c>
      <c r="C1243" s="119">
        <v>46121</v>
      </c>
      <c r="D1243" s="21">
        <v>24</v>
      </c>
      <c r="E1243" s="19">
        <v>2</v>
      </c>
      <c r="F1243" s="16" t="s">
        <v>567</v>
      </c>
      <c r="G1243" s="16" t="s">
        <v>568</v>
      </c>
      <c r="H1243" s="16" t="s">
        <v>76</v>
      </c>
      <c r="I1243" s="26" t="s">
        <v>569</v>
      </c>
      <c r="J1243" s="26">
        <v>20509076945</v>
      </c>
      <c r="K1243" s="23">
        <v>941616821</v>
      </c>
      <c r="L1243" s="26" t="s">
        <v>2244</v>
      </c>
      <c r="M1243" s="26" t="s">
        <v>306</v>
      </c>
      <c r="N1243" s="11"/>
      <c r="O1243" s="11"/>
      <c r="P1243" s="26" t="s">
        <v>572</v>
      </c>
      <c r="Q1243" s="26"/>
      <c r="R1243" s="26" t="s">
        <v>144</v>
      </c>
      <c r="S1243" s="11"/>
    </row>
    <row r="1244" spans="1:19" s="20" customFormat="1" ht="22.5" hidden="1" customHeight="1" x14ac:dyDescent="0.2">
      <c r="A1244" s="26" t="s">
        <v>2248</v>
      </c>
      <c r="B1244" s="26" t="s">
        <v>2248</v>
      </c>
      <c r="C1244" s="119">
        <v>46121</v>
      </c>
      <c r="D1244" s="21">
        <v>24</v>
      </c>
      <c r="E1244" s="19">
        <v>1</v>
      </c>
      <c r="F1244" s="16" t="s">
        <v>36</v>
      </c>
      <c r="G1244" s="16" t="s">
        <v>128</v>
      </c>
      <c r="H1244" s="16" t="s">
        <v>76</v>
      </c>
      <c r="I1244" s="26" t="s">
        <v>569</v>
      </c>
      <c r="J1244" s="26">
        <v>20509076945</v>
      </c>
      <c r="K1244" s="23">
        <v>941616821</v>
      </c>
      <c r="L1244" s="26" t="s">
        <v>2244</v>
      </c>
      <c r="M1244" s="26" t="s">
        <v>306</v>
      </c>
      <c r="N1244" s="11"/>
      <c r="O1244" s="11"/>
      <c r="P1244" s="26" t="s">
        <v>572</v>
      </c>
      <c r="Q1244" s="26"/>
      <c r="R1244" s="26" t="s">
        <v>144</v>
      </c>
      <c r="S1244" s="11"/>
    </row>
    <row r="1245" spans="1:19" s="20" customFormat="1" ht="22.5" hidden="1" customHeight="1" x14ac:dyDescent="0.2">
      <c r="A1245" s="26" t="s">
        <v>2248</v>
      </c>
      <c r="B1245" s="26" t="s">
        <v>2248</v>
      </c>
      <c r="C1245" s="119">
        <v>46121</v>
      </c>
      <c r="D1245" s="21">
        <v>24</v>
      </c>
      <c r="E1245" s="19">
        <v>1</v>
      </c>
      <c r="F1245" s="16" t="s">
        <v>56</v>
      </c>
      <c r="G1245" s="16" t="s">
        <v>86</v>
      </c>
      <c r="H1245" s="16" t="s">
        <v>76</v>
      </c>
      <c r="I1245" s="26" t="s">
        <v>569</v>
      </c>
      <c r="J1245" s="26">
        <v>20509076945</v>
      </c>
      <c r="K1245" s="23">
        <v>941616821</v>
      </c>
      <c r="L1245" s="26" t="s">
        <v>2244</v>
      </c>
      <c r="M1245" s="26" t="s">
        <v>306</v>
      </c>
      <c r="N1245" s="11"/>
      <c r="O1245" s="11"/>
      <c r="P1245" s="26" t="s">
        <v>572</v>
      </c>
      <c r="Q1245" s="26"/>
      <c r="R1245" s="26" t="s">
        <v>144</v>
      </c>
      <c r="S1245" s="11"/>
    </row>
    <row r="1246" spans="1:19" s="20" customFormat="1" ht="22.5" hidden="1" customHeight="1" x14ac:dyDescent="0.25">
      <c r="A1246" s="16" t="s">
        <v>2249</v>
      </c>
      <c r="B1246" s="16" t="s">
        <v>2249</v>
      </c>
      <c r="C1246" s="119">
        <v>46121</v>
      </c>
      <c r="D1246" s="21">
        <v>8</v>
      </c>
      <c r="E1246" s="211">
        <v>1</v>
      </c>
      <c r="F1246" s="16" t="s">
        <v>1442</v>
      </c>
      <c r="G1246" s="16" t="s">
        <v>1444</v>
      </c>
      <c r="H1246" s="16" t="s">
        <v>99</v>
      </c>
      <c r="I1246" s="16" t="s">
        <v>1289</v>
      </c>
      <c r="J1246" s="93" t="s">
        <v>2246</v>
      </c>
      <c r="K1246" s="17">
        <v>51987478532</v>
      </c>
      <c r="L1246" s="16" t="s">
        <v>2245</v>
      </c>
      <c r="M1246" s="16" t="s">
        <v>306</v>
      </c>
      <c r="N1246" s="11"/>
      <c r="O1246" s="11"/>
      <c r="P1246" s="16" t="s">
        <v>1673</v>
      </c>
      <c r="Q1246" s="26"/>
      <c r="R1246" s="96" t="s">
        <v>440</v>
      </c>
      <c r="S1246" s="11"/>
    </row>
    <row r="1247" spans="1:19" s="20" customFormat="1" ht="22.5" hidden="1" customHeight="1" x14ac:dyDescent="0.25">
      <c r="A1247" s="26" t="s">
        <v>2250</v>
      </c>
      <c r="B1247" s="26" t="s">
        <v>2250</v>
      </c>
      <c r="C1247" s="120">
        <v>46121</v>
      </c>
      <c r="D1247" s="24">
        <v>4</v>
      </c>
      <c r="E1247" s="212"/>
      <c r="F1247" s="26" t="s">
        <v>2241</v>
      </c>
      <c r="G1247" s="26" t="s">
        <v>2240</v>
      </c>
      <c r="H1247" s="26" t="s">
        <v>99</v>
      </c>
      <c r="I1247" s="26" t="s">
        <v>1289</v>
      </c>
      <c r="J1247" s="121" t="s">
        <v>2246</v>
      </c>
      <c r="K1247" s="23">
        <v>51987478532</v>
      </c>
      <c r="L1247" s="26" t="s">
        <v>2245</v>
      </c>
      <c r="M1247" s="26" t="s">
        <v>306</v>
      </c>
      <c r="N1247" s="27"/>
      <c r="O1247" s="27"/>
      <c r="P1247" s="26" t="s">
        <v>1673</v>
      </c>
      <c r="Q1247" s="26"/>
      <c r="R1247" s="96" t="s">
        <v>440</v>
      </c>
      <c r="S1247" s="27"/>
    </row>
    <row r="1248" spans="1:19" ht="22.5" hidden="1" customHeight="1" x14ac:dyDescent="0.25">
      <c r="A1248" s="11" t="s">
        <v>2196</v>
      </c>
      <c r="B1248" s="14" t="s">
        <v>2251</v>
      </c>
      <c r="C1248" s="18">
        <v>46121</v>
      </c>
      <c r="D1248" s="19">
        <v>5</v>
      </c>
      <c r="E1248" s="19">
        <v>2</v>
      </c>
      <c r="F1248" s="11" t="s">
        <v>323</v>
      </c>
      <c r="G1248" s="14" t="s">
        <v>336</v>
      </c>
      <c r="H1248" s="16" t="s">
        <v>99</v>
      </c>
      <c r="I1248" s="11" t="s">
        <v>2253</v>
      </c>
      <c r="J1248" s="122" t="s">
        <v>2198</v>
      </c>
      <c r="K1248" s="14">
        <v>51934048534</v>
      </c>
      <c r="L1248" s="11" t="s">
        <v>2252</v>
      </c>
      <c r="M1248" s="16" t="s">
        <v>473</v>
      </c>
      <c r="N1248" s="11"/>
      <c r="O1248" s="11"/>
      <c r="P1248" s="11" t="s">
        <v>2254</v>
      </c>
      <c r="Q1248" s="16"/>
      <c r="R1248" s="11" t="s">
        <v>933</v>
      </c>
      <c r="S1248" s="11"/>
    </row>
    <row r="1249" spans="1:19" ht="20.25" hidden="1" customHeight="1" x14ac:dyDescent="0.25">
      <c r="A1249" s="11" t="s">
        <v>2255</v>
      </c>
      <c r="B1249" s="14" t="s">
        <v>73</v>
      </c>
      <c r="C1249" s="18">
        <v>46122</v>
      </c>
      <c r="D1249" s="19">
        <v>1</v>
      </c>
      <c r="E1249" s="19">
        <v>1</v>
      </c>
      <c r="F1249" s="11" t="s">
        <v>17</v>
      </c>
      <c r="G1249" s="14" t="s">
        <v>91</v>
      </c>
      <c r="H1249" s="16" t="s">
        <v>99</v>
      </c>
      <c r="I1249" s="11" t="s">
        <v>2256</v>
      </c>
      <c r="J1249" s="11" t="s">
        <v>2257</v>
      </c>
      <c r="K1249" s="11">
        <v>947631195</v>
      </c>
      <c r="L1249" s="11" t="s">
        <v>2258</v>
      </c>
      <c r="M1249" s="11" t="s">
        <v>960</v>
      </c>
      <c r="N1249" s="11"/>
      <c r="O1249" s="11"/>
      <c r="P1249" s="11" t="s">
        <v>2254</v>
      </c>
      <c r="Q1249" s="11" t="s">
        <v>2259</v>
      </c>
      <c r="R1249" s="11" t="s">
        <v>142</v>
      </c>
      <c r="S1249" s="11"/>
    </row>
    <row r="1250" spans="1:19" ht="21.75" hidden="1" customHeight="1" x14ac:dyDescent="0.25">
      <c r="A1250" s="16" t="s">
        <v>2194</v>
      </c>
      <c r="B1250" s="17">
        <v>13833549</v>
      </c>
      <c r="C1250" s="18">
        <v>46116</v>
      </c>
      <c r="D1250" s="21">
        <v>192</v>
      </c>
      <c r="E1250" s="25">
        <f>192/24</f>
        <v>8</v>
      </c>
      <c r="F1250" s="16" t="s">
        <v>18</v>
      </c>
      <c r="G1250" s="16" t="s">
        <v>109</v>
      </c>
      <c r="H1250" s="84" t="s">
        <v>76</v>
      </c>
      <c r="I1250" s="26" t="s">
        <v>134</v>
      </c>
      <c r="J1250" s="23">
        <v>20100070970</v>
      </c>
      <c r="K1250" s="11"/>
      <c r="L1250" s="26" t="s">
        <v>1632</v>
      </c>
      <c r="M1250" s="16" t="s">
        <v>77</v>
      </c>
      <c r="N1250" s="11"/>
      <c r="O1250" s="11"/>
      <c r="P1250" s="16" t="s">
        <v>1912</v>
      </c>
      <c r="Q1250" s="16"/>
      <c r="R1250" s="26" t="s">
        <v>143</v>
      </c>
      <c r="S1250" s="11"/>
    </row>
    <row r="1251" spans="1:19" ht="21.75" hidden="1" customHeight="1" x14ac:dyDescent="0.25">
      <c r="A1251" s="16" t="s">
        <v>2194</v>
      </c>
      <c r="B1251" s="17">
        <v>13833549</v>
      </c>
      <c r="C1251" s="18">
        <v>46116</v>
      </c>
      <c r="D1251" s="21">
        <v>48</v>
      </c>
      <c r="E1251" s="25">
        <v>4</v>
      </c>
      <c r="F1251" s="16" t="s">
        <v>19</v>
      </c>
      <c r="G1251" s="16" t="s">
        <v>120</v>
      </c>
      <c r="H1251" s="84" t="s">
        <v>76</v>
      </c>
      <c r="I1251" s="26" t="s">
        <v>134</v>
      </c>
      <c r="J1251" s="23">
        <v>20100070970</v>
      </c>
      <c r="K1251" s="11"/>
      <c r="L1251" s="26" t="s">
        <v>1632</v>
      </c>
      <c r="M1251" s="16" t="s">
        <v>77</v>
      </c>
      <c r="N1251" s="11"/>
      <c r="O1251" s="11"/>
      <c r="P1251" s="16" t="s">
        <v>1912</v>
      </c>
      <c r="Q1251" s="16"/>
      <c r="R1251" s="26" t="s">
        <v>143</v>
      </c>
      <c r="S1251" s="11"/>
    </row>
    <row r="1252" spans="1:19" ht="21.75" hidden="1" customHeight="1" x14ac:dyDescent="0.25">
      <c r="A1252" s="16" t="s">
        <v>2194</v>
      </c>
      <c r="B1252" s="17">
        <v>13833549</v>
      </c>
      <c r="C1252" s="18">
        <v>46116</v>
      </c>
      <c r="D1252" s="21">
        <v>12</v>
      </c>
      <c r="E1252" s="25">
        <v>1</v>
      </c>
      <c r="F1252" s="16" t="s">
        <v>20</v>
      </c>
      <c r="G1252" s="16" t="s">
        <v>120</v>
      </c>
      <c r="H1252" s="84" t="s">
        <v>76</v>
      </c>
      <c r="I1252" s="26" t="s">
        <v>134</v>
      </c>
      <c r="J1252" s="23">
        <v>20100070970</v>
      </c>
      <c r="K1252" s="11"/>
      <c r="L1252" s="26" t="s">
        <v>1632</v>
      </c>
      <c r="M1252" s="16" t="s">
        <v>77</v>
      </c>
      <c r="N1252" s="11"/>
      <c r="O1252" s="11"/>
      <c r="P1252" s="16" t="s">
        <v>1912</v>
      </c>
      <c r="Q1252" s="16"/>
      <c r="R1252" s="26" t="s">
        <v>143</v>
      </c>
      <c r="S1252" s="11"/>
    </row>
    <row r="1253" spans="1:19" ht="21.75" hidden="1" customHeight="1" x14ac:dyDescent="0.25">
      <c r="A1253" s="16" t="s">
        <v>2194</v>
      </c>
      <c r="B1253" s="17">
        <v>13833549</v>
      </c>
      <c r="C1253" s="18">
        <v>46116</v>
      </c>
      <c r="D1253" s="21">
        <v>48</v>
      </c>
      <c r="E1253" s="25">
        <v>4</v>
      </c>
      <c r="F1253" s="16" t="s">
        <v>21</v>
      </c>
      <c r="G1253" s="16" t="s">
        <v>115</v>
      </c>
      <c r="H1253" s="84" t="s">
        <v>76</v>
      </c>
      <c r="I1253" s="26" t="s">
        <v>134</v>
      </c>
      <c r="J1253" s="23">
        <v>20100070970</v>
      </c>
      <c r="K1253" s="11"/>
      <c r="L1253" s="26" t="s">
        <v>1632</v>
      </c>
      <c r="M1253" s="16" t="s">
        <v>77</v>
      </c>
      <c r="N1253" s="11"/>
      <c r="O1253" s="11"/>
      <c r="P1253" s="16" t="s">
        <v>1912</v>
      </c>
      <c r="Q1253" s="16"/>
      <c r="R1253" s="26" t="s">
        <v>143</v>
      </c>
      <c r="S1253" s="11"/>
    </row>
    <row r="1254" spans="1:19" ht="21.75" hidden="1" customHeight="1" x14ac:dyDescent="0.25">
      <c r="A1254" s="16" t="s">
        <v>2194</v>
      </c>
      <c r="B1254" s="17">
        <v>13833549</v>
      </c>
      <c r="C1254" s="18">
        <v>46116</v>
      </c>
      <c r="D1254" s="21">
        <v>192</v>
      </c>
      <c r="E1254" s="25">
        <f>192/48</f>
        <v>4</v>
      </c>
      <c r="F1254" s="16" t="s">
        <v>22</v>
      </c>
      <c r="G1254" s="16" t="s">
        <v>108</v>
      </c>
      <c r="H1254" s="84" t="s">
        <v>76</v>
      </c>
      <c r="I1254" s="26" t="s">
        <v>134</v>
      </c>
      <c r="J1254" s="23">
        <v>20100070970</v>
      </c>
      <c r="K1254" s="11"/>
      <c r="L1254" s="26" t="s">
        <v>1632</v>
      </c>
      <c r="M1254" s="16" t="s">
        <v>77</v>
      </c>
      <c r="N1254" s="11"/>
      <c r="O1254" s="11"/>
      <c r="P1254" s="16" t="s">
        <v>1912</v>
      </c>
      <c r="Q1254" s="16"/>
      <c r="R1254" s="26" t="s">
        <v>143</v>
      </c>
      <c r="S1254" s="11"/>
    </row>
    <row r="1255" spans="1:19" ht="21.75" hidden="1" customHeight="1" x14ac:dyDescent="0.25">
      <c r="A1255" s="16" t="s">
        <v>2194</v>
      </c>
      <c r="B1255" s="17">
        <v>13833549</v>
      </c>
      <c r="C1255" s="18">
        <v>46116</v>
      </c>
      <c r="D1255" s="21">
        <v>204</v>
      </c>
      <c r="E1255" s="25">
        <v>17</v>
      </c>
      <c r="F1255" s="16" t="s">
        <v>23</v>
      </c>
      <c r="G1255" s="16" t="s">
        <v>119</v>
      </c>
      <c r="H1255" s="84" t="s">
        <v>76</v>
      </c>
      <c r="I1255" s="26" t="s">
        <v>134</v>
      </c>
      <c r="J1255" s="23">
        <v>20100070970</v>
      </c>
      <c r="K1255" s="11"/>
      <c r="L1255" s="26" t="s">
        <v>1632</v>
      </c>
      <c r="M1255" s="16" t="s">
        <v>77</v>
      </c>
      <c r="N1255" s="11"/>
      <c r="O1255" s="11"/>
      <c r="P1255" s="16" t="s">
        <v>1912</v>
      </c>
      <c r="Q1255" s="16"/>
      <c r="R1255" s="26" t="s">
        <v>143</v>
      </c>
      <c r="S1255" s="11"/>
    </row>
    <row r="1256" spans="1:19" ht="21.75" hidden="1" customHeight="1" x14ac:dyDescent="0.25">
      <c r="A1256" s="16" t="s">
        <v>2194</v>
      </c>
      <c r="B1256" s="17">
        <v>13833549</v>
      </c>
      <c r="C1256" s="18">
        <v>46116</v>
      </c>
      <c r="D1256" s="21">
        <v>60</v>
      </c>
      <c r="E1256" s="25">
        <v>5</v>
      </c>
      <c r="F1256" s="16" t="s">
        <v>24</v>
      </c>
      <c r="G1256" s="16" t="s">
        <v>112</v>
      </c>
      <c r="H1256" s="84" t="s">
        <v>76</v>
      </c>
      <c r="I1256" s="26" t="s">
        <v>134</v>
      </c>
      <c r="J1256" s="23">
        <v>20100070970</v>
      </c>
      <c r="K1256" s="11"/>
      <c r="L1256" s="26" t="s">
        <v>1632</v>
      </c>
      <c r="M1256" s="16" t="s">
        <v>77</v>
      </c>
      <c r="N1256" s="11"/>
      <c r="O1256" s="11"/>
      <c r="P1256" s="16" t="s">
        <v>1912</v>
      </c>
      <c r="Q1256" s="16"/>
      <c r="R1256" s="26" t="s">
        <v>143</v>
      </c>
      <c r="S1256" s="11"/>
    </row>
    <row r="1257" spans="1:19" ht="21.75" hidden="1" customHeight="1" x14ac:dyDescent="0.25">
      <c r="A1257" s="16" t="s">
        <v>2194</v>
      </c>
      <c r="B1257" s="17">
        <v>13833549</v>
      </c>
      <c r="C1257" s="18">
        <v>46116</v>
      </c>
      <c r="D1257" s="21">
        <v>24</v>
      </c>
      <c r="E1257" s="25">
        <v>2</v>
      </c>
      <c r="F1257" s="16" t="s">
        <v>25</v>
      </c>
      <c r="G1257" s="16" t="s">
        <v>136</v>
      </c>
      <c r="H1257" s="84" t="s">
        <v>76</v>
      </c>
      <c r="I1257" s="26" t="s">
        <v>134</v>
      </c>
      <c r="J1257" s="23">
        <v>20100070970</v>
      </c>
      <c r="K1257" s="11"/>
      <c r="L1257" s="26" t="s">
        <v>1632</v>
      </c>
      <c r="M1257" s="16" t="s">
        <v>77</v>
      </c>
      <c r="N1257" s="11"/>
      <c r="O1257" s="11"/>
      <c r="P1257" s="16" t="s">
        <v>1912</v>
      </c>
      <c r="Q1257" s="16"/>
      <c r="R1257" s="26" t="s">
        <v>143</v>
      </c>
      <c r="S1257" s="11"/>
    </row>
    <row r="1258" spans="1:19" ht="21.75" hidden="1" customHeight="1" x14ac:dyDescent="0.25">
      <c r="A1258" s="16" t="s">
        <v>2194</v>
      </c>
      <c r="B1258" s="17">
        <v>13833549</v>
      </c>
      <c r="C1258" s="18">
        <v>46116</v>
      </c>
      <c r="D1258" s="21">
        <v>84</v>
      </c>
      <c r="E1258" s="19">
        <f>84/6</f>
        <v>14</v>
      </c>
      <c r="F1258" s="16" t="s">
        <v>26</v>
      </c>
      <c r="G1258" s="16" t="s">
        <v>111</v>
      </c>
      <c r="H1258" s="84" t="s">
        <v>76</v>
      </c>
      <c r="I1258" s="16" t="s">
        <v>134</v>
      </c>
      <c r="J1258" s="17">
        <v>20100070970</v>
      </c>
      <c r="K1258" s="11"/>
      <c r="L1258" s="16" t="s">
        <v>1632</v>
      </c>
      <c r="M1258" s="16" t="s">
        <v>77</v>
      </c>
      <c r="N1258" s="11"/>
      <c r="O1258" s="11"/>
      <c r="P1258" s="16" t="s">
        <v>1912</v>
      </c>
      <c r="Q1258" s="16"/>
      <c r="R1258" s="16" t="s">
        <v>143</v>
      </c>
      <c r="S1258" s="11"/>
    </row>
    <row r="1259" spans="1:19" ht="21.75" hidden="1" customHeight="1" x14ac:dyDescent="0.25">
      <c r="A1259" s="16" t="s">
        <v>2194</v>
      </c>
      <c r="B1259" s="17">
        <v>13833549</v>
      </c>
      <c r="C1259" s="18">
        <v>46116</v>
      </c>
      <c r="D1259" s="21">
        <v>48</v>
      </c>
      <c r="E1259" s="19">
        <v>4</v>
      </c>
      <c r="F1259" s="16" t="s">
        <v>27</v>
      </c>
      <c r="G1259" s="16" t="s">
        <v>103</v>
      </c>
      <c r="H1259" s="84" t="s">
        <v>76</v>
      </c>
      <c r="I1259" s="16" t="s">
        <v>134</v>
      </c>
      <c r="J1259" s="17">
        <v>20100070970</v>
      </c>
      <c r="K1259" s="11"/>
      <c r="L1259" s="16" t="s">
        <v>1632</v>
      </c>
      <c r="M1259" s="16" t="s">
        <v>77</v>
      </c>
      <c r="N1259" s="11"/>
      <c r="O1259" s="11"/>
      <c r="P1259" s="16" t="s">
        <v>1912</v>
      </c>
      <c r="Q1259" s="16"/>
      <c r="R1259" s="16" t="s">
        <v>143</v>
      </c>
      <c r="S1259" s="11"/>
    </row>
    <row r="1260" spans="1:19" ht="21.75" hidden="1" customHeight="1" x14ac:dyDescent="0.25">
      <c r="A1260" s="16" t="s">
        <v>2260</v>
      </c>
      <c r="B1260" s="17">
        <v>13863358</v>
      </c>
      <c r="C1260" s="18">
        <v>46123</v>
      </c>
      <c r="D1260" s="21">
        <v>120</v>
      </c>
      <c r="E1260" s="25">
        <v>5</v>
      </c>
      <c r="F1260" s="16" t="s">
        <v>18</v>
      </c>
      <c r="G1260" s="16" t="s">
        <v>109</v>
      </c>
      <c r="H1260" s="84" t="s">
        <v>76</v>
      </c>
      <c r="I1260" s="26" t="s">
        <v>134</v>
      </c>
      <c r="J1260" s="23">
        <v>20100070970</v>
      </c>
      <c r="K1260" s="11"/>
      <c r="L1260" s="26" t="s">
        <v>1632</v>
      </c>
      <c r="M1260" s="16" t="s">
        <v>77</v>
      </c>
      <c r="N1260" s="11"/>
      <c r="O1260" s="11"/>
      <c r="P1260" s="16" t="s">
        <v>1912</v>
      </c>
      <c r="Q1260" s="16"/>
      <c r="R1260" s="26" t="s">
        <v>143</v>
      </c>
      <c r="S1260" s="11"/>
    </row>
    <row r="1261" spans="1:19" ht="21.75" hidden="1" customHeight="1" x14ac:dyDescent="0.25">
      <c r="A1261" s="16" t="s">
        <v>2260</v>
      </c>
      <c r="B1261" s="17">
        <v>13863358</v>
      </c>
      <c r="C1261" s="18">
        <v>46123</v>
      </c>
      <c r="D1261" s="21">
        <v>24</v>
      </c>
      <c r="E1261" s="25">
        <v>4</v>
      </c>
      <c r="F1261" s="16" t="s">
        <v>19</v>
      </c>
      <c r="G1261" s="16" t="s">
        <v>120</v>
      </c>
      <c r="H1261" s="84" t="s">
        <v>76</v>
      </c>
      <c r="I1261" s="26" t="s">
        <v>134</v>
      </c>
      <c r="J1261" s="23">
        <v>20100070970</v>
      </c>
      <c r="K1261" s="11"/>
      <c r="L1261" s="26" t="s">
        <v>1632</v>
      </c>
      <c r="M1261" s="16" t="s">
        <v>77</v>
      </c>
      <c r="N1261" s="11"/>
      <c r="O1261" s="11"/>
      <c r="P1261" s="16" t="s">
        <v>1912</v>
      </c>
      <c r="Q1261" s="16"/>
      <c r="R1261" s="26" t="s">
        <v>143</v>
      </c>
      <c r="S1261" s="11"/>
    </row>
    <row r="1262" spans="1:19" ht="21.75" hidden="1" customHeight="1" x14ac:dyDescent="0.25">
      <c r="A1262" s="16" t="s">
        <v>2260</v>
      </c>
      <c r="B1262" s="17">
        <v>13863358</v>
      </c>
      <c r="C1262" s="18">
        <v>46123</v>
      </c>
      <c r="D1262" s="21">
        <v>12</v>
      </c>
      <c r="E1262" s="25">
        <v>1</v>
      </c>
      <c r="F1262" s="16" t="s">
        <v>20</v>
      </c>
      <c r="G1262" s="16" t="s">
        <v>120</v>
      </c>
      <c r="H1262" s="84" t="s">
        <v>76</v>
      </c>
      <c r="I1262" s="26" t="s">
        <v>134</v>
      </c>
      <c r="J1262" s="23">
        <v>20100070970</v>
      </c>
      <c r="K1262" s="11"/>
      <c r="L1262" s="26" t="s">
        <v>1632</v>
      </c>
      <c r="M1262" s="16" t="s">
        <v>77</v>
      </c>
      <c r="N1262" s="11"/>
      <c r="O1262" s="11"/>
      <c r="P1262" s="16" t="s">
        <v>1912</v>
      </c>
      <c r="Q1262" s="16"/>
      <c r="R1262" s="26" t="s">
        <v>143</v>
      </c>
      <c r="S1262" s="11"/>
    </row>
    <row r="1263" spans="1:19" ht="21.75" hidden="1" customHeight="1" x14ac:dyDescent="0.25">
      <c r="A1263" s="16" t="s">
        <v>2260</v>
      </c>
      <c r="B1263" s="17">
        <v>13863358</v>
      </c>
      <c r="C1263" s="18">
        <v>46123</v>
      </c>
      <c r="D1263" s="21">
        <v>24</v>
      </c>
      <c r="E1263" s="25">
        <v>4</v>
      </c>
      <c r="F1263" s="16" t="s">
        <v>21</v>
      </c>
      <c r="G1263" s="16" t="s">
        <v>115</v>
      </c>
      <c r="H1263" s="84" t="s">
        <v>76</v>
      </c>
      <c r="I1263" s="26" t="s">
        <v>134</v>
      </c>
      <c r="J1263" s="23">
        <v>20100070970</v>
      </c>
      <c r="K1263" s="11"/>
      <c r="L1263" s="26" t="s">
        <v>1632</v>
      </c>
      <c r="M1263" s="16" t="s">
        <v>77</v>
      </c>
      <c r="N1263" s="11"/>
      <c r="O1263" s="11"/>
      <c r="P1263" s="16" t="s">
        <v>1912</v>
      </c>
      <c r="Q1263" s="16"/>
      <c r="R1263" s="26" t="s">
        <v>143</v>
      </c>
      <c r="S1263" s="11"/>
    </row>
    <row r="1264" spans="1:19" ht="21.75" hidden="1" customHeight="1" x14ac:dyDescent="0.25">
      <c r="A1264" s="16" t="s">
        <v>2260</v>
      </c>
      <c r="B1264" s="17">
        <v>13863358</v>
      </c>
      <c r="C1264" s="18">
        <v>46123</v>
      </c>
      <c r="D1264" s="21">
        <v>192</v>
      </c>
      <c r="E1264" s="25">
        <f>192/48</f>
        <v>4</v>
      </c>
      <c r="F1264" s="16" t="s">
        <v>22</v>
      </c>
      <c r="G1264" s="16" t="s">
        <v>108</v>
      </c>
      <c r="H1264" s="84" t="s">
        <v>76</v>
      </c>
      <c r="I1264" s="26" t="s">
        <v>134</v>
      </c>
      <c r="J1264" s="23">
        <v>20100070970</v>
      </c>
      <c r="K1264" s="11"/>
      <c r="L1264" s="26" t="s">
        <v>1632</v>
      </c>
      <c r="M1264" s="16" t="s">
        <v>77</v>
      </c>
      <c r="N1264" s="11"/>
      <c r="O1264" s="11"/>
      <c r="P1264" s="16" t="s">
        <v>1912</v>
      </c>
      <c r="Q1264" s="16"/>
      <c r="R1264" s="26" t="s">
        <v>143</v>
      </c>
      <c r="S1264" s="11"/>
    </row>
    <row r="1265" spans="1:19" ht="21.75" hidden="1" customHeight="1" x14ac:dyDescent="0.25">
      <c r="A1265" s="16" t="s">
        <v>2260</v>
      </c>
      <c r="B1265" s="17">
        <v>13863358</v>
      </c>
      <c r="C1265" s="18">
        <v>46123</v>
      </c>
      <c r="D1265" s="21">
        <v>204</v>
      </c>
      <c r="E1265" s="25">
        <v>17</v>
      </c>
      <c r="F1265" s="16" t="s">
        <v>23</v>
      </c>
      <c r="G1265" s="16" t="s">
        <v>119</v>
      </c>
      <c r="H1265" s="84" t="s">
        <v>76</v>
      </c>
      <c r="I1265" s="26" t="s">
        <v>134</v>
      </c>
      <c r="J1265" s="23">
        <v>20100070970</v>
      </c>
      <c r="K1265" s="11"/>
      <c r="L1265" s="26" t="s">
        <v>1632</v>
      </c>
      <c r="M1265" s="16" t="s">
        <v>77</v>
      </c>
      <c r="N1265" s="11"/>
      <c r="O1265" s="11"/>
      <c r="P1265" s="16" t="s">
        <v>1912</v>
      </c>
      <c r="Q1265" s="16"/>
      <c r="R1265" s="26" t="s">
        <v>143</v>
      </c>
      <c r="S1265" s="11"/>
    </row>
    <row r="1266" spans="1:19" ht="21.75" hidden="1" customHeight="1" x14ac:dyDescent="0.25">
      <c r="A1266" s="16" t="s">
        <v>2260</v>
      </c>
      <c r="B1266" s="17">
        <v>13863358</v>
      </c>
      <c r="C1266" s="18">
        <v>46123</v>
      </c>
      <c r="D1266" s="21">
        <v>72</v>
      </c>
      <c r="E1266" s="25">
        <v>6</v>
      </c>
      <c r="F1266" s="16" t="s">
        <v>24</v>
      </c>
      <c r="G1266" s="16" t="s">
        <v>112</v>
      </c>
      <c r="H1266" s="84" t="s">
        <v>76</v>
      </c>
      <c r="I1266" s="26" t="s">
        <v>134</v>
      </c>
      <c r="J1266" s="23">
        <v>20100070970</v>
      </c>
      <c r="K1266" s="11"/>
      <c r="L1266" s="26" t="s">
        <v>1632</v>
      </c>
      <c r="M1266" s="16" t="s">
        <v>77</v>
      </c>
      <c r="N1266" s="11"/>
      <c r="O1266" s="11"/>
      <c r="P1266" s="16" t="s">
        <v>1912</v>
      </c>
      <c r="Q1266" s="16"/>
      <c r="R1266" s="26" t="s">
        <v>143</v>
      </c>
      <c r="S1266" s="11"/>
    </row>
    <row r="1267" spans="1:19" ht="21.75" hidden="1" customHeight="1" x14ac:dyDescent="0.25">
      <c r="A1267" s="16" t="s">
        <v>2260</v>
      </c>
      <c r="B1267" s="17">
        <v>13863358</v>
      </c>
      <c r="C1267" s="18">
        <v>46123</v>
      </c>
      <c r="D1267" s="21">
        <v>54</v>
      </c>
      <c r="E1267" s="19">
        <v>9</v>
      </c>
      <c r="F1267" s="16" t="s">
        <v>26</v>
      </c>
      <c r="G1267" s="16" t="s">
        <v>111</v>
      </c>
      <c r="H1267" s="84" t="s">
        <v>76</v>
      </c>
      <c r="I1267" s="16" t="s">
        <v>134</v>
      </c>
      <c r="J1267" s="17">
        <v>20100070970</v>
      </c>
      <c r="K1267" s="11"/>
      <c r="L1267" s="16" t="s">
        <v>1632</v>
      </c>
      <c r="M1267" s="16" t="s">
        <v>77</v>
      </c>
      <c r="N1267" s="11"/>
      <c r="O1267" s="11"/>
      <c r="P1267" s="16" t="s">
        <v>1912</v>
      </c>
      <c r="Q1267" s="16"/>
      <c r="R1267" s="16" t="s">
        <v>143</v>
      </c>
      <c r="S1267" s="11"/>
    </row>
    <row r="1268" spans="1:19" ht="21.75" hidden="1" customHeight="1" x14ac:dyDescent="0.25">
      <c r="A1268" s="16" t="s">
        <v>2260</v>
      </c>
      <c r="B1268" s="17">
        <v>13863358</v>
      </c>
      <c r="C1268" s="18">
        <v>46123</v>
      </c>
      <c r="D1268" s="21">
        <v>48</v>
      </c>
      <c r="E1268" s="19">
        <v>4</v>
      </c>
      <c r="F1268" s="16" t="s">
        <v>27</v>
      </c>
      <c r="G1268" s="16" t="s">
        <v>103</v>
      </c>
      <c r="H1268" s="84" t="s">
        <v>76</v>
      </c>
      <c r="I1268" s="16" t="s">
        <v>134</v>
      </c>
      <c r="J1268" s="17">
        <v>20100070970</v>
      </c>
      <c r="K1268" s="11"/>
      <c r="L1268" s="16" t="s">
        <v>1632</v>
      </c>
      <c r="M1268" s="16" t="s">
        <v>77</v>
      </c>
      <c r="N1268" s="11"/>
      <c r="O1268" s="11"/>
      <c r="P1268" s="16" t="s">
        <v>1912</v>
      </c>
      <c r="Q1268" s="16"/>
      <c r="R1268" s="16" t="s">
        <v>143</v>
      </c>
      <c r="S1268" s="11"/>
    </row>
    <row r="1269" spans="1:19" ht="21.75" hidden="1" customHeight="1" x14ac:dyDescent="0.25">
      <c r="A1269" s="16" t="s">
        <v>2265</v>
      </c>
      <c r="B1269" s="14"/>
      <c r="C1269" s="18">
        <v>46123</v>
      </c>
      <c r="D1269" s="19">
        <v>48</v>
      </c>
      <c r="E1269" s="19">
        <v>4</v>
      </c>
      <c r="F1269" s="14" t="s">
        <v>1873</v>
      </c>
      <c r="G1269" s="14" t="s">
        <v>1872</v>
      </c>
      <c r="H1269" s="14" t="s">
        <v>1650</v>
      </c>
      <c r="I1269" s="14" t="s">
        <v>2261</v>
      </c>
      <c r="J1269" s="123" t="s">
        <v>2262</v>
      </c>
      <c r="K1269" s="14">
        <v>51989143595</v>
      </c>
      <c r="L1269" s="14" t="s">
        <v>2263</v>
      </c>
      <c r="M1269" s="14" t="s">
        <v>2264</v>
      </c>
      <c r="N1269" s="14"/>
      <c r="O1269" s="14"/>
      <c r="P1269" s="34" t="s">
        <v>2267</v>
      </c>
      <c r="Q1269" s="14" t="s">
        <v>2266</v>
      </c>
      <c r="R1269" s="14" t="s">
        <v>396</v>
      </c>
      <c r="S1269" s="14"/>
    </row>
    <row r="1270" spans="1:19" ht="21.75" hidden="1" customHeight="1" x14ac:dyDescent="0.25">
      <c r="A1270" s="16" t="s">
        <v>2265</v>
      </c>
      <c r="B1270" s="14"/>
      <c r="C1270" s="18">
        <v>46123</v>
      </c>
      <c r="D1270" s="19">
        <v>48</v>
      </c>
      <c r="E1270" s="19">
        <v>1</v>
      </c>
      <c r="F1270" s="14" t="s">
        <v>48</v>
      </c>
      <c r="G1270" s="14" t="s">
        <v>160</v>
      </c>
      <c r="H1270" s="14" t="s">
        <v>1650</v>
      </c>
      <c r="I1270" s="14" t="s">
        <v>2261</v>
      </c>
      <c r="J1270" s="123" t="s">
        <v>2262</v>
      </c>
      <c r="K1270" s="14">
        <v>51989143595</v>
      </c>
      <c r="L1270" s="14" t="s">
        <v>2263</v>
      </c>
      <c r="M1270" s="14" t="s">
        <v>2264</v>
      </c>
      <c r="N1270" s="14"/>
      <c r="O1270" s="14"/>
      <c r="P1270" s="34" t="s">
        <v>2267</v>
      </c>
      <c r="Q1270" s="14" t="s">
        <v>2266</v>
      </c>
      <c r="R1270" s="14" t="s">
        <v>396</v>
      </c>
      <c r="S1270" s="14"/>
    </row>
    <row r="1271" spans="1:19" ht="21.75" hidden="1" customHeight="1" x14ac:dyDescent="0.25">
      <c r="A1271" s="16" t="s">
        <v>2265</v>
      </c>
      <c r="B1271" s="14"/>
      <c r="C1271" s="18">
        <v>46123</v>
      </c>
      <c r="D1271" s="19">
        <v>24</v>
      </c>
      <c r="E1271" s="19">
        <v>2</v>
      </c>
      <c r="F1271" s="14" t="s">
        <v>46</v>
      </c>
      <c r="G1271" s="14" t="s">
        <v>104</v>
      </c>
      <c r="H1271" s="14" t="s">
        <v>1650</v>
      </c>
      <c r="I1271" s="14" t="s">
        <v>2261</v>
      </c>
      <c r="J1271" s="123" t="s">
        <v>2262</v>
      </c>
      <c r="K1271" s="14">
        <v>51989143595</v>
      </c>
      <c r="L1271" s="14" t="s">
        <v>2263</v>
      </c>
      <c r="M1271" s="14" t="s">
        <v>2264</v>
      </c>
      <c r="N1271" s="14"/>
      <c r="O1271" s="14"/>
      <c r="P1271" s="34" t="s">
        <v>2267</v>
      </c>
      <c r="Q1271" s="14" t="s">
        <v>2266</v>
      </c>
      <c r="R1271" s="14" t="s">
        <v>396</v>
      </c>
      <c r="S1271" s="14"/>
    </row>
    <row r="1272" spans="1:19" ht="21.75" hidden="1" customHeight="1" x14ac:dyDescent="0.25">
      <c r="A1272" s="16" t="s">
        <v>2268</v>
      </c>
      <c r="B1272" s="124" t="s">
        <v>2269</v>
      </c>
      <c r="C1272" s="18">
        <v>46123</v>
      </c>
      <c r="D1272" s="19">
        <v>1</v>
      </c>
      <c r="E1272" s="19">
        <v>1</v>
      </c>
      <c r="F1272" s="14" t="s">
        <v>17</v>
      </c>
      <c r="G1272" s="124" t="s">
        <v>91</v>
      </c>
      <c r="H1272" s="14" t="s">
        <v>99</v>
      </c>
      <c r="I1272" s="14" t="s">
        <v>2270</v>
      </c>
      <c r="J1272" s="123" t="s">
        <v>2271</v>
      </c>
      <c r="K1272" s="14">
        <v>51998709249</v>
      </c>
      <c r="L1272" s="14" t="s">
        <v>2272</v>
      </c>
      <c r="M1272" s="14" t="s">
        <v>1657</v>
      </c>
      <c r="N1272" s="125"/>
      <c r="O1272" s="125"/>
      <c r="P1272" s="125"/>
      <c r="Q1272" s="14" t="s">
        <v>2273</v>
      </c>
      <c r="R1272" s="14" t="s">
        <v>933</v>
      </c>
      <c r="S1272" s="125"/>
    </row>
    <row r="1273" spans="1:19" s="20" customFormat="1" ht="21.75" hidden="1" customHeight="1" x14ac:dyDescent="0.2">
      <c r="A1273" s="16" t="s">
        <v>2274</v>
      </c>
      <c r="B1273" s="14"/>
      <c r="C1273" s="18">
        <v>46127</v>
      </c>
      <c r="D1273" s="19">
        <v>2</v>
      </c>
      <c r="E1273" s="19">
        <v>1</v>
      </c>
      <c r="F1273" s="16" t="s">
        <v>53</v>
      </c>
      <c r="G1273" s="16" t="s">
        <v>121</v>
      </c>
      <c r="H1273" s="14" t="s">
        <v>99</v>
      </c>
      <c r="I1273" s="16" t="s">
        <v>600</v>
      </c>
      <c r="J1273" s="17">
        <v>10461707713</v>
      </c>
      <c r="K1273" s="17">
        <v>949288830</v>
      </c>
      <c r="L1273" s="17" t="s">
        <v>649</v>
      </c>
      <c r="M1273" s="16" t="s">
        <v>2275</v>
      </c>
      <c r="N1273" s="11"/>
      <c r="O1273" s="11"/>
      <c r="P1273" s="16" t="s">
        <v>1673</v>
      </c>
      <c r="Q1273" s="11"/>
      <c r="R1273" s="16" t="s">
        <v>820</v>
      </c>
      <c r="S1273" s="11"/>
    </row>
    <row r="1274" spans="1:19" s="20" customFormat="1" ht="21.75" hidden="1" customHeight="1" x14ac:dyDescent="0.2">
      <c r="A1274" s="11" t="s">
        <v>2276</v>
      </c>
      <c r="B1274" s="14" t="s">
        <v>73</v>
      </c>
      <c r="C1274" s="18">
        <v>46127</v>
      </c>
      <c r="D1274" s="21">
        <v>1</v>
      </c>
      <c r="E1274" s="21">
        <v>1</v>
      </c>
      <c r="F1274" s="16" t="s">
        <v>53</v>
      </c>
      <c r="G1274" s="16" t="s">
        <v>121</v>
      </c>
      <c r="H1274" s="16" t="s">
        <v>99</v>
      </c>
      <c r="I1274" s="16" t="s">
        <v>2279</v>
      </c>
      <c r="J1274" s="17">
        <v>42604824</v>
      </c>
      <c r="K1274" s="17">
        <v>987108137</v>
      </c>
      <c r="L1274" s="17" t="s">
        <v>2281</v>
      </c>
      <c r="M1274" s="16" t="s">
        <v>475</v>
      </c>
      <c r="N1274" s="11"/>
      <c r="O1274" s="11"/>
      <c r="P1274" s="16" t="s">
        <v>1673</v>
      </c>
      <c r="Q1274" s="11"/>
      <c r="R1274" s="16" t="s">
        <v>820</v>
      </c>
      <c r="S1274" s="11"/>
    </row>
    <row r="1275" spans="1:19" s="20" customFormat="1" ht="21.75" hidden="1" customHeight="1" x14ac:dyDescent="0.2">
      <c r="A1275" s="11" t="s">
        <v>2277</v>
      </c>
      <c r="B1275" s="14" t="s">
        <v>2278</v>
      </c>
      <c r="C1275" s="18">
        <v>46127</v>
      </c>
      <c r="D1275" s="21">
        <v>1</v>
      </c>
      <c r="E1275" s="21">
        <v>1</v>
      </c>
      <c r="F1275" s="16" t="s">
        <v>755</v>
      </c>
      <c r="G1275" s="16" t="s">
        <v>769</v>
      </c>
      <c r="H1275" s="16" t="s">
        <v>99</v>
      </c>
      <c r="I1275" s="16" t="s">
        <v>2280</v>
      </c>
      <c r="J1275" s="17">
        <v>10323501</v>
      </c>
      <c r="K1275" s="17">
        <v>51955235747</v>
      </c>
      <c r="L1275" s="17" t="s">
        <v>2282</v>
      </c>
      <c r="M1275" s="16" t="s">
        <v>299</v>
      </c>
      <c r="N1275" s="11"/>
      <c r="O1275" s="11"/>
      <c r="P1275" s="16" t="s">
        <v>1673</v>
      </c>
      <c r="Q1275" s="11"/>
      <c r="R1275" s="16" t="s">
        <v>441</v>
      </c>
      <c r="S1275" s="11"/>
    </row>
    <row r="1276" spans="1:19" s="20" customFormat="1" ht="21.75" hidden="1" customHeight="1" x14ac:dyDescent="0.2">
      <c r="A1276" s="16" t="s">
        <v>2283</v>
      </c>
      <c r="B1276" s="17">
        <v>5312</v>
      </c>
      <c r="C1276" s="18">
        <v>46128</v>
      </c>
      <c r="D1276" s="21">
        <v>12</v>
      </c>
      <c r="E1276" s="19">
        <v>1</v>
      </c>
      <c r="F1276" s="16" t="s">
        <v>27</v>
      </c>
      <c r="G1276" s="16" t="s">
        <v>103</v>
      </c>
      <c r="H1276" s="11" t="s">
        <v>1650</v>
      </c>
      <c r="I1276" s="16" t="s">
        <v>41</v>
      </c>
      <c r="J1276" s="17">
        <v>20513229080</v>
      </c>
      <c r="K1276" s="17" t="s">
        <v>2287</v>
      </c>
      <c r="L1276" s="16" t="s">
        <v>1693</v>
      </c>
      <c r="M1276" s="16" t="s">
        <v>420</v>
      </c>
      <c r="N1276" s="11"/>
      <c r="O1276" s="11"/>
      <c r="P1276" s="16" t="s">
        <v>2285</v>
      </c>
      <c r="Q1276" s="11"/>
      <c r="R1276" s="16" t="s">
        <v>396</v>
      </c>
      <c r="S1276" s="11"/>
    </row>
    <row r="1277" spans="1:19" s="20" customFormat="1" ht="21.75" hidden="1" customHeight="1" x14ac:dyDescent="0.2">
      <c r="A1277" s="16" t="s">
        <v>2283</v>
      </c>
      <c r="B1277" s="17">
        <v>5312</v>
      </c>
      <c r="C1277" s="18">
        <v>46128</v>
      </c>
      <c r="D1277" s="21">
        <v>60</v>
      </c>
      <c r="E1277" s="19">
        <v>5</v>
      </c>
      <c r="F1277" s="16" t="s">
        <v>23</v>
      </c>
      <c r="G1277" s="16" t="s">
        <v>119</v>
      </c>
      <c r="H1277" s="11" t="s">
        <v>1650</v>
      </c>
      <c r="I1277" s="16" t="s">
        <v>41</v>
      </c>
      <c r="J1277" s="17">
        <v>20513229080</v>
      </c>
      <c r="K1277" s="17" t="s">
        <v>2287</v>
      </c>
      <c r="L1277" s="16" t="s">
        <v>1693</v>
      </c>
      <c r="M1277" s="16" t="s">
        <v>420</v>
      </c>
      <c r="N1277" s="11"/>
      <c r="O1277" s="11"/>
      <c r="P1277" s="16" t="s">
        <v>2285</v>
      </c>
      <c r="Q1277" s="11"/>
      <c r="R1277" s="16" t="s">
        <v>396</v>
      </c>
      <c r="S1277" s="11"/>
    </row>
    <row r="1278" spans="1:19" s="20" customFormat="1" ht="21.75" hidden="1" customHeight="1" x14ac:dyDescent="0.2">
      <c r="A1278" s="16" t="s">
        <v>2283</v>
      </c>
      <c r="B1278" s="17">
        <v>5312</v>
      </c>
      <c r="C1278" s="18">
        <v>46128</v>
      </c>
      <c r="D1278" s="21">
        <v>60</v>
      </c>
      <c r="E1278" s="19">
        <v>5</v>
      </c>
      <c r="F1278" s="16" t="s">
        <v>1701</v>
      </c>
      <c r="G1278" s="16" t="s">
        <v>1702</v>
      </c>
      <c r="H1278" s="11" t="s">
        <v>1650</v>
      </c>
      <c r="I1278" s="16" t="s">
        <v>41</v>
      </c>
      <c r="J1278" s="17">
        <v>20513229080</v>
      </c>
      <c r="K1278" s="17" t="s">
        <v>2287</v>
      </c>
      <c r="L1278" s="16" t="s">
        <v>1693</v>
      </c>
      <c r="M1278" s="16" t="s">
        <v>420</v>
      </c>
      <c r="N1278" s="11"/>
      <c r="O1278" s="11"/>
      <c r="P1278" s="16" t="s">
        <v>2285</v>
      </c>
      <c r="Q1278" s="11"/>
      <c r="R1278" s="16" t="s">
        <v>396</v>
      </c>
      <c r="S1278" s="11"/>
    </row>
    <row r="1279" spans="1:19" s="20" customFormat="1" ht="21.75" hidden="1" customHeight="1" x14ac:dyDescent="0.2">
      <c r="A1279" s="16" t="s">
        <v>2283</v>
      </c>
      <c r="B1279" s="17">
        <v>5312</v>
      </c>
      <c r="C1279" s="18">
        <v>46128</v>
      </c>
      <c r="D1279" s="21">
        <v>60</v>
      </c>
      <c r="E1279" s="19">
        <v>5</v>
      </c>
      <c r="F1279" s="16" t="s">
        <v>1955</v>
      </c>
      <c r="G1279" s="16" t="s">
        <v>1956</v>
      </c>
      <c r="H1279" s="11" t="s">
        <v>1650</v>
      </c>
      <c r="I1279" s="16" t="s">
        <v>41</v>
      </c>
      <c r="J1279" s="17">
        <v>20513229080</v>
      </c>
      <c r="K1279" s="17" t="s">
        <v>2287</v>
      </c>
      <c r="L1279" s="16" t="s">
        <v>1693</v>
      </c>
      <c r="M1279" s="16" t="s">
        <v>420</v>
      </c>
      <c r="N1279" s="11"/>
      <c r="O1279" s="11"/>
      <c r="P1279" s="16" t="s">
        <v>2285</v>
      </c>
      <c r="Q1279" s="11"/>
      <c r="R1279" s="16" t="s">
        <v>396</v>
      </c>
      <c r="S1279" s="11"/>
    </row>
    <row r="1280" spans="1:19" s="20" customFormat="1" ht="21.75" hidden="1" customHeight="1" x14ac:dyDescent="0.2">
      <c r="A1280" s="16" t="s">
        <v>2284</v>
      </c>
      <c r="B1280" s="16" t="s">
        <v>73</v>
      </c>
      <c r="C1280" s="18">
        <v>46128</v>
      </c>
      <c r="D1280" s="21">
        <v>6</v>
      </c>
      <c r="E1280" s="19">
        <v>3</v>
      </c>
      <c r="F1280" s="16" t="s">
        <v>45</v>
      </c>
      <c r="G1280" s="16" t="s">
        <v>116</v>
      </c>
      <c r="H1280" s="11" t="s">
        <v>1650</v>
      </c>
      <c r="I1280" s="16" t="s">
        <v>379</v>
      </c>
      <c r="J1280" s="17">
        <v>20101596363</v>
      </c>
      <c r="K1280" s="16" t="s">
        <v>2288</v>
      </c>
      <c r="L1280" s="16" t="s">
        <v>1705</v>
      </c>
      <c r="M1280" s="16" t="s">
        <v>347</v>
      </c>
      <c r="N1280" s="11"/>
      <c r="O1280" s="11"/>
      <c r="P1280" s="16" t="s">
        <v>2286</v>
      </c>
      <c r="Q1280" s="11" t="s">
        <v>2289</v>
      </c>
      <c r="R1280" s="16" t="s">
        <v>396</v>
      </c>
      <c r="S1280" s="11"/>
    </row>
    <row r="1281" spans="1:64" s="20" customFormat="1" ht="21.75" hidden="1" customHeight="1" x14ac:dyDescent="0.2">
      <c r="A1281" s="26" t="s">
        <v>2284</v>
      </c>
      <c r="B1281" s="26" t="s">
        <v>73</v>
      </c>
      <c r="C1281" s="126">
        <v>46128</v>
      </c>
      <c r="D1281" s="24">
        <v>120</v>
      </c>
      <c r="E1281" s="25">
        <v>5</v>
      </c>
      <c r="F1281" s="26" t="s">
        <v>2206</v>
      </c>
      <c r="G1281" s="26" t="s">
        <v>2231</v>
      </c>
      <c r="H1281" s="27" t="s">
        <v>1650</v>
      </c>
      <c r="I1281" s="26" t="s">
        <v>379</v>
      </c>
      <c r="J1281" s="23">
        <v>20101596363</v>
      </c>
      <c r="K1281" s="26" t="s">
        <v>2288</v>
      </c>
      <c r="L1281" s="26" t="s">
        <v>1705</v>
      </c>
      <c r="M1281" s="26" t="s">
        <v>347</v>
      </c>
      <c r="N1281" s="27"/>
      <c r="O1281" s="27"/>
      <c r="P1281" s="26" t="s">
        <v>2286</v>
      </c>
      <c r="Q1281" s="27" t="s">
        <v>2289</v>
      </c>
      <c r="R1281" s="26" t="s">
        <v>396</v>
      </c>
      <c r="S1281" s="27"/>
    </row>
    <row r="1282" spans="1:64" s="127" customFormat="1" ht="23.25" hidden="1" customHeight="1" x14ac:dyDescent="0.2">
      <c r="A1282" s="16" t="s">
        <v>2290</v>
      </c>
      <c r="B1282" s="93" t="s">
        <v>2291</v>
      </c>
      <c r="C1282" s="18">
        <v>46129</v>
      </c>
      <c r="D1282" s="19">
        <v>1</v>
      </c>
      <c r="E1282" s="19">
        <v>1</v>
      </c>
      <c r="F1282" s="16" t="s">
        <v>2211</v>
      </c>
      <c r="G1282" s="16" t="s">
        <v>2212</v>
      </c>
      <c r="H1282" s="16" t="s">
        <v>99</v>
      </c>
      <c r="I1282" s="16" t="s">
        <v>2292</v>
      </c>
      <c r="J1282" s="17">
        <v>71984909</v>
      </c>
      <c r="K1282" s="17">
        <v>51958176974</v>
      </c>
      <c r="L1282" s="16" t="s">
        <v>2294</v>
      </c>
      <c r="M1282" s="16" t="s">
        <v>474</v>
      </c>
      <c r="N1282" s="11"/>
      <c r="O1282" s="11"/>
      <c r="P1282" s="16" t="s">
        <v>1673</v>
      </c>
      <c r="R1282" s="16" t="s">
        <v>442</v>
      </c>
      <c r="S1282" s="11" t="s">
        <v>2293</v>
      </c>
      <c r="T1282" s="128"/>
      <c r="U1282" s="128"/>
      <c r="V1282" s="128"/>
      <c r="W1282" s="128"/>
      <c r="X1282" s="128"/>
      <c r="Y1282" s="128"/>
      <c r="Z1282" s="128"/>
      <c r="AA1282" s="128"/>
      <c r="AB1282" s="128"/>
      <c r="AC1282" s="128"/>
      <c r="AD1282" s="128"/>
      <c r="AE1282" s="128"/>
      <c r="AF1282" s="128"/>
      <c r="AG1282" s="128"/>
      <c r="AH1282" s="128"/>
      <c r="AI1282" s="128"/>
      <c r="AJ1282" s="128"/>
      <c r="AK1282" s="128"/>
      <c r="AL1282" s="128"/>
      <c r="AM1282" s="128"/>
      <c r="AN1282" s="128"/>
      <c r="AO1282" s="128"/>
      <c r="AP1282" s="128"/>
      <c r="AQ1282" s="128"/>
      <c r="AR1282" s="128"/>
      <c r="AS1282" s="128"/>
      <c r="AT1282" s="128"/>
      <c r="AU1282" s="128"/>
      <c r="AV1282" s="128"/>
      <c r="AW1282" s="128"/>
      <c r="AX1282" s="128"/>
      <c r="AY1282" s="128"/>
      <c r="AZ1282" s="128"/>
      <c r="BA1282" s="128"/>
      <c r="BB1282" s="128"/>
      <c r="BC1282" s="128"/>
      <c r="BD1282" s="128"/>
      <c r="BE1282" s="128"/>
      <c r="BF1282" s="128"/>
      <c r="BG1282" s="128"/>
      <c r="BH1282" s="128"/>
      <c r="BI1282" s="128"/>
      <c r="BJ1282" s="128"/>
      <c r="BK1282" s="128"/>
      <c r="BL1282" s="128"/>
    </row>
    <row r="1283" spans="1:64" ht="21.75" hidden="1" customHeight="1" x14ac:dyDescent="0.25">
      <c r="A1283" s="16" t="s">
        <v>2295</v>
      </c>
      <c r="B1283" s="17">
        <v>13894522</v>
      </c>
      <c r="C1283" s="18">
        <v>46130</v>
      </c>
      <c r="D1283" s="21">
        <v>36</v>
      </c>
      <c r="E1283" s="25">
        <v>3</v>
      </c>
      <c r="F1283" s="16" t="s">
        <v>19</v>
      </c>
      <c r="G1283" s="16" t="s">
        <v>120</v>
      </c>
      <c r="H1283" s="84" t="s">
        <v>76</v>
      </c>
      <c r="I1283" s="26" t="s">
        <v>134</v>
      </c>
      <c r="J1283" s="23">
        <v>20100070970</v>
      </c>
      <c r="K1283" s="11"/>
      <c r="L1283" s="26" t="s">
        <v>1632</v>
      </c>
      <c r="M1283" s="16" t="s">
        <v>77</v>
      </c>
      <c r="N1283" s="11"/>
      <c r="O1283" s="11"/>
      <c r="P1283" s="16" t="s">
        <v>1912</v>
      </c>
      <c r="Q1283" s="16"/>
      <c r="R1283" s="26" t="s">
        <v>143</v>
      </c>
      <c r="S1283" s="11"/>
    </row>
    <row r="1284" spans="1:64" ht="21.75" hidden="1" customHeight="1" x14ac:dyDescent="0.25">
      <c r="A1284" s="16" t="s">
        <v>2295</v>
      </c>
      <c r="B1284" s="17">
        <v>13894522</v>
      </c>
      <c r="C1284" s="18">
        <v>46130</v>
      </c>
      <c r="D1284" s="21">
        <v>48</v>
      </c>
      <c r="E1284" s="25">
        <v>4</v>
      </c>
      <c r="F1284" s="16" t="s">
        <v>20</v>
      </c>
      <c r="G1284" s="16" t="s">
        <v>120</v>
      </c>
      <c r="H1284" s="84" t="s">
        <v>76</v>
      </c>
      <c r="I1284" s="26" t="s">
        <v>134</v>
      </c>
      <c r="J1284" s="23">
        <v>20100070970</v>
      </c>
      <c r="K1284" s="11"/>
      <c r="L1284" s="26" t="s">
        <v>1632</v>
      </c>
      <c r="M1284" s="16" t="s">
        <v>77</v>
      </c>
      <c r="N1284" s="11"/>
      <c r="O1284" s="11"/>
      <c r="P1284" s="16" t="s">
        <v>1912</v>
      </c>
      <c r="Q1284" s="16"/>
      <c r="R1284" s="26" t="s">
        <v>143</v>
      </c>
      <c r="S1284" s="11"/>
    </row>
    <row r="1285" spans="1:64" ht="21.75" hidden="1" customHeight="1" x14ac:dyDescent="0.25">
      <c r="A1285" s="16" t="s">
        <v>2295</v>
      </c>
      <c r="B1285" s="17">
        <v>13894522</v>
      </c>
      <c r="C1285" s="18">
        <v>46130</v>
      </c>
      <c r="D1285" s="21">
        <v>132</v>
      </c>
      <c r="E1285" s="25">
        <v>11</v>
      </c>
      <c r="F1285" s="16" t="s">
        <v>21</v>
      </c>
      <c r="G1285" s="16" t="s">
        <v>115</v>
      </c>
      <c r="H1285" s="84" t="s">
        <v>76</v>
      </c>
      <c r="I1285" s="26" t="s">
        <v>134</v>
      </c>
      <c r="J1285" s="23">
        <v>20100070970</v>
      </c>
      <c r="K1285" s="11"/>
      <c r="L1285" s="26" t="s">
        <v>1632</v>
      </c>
      <c r="M1285" s="16" t="s">
        <v>77</v>
      </c>
      <c r="N1285" s="11"/>
      <c r="O1285" s="11"/>
      <c r="P1285" s="16" t="s">
        <v>1912</v>
      </c>
      <c r="Q1285" s="16"/>
      <c r="R1285" s="26" t="s">
        <v>143</v>
      </c>
      <c r="S1285" s="11"/>
    </row>
    <row r="1286" spans="1:64" ht="21.75" hidden="1" customHeight="1" x14ac:dyDescent="0.25">
      <c r="A1286" s="16" t="s">
        <v>2295</v>
      </c>
      <c r="B1286" s="17">
        <v>13894522</v>
      </c>
      <c r="C1286" s="18">
        <v>46130</v>
      </c>
      <c r="D1286" s="21">
        <v>576</v>
      </c>
      <c r="E1286" s="25">
        <v>12</v>
      </c>
      <c r="F1286" s="16" t="s">
        <v>22</v>
      </c>
      <c r="G1286" s="16" t="s">
        <v>108</v>
      </c>
      <c r="H1286" s="84" t="s">
        <v>76</v>
      </c>
      <c r="I1286" s="26" t="s">
        <v>134</v>
      </c>
      <c r="J1286" s="23">
        <v>20100070970</v>
      </c>
      <c r="K1286" s="11"/>
      <c r="L1286" s="26" t="s">
        <v>1632</v>
      </c>
      <c r="M1286" s="16" t="s">
        <v>77</v>
      </c>
      <c r="N1286" s="11"/>
      <c r="O1286" s="11"/>
      <c r="P1286" s="16" t="s">
        <v>1912</v>
      </c>
      <c r="Q1286" s="16"/>
      <c r="R1286" s="26" t="s">
        <v>143</v>
      </c>
      <c r="S1286" s="11"/>
    </row>
    <row r="1287" spans="1:64" ht="21.75" hidden="1" customHeight="1" x14ac:dyDescent="0.25">
      <c r="A1287" s="16" t="s">
        <v>2295</v>
      </c>
      <c r="B1287" s="17">
        <v>13894522</v>
      </c>
      <c r="C1287" s="18">
        <v>46130</v>
      </c>
      <c r="D1287" s="21">
        <v>192</v>
      </c>
      <c r="E1287" s="25">
        <v>16</v>
      </c>
      <c r="F1287" s="16" t="s">
        <v>23</v>
      </c>
      <c r="G1287" s="16" t="s">
        <v>119</v>
      </c>
      <c r="H1287" s="84" t="s">
        <v>76</v>
      </c>
      <c r="I1287" s="26" t="s">
        <v>134</v>
      </c>
      <c r="J1287" s="23">
        <v>20100070970</v>
      </c>
      <c r="K1287" s="11"/>
      <c r="L1287" s="26" t="s">
        <v>1632</v>
      </c>
      <c r="M1287" s="16" t="s">
        <v>77</v>
      </c>
      <c r="N1287" s="11"/>
      <c r="O1287" s="11"/>
      <c r="P1287" s="16" t="s">
        <v>1912</v>
      </c>
      <c r="Q1287" s="16"/>
      <c r="R1287" s="26" t="s">
        <v>143</v>
      </c>
      <c r="S1287" s="11"/>
    </row>
    <row r="1288" spans="1:64" ht="21.75" hidden="1" customHeight="1" x14ac:dyDescent="0.25">
      <c r="A1288" s="16" t="s">
        <v>2295</v>
      </c>
      <c r="B1288" s="17">
        <v>13894522</v>
      </c>
      <c r="C1288" s="18">
        <v>46130</v>
      </c>
      <c r="D1288" s="21">
        <v>156</v>
      </c>
      <c r="E1288" s="25">
        <f>156/12</f>
        <v>13</v>
      </c>
      <c r="F1288" s="16" t="s">
        <v>24</v>
      </c>
      <c r="G1288" s="16" t="s">
        <v>112</v>
      </c>
      <c r="H1288" s="84" t="s">
        <v>76</v>
      </c>
      <c r="I1288" s="26" t="s">
        <v>134</v>
      </c>
      <c r="J1288" s="23">
        <v>20100070970</v>
      </c>
      <c r="K1288" s="11"/>
      <c r="L1288" s="26" t="s">
        <v>1632</v>
      </c>
      <c r="M1288" s="16" t="s">
        <v>77</v>
      </c>
      <c r="N1288" s="11"/>
      <c r="O1288" s="11"/>
      <c r="P1288" s="16" t="s">
        <v>1912</v>
      </c>
      <c r="Q1288" s="16"/>
      <c r="R1288" s="26" t="s">
        <v>143</v>
      </c>
      <c r="S1288" s="11"/>
    </row>
    <row r="1289" spans="1:64" ht="21.75" hidden="1" customHeight="1" x14ac:dyDescent="0.25">
      <c r="A1289" s="16" t="s">
        <v>2295</v>
      </c>
      <c r="B1289" s="17">
        <v>13894522</v>
      </c>
      <c r="C1289" s="18">
        <v>46130</v>
      </c>
      <c r="D1289" s="21">
        <v>48</v>
      </c>
      <c r="E1289" s="25">
        <v>4</v>
      </c>
      <c r="F1289" s="16" t="s">
        <v>25</v>
      </c>
      <c r="G1289" s="16" t="s">
        <v>136</v>
      </c>
      <c r="H1289" s="84" t="s">
        <v>76</v>
      </c>
      <c r="I1289" s="26" t="s">
        <v>134</v>
      </c>
      <c r="J1289" s="23">
        <v>20100070970</v>
      </c>
      <c r="K1289" s="11"/>
      <c r="L1289" s="26" t="s">
        <v>1632</v>
      </c>
      <c r="M1289" s="16" t="s">
        <v>77</v>
      </c>
      <c r="N1289" s="11"/>
      <c r="O1289" s="11"/>
      <c r="P1289" s="16" t="s">
        <v>1912</v>
      </c>
      <c r="Q1289" s="16"/>
      <c r="R1289" s="26" t="s">
        <v>143</v>
      </c>
      <c r="S1289" s="11"/>
    </row>
    <row r="1290" spans="1:64" ht="21.75" hidden="1" customHeight="1" x14ac:dyDescent="0.25">
      <c r="A1290" s="16" t="s">
        <v>2295</v>
      </c>
      <c r="B1290" s="17">
        <v>13894522</v>
      </c>
      <c r="C1290" s="18">
        <v>46130</v>
      </c>
      <c r="D1290" s="21">
        <v>78</v>
      </c>
      <c r="E1290" s="19">
        <v>13</v>
      </c>
      <c r="F1290" s="16" t="s">
        <v>26</v>
      </c>
      <c r="G1290" s="16" t="s">
        <v>111</v>
      </c>
      <c r="H1290" s="84" t="s">
        <v>76</v>
      </c>
      <c r="I1290" s="16" t="s">
        <v>134</v>
      </c>
      <c r="J1290" s="17">
        <v>20100070970</v>
      </c>
      <c r="K1290" s="11"/>
      <c r="L1290" s="16" t="s">
        <v>1632</v>
      </c>
      <c r="M1290" s="16" t="s">
        <v>77</v>
      </c>
      <c r="N1290" s="11"/>
      <c r="O1290" s="11"/>
      <c r="P1290" s="16" t="s">
        <v>1912</v>
      </c>
      <c r="Q1290" s="16"/>
      <c r="R1290" s="16" t="s">
        <v>143</v>
      </c>
      <c r="S1290" s="11"/>
    </row>
    <row r="1291" spans="1:64" ht="21.75" hidden="1" customHeight="1" x14ac:dyDescent="0.25">
      <c r="A1291" s="16" t="s">
        <v>2295</v>
      </c>
      <c r="B1291" s="17">
        <v>13894522</v>
      </c>
      <c r="C1291" s="18">
        <v>46130</v>
      </c>
      <c r="D1291" s="21">
        <v>60</v>
      </c>
      <c r="E1291" s="19">
        <v>5</v>
      </c>
      <c r="F1291" s="16" t="s">
        <v>27</v>
      </c>
      <c r="G1291" s="16" t="s">
        <v>103</v>
      </c>
      <c r="H1291" s="84" t="s">
        <v>76</v>
      </c>
      <c r="I1291" s="16" t="s">
        <v>134</v>
      </c>
      <c r="J1291" s="17">
        <v>20100070970</v>
      </c>
      <c r="K1291" s="11"/>
      <c r="L1291" s="16" t="s">
        <v>1632</v>
      </c>
      <c r="M1291" s="16" t="s">
        <v>77</v>
      </c>
      <c r="N1291" s="11"/>
      <c r="O1291" s="11"/>
      <c r="P1291" s="16" t="s">
        <v>1912</v>
      </c>
      <c r="Q1291" s="16"/>
      <c r="R1291" s="16" t="s">
        <v>143</v>
      </c>
      <c r="S1291" s="11"/>
    </row>
    <row r="1292" spans="1:64" s="20" customFormat="1" ht="21.75" hidden="1" customHeight="1" x14ac:dyDescent="0.2">
      <c r="A1292" s="16" t="s">
        <v>2297</v>
      </c>
      <c r="B1292" s="17">
        <v>7796</v>
      </c>
      <c r="C1292" s="18">
        <v>46130</v>
      </c>
      <c r="D1292" s="21">
        <v>156</v>
      </c>
      <c r="E1292" s="19">
        <f>156/12</f>
        <v>13</v>
      </c>
      <c r="F1292" s="16" t="s">
        <v>354</v>
      </c>
      <c r="G1292" s="16" t="s">
        <v>366</v>
      </c>
      <c r="H1292" s="84" t="s">
        <v>76</v>
      </c>
      <c r="I1292" s="16" t="s">
        <v>378</v>
      </c>
      <c r="J1292" s="17">
        <v>20472915933</v>
      </c>
      <c r="K1292" s="17" t="s">
        <v>2296</v>
      </c>
      <c r="L1292" s="16" t="s">
        <v>388</v>
      </c>
      <c r="M1292" s="16" t="s">
        <v>347</v>
      </c>
      <c r="N1292" s="11"/>
      <c r="O1292" s="11"/>
      <c r="P1292" s="16" t="s">
        <v>2323</v>
      </c>
      <c r="Q1292" s="16" t="s">
        <v>2327</v>
      </c>
      <c r="R1292" s="16" t="s">
        <v>395</v>
      </c>
      <c r="S1292" s="11"/>
    </row>
    <row r="1293" spans="1:64" s="20" customFormat="1" ht="21.75" hidden="1" customHeight="1" x14ac:dyDescent="0.2">
      <c r="A1293" s="16" t="s">
        <v>2298</v>
      </c>
      <c r="B1293" s="16" t="s">
        <v>73</v>
      </c>
      <c r="C1293" s="18">
        <v>46132</v>
      </c>
      <c r="D1293" s="21">
        <v>16</v>
      </c>
      <c r="E1293" s="205">
        <v>1</v>
      </c>
      <c r="F1293" s="16" t="s">
        <v>901</v>
      </c>
      <c r="G1293" s="16" t="s">
        <v>2311</v>
      </c>
      <c r="H1293" s="16" t="s">
        <v>1544</v>
      </c>
      <c r="I1293" s="16" t="s">
        <v>937</v>
      </c>
      <c r="J1293" s="17">
        <v>10294182336</v>
      </c>
      <c r="K1293" s="11"/>
      <c r="L1293" s="16" t="s">
        <v>278</v>
      </c>
      <c r="M1293" s="16" t="s">
        <v>75</v>
      </c>
      <c r="N1293" s="11"/>
      <c r="O1293" s="11"/>
      <c r="P1293" s="16" t="s">
        <v>1674</v>
      </c>
      <c r="Q1293" s="16" t="s">
        <v>830</v>
      </c>
      <c r="R1293" s="16" t="s">
        <v>142</v>
      </c>
      <c r="S1293" s="11"/>
    </row>
    <row r="1294" spans="1:64" s="20" customFormat="1" ht="21.75" hidden="1" customHeight="1" x14ac:dyDescent="0.2">
      <c r="A1294" s="16" t="s">
        <v>2298</v>
      </c>
      <c r="B1294" s="16" t="s">
        <v>73</v>
      </c>
      <c r="C1294" s="18">
        <v>46132</v>
      </c>
      <c r="D1294" s="21">
        <v>16</v>
      </c>
      <c r="E1294" s="206"/>
      <c r="F1294" s="16" t="s">
        <v>902</v>
      </c>
      <c r="G1294" s="16" t="s">
        <v>2312</v>
      </c>
      <c r="H1294" s="16" t="s">
        <v>1544</v>
      </c>
      <c r="I1294" s="16" t="s">
        <v>937</v>
      </c>
      <c r="J1294" s="17">
        <v>10294182336</v>
      </c>
      <c r="K1294" s="11"/>
      <c r="L1294" s="16" t="s">
        <v>278</v>
      </c>
      <c r="M1294" s="16" t="s">
        <v>75</v>
      </c>
      <c r="N1294" s="11"/>
      <c r="O1294" s="11"/>
      <c r="P1294" s="16" t="s">
        <v>1674</v>
      </c>
      <c r="Q1294" s="16" t="s">
        <v>830</v>
      </c>
      <c r="R1294" s="16" t="s">
        <v>142</v>
      </c>
      <c r="S1294" s="11"/>
    </row>
    <row r="1295" spans="1:64" s="20" customFormat="1" ht="21.75" hidden="1" customHeight="1" x14ac:dyDescent="0.2">
      <c r="A1295" s="16" t="s">
        <v>2298</v>
      </c>
      <c r="B1295" s="16" t="s">
        <v>73</v>
      </c>
      <c r="C1295" s="18">
        <v>46132</v>
      </c>
      <c r="D1295" s="21">
        <v>16</v>
      </c>
      <c r="E1295" s="207"/>
      <c r="F1295" s="16" t="s">
        <v>903</v>
      </c>
      <c r="G1295" s="16" t="s">
        <v>2313</v>
      </c>
      <c r="H1295" s="16" t="s">
        <v>1544</v>
      </c>
      <c r="I1295" s="16" t="s">
        <v>937</v>
      </c>
      <c r="J1295" s="17">
        <v>10294182336</v>
      </c>
      <c r="K1295" s="11"/>
      <c r="L1295" s="16" t="s">
        <v>278</v>
      </c>
      <c r="M1295" s="16" t="s">
        <v>75</v>
      </c>
      <c r="N1295" s="11"/>
      <c r="O1295" s="11"/>
      <c r="P1295" s="16" t="s">
        <v>1674</v>
      </c>
      <c r="Q1295" s="16" t="s">
        <v>830</v>
      </c>
      <c r="R1295" s="16" t="s">
        <v>142</v>
      </c>
      <c r="S1295" s="11"/>
    </row>
    <row r="1296" spans="1:64" s="20" customFormat="1" ht="21.75" hidden="1" customHeight="1" x14ac:dyDescent="0.25">
      <c r="A1296" s="96" t="s">
        <v>2299</v>
      </c>
      <c r="B1296" s="96" t="s">
        <v>73</v>
      </c>
      <c r="C1296" s="172">
        <v>46132</v>
      </c>
      <c r="D1296" s="165">
        <v>48</v>
      </c>
      <c r="E1296" s="170">
        <v>1</v>
      </c>
      <c r="F1296" s="96" t="s">
        <v>159</v>
      </c>
      <c r="G1296" s="96" t="s">
        <v>140</v>
      </c>
      <c r="H1296" s="96" t="s">
        <v>1544</v>
      </c>
      <c r="I1296" s="96" t="s">
        <v>2301</v>
      </c>
      <c r="J1296" s="160">
        <v>20366131222</v>
      </c>
      <c r="K1296" s="125"/>
      <c r="L1296" s="96" t="s">
        <v>2326</v>
      </c>
      <c r="M1296" s="96" t="s">
        <v>697</v>
      </c>
      <c r="N1296" s="125"/>
      <c r="O1296" s="125"/>
      <c r="P1296" s="96" t="s">
        <v>2324</v>
      </c>
      <c r="Q1296" s="96" t="s">
        <v>2325</v>
      </c>
      <c r="R1296" s="96" t="s">
        <v>142</v>
      </c>
      <c r="S1296" s="125"/>
    </row>
    <row r="1297" spans="1:19" s="20" customFormat="1" ht="21.75" hidden="1" customHeight="1" x14ac:dyDescent="0.25">
      <c r="A1297" s="96" t="s">
        <v>2299</v>
      </c>
      <c r="B1297" s="96" t="s">
        <v>73</v>
      </c>
      <c r="C1297" s="172">
        <v>46132</v>
      </c>
      <c r="D1297" s="165">
        <v>48</v>
      </c>
      <c r="E1297" s="170">
        <v>1</v>
      </c>
      <c r="F1297" s="96" t="s">
        <v>158</v>
      </c>
      <c r="G1297" s="96" t="s">
        <v>150</v>
      </c>
      <c r="H1297" s="96" t="s">
        <v>1544</v>
      </c>
      <c r="I1297" s="96" t="s">
        <v>2301</v>
      </c>
      <c r="J1297" s="160">
        <v>20366131222</v>
      </c>
      <c r="K1297" s="125"/>
      <c r="L1297" s="96" t="s">
        <v>2326</v>
      </c>
      <c r="M1297" s="96" t="s">
        <v>697</v>
      </c>
      <c r="N1297" s="125"/>
      <c r="O1297" s="125"/>
      <c r="P1297" s="96" t="s">
        <v>2324</v>
      </c>
      <c r="Q1297" s="96" t="s">
        <v>2325</v>
      </c>
      <c r="R1297" s="96" t="s">
        <v>142</v>
      </c>
      <c r="S1297" s="125"/>
    </row>
    <row r="1298" spans="1:19" s="20" customFormat="1" ht="21.75" hidden="1" customHeight="1" x14ac:dyDescent="0.25">
      <c r="A1298" s="96" t="s">
        <v>2299</v>
      </c>
      <c r="B1298" s="96" t="s">
        <v>73</v>
      </c>
      <c r="C1298" s="172">
        <v>46132</v>
      </c>
      <c r="D1298" s="165">
        <v>72</v>
      </c>
      <c r="E1298" s="170">
        <v>6</v>
      </c>
      <c r="F1298" s="96" t="s">
        <v>154</v>
      </c>
      <c r="G1298" s="96" t="s">
        <v>123</v>
      </c>
      <c r="H1298" s="96" t="s">
        <v>1544</v>
      </c>
      <c r="I1298" s="96" t="s">
        <v>2301</v>
      </c>
      <c r="J1298" s="160">
        <v>20366131222</v>
      </c>
      <c r="K1298" s="125"/>
      <c r="L1298" s="96" t="s">
        <v>2326</v>
      </c>
      <c r="M1298" s="96" t="s">
        <v>697</v>
      </c>
      <c r="N1298" s="125"/>
      <c r="O1298" s="125"/>
      <c r="P1298" s="96" t="s">
        <v>2324</v>
      </c>
      <c r="Q1298" s="96" t="s">
        <v>2325</v>
      </c>
      <c r="R1298" s="96" t="s">
        <v>142</v>
      </c>
      <c r="S1298" s="125"/>
    </row>
    <row r="1299" spans="1:19" s="20" customFormat="1" ht="21.75" hidden="1" customHeight="1" x14ac:dyDescent="0.25">
      <c r="A1299" s="96" t="s">
        <v>2299</v>
      </c>
      <c r="B1299" s="96" t="s">
        <v>73</v>
      </c>
      <c r="C1299" s="172">
        <v>46132</v>
      </c>
      <c r="D1299" s="165">
        <v>24</v>
      </c>
      <c r="E1299" s="170">
        <v>2</v>
      </c>
      <c r="F1299" s="96" t="s">
        <v>151</v>
      </c>
      <c r="G1299" s="96" t="s">
        <v>141</v>
      </c>
      <c r="H1299" s="96" t="s">
        <v>1544</v>
      </c>
      <c r="I1299" s="96" t="s">
        <v>2301</v>
      </c>
      <c r="J1299" s="160">
        <v>20366131222</v>
      </c>
      <c r="K1299" s="125"/>
      <c r="L1299" s="96" t="s">
        <v>2326</v>
      </c>
      <c r="M1299" s="96" t="s">
        <v>697</v>
      </c>
      <c r="N1299" s="125"/>
      <c r="O1299" s="125"/>
      <c r="P1299" s="96" t="s">
        <v>2324</v>
      </c>
      <c r="Q1299" s="96" t="s">
        <v>2325</v>
      </c>
      <c r="R1299" s="96" t="s">
        <v>142</v>
      </c>
      <c r="S1299" s="125"/>
    </row>
    <row r="1300" spans="1:19" s="20" customFormat="1" ht="21.75" hidden="1" customHeight="1" x14ac:dyDescent="0.25">
      <c r="A1300" s="96" t="s">
        <v>2299</v>
      </c>
      <c r="B1300" s="96" t="s">
        <v>73</v>
      </c>
      <c r="C1300" s="172">
        <v>46132</v>
      </c>
      <c r="D1300" s="165">
        <v>24</v>
      </c>
      <c r="E1300" s="170">
        <v>2</v>
      </c>
      <c r="F1300" s="96" t="s">
        <v>1363</v>
      </c>
      <c r="G1300" s="96" t="s">
        <v>1364</v>
      </c>
      <c r="H1300" s="96" t="s">
        <v>1544</v>
      </c>
      <c r="I1300" s="96" t="s">
        <v>2301</v>
      </c>
      <c r="J1300" s="160">
        <v>20366131222</v>
      </c>
      <c r="K1300" s="125"/>
      <c r="L1300" s="96" t="s">
        <v>2326</v>
      </c>
      <c r="M1300" s="96" t="s">
        <v>697</v>
      </c>
      <c r="N1300" s="125"/>
      <c r="O1300" s="125"/>
      <c r="P1300" s="96" t="s">
        <v>2324</v>
      </c>
      <c r="Q1300" s="96" t="s">
        <v>2325</v>
      </c>
      <c r="R1300" s="96" t="s">
        <v>142</v>
      </c>
      <c r="S1300" s="125"/>
    </row>
    <row r="1301" spans="1:19" s="20" customFormat="1" ht="21.75" hidden="1" customHeight="1" x14ac:dyDescent="0.25">
      <c r="A1301" s="96" t="s">
        <v>2299</v>
      </c>
      <c r="B1301" s="96" t="s">
        <v>73</v>
      </c>
      <c r="C1301" s="172">
        <v>46132</v>
      </c>
      <c r="D1301" s="165">
        <v>24</v>
      </c>
      <c r="E1301" s="170">
        <v>1</v>
      </c>
      <c r="F1301" s="96" t="s">
        <v>1072</v>
      </c>
      <c r="G1301" s="96" t="s">
        <v>1076</v>
      </c>
      <c r="H1301" s="96" t="s">
        <v>1544</v>
      </c>
      <c r="I1301" s="96" t="s">
        <v>2301</v>
      </c>
      <c r="J1301" s="160">
        <v>20366131222</v>
      </c>
      <c r="K1301" s="125"/>
      <c r="L1301" s="96" t="s">
        <v>2326</v>
      </c>
      <c r="M1301" s="96" t="s">
        <v>697</v>
      </c>
      <c r="N1301" s="125"/>
      <c r="O1301" s="125"/>
      <c r="P1301" s="96" t="s">
        <v>2324</v>
      </c>
      <c r="Q1301" s="96" t="s">
        <v>2325</v>
      </c>
      <c r="R1301" s="96" t="s">
        <v>142</v>
      </c>
      <c r="S1301" s="125"/>
    </row>
    <row r="1302" spans="1:19" s="20" customFormat="1" ht="21.75" hidden="1" customHeight="1" x14ac:dyDescent="0.25">
      <c r="A1302" s="96" t="s">
        <v>2299</v>
      </c>
      <c r="B1302" s="96" t="s">
        <v>73</v>
      </c>
      <c r="C1302" s="172">
        <v>46132</v>
      </c>
      <c r="D1302" s="165">
        <v>48</v>
      </c>
      <c r="E1302" s="170">
        <v>1</v>
      </c>
      <c r="F1302" s="96" t="s">
        <v>65</v>
      </c>
      <c r="G1302" s="96" t="s">
        <v>102</v>
      </c>
      <c r="H1302" s="96" t="s">
        <v>1544</v>
      </c>
      <c r="I1302" s="96" t="s">
        <v>2301</v>
      </c>
      <c r="J1302" s="160">
        <v>20366131222</v>
      </c>
      <c r="K1302" s="125"/>
      <c r="L1302" s="96" t="s">
        <v>2326</v>
      </c>
      <c r="M1302" s="96" t="s">
        <v>697</v>
      </c>
      <c r="N1302" s="125"/>
      <c r="O1302" s="125"/>
      <c r="P1302" s="96" t="s">
        <v>2324</v>
      </c>
      <c r="Q1302" s="96" t="s">
        <v>2325</v>
      </c>
      <c r="R1302" s="96" t="s">
        <v>142</v>
      </c>
      <c r="S1302" s="125"/>
    </row>
    <row r="1303" spans="1:19" s="20" customFormat="1" ht="21.75" hidden="1" customHeight="1" x14ac:dyDescent="0.25">
      <c r="A1303" s="96" t="s">
        <v>2299</v>
      </c>
      <c r="B1303" s="96" t="s">
        <v>73</v>
      </c>
      <c r="C1303" s="172">
        <v>46132</v>
      </c>
      <c r="D1303" s="165">
        <v>24</v>
      </c>
      <c r="E1303" s="170">
        <v>1</v>
      </c>
      <c r="F1303" s="96" t="s">
        <v>2302</v>
      </c>
      <c r="G1303" s="96" t="s">
        <v>2314</v>
      </c>
      <c r="H1303" s="96" t="s">
        <v>1544</v>
      </c>
      <c r="I1303" s="96" t="s">
        <v>2301</v>
      </c>
      <c r="J1303" s="160">
        <v>20366131222</v>
      </c>
      <c r="K1303" s="125"/>
      <c r="L1303" s="96" t="s">
        <v>2326</v>
      </c>
      <c r="M1303" s="96" t="s">
        <v>697</v>
      </c>
      <c r="N1303" s="125"/>
      <c r="O1303" s="125"/>
      <c r="P1303" s="96" t="s">
        <v>2324</v>
      </c>
      <c r="Q1303" s="96" t="s">
        <v>2325</v>
      </c>
      <c r="R1303" s="96" t="s">
        <v>142</v>
      </c>
      <c r="S1303" s="125"/>
    </row>
    <row r="1304" spans="1:19" s="20" customFormat="1" ht="21.75" hidden="1" customHeight="1" x14ac:dyDescent="0.25">
      <c r="A1304" s="96" t="s">
        <v>2299</v>
      </c>
      <c r="B1304" s="96" t="s">
        <v>73</v>
      </c>
      <c r="C1304" s="172">
        <v>46132</v>
      </c>
      <c r="D1304" s="165">
        <v>24</v>
      </c>
      <c r="E1304" s="170">
        <v>1</v>
      </c>
      <c r="F1304" s="96" t="s">
        <v>2303</v>
      </c>
      <c r="G1304" s="96" t="s">
        <v>2315</v>
      </c>
      <c r="H1304" s="96" t="s">
        <v>1544</v>
      </c>
      <c r="I1304" s="96" t="s">
        <v>2301</v>
      </c>
      <c r="J1304" s="160">
        <v>20366131222</v>
      </c>
      <c r="K1304" s="125"/>
      <c r="L1304" s="96" t="s">
        <v>2326</v>
      </c>
      <c r="M1304" s="96" t="s">
        <v>697</v>
      </c>
      <c r="N1304" s="125"/>
      <c r="O1304" s="125"/>
      <c r="P1304" s="96" t="s">
        <v>2324</v>
      </c>
      <c r="Q1304" s="96" t="s">
        <v>2325</v>
      </c>
      <c r="R1304" s="96" t="s">
        <v>142</v>
      </c>
      <c r="S1304" s="125"/>
    </row>
    <row r="1305" spans="1:19" s="20" customFormat="1" ht="21.75" hidden="1" customHeight="1" x14ac:dyDescent="0.25">
      <c r="A1305" s="96" t="s">
        <v>2299</v>
      </c>
      <c r="B1305" s="96" t="s">
        <v>73</v>
      </c>
      <c r="C1305" s="172">
        <v>46132</v>
      </c>
      <c r="D1305" s="165">
        <v>24</v>
      </c>
      <c r="E1305" s="170">
        <v>2</v>
      </c>
      <c r="F1305" s="96" t="s">
        <v>1701</v>
      </c>
      <c r="G1305" s="96" t="s">
        <v>1702</v>
      </c>
      <c r="H1305" s="96" t="s">
        <v>1544</v>
      </c>
      <c r="I1305" s="96" t="s">
        <v>2301</v>
      </c>
      <c r="J1305" s="160">
        <v>20366131222</v>
      </c>
      <c r="K1305" s="125"/>
      <c r="L1305" s="96" t="s">
        <v>2326</v>
      </c>
      <c r="M1305" s="96" t="s">
        <v>697</v>
      </c>
      <c r="N1305" s="125"/>
      <c r="O1305" s="125"/>
      <c r="P1305" s="96" t="s">
        <v>2324</v>
      </c>
      <c r="Q1305" s="96" t="s">
        <v>2325</v>
      </c>
      <c r="R1305" s="96" t="s">
        <v>142</v>
      </c>
      <c r="S1305" s="125"/>
    </row>
    <row r="1306" spans="1:19" s="20" customFormat="1" ht="21.75" hidden="1" customHeight="1" x14ac:dyDescent="0.25">
      <c r="A1306" s="96" t="s">
        <v>2299</v>
      </c>
      <c r="B1306" s="96" t="s">
        <v>73</v>
      </c>
      <c r="C1306" s="172">
        <v>46132</v>
      </c>
      <c r="D1306" s="165">
        <v>24</v>
      </c>
      <c r="E1306" s="170">
        <v>1</v>
      </c>
      <c r="F1306" s="96" t="s">
        <v>599</v>
      </c>
      <c r="G1306" s="96" t="s">
        <v>604</v>
      </c>
      <c r="H1306" s="96" t="s">
        <v>1544</v>
      </c>
      <c r="I1306" s="96" t="s">
        <v>2301</v>
      </c>
      <c r="J1306" s="160">
        <v>20366131222</v>
      </c>
      <c r="K1306" s="125"/>
      <c r="L1306" s="96" t="s">
        <v>2326</v>
      </c>
      <c r="M1306" s="96" t="s">
        <v>697</v>
      </c>
      <c r="N1306" s="125"/>
      <c r="O1306" s="125"/>
      <c r="P1306" s="96" t="s">
        <v>2324</v>
      </c>
      <c r="Q1306" s="96" t="s">
        <v>2325</v>
      </c>
      <c r="R1306" s="96" t="s">
        <v>142</v>
      </c>
      <c r="S1306" s="125"/>
    </row>
    <row r="1307" spans="1:19" s="20" customFormat="1" ht="21.75" hidden="1" customHeight="1" x14ac:dyDescent="0.25">
      <c r="A1307" s="96" t="s">
        <v>2299</v>
      </c>
      <c r="B1307" s="96" t="s">
        <v>73</v>
      </c>
      <c r="C1307" s="172">
        <v>46132</v>
      </c>
      <c r="D1307" s="165">
        <v>24</v>
      </c>
      <c r="E1307" s="170">
        <v>1</v>
      </c>
      <c r="F1307" s="96" t="s">
        <v>1071</v>
      </c>
      <c r="G1307" s="96" t="s">
        <v>1075</v>
      </c>
      <c r="H1307" s="96" t="s">
        <v>1544</v>
      </c>
      <c r="I1307" s="96" t="s">
        <v>2301</v>
      </c>
      <c r="J1307" s="160">
        <v>20366131222</v>
      </c>
      <c r="K1307" s="125"/>
      <c r="L1307" s="96" t="s">
        <v>2326</v>
      </c>
      <c r="M1307" s="96" t="s">
        <v>697</v>
      </c>
      <c r="N1307" s="125"/>
      <c r="O1307" s="125"/>
      <c r="P1307" s="96" t="s">
        <v>2324</v>
      </c>
      <c r="Q1307" s="96" t="s">
        <v>2325</v>
      </c>
      <c r="R1307" s="96" t="s">
        <v>142</v>
      </c>
      <c r="S1307" s="125"/>
    </row>
    <row r="1308" spans="1:19" s="20" customFormat="1" ht="21.75" hidden="1" customHeight="1" x14ac:dyDescent="0.25">
      <c r="A1308" s="96" t="s">
        <v>2299</v>
      </c>
      <c r="B1308" s="96" t="s">
        <v>73</v>
      </c>
      <c r="C1308" s="172">
        <v>46132</v>
      </c>
      <c r="D1308" s="165">
        <v>12</v>
      </c>
      <c r="E1308" s="170">
        <v>2</v>
      </c>
      <c r="F1308" s="96" t="s">
        <v>363</v>
      </c>
      <c r="G1308" s="96" t="s">
        <v>375</v>
      </c>
      <c r="H1308" s="96" t="s">
        <v>1544</v>
      </c>
      <c r="I1308" s="96" t="s">
        <v>2301</v>
      </c>
      <c r="J1308" s="160">
        <v>20366131222</v>
      </c>
      <c r="K1308" s="125"/>
      <c r="L1308" s="96" t="s">
        <v>2326</v>
      </c>
      <c r="M1308" s="96" t="s">
        <v>697</v>
      </c>
      <c r="N1308" s="125"/>
      <c r="O1308" s="125"/>
      <c r="P1308" s="96" t="s">
        <v>2324</v>
      </c>
      <c r="Q1308" s="96" t="s">
        <v>2325</v>
      </c>
      <c r="R1308" s="96" t="s">
        <v>142</v>
      </c>
      <c r="S1308" s="125"/>
    </row>
    <row r="1309" spans="1:19" s="20" customFormat="1" ht="21.75" hidden="1" customHeight="1" x14ac:dyDescent="0.25">
      <c r="A1309" s="96" t="s">
        <v>2299</v>
      </c>
      <c r="B1309" s="96" t="s">
        <v>73</v>
      </c>
      <c r="C1309" s="172">
        <v>46132</v>
      </c>
      <c r="D1309" s="165">
        <v>12</v>
      </c>
      <c r="E1309" s="170">
        <v>2</v>
      </c>
      <c r="F1309" s="96" t="s">
        <v>364</v>
      </c>
      <c r="G1309" s="96" t="s">
        <v>376</v>
      </c>
      <c r="H1309" s="96" t="s">
        <v>1544</v>
      </c>
      <c r="I1309" s="96" t="s">
        <v>2301</v>
      </c>
      <c r="J1309" s="160">
        <v>20366131222</v>
      </c>
      <c r="K1309" s="125"/>
      <c r="L1309" s="96" t="s">
        <v>2326</v>
      </c>
      <c r="M1309" s="96" t="s">
        <v>697</v>
      </c>
      <c r="N1309" s="125"/>
      <c r="O1309" s="125"/>
      <c r="P1309" s="96" t="s">
        <v>2324</v>
      </c>
      <c r="Q1309" s="96" t="s">
        <v>2325</v>
      </c>
      <c r="R1309" s="96" t="s">
        <v>142</v>
      </c>
      <c r="S1309" s="125"/>
    </row>
    <row r="1310" spans="1:19" s="20" customFormat="1" ht="21.75" hidden="1" customHeight="1" x14ac:dyDescent="0.25">
      <c r="A1310" s="96" t="s">
        <v>2299</v>
      </c>
      <c r="B1310" s="96" t="s">
        <v>73</v>
      </c>
      <c r="C1310" s="172">
        <v>46132</v>
      </c>
      <c r="D1310" s="165">
        <v>24</v>
      </c>
      <c r="E1310" s="170">
        <v>6</v>
      </c>
      <c r="F1310" s="96" t="s">
        <v>1126</v>
      </c>
      <c r="G1310" s="96" t="s">
        <v>1138</v>
      </c>
      <c r="H1310" s="96" t="s">
        <v>1544</v>
      </c>
      <c r="I1310" s="96" t="s">
        <v>2301</v>
      </c>
      <c r="J1310" s="160">
        <v>20366131222</v>
      </c>
      <c r="K1310" s="125"/>
      <c r="L1310" s="96" t="s">
        <v>2326</v>
      </c>
      <c r="M1310" s="96" t="s">
        <v>697</v>
      </c>
      <c r="N1310" s="125"/>
      <c r="O1310" s="125"/>
      <c r="P1310" s="96" t="s">
        <v>2324</v>
      </c>
      <c r="Q1310" s="96" t="s">
        <v>2325</v>
      </c>
      <c r="R1310" s="96" t="s">
        <v>142</v>
      </c>
      <c r="S1310" s="125"/>
    </row>
    <row r="1311" spans="1:19" s="20" customFormat="1" ht="21.75" hidden="1" customHeight="1" x14ac:dyDescent="0.25">
      <c r="A1311" s="96" t="s">
        <v>2299</v>
      </c>
      <c r="B1311" s="96" t="s">
        <v>73</v>
      </c>
      <c r="C1311" s="172">
        <v>46132</v>
      </c>
      <c r="D1311" s="165">
        <v>12</v>
      </c>
      <c r="E1311" s="170">
        <v>3</v>
      </c>
      <c r="F1311" s="96" t="s">
        <v>1214</v>
      </c>
      <c r="G1311" s="96" t="s">
        <v>1230</v>
      </c>
      <c r="H1311" s="96" t="s">
        <v>1544</v>
      </c>
      <c r="I1311" s="96" t="s">
        <v>2301</v>
      </c>
      <c r="J1311" s="160">
        <v>20366131222</v>
      </c>
      <c r="K1311" s="125"/>
      <c r="L1311" s="96" t="s">
        <v>2326</v>
      </c>
      <c r="M1311" s="96" t="s">
        <v>697</v>
      </c>
      <c r="N1311" s="125"/>
      <c r="O1311" s="125"/>
      <c r="P1311" s="96" t="s">
        <v>2324</v>
      </c>
      <c r="Q1311" s="96" t="s">
        <v>2325</v>
      </c>
      <c r="R1311" s="96" t="s">
        <v>142</v>
      </c>
      <c r="S1311" s="125"/>
    </row>
    <row r="1312" spans="1:19" s="20" customFormat="1" ht="21.75" hidden="1" customHeight="1" x14ac:dyDescent="0.25">
      <c r="A1312" s="96" t="s">
        <v>2299</v>
      </c>
      <c r="B1312" s="96" t="s">
        <v>73</v>
      </c>
      <c r="C1312" s="172">
        <v>46132</v>
      </c>
      <c r="D1312" s="165">
        <v>6</v>
      </c>
      <c r="E1312" s="170">
        <v>2</v>
      </c>
      <c r="F1312" s="96" t="s">
        <v>2304</v>
      </c>
      <c r="G1312" s="96" t="s">
        <v>2316</v>
      </c>
      <c r="H1312" s="96" t="s">
        <v>1544</v>
      </c>
      <c r="I1312" s="96" t="s">
        <v>2301</v>
      </c>
      <c r="J1312" s="160">
        <v>20366131222</v>
      </c>
      <c r="K1312" s="125"/>
      <c r="L1312" s="96" t="s">
        <v>2326</v>
      </c>
      <c r="M1312" s="96" t="s">
        <v>697</v>
      </c>
      <c r="N1312" s="125"/>
      <c r="O1312" s="125"/>
      <c r="P1312" s="96" t="s">
        <v>2324</v>
      </c>
      <c r="Q1312" s="96" t="s">
        <v>2325</v>
      </c>
      <c r="R1312" s="96" t="s">
        <v>142</v>
      </c>
      <c r="S1312" s="125"/>
    </row>
    <row r="1313" spans="1:19" s="20" customFormat="1" ht="21.75" hidden="1" customHeight="1" x14ac:dyDescent="0.25">
      <c r="A1313" s="96" t="s">
        <v>2299</v>
      </c>
      <c r="B1313" s="96" t="s">
        <v>73</v>
      </c>
      <c r="C1313" s="172">
        <v>46132</v>
      </c>
      <c r="D1313" s="165">
        <v>3</v>
      </c>
      <c r="E1313" s="170">
        <v>1</v>
      </c>
      <c r="F1313" s="96" t="s">
        <v>2305</v>
      </c>
      <c r="G1313" s="96" t="s">
        <v>2317</v>
      </c>
      <c r="H1313" s="96" t="s">
        <v>1544</v>
      </c>
      <c r="I1313" s="96" t="s">
        <v>2301</v>
      </c>
      <c r="J1313" s="160">
        <v>20366131222</v>
      </c>
      <c r="K1313" s="125"/>
      <c r="L1313" s="96" t="s">
        <v>2326</v>
      </c>
      <c r="M1313" s="96" t="s">
        <v>697</v>
      </c>
      <c r="N1313" s="125"/>
      <c r="O1313" s="125"/>
      <c r="P1313" s="96" t="s">
        <v>2324</v>
      </c>
      <c r="Q1313" s="96" t="s">
        <v>2325</v>
      </c>
      <c r="R1313" s="96" t="s">
        <v>142</v>
      </c>
      <c r="S1313" s="125"/>
    </row>
    <row r="1314" spans="1:19" s="20" customFormat="1" ht="21.75" hidden="1" customHeight="1" x14ac:dyDescent="0.25">
      <c r="A1314" s="96" t="s">
        <v>2299</v>
      </c>
      <c r="B1314" s="96" t="s">
        <v>73</v>
      </c>
      <c r="C1314" s="172">
        <v>46132</v>
      </c>
      <c r="D1314" s="165">
        <v>3</v>
      </c>
      <c r="E1314" s="170">
        <v>1</v>
      </c>
      <c r="F1314" s="96" t="s">
        <v>2306</v>
      </c>
      <c r="G1314" s="96" t="s">
        <v>2318</v>
      </c>
      <c r="H1314" s="96" t="s">
        <v>1544</v>
      </c>
      <c r="I1314" s="96" t="s">
        <v>2301</v>
      </c>
      <c r="J1314" s="160">
        <v>20366131222</v>
      </c>
      <c r="K1314" s="125"/>
      <c r="L1314" s="96" t="s">
        <v>2326</v>
      </c>
      <c r="M1314" s="96" t="s">
        <v>697</v>
      </c>
      <c r="N1314" s="125"/>
      <c r="O1314" s="125"/>
      <c r="P1314" s="96" t="s">
        <v>2324</v>
      </c>
      <c r="Q1314" s="96" t="s">
        <v>2325</v>
      </c>
      <c r="R1314" s="96" t="s">
        <v>142</v>
      </c>
      <c r="S1314" s="125"/>
    </row>
    <row r="1315" spans="1:19" s="20" customFormat="1" ht="21.75" hidden="1" customHeight="1" x14ac:dyDescent="0.25">
      <c r="A1315" s="96" t="s">
        <v>2299</v>
      </c>
      <c r="B1315" s="96" t="s">
        <v>73</v>
      </c>
      <c r="C1315" s="172">
        <v>46132</v>
      </c>
      <c r="D1315" s="165">
        <v>4</v>
      </c>
      <c r="E1315" s="170">
        <v>2</v>
      </c>
      <c r="F1315" s="96" t="s">
        <v>1005</v>
      </c>
      <c r="G1315" s="96" t="s">
        <v>1007</v>
      </c>
      <c r="H1315" s="96" t="s">
        <v>1544</v>
      </c>
      <c r="I1315" s="96" t="s">
        <v>2301</v>
      </c>
      <c r="J1315" s="160">
        <v>20366131222</v>
      </c>
      <c r="K1315" s="125"/>
      <c r="L1315" s="96" t="s">
        <v>2326</v>
      </c>
      <c r="M1315" s="96" t="s">
        <v>697</v>
      </c>
      <c r="N1315" s="125"/>
      <c r="O1315" s="125"/>
      <c r="P1315" s="96" t="s">
        <v>2324</v>
      </c>
      <c r="Q1315" s="96" t="s">
        <v>2325</v>
      </c>
      <c r="R1315" s="96" t="s">
        <v>142</v>
      </c>
      <c r="S1315" s="125"/>
    </row>
    <row r="1316" spans="1:19" s="20" customFormat="1" ht="21.75" hidden="1" customHeight="1" x14ac:dyDescent="0.25">
      <c r="A1316" s="96" t="s">
        <v>2299</v>
      </c>
      <c r="B1316" s="96" t="s">
        <v>73</v>
      </c>
      <c r="C1316" s="172">
        <v>46132</v>
      </c>
      <c r="D1316" s="165">
        <v>6</v>
      </c>
      <c r="E1316" s="170">
        <v>0</v>
      </c>
      <c r="F1316" s="96" t="s">
        <v>362</v>
      </c>
      <c r="G1316" s="96" t="s">
        <v>374</v>
      </c>
      <c r="H1316" s="96" t="s">
        <v>1544</v>
      </c>
      <c r="I1316" s="96" t="s">
        <v>2301</v>
      </c>
      <c r="J1316" s="160">
        <v>20366131222</v>
      </c>
      <c r="K1316" s="125"/>
      <c r="L1316" s="96" t="s">
        <v>2326</v>
      </c>
      <c r="M1316" s="96" t="s">
        <v>697</v>
      </c>
      <c r="N1316" s="125"/>
      <c r="O1316" s="125"/>
      <c r="P1316" s="96" t="s">
        <v>2324</v>
      </c>
      <c r="Q1316" s="96" t="s">
        <v>2325</v>
      </c>
      <c r="R1316" s="96" t="s">
        <v>142</v>
      </c>
      <c r="S1316" s="125"/>
    </row>
    <row r="1317" spans="1:19" s="20" customFormat="1" ht="21.75" hidden="1" customHeight="1" x14ac:dyDescent="0.25">
      <c r="A1317" s="96" t="s">
        <v>2299</v>
      </c>
      <c r="B1317" s="96" t="s">
        <v>73</v>
      </c>
      <c r="C1317" s="172">
        <v>46132</v>
      </c>
      <c r="D1317" s="165">
        <v>8</v>
      </c>
      <c r="E1317" s="170">
        <v>2</v>
      </c>
      <c r="F1317" s="96" t="s">
        <v>2307</v>
      </c>
      <c r="G1317" s="96" t="s">
        <v>2319</v>
      </c>
      <c r="H1317" s="96" t="s">
        <v>1544</v>
      </c>
      <c r="I1317" s="96" t="s">
        <v>2301</v>
      </c>
      <c r="J1317" s="160">
        <v>20366131222</v>
      </c>
      <c r="K1317" s="125"/>
      <c r="L1317" s="96" t="s">
        <v>2326</v>
      </c>
      <c r="M1317" s="96" t="s">
        <v>697</v>
      </c>
      <c r="N1317" s="125"/>
      <c r="O1317" s="125"/>
      <c r="P1317" s="96" t="s">
        <v>2324</v>
      </c>
      <c r="Q1317" s="96" t="s">
        <v>2325</v>
      </c>
      <c r="R1317" s="96" t="s">
        <v>142</v>
      </c>
      <c r="S1317" s="125"/>
    </row>
    <row r="1318" spans="1:19" s="20" customFormat="1" ht="21.75" hidden="1" customHeight="1" x14ac:dyDescent="0.25">
      <c r="A1318" s="96" t="s">
        <v>2299</v>
      </c>
      <c r="B1318" s="96" t="s">
        <v>73</v>
      </c>
      <c r="C1318" s="172">
        <v>46132</v>
      </c>
      <c r="D1318" s="165">
        <v>24</v>
      </c>
      <c r="E1318" s="170">
        <v>1</v>
      </c>
      <c r="F1318" s="96" t="s">
        <v>1212</v>
      </c>
      <c r="G1318" s="96" t="s">
        <v>1228</v>
      </c>
      <c r="H1318" s="96" t="s">
        <v>1544</v>
      </c>
      <c r="I1318" s="96" t="s">
        <v>2301</v>
      </c>
      <c r="J1318" s="160">
        <v>20366131222</v>
      </c>
      <c r="K1318" s="125"/>
      <c r="L1318" s="96" t="s">
        <v>2326</v>
      </c>
      <c r="M1318" s="96" t="s">
        <v>697</v>
      </c>
      <c r="N1318" s="125"/>
      <c r="O1318" s="125"/>
      <c r="P1318" s="96" t="s">
        <v>2324</v>
      </c>
      <c r="Q1318" s="96" t="s">
        <v>2325</v>
      </c>
      <c r="R1318" s="96" t="s">
        <v>142</v>
      </c>
      <c r="S1318" s="125"/>
    </row>
    <row r="1319" spans="1:19" s="20" customFormat="1" ht="21.75" hidden="1" customHeight="1" x14ac:dyDescent="0.25">
      <c r="A1319" s="96" t="s">
        <v>2299</v>
      </c>
      <c r="B1319" s="96" t="s">
        <v>73</v>
      </c>
      <c r="C1319" s="172">
        <v>46132</v>
      </c>
      <c r="D1319" s="165">
        <v>12</v>
      </c>
      <c r="E1319" s="170">
        <v>1</v>
      </c>
      <c r="F1319" s="96" t="s">
        <v>2308</v>
      </c>
      <c r="G1319" s="96" t="s">
        <v>2320</v>
      </c>
      <c r="H1319" s="96" t="s">
        <v>1544</v>
      </c>
      <c r="I1319" s="96" t="s">
        <v>2301</v>
      </c>
      <c r="J1319" s="160">
        <v>20366131222</v>
      </c>
      <c r="K1319" s="125"/>
      <c r="L1319" s="96" t="s">
        <v>2326</v>
      </c>
      <c r="M1319" s="96" t="s">
        <v>697</v>
      </c>
      <c r="N1319" s="125"/>
      <c r="O1319" s="125"/>
      <c r="P1319" s="96" t="s">
        <v>2324</v>
      </c>
      <c r="Q1319" s="96" t="s">
        <v>2325</v>
      </c>
      <c r="R1319" s="96" t="s">
        <v>142</v>
      </c>
      <c r="S1319" s="125"/>
    </row>
    <row r="1320" spans="1:19" s="20" customFormat="1" ht="21.75" hidden="1" customHeight="1" x14ac:dyDescent="0.25">
      <c r="A1320" s="96" t="s">
        <v>2299</v>
      </c>
      <c r="B1320" s="96" t="s">
        <v>73</v>
      </c>
      <c r="C1320" s="172">
        <v>46132</v>
      </c>
      <c r="D1320" s="165">
        <v>6</v>
      </c>
      <c r="E1320" s="170">
        <v>1</v>
      </c>
      <c r="F1320" s="96" t="s">
        <v>2309</v>
      </c>
      <c r="G1320" s="96" t="s">
        <v>2321</v>
      </c>
      <c r="H1320" s="96" t="s">
        <v>1544</v>
      </c>
      <c r="I1320" s="96" t="s">
        <v>2301</v>
      </c>
      <c r="J1320" s="160">
        <v>20366131222</v>
      </c>
      <c r="K1320" s="125"/>
      <c r="L1320" s="96" t="s">
        <v>2326</v>
      </c>
      <c r="M1320" s="96" t="s">
        <v>697</v>
      </c>
      <c r="N1320" s="125"/>
      <c r="O1320" s="125"/>
      <c r="P1320" s="96" t="s">
        <v>2324</v>
      </c>
      <c r="Q1320" s="96" t="s">
        <v>2325</v>
      </c>
      <c r="R1320" s="96" t="s">
        <v>142</v>
      </c>
      <c r="S1320" s="125"/>
    </row>
    <row r="1321" spans="1:19" s="20" customFormat="1" ht="21.75" hidden="1" customHeight="1" x14ac:dyDescent="0.25">
      <c r="A1321" s="96" t="s">
        <v>2299</v>
      </c>
      <c r="B1321" s="96" t="s">
        <v>73</v>
      </c>
      <c r="C1321" s="172">
        <v>46132</v>
      </c>
      <c r="D1321" s="165">
        <v>6</v>
      </c>
      <c r="E1321" s="170">
        <v>1</v>
      </c>
      <c r="F1321" s="96" t="s">
        <v>2310</v>
      </c>
      <c r="G1321" s="96" t="s">
        <v>2322</v>
      </c>
      <c r="H1321" s="96" t="s">
        <v>1544</v>
      </c>
      <c r="I1321" s="96" t="s">
        <v>2301</v>
      </c>
      <c r="J1321" s="160">
        <v>20366131222</v>
      </c>
      <c r="K1321" s="125"/>
      <c r="L1321" s="96" t="s">
        <v>2326</v>
      </c>
      <c r="M1321" s="96" t="s">
        <v>697</v>
      </c>
      <c r="N1321" s="125"/>
      <c r="O1321" s="125"/>
      <c r="P1321" s="96" t="s">
        <v>2324</v>
      </c>
      <c r="Q1321" s="96" t="s">
        <v>2325</v>
      </c>
      <c r="R1321" s="96" t="s">
        <v>142</v>
      </c>
      <c r="S1321" s="125"/>
    </row>
    <row r="1322" spans="1:19" s="20" customFormat="1" ht="21.75" hidden="1" customHeight="1" x14ac:dyDescent="0.25">
      <c r="A1322" s="96" t="s">
        <v>2299</v>
      </c>
      <c r="B1322" s="96" t="s">
        <v>73</v>
      </c>
      <c r="C1322" s="172">
        <v>46132</v>
      </c>
      <c r="D1322" s="165">
        <v>4</v>
      </c>
      <c r="E1322" s="170">
        <v>1</v>
      </c>
      <c r="F1322" s="96" t="s">
        <v>1207</v>
      </c>
      <c r="G1322" s="96" t="s">
        <v>1223</v>
      </c>
      <c r="H1322" s="96" t="s">
        <v>1544</v>
      </c>
      <c r="I1322" s="96" t="s">
        <v>2301</v>
      </c>
      <c r="J1322" s="160">
        <v>20366131222</v>
      </c>
      <c r="K1322" s="125"/>
      <c r="L1322" s="96" t="s">
        <v>2326</v>
      </c>
      <c r="M1322" s="96" t="s">
        <v>697</v>
      </c>
      <c r="N1322" s="125"/>
      <c r="O1322" s="125"/>
      <c r="P1322" s="96" t="s">
        <v>2324</v>
      </c>
      <c r="Q1322" s="96" t="s">
        <v>2325</v>
      </c>
      <c r="R1322" s="96" t="s">
        <v>142</v>
      </c>
      <c r="S1322" s="125"/>
    </row>
    <row r="1323" spans="1:19" s="20" customFormat="1" ht="21.75" hidden="1" customHeight="1" x14ac:dyDescent="0.25">
      <c r="A1323" s="96" t="s">
        <v>2299</v>
      </c>
      <c r="B1323" s="96" t="s">
        <v>73</v>
      </c>
      <c r="C1323" s="172">
        <v>46132</v>
      </c>
      <c r="D1323" s="165">
        <v>24</v>
      </c>
      <c r="E1323" s="170">
        <v>2</v>
      </c>
      <c r="F1323" s="96" t="s">
        <v>46</v>
      </c>
      <c r="G1323" s="96" t="s">
        <v>104</v>
      </c>
      <c r="H1323" s="96" t="s">
        <v>1544</v>
      </c>
      <c r="I1323" s="96" t="s">
        <v>2301</v>
      </c>
      <c r="J1323" s="160">
        <v>20366131222</v>
      </c>
      <c r="K1323" s="125"/>
      <c r="L1323" s="96" t="s">
        <v>2326</v>
      </c>
      <c r="M1323" s="96" t="s">
        <v>697</v>
      </c>
      <c r="N1323" s="125"/>
      <c r="O1323" s="125"/>
      <c r="P1323" s="96" t="s">
        <v>2324</v>
      </c>
      <c r="Q1323" s="96" t="s">
        <v>2325</v>
      </c>
      <c r="R1323" s="96" t="s">
        <v>142</v>
      </c>
      <c r="S1323" s="125"/>
    </row>
    <row r="1324" spans="1:19" s="20" customFormat="1" ht="21.75" hidden="1" customHeight="1" x14ac:dyDescent="0.25">
      <c r="A1324" s="96" t="s">
        <v>2299</v>
      </c>
      <c r="B1324" s="96" t="s">
        <v>73</v>
      </c>
      <c r="C1324" s="172">
        <v>46132</v>
      </c>
      <c r="D1324" s="165">
        <v>12</v>
      </c>
      <c r="E1324" s="170">
        <v>1</v>
      </c>
      <c r="F1324" s="96" t="s">
        <v>54</v>
      </c>
      <c r="G1324" s="96" t="s">
        <v>92</v>
      </c>
      <c r="H1324" s="96" t="s">
        <v>1544</v>
      </c>
      <c r="I1324" s="96" t="s">
        <v>2301</v>
      </c>
      <c r="J1324" s="160">
        <v>20366131222</v>
      </c>
      <c r="K1324" s="125"/>
      <c r="L1324" s="96" t="s">
        <v>2326</v>
      </c>
      <c r="M1324" s="96" t="s">
        <v>697</v>
      </c>
      <c r="N1324" s="125"/>
      <c r="O1324" s="125"/>
      <c r="P1324" s="96" t="s">
        <v>2324</v>
      </c>
      <c r="Q1324" s="96" t="s">
        <v>2325</v>
      </c>
      <c r="R1324" s="96" t="s">
        <v>142</v>
      </c>
      <c r="S1324" s="125"/>
    </row>
    <row r="1325" spans="1:19" s="20" customFormat="1" ht="21.75" hidden="1" customHeight="1" x14ac:dyDescent="0.25">
      <c r="A1325" s="96" t="s">
        <v>2300</v>
      </c>
      <c r="B1325" s="96" t="s">
        <v>73</v>
      </c>
      <c r="C1325" s="172">
        <v>46132</v>
      </c>
      <c r="D1325" s="165">
        <v>8</v>
      </c>
      <c r="E1325" s="210">
        <v>7</v>
      </c>
      <c r="F1325" s="96" t="s">
        <v>901</v>
      </c>
      <c r="G1325" s="96" t="s">
        <v>918</v>
      </c>
      <c r="H1325" s="96" t="s">
        <v>1544</v>
      </c>
      <c r="I1325" s="96" t="s">
        <v>2301</v>
      </c>
      <c r="J1325" s="160">
        <v>20366131222</v>
      </c>
      <c r="K1325" s="125"/>
      <c r="L1325" s="96" t="s">
        <v>2326</v>
      </c>
      <c r="M1325" s="96" t="s">
        <v>697</v>
      </c>
      <c r="N1325" s="125"/>
      <c r="O1325" s="125"/>
      <c r="P1325" s="96" t="s">
        <v>2324</v>
      </c>
      <c r="Q1325" s="96" t="s">
        <v>2325</v>
      </c>
      <c r="R1325" s="96" t="s">
        <v>142</v>
      </c>
      <c r="S1325" s="125"/>
    </row>
    <row r="1326" spans="1:19" s="20" customFormat="1" ht="21.75" hidden="1" customHeight="1" x14ac:dyDescent="0.25">
      <c r="A1326" s="96" t="s">
        <v>2300</v>
      </c>
      <c r="B1326" s="96" t="s">
        <v>73</v>
      </c>
      <c r="C1326" s="172">
        <v>46132</v>
      </c>
      <c r="D1326" s="165">
        <v>8</v>
      </c>
      <c r="E1326" s="210"/>
      <c r="F1326" s="96" t="s">
        <v>902</v>
      </c>
      <c r="G1326" s="96" t="s">
        <v>919</v>
      </c>
      <c r="H1326" s="96" t="s">
        <v>1544</v>
      </c>
      <c r="I1326" s="96" t="s">
        <v>2301</v>
      </c>
      <c r="J1326" s="160">
        <v>20366131222</v>
      </c>
      <c r="K1326" s="125"/>
      <c r="L1326" s="96" t="s">
        <v>2326</v>
      </c>
      <c r="M1326" s="96" t="s">
        <v>697</v>
      </c>
      <c r="N1326" s="125"/>
      <c r="O1326" s="125"/>
      <c r="P1326" s="96" t="s">
        <v>2324</v>
      </c>
      <c r="Q1326" s="96" t="s">
        <v>2325</v>
      </c>
      <c r="R1326" s="96" t="s">
        <v>142</v>
      </c>
      <c r="S1326" s="125"/>
    </row>
    <row r="1327" spans="1:19" s="20" customFormat="1" ht="21.75" hidden="1" customHeight="1" x14ac:dyDescent="0.25">
      <c r="A1327" s="96" t="s">
        <v>2300</v>
      </c>
      <c r="B1327" s="96" t="s">
        <v>73</v>
      </c>
      <c r="C1327" s="172">
        <v>46132</v>
      </c>
      <c r="D1327" s="165">
        <v>8</v>
      </c>
      <c r="E1327" s="210"/>
      <c r="F1327" s="96" t="s">
        <v>903</v>
      </c>
      <c r="G1327" s="96" t="s">
        <v>920</v>
      </c>
      <c r="H1327" s="96" t="s">
        <v>1544</v>
      </c>
      <c r="I1327" s="96" t="s">
        <v>2301</v>
      </c>
      <c r="J1327" s="160">
        <v>20366131222</v>
      </c>
      <c r="K1327" s="125"/>
      <c r="L1327" s="96" t="s">
        <v>2326</v>
      </c>
      <c r="M1327" s="96" t="s">
        <v>697</v>
      </c>
      <c r="N1327" s="125"/>
      <c r="O1327" s="125"/>
      <c r="P1327" s="96" t="s">
        <v>2324</v>
      </c>
      <c r="Q1327" s="96" t="s">
        <v>2325</v>
      </c>
      <c r="R1327" s="96" t="s">
        <v>142</v>
      </c>
      <c r="S1327" s="125"/>
    </row>
    <row r="1328" spans="1:19" s="20" customFormat="1" ht="21.75" hidden="1" customHeight="1" x14ac:dyDescent="0.25">
      <c r="A1328" s="96" t="s">
        <v>2300</v>
      </c>
      <c r="B1328" s="96" t="s">
        <v>73</v>
      </c>
      <c r="C1328" s="172">
        <v>46132</v>
      </c>
      <c r="D1328" s="165">
        <v>6</v>
      </c>
      <c r="E1328" s="210"/>
      <c r="F1328" s="96" t="s">
        <v>1136</v>
      </c>
      <c r="G1328" s="96" t="s">
        <v>1148</v>
      </c>
      <c r="H1328" s="96" t="s">
        <v>1544</v>
      </c>
      <c r="I1328" s="96" t="s">
        <v>2301</v>
      </c>
      <c r="J1328" s="160">
        <v>20366131222</v>
      </c>
      <c r="K1328" s="125"/>
      <c r="L1328" s="96" t="s">
        <v>2326</v>
      </c>
      <c r="M1328" s="96" t="s">
        <v>697</v>
      </c>
      <c r="N1328" s="125"/>
      <c r="O1328" s="125"/>
      <c r="P1328" s="96" t="s">
        <v>2324</v>
      </c>
      <c r="Q1328" s="96" t="s">
        <v>2325</v>
      </c>
      <c r="R1328" s="96" t="s">
        <v>142</v>
      </c>
      <c r="S1328" s="125"/>
    </row>
    <row r="1329" spans="1:19" s="20" customFormat="1" ht="21.75" hidden="1" customHeight="1" x14ac:dyDescent="0.25">
      <c r="A1329" s="96" t="s">
        <v>2300</v>
      </c>
      <c r="B1329" s="96" t="s">
        <v>73</v>
      </c>
      <c r="C1329" s="172">
        <v>46132</v>
      </c>
      <c r="D1329" s="165">
        <v>6</v>
      </c>
      <c r="E1329" s="210"/>
      <c r="F1329" s="96" t="s">
        <v>1137</v>
      </c>
      <c r="G1329" s="96" t="s">
        <v>1149</v>
      </c>
      <c r="H1329" s="96" t="s">
        <v>1544</v>
      </c>
      <c r="I1329" s="96" t="s">
        <v>2301</v>
      </c>
      <c r="J1329" s="160">
        <v>20366131222</v>
      </c>
      <c r="K1329" s="125"/>
      <c r="L1329" s="96" t="s">
        <v>2326</v>
      </c>
      <c r="M1329" s="96" t="s">
        <v>697</v>
      </c>
      <c r="N1329" s="125"/>
      <c r="O1329" s="125"/>
      <c r="P1329" s="96" t="s">
        <v>2324</v>
      </c>
      <c r="Q1329" s="96" t="s">
        <v>2325</v>
      </c>
      <c r="R1329" s="96" t="s">
        <v>142</v>
      </c>
      <c r="S1329" s="125"/>
    </row>
    <row r="1330" spans="1:19" s="20" customFormat="1" ht="21.75" hidden="1" customHeight="1" x14ac:dyDescent="0.25">
      <c r="A1330" s="96" t="s">
        <v>2300</v>
      </c>
      <c r="B1330" s="96" t="s">
        <v>73</v>
      </c>
      <c r="C1330" s="172">
        <v>46132</v>
      </c>
      <c r="D1330" s="165">
        <v>6</v>
      </c>
      <c r="E1330" s="210"/>
      <c r="F1330" s="96" t="s">
        <v>1301</v>
      </c>
      <c r="G1330" s="96" t="s">
        <v>1307</v>
      </c>
      <c r="H1330" s="96" t="s">
        <v>1544</v>
      </c>
      <c r="I1330" s="96" t="s">
        <v>2301</v>
      </c>
      <c r="J1330" s="160">
        <v>20366131222</v>
      </c>
      <c r="K1330" s="125"/>
      <c r="L1330" s="96" t="s">
        <v>2326</v>
      </c>
      <c r="M1330" s="96" t="s">
        <v>697</v>
      </c>
      <c r="N1330" s="125"/>
      <c r="O1330" s="125"/>
      <c r="P1330" s="96" t="s">
        <v>2324</v>
      </c>
      <c r="Q1330" s="96" t="s">
        <v>2325</v>
      </c>
      <c r="R1330" s="96" t="s">
        <v>142</v>
      </c>
      <c r="S1330" s="125"/>
    </row>
    <row r="1331" spans="1:19" s="20" customFormat="1" ht="21.75" hidden="1" customHeight="1" x14ac:dyDescent="0.25">
      <c r="A1331" s="96" t="s">
        <v>2300</v>
      </c>
      <c r="B1331" s="96" t="s">
        <v>73</v>
      </c>
      <c r="C1331" s="172">
        <v>46132</v>
      </c>
      <c r="D1331" s="165">
        <v>3</v>
      </c>
      <c r="E1331" s="210"/>
      <c r="F1331" s="96" t="s">
        <v>910</v>
      </c>
      <c r="G1331" s="96" t="s">
        <v>927</v>
      </c>
      <c r="H1331" s="96" t="s">
        <v>1544</v>
      </c>
      <c r="I1331" s="96" t="s">
        <v>2301</v>
      </c>
      <c r="J1331" s="160">
        <v>20366131222</v>
      </c>
      <c r="K1331" s="125"/>
      <c r="L1331" s="96" t="s">
        <v>2326</v>
      </c>
      <c r="M1331" s="96" t="s">
        <v>697</v>
      </c>
      <c r="N1331" s="125"/>
      <c r="O1331" s="125"/>
      <c r="P1331" s="96" t="s">
        <v>2324</v>
      </c>
      <c r="Q1331" s="96" t="s">
        <v>2325</v>
      </c>
      <c r="R1331" s="96" t="s">
        <v>142</v>
      </c>
      <c r="S1331" s="125"/>
    </row>
    <row r="1332" spans="1:19" s="20" customFormat="1" ht="21.75" hidden="1" customHeight="1" x14ac:dyDescent="0.25">
      <c r="A1332" s="96" t="s">
        <v>2300</v>
      </c>
      <c r="B1332" s="96" t="s">
        <v>73</v>
      </c>
      <c r="C1332" s="172">
        <v>46132</v>
      </c>
      <c r="D1332" s="165">
        <v>3</v>
      </c>
      <c r="E1332" s="210"/>
      <c r="F1332" s="96" t="s">
        <v>1771</v>
      </c>
      <c r="G1332" s="96" t="s">
        <v>1774</v>
      </c>
      <c r="H1332" s="96" t="s">
        <v>1544</v>
      </c>
      <c r="I1332" s="96" t="s">
        <v>2301</v>
      </c>
      <c r="J1332" s="160">
        <v>20366131222</v>
      </c>
      <c r="K1332" s="125"/>
      <c r="L1332" s="96" t="s">
        <v>2326</v>
      </c>
      <c r="M1332" s="96" t="s">
        <v>697</v>
      </c>
      <c r="N1332" s="125"/>
      <c r="O1332" s="125"/>
      <c r="P1332" s="96" t="s">
        <v>2324</v>
      </c>
      <c r="Q1332" s="96" t="s">
        <v>2325</v>
      </c>
      <c r="R1332" s="96" t="s">
        <v>142</v>
      </c>
      <c r="S1332" s="125"/>
    </row>
    <row r="1333" spans="1:19" s="20" customFormat="1" ht="21.75" hidden="1" customHeight="1" x14ac:dyDescent="0.25">
      <c r="A1333" s="96" t="s">
        <v>2300</v>
      </c>
      <c r="B1333" s="96" t="s">
        <v>73</v>
      </c>
      <c r="C1333" s="172">
        <v>46132</v>
      </c>
      <c r="D1333" s="165">
        <v>3</v>
      </c>
      <c r="E1333" s="210"/>
      <c r="F1333" s="96" t="s">
        <v>1769</v>
      </c>
      <c r="G1333" s="96" t="s">
        <v>1772</v>
      </c>
      <c r="H1333" s="96" t="s">
        <v>1544</v>
      </c>
      <c r="I1333" s="96" t="s">
        <v>2301</v>
      </c>
      <c r="J1333" s="160">
        <v>20366131222</v>
      </c>
      <c r="K1333" s="125"/>
      <c r="L1333" s="96" t="s">
        <v>2326</v>
      </c>
      <c r="M1333" s="96" t="s">
        <v>697</v>
      </c>
      <c r="N1333" s="125"/>
      <c r="O1333" s="125"/>
      <c r="P1333" s="96" t="s">
        <v>2324</v>
      </c>
      <c r="Q1333" s="96" t="s">
        <v>2325</v>
      </c>
      <c r="R1333" s="96" t="s">
        <v>142</v>
      </c>
      <c r="S1333" s="125"/>
    </row>
    <row r="1334" spans="1:19" s="20" customFormat="1" ht="21.75" hidden="1" customHeight="1" x14ac:dyDescent="0.25">
      <c r="A1334" s="96" t="s">
        <v>2300</v>
      </c>
      <c r="B1334" s="96" t="s">
        <v>73</v>
      </c>
      <c r="C1334" s="172">
        <v>46132</v>
      </c>
      <c r="D1334" s="165">
        <v>3</v>
      </c>
      <c r="E1334" s="210"/>
      <c r="F1334" s="96" t="s">
        <v>1770</v>
      </c>
      <c r="G1334" s="96" t="s">
        <v>1773</v>
      </c>
      <c r="H1334" s="96" t="s">
        <v>1544</v>
      </c>
      <c r="I1334" s="96" t="s">
        <v>2301</v>
      </c>
      <c r="J1334" s="160">
        <v>20366131222</v>
      </c>
      <c r="K1334" s="125"/>
      <c r="L1334" s="96" t="s">
        <v>2326</v>
      </c>
      <c r="M1334" s="96" t="s">
        <v>697</v>
      </c>
      <c r="N1334" s="125"/>
      <c r="O1334" s="125"/>
      <c r="P1334" s="96" t="s">
        <v>2324</v>
      </c>
      <c r="Q1334" s="96" t="s">
        <v>2325</v>
      </c>
      <c r="R1334" s="96" t="s">
        <v>142</v>
      </c>
      <c r="S1334" s="125"/>
    </row>
    <row r="1335" spans="1:19" s="20" customFormat="1" ht="21.75" hidden="1" customHeight="1" x14ac:dyDescent="0.2">
      <c r="A1335" s="85" t="s">
        <v>2328</v>
      </c>
      <c r="B1335" s="85" t="s">
        <v>73</v>
      </c>
      <c r="C1335" s="63">
        <v>46133</v>
      </c>
      <c r="D1335" s="132">
        <v>24</v>
      </c>
      <c r="E1335" s="133">
        <v>2</v>
      </c>
      <c r="F1335" s="85" t="s">
        <v>24</v>
      </c>
      <c r="G1335" s="85" t="s">
        <v>112</v>
      </c>
      <c r="H1335" s="85" t="s">
        <v>76</v>
      </c>
      <c r="I1335" s="85" t="s">
        <v>827</v>
      </c>
      <c r="J1335" s="169">
        <v>20455996806</v>
      </c>
      <c r="K1335" s="169">
        <v>14248709</v>
      </c>
      <c r="L1335" s="85" t="s">
        <v>278</v>
      </c>
      <c r="M1335" s="85" t="s">
        <v>75</v>
      </c>
      <c r="N1335" s="65"/>
      <c r="O1335" s="65"/>
      <c r="P1335" s="85" t="s">
        <v>829</v>
      </c>
      <c r="Q1335" s="85" t="s">
        <v>830</v>
      </c>
      <c r="R1335" s="85" t="s">
        <v>142</v>
      </c>
      <c r="S1335" s="65"/>
    </row>
    <row r="1336" spans="1:19" s="20" customFormat="1" ht="21.75" hidden="1" customHeight="1" x14ac:dyDescent="0.2">
      <c r="A1336" s="84" t="s">
        <v>2328</v>
      </c>
      <c r="B1336" s="84" t="s">
        <v>73</v>
      </c>
      <c r="C1336" s="52">
        <v>46133</v>
      </c>
      <c r="D1336" s="55">
        <v>48</v>
      </c>
      <c r="E1336" s="54">
        <v>4</v>
      </c>
      <c r="F1336" s="84" t="s">
        <v>46</v>
      </c>
      <c r="G1336" s="84" t="s">
        <v>104</v>
      </c>
      <c r="H1336" s="84" t="s">
        <v>76</v>
      </c>
      <c r="I1336" s="84" t="s">
        <v>827</v>
      </c>
      <c r="J1336" s="80">
        <v>20455996806</v>
      </c>
      <c r="K1336" s="80">
        <v>14248709</v>
      </c>
      <c r="L1336" s="84" t="s">
        <v>278</v>
      </c>
      <c r="M1336" s="84" t="s">
        <v>75</v>
      </c>
      <c r="N1336" s="56"/>
      <c r="O1336" s="56"/>
      <c r="P1336" s="84" t="s">
        <v>829</v>
      </c>
      <c r="Q1336" s="84" t="s">
        <v>830</v>
      </c>
      <c r="R1336" s="84" t="s">
        <v>142</v>
      </c>
      <c r="S1336" s="56"/>
    </row>
    <row r="1337" spans="1:19" s="20" customFormat="1" ht="21.75" hidden="1" customHeight="1" x14ac:dyDescent="0.2">
      <c r="A1337" s="84" t="s">
        <v>2328</v>
      </c>
      <c r="B1337" s="84" t="s">
        <v>73</v>
      </c>
      <c r="C1337" s="52">
        <v>46133</v>
      </c>
      <c r="D1337" s="55">
        <v>240</v>
      </c>
      <c r="E1337" s="54">
        <v>10</v>
      </c>
      <c r="F1337" s="84" t="s">
        <v>2206</v>
      </c>
      <c r="G1337" s="84" t="s">
        <v>2231</v>
      </c>
      <c r="H1337" s="84" t="s">
        <v>76</v>
      </c>
      <c r="I1337" s="84" t="s">
        <v>827</v>
      </c>
      <c r="J1337" s="80">
        <v>20455996806</v>
      </c>
      <c r="K1337" s="80">
        <v>14248709</v>
      </c>
      <c r="L1337" s="84" t="s">
        <v>278</v>
      </c>
      <c r="M1337" s="84" t="s">
        <v>75</v>
      </c>
      <c r="N1337" s="56"/>
      <c r="O1337" s="56"/>
      <c r="P1337" s="84" t="s">
        <v>829</v>
      </c>
      <c r="Q1337" s="84" t="s">
        <v>830</v>
      </c>
      <c r="R1337" s="84" t="s">
        <v>142</v>
      </c>
      <c r="S1337" s="56"/>
    </row>
    <row r="1338" spans="1:19" s="20" customFormat="1" ht="21.75" hidden="1" customHeight="1" x14ac:dyDescent="0.2">
      <c r="A1338" s="56" t="s">
        <v>2329</v>
      </c>
      <c r="B1338" s="75">
        <v>4512707751</v>
      </c>
      <c r="C1338" s="52">
        <v>46134</v>
      </c>
      <c r="D1338" s="54">
        <v>4</v>
      </c>
      <c r="E1338" s="54">
        <v>1</v>
      </c>
      <c r="F1338" s="56" t="s">
        <v>302</v>
      </c>
      <c r="G1338" s="56" t="s">
        <v>303</v>
      </c>
      <c r="H1338" s="84" t="s">
        <v>76</v>
      </c>
      <c r="I1338" s="56" t="s">
        <v>284</v>
      </c>
      <c r="J1338" s="75">
        <v>20109072177</v>
      </c>
      <c r="K1338" s="56"/>
      <c r="L1338" s="56" t="s">
        <v>2346</v>
      </c>
      <c r="M1338" s="56" t="s">
        <v>2361</v>
      </c>
      <c r="N1338" s="56"/>
      <c r="O1338" s="56"/>
      <c r="P1338" s="56" t="s">
        <v>635</v>
      </c>
      <c r="Q1338" s="56" t="s">
        <v>646</v>
      </c>
      <c r="R1338" s="84" t="s">
        <v>289</v>
      </c>
      <c r="S1338" s="56"/>
    </row>
    <row r="1339" spans="1:19" s="20" customFormat="1" ht="21.75" hidden="1" customHeight="1" x14ac:dyDescent="0.2">
      <c r="A1339" s="56" t="s">
        <v>2329</v>
      </c>
      <c r="B1339" s="75">
        <v>4512707751</v>
      </c>
      <c r="C1339" s="52">
        <v>46134</v>
      </c>
      <c r="D1339" s="54">
        <v>4</v>
      </c>
      <c r="E1339" s="54">
        <v>1</v>
      </c>
      <c r="F1339" s="56" t="s">
        <v>15</v>
      </c>
      <c r="G1339" s="56" t="s">
        <v>96</v>
      </c>
      <c r="H1339" s="84" t="s">
        <v>76</v>
      </c>
      <c r="I1339" s="56" t="s">
        <v>284</v>
      </c>
      <c r="J1339" s="75">
        <v>20109072177</v>
      </c>
      <c r="K1339" s="56"/>
      <c r="L1339" s="56" t="s">
        <v>2346</v>
      </c>
      <c r="M1339" s="56" t="s">
        <v>2361</v>
      </c>
      <c r="N1339" s="56"/>
      <c r="O1339" s="56"/>
      <c r="P1339" s="56" t="s">
        <v>635</v>
      </c>
      <c r="Q1339" s="56" t="s">
        <v>646</v>
      </c>
      <c r="R1339" s="84" t="s">
        <v>289</v>
      </c>
      <c r="S1339" s="56"/>
    </row>
    <row r="1340" spans="1:19" s="20" customFormat="1" ht="21.75" hidden="1" customHeight="1" x14ac:dyDescent="0.2">
      <c r="A1340" s="56" t="s">
        <v>2329</v>
      </c>
      <c r="B1340" s="75">
        <v>4512707751</v>
      </c>
      <c r="C1340" s="52">
        <v>46134</v>
      </c>
      <c r="D1340" s="54">
        <v>6</v>
      </c>
      <c r="E1340" s="54">
        <v>3</v>
      </c>
      <c r="F1340" s="56" t="s">
        <v>2370</v>
      </c>
      <c r="G1340" s="56" t="s">
        <v>78</v>
      </c>
      <c r="H1340" s="84" t="s">
        <v>76</v>
      </c>
      <c r="I1340" s="56" t="s">
        <v>284</v>
      </c>
      <c r="J1340" s="75">
        <v>20109072177</v>
      </c>
      <c r="K1340" s="56"/>
      <c r="L1340" s="56" t="s">
        <v>2346</v>
      </c>
      <c r="M1340" s="56" t="s">
        <v>2361</v>
      </c>
      <c r="N1340" s="56"/>
      <c r="O1340" s="56"/>
      <c r="P1340" s="56" t="s">
        <v>635</v>
      </c>
      <c r="Q1340" s="56" t="s">
        <v>646</v>
      </c>
      <c r="R1340" s="84" t="s">
        <v>289</v>
      </c>
      <c r="S1340" s="56"/>
    </row>
    <row r="1341" spans="1:19" s="20" customFormat="1" ht="21.75" hidden="1" customHeight="1" x14ac:dyDescent="0.2">
      <c r="A1341" s="56" t="s">
        <v>2330</v>
      </c>
      <c r="B1341" s="75">
        <v>4512707717</v>
      </c>
      <c r="C1341" s="52">
        <v>46134</v>
      </c>
      <c r="D1341" s="54">
        <v>4</v>
      </c>
      <c r="E1341" s="54">
        <v>1</v>
      </c>
      <c r="F1341" s="56" t="s">
        <v>602</v>
      </c>
      <c r="G1341" s="56" t="s">
        <v>606</v>
      </c>
      <c r="H1341" s="84" t="s">
        <v>76</v>
      </c>
      <c r="I1341" s="56" t="s">
        <v>284</v>
      </c>
      <c r="J1341" s="75">
        <v>20109072177</v>
      </c>
      <c r="K1341" s="56"/>
      <c r="L1341" s="56" t="s">
        <v>2347</v>
      </c>
      <c r="M1341" s="56" t="s">
        <v>2362</v>
      </c>
      <c r="N1341" s="56"/>
      <c r="O1341" s="56"/>
      <c r="P1341" s="56" t="s">
        <v>631</v>
      </c>
      <c r="Q1341" s="56" t="s">
        <v>644</v>
      </c>
      <c r="R1341" s="84" t="s">
        <v>289</v>
      </c>
      <c r="S1341" s="56"/>
    </row>
    <row r="1342" spans="1:19" s="20" customFormat="1" ht="21.75" hidden="1" customHeight="1" x14ac:dyDescent="0.2">
      <c r="A1342" s="56" t="s">
        <v>2330</v>
      </c>
      <c r="B1342" s="75">
        <v>4512707717</v>
      </c>
      <c r="C1342" s="52">
        <v>46134</v>
      </c>
      <c r="D1342" s="54">
        <v>4</v>
      </c>
      <c r="E1342" s="54">
        <v>1</v>
      </c>
      <c r="F1342" s="56" t="s">
        <v>302</v>
      </c>
      <c r="G1342" s="56" t="s">
        <v>303</v>
      </c>
      <c r="H1342" s="84" t="s">
        <v>76</v>
      </c>
      <c r="I1342" s="56" t="s">
        <v>284</v>
      </c>
      <c r="J1342" s="75">
        <v>20109072177</v>
      </c>
      <c r="K1342" s="56"/>
      <c r="L1342" s="56" t="s">
        <v>2347</v>
      </c>
      <c r="M1342" s="56" t="s">
        <v>2362</v>
      </c>
      <c r="N1342" s="56"/>
      <c r="O1342" s="56"/>
      <c r="P1342" s="56" t="s">
        <v>631</v>
      </c>
      <c r="Q1342" s="56" t="s">
        <v>644</v>
      </c>
      <c r="R1342" s="84" t="s">
        <v>289</v>
      </c>
      <c r="S1342" s="56"/>
    </row>
    <row r="1343" spans="1:19" s="20" customFormat="1" ht="21.75" hidden="1" customHeight="1" x14ac:dyDescent="0.2">
      <c r="A1343" s="56" t="s">
        <v>2330</v>
      </c>
      <c r="B1343" s="75">
        <v>4512707717</v>
      </c>
      <c r="C1343" s="52">
        <v>46134</v>
      </c>
      <c r="D1343" s="54">
        <v>4</v>
      </c>
      <c r="E1343" s="54">
        <v>1</v>
      </c>
      <c r="F1343" s="56" t="s">
        <v>15</v>
      </c>
      <c r="G1343" s="56" t="s">
        <v>96</v>
      </c>
      <c r="H1343" s="84" t="s">
        <v>76</v>
      </c>
      <c r="I1343" s="56" t="s">
        <v>284</v>
      </c>
      <c r="J1343" s="75">
        <v>20109072177</v>
      </c>
      <c r="K1343" s="56"/>
      <c r="L1343" s="56" t="s">
        <v>2347</v>
      </c>
      <c r="M1343" s="56" t="s">
        <v>2362</v>
      </c>
      <c r="N1343" s="56"/>
      <c r="O1343" s="56"/>
      <c r="P1343" s="56" t="s">
        <v>631</v>
      </c>
      <c r="Q1343" s="56" t="s">
        <v>644</v>
      </c>
      <c r="R1343" s="84" t="s">
        <v>289</v>
      </c>
      <c r="S1343" s="56"/>
    </row>
    <row r="1344" spans="1:19" s="20" customFormat="1" ht="21.75" hidden="1" customHeight="1" x14ac:dyDescent="0.2">
      <c r="A1344" s="56" t="s">
        <v>2331</v>
      </c>
      <c r="B1344" s="75">
        <v>4512706170</v>
      </c>
      <c r="C1344" s="52">
        <v>46134</v>
      </c>
      <c r="D1344" s="54">
        <v>4</v>
      </c>
      <c r="E1344" s="54">
        <v>1</v>
      </c>
      <c r="F1344" s="56" t="s">
        <v>38</v>
      </c>
      <c r="G1344" s="56" t="s">
        <v>97</v>
      </c>
      <c r="H1344" s="84" t="s">
        <v>76</v>
      </c>
      <c r="I1344" s="56" t="s">
        <v>284</v>
      </c>
      <c r="J1344" s="75">
        <v>20109072177</v>
      </c>
      <c r="K1344" s="56"/>
      <c r="L1344" s="56" t="s">
        <v>1015</v>
      </c>
      <c r="M1344" s="56" t="s">
        <v>474</v>
      </c>
      <c r="N1344" s="56"/>
      <c r="O1344" s="56"/>
      <c r="P1344" s="135" t="s">
        <v>635</v>
      </c>
      <c r="Q1344" s="56" t="s">
        <v>641</v>
      </c>
      <c r="R1344" s="84" t="s">
        <v>289</v>
      </c>
      <c r="S1344" s="56"/>
    </row>
    <row r="1345" spans="1:19" s="20" customFormat="1" ht="21.75" hidden="1" customHeight="1" x14ac:dyDescent="0.2">
      <c r="A1345" s="56" t="s">
        <v>2331</v>
      </c>
      <c r="B1345" s="75">
        <v>4512706170</v>
      </c>
      <c r="C1345" s="52">
        <v>46134</v>
      </c>
      <c r="D1345" s="54">
        <v>8</v>
      </c>
      <c r="E1345" s="54">
        <v>2</v>
      </c>
      <c r="F1345" s="56" t="s">
        <v>602</v>
      </c>
      <c r="G1345" s="56" t="s">
        <v>606</v>
      </c>
      <c r="H1345" s="84" t="s">
        <v>76</v>
      </c>
      <c r="I1345" s="56" t="s">
        <v>284</v>
      </c>
      <c r="J1345" s="75">
        <v>20109072177</v>
      </c>
      <c r="K1345" s="56"/>
      <c r="L1345" s="56" t="s">
        <v>1015</v>
      </c>
      <c r="M1345" s="56" t="s">
        <v>474</v>
      </c>
      <c r="N1345" s="56"/>
      <c r="O1345" s="56"/>
      <c r="P1345" s="135" t="s">
        <v>635</v>
      </c>
      <c r="Q1345" s="56" t="s">
        <v>641</v>
      </c>
      <c r="R1345" s="84" t="s">
        <v>289</v>
      </c>
      <c r="S1345" s="56"/>
    </row>
    <row r="1346" spans="1:19" s="20" customFormat="1" ht="21.75" hidden="1" customHeight="1" x14ac:dyDescent="0.2">
      <c r="A1346" s="56" t="s">
        <v>2331</v>
      </c>
      <c r="B1346" s="75">
        <v>4512706170</v>
      </c>
      <c r="C1346" s="52">
        <v>46134</v>
      </c>
      <c r="D1346" s="54">
        <v>4</v>
      </c>
      <c r="E1346" s="54">
        <v>1</v>
      </c>
      <c r="F1346" s="56" t="s">
        <v>325</v>
      </c>
      <c r="G1346" s="56" t="s">
        <v>338</v>
      </c>
      <c r="H1346" s="84" t="s">
        <v>76</v>
      </c>
      <c r="I1346" s="56" t="s">
        <v>284</v>
      </c>
      <c r="J1346" s="75">
        <v>20109072177</v>
      </c>
      <c r="K1346" s="56"/>
      <c r="L1346" s="56" t="s">
        <v>1015</v>
      </c>
      <c r="M1346" s="56" t="s">
        <v>474</v>
      </c>
      <c r="N1346" s="56"/>
      <c r="O1346" s="56"/>
      <c r="P1346" s="135" t="s">
        <v>635</v>
      </c>
      <c r="Q1346" s="56" t="s">
        <v>641</v>
      </c>
      <c r="R1346" s="84" t="s">
        <v>289</v>
      </c>
      <c r="S1346" s="56"/>
    </row>
    <row r="1347" spans="1:19" s="20" customFormat="1" ht="21.75" hidden="1" customHeight="1" x14ac:dyDescent="0.2">
      <c r="A1347" s="56" t="s">
        <v>2331</v>
      </c>
      <c r="B1347" s="75">
        <v>4512706170</v>
      </c>
      <c r="C1347" s="52">
        <v>46134</v>
      </c>
      <c r="D1347" s="54">
        <v>8</v>
      </c>
      <c r="E1347" s="54">
        <v>1</v>
      </c>
      <c r="F1347" s="56" t="s">
        <v>15</v>
      </c>
      <c r="G1347" s="56" t="s">
        <v>96</v>
      </c>
      <c r="H1347" s="84" t="s">
        <v>76</v>
      </c>
      <c r="I1347" s="56" t="s">
        <v>284</v>
      </c>
      <c r="J1347" s="75">
        <v>20109072177</v>
      </c>
      <c r="K1347" s="56"/>
      <c r="L1347" s="56" t="s">
        <v>1015</v>
      </c>
      <c r="M1347" s="56" t="s">
        <v>474</v>
      </c>
      <c r="N1347" s="56"/>
      <c r="O1347" s="56"/>
      <c r="P1347" s="135" t="s">
        <v>635</v>
      </c>
      <c r="Q1347" s="56" t="s">
        <v>641</v>
      </c>
      <c r="R1347" s="84" t="s">
        <v>289</v>
      </c>
      <c r="S1347" s="56"/>
    </row>
    <row r="1348" spans="1:19" s="20" customFormat="1" ht="21.75" hidden="1" customHeight="1" x14ac:dyDescent="0.2">
      <c r="A1348" s="56" t="s">
        <v>2331</v>
      </c>
      <c r="B1348" s="75">
        <v>4512706170</v>
      </c>
      <c r="C1348" s="52">
        <v>46134</v>
      </c>
      <c r="D1348" s="54">
        <v>6</v>
      </c>
      <c r="E1348" s="54">
        <v>3</v>
      </c>
      <c r="F1348" s="56" t="s">
        <v>2367</v>
      </c>
      <c r="G1348" s="56" t="s">
        <v>1016</v>
      </c>
      <c r="H1348" s="84" t="s">
        <v>76</v>
      </c>
      <c r="I1348" s="56" t="s">
        <v>284</v>
      </c>
      <c r="J1348" s="75">
        <v>20109072177</v>
      </c>
      <c r="K1348" s="56"/>
      <c r="L1348" s="56" t="s">
        <v>1015</v>
      </c>
      <c r="M1348" s="56" t="s">
        <v>474</v>
      </c>
      <c r="N1348" s="56"/>
      <c r="O1348" s="56"/>
      <c r="P1348" s="135" t="s">
        <v>635</v>
      </c>
      <c r="Q1348" s="56" t="s">
        <v>641</v>
      </c>
      <c r="R1348" s="84" t="s">
        <v>289</v>
      </c>
      <c r="S1348" s="56"/>
    </row>
    <row r="1349" spans="1:19" s="20" customFormat="1" ht="21.75" hidden="1" customHeight="1" x14ac:dyDescent="0.2">
      <c r="A1349" s="56" t="s">
        <v>2332</v>
      </c>
      <c r="B1349" s="75">
        <v>4512707678</v>
      </c>
      <c r="C1349" s="52">
        <v>46134</v>
      </c>
      <c r="D1349" s="54">
        <v>4</v>
      </c>
      <c r="E1349" s="54">
        <v>1</v>
      </c>
      <c r="F1349" s="56" t="s">
        <v>602</v>
      </c>
      <c r="G1349" s="56" t="s">
        <v>606</v>
      </c>
      <c r="H1349" s="84" t="s">
        <v>76</v>
      </c>
      <c r="I1349" s="56" t="s">
        <v>284</v>
      </c>
      <c r="J1349" s="75">
        <v>20109072177</v>
      </c>
      <c r="K1349" s="56"/>
      <c r="L1349" s="56" t="s">
        <v>2348</v>
      </c>
      <c r="M1349" s="56" t="s">
        <v>533</v>
      </c>
      <c r="N1349" s="56"/>
      <c r="O1349" s="56"/>
      <c r="P1349" s="53" t="s">
        <v>2372</v>
      </c>
      <c r="Q1349" s="56" t="s">
        <v>642</v>
      </c>
      <c r="R1349" s="84" t="s">
        <v>289</v>
      </c>
      <c r="S1349" s="56"/>
    </row>
    <row r="1350" spans="1:19" s="20" customFormat="1" ht="21.75" hidden="1" customHeight="1" x14ac:dyDescent="0.2">
      <c r="A1350" s="56" t="s">
        <v>2333</v>
      </c>
      <c r="B1350" s="75">
        <v>4512707690</v>
      </c>
      <c r="C1350" s="52">
        <v>46134</v>
      </c>
      <c r="D1350" s="54">
        <v>4</v>
      </c>
      <c r="E1350" s="54">
        <v>1</v>
      </c>
      <c r="F1350" s="56" t="s">
        <v>325</v>
      </c>
      <c r="G1350" s="56" t="s">
        <v>338</v>
      </c>
      <c r="H1350" s="84" t="s">
        <v>76</v>
      </c>
      <c r="I1350" s="56" t="s">
        <v>284</v>
      </c>
      <c r="J1350" s="75">
        <v>20109072177</v>
      </c>
      <c r="K1350" s="56"/>
      <c r="L1350" s="56" t="s">
        <v>2349</v>
      </c>
      <c r="M1350" s="56" t="s">
        <v>2363</v>
      </c>
      <c r="N1350" s="56"/>
      <c r="O1350" s="56"/>
      <c r="P1350" s="56" t="s">
        <v>2373</v>
      </c>
      <c r="Q1350" s="56" t="s">
        <v>313</v>
      </c>
      <c r="R1350" s="84" t="s">
        <v>289</v>
      </c>
      <c r="S1350" s="56"/>
    </row>
    <row r="1351" spans="1:19" s="20" customFormat="1" ht="21.75" hidden="1" customHeight="1" x14ac:dyDescent="0.2">
      <c r="A1351" s="56" t="s">
        <v>2333</v>
      </c>
      <c r="B1351" s="75">
        <v>4512707690</v>
      </c>
      <c r="C1351" s="52">
        <v>46134</v>
      </c>
      <c r="D1351" s="54">
        <v>4</v>
      </c>
      <c r="E1351" s="54">
        <v>1</v>
      </c>
      <c r="F1351" s="56" t="s">
        <v>38</v>
      </c>
      <c r="G1351" s="56" t="s">
        <v>97</v>
      </c>
      <c r="H1351" s="84" t="s">
        <v>76</v>
      </c>
      <c r="I1351" s="56" t="s">
        <v>284</v>
      </c>
      <c r="J1351" s="75">
        <v>20109072177</v>
      </c>
      <c r="K1351" s="56"/>
      <c r="L1351" s="56" t="s">
        <v>2349</v>
      </c>
      <c r="M1351" s="56" t="s">
        <v>2363</v>
      </c>
      <c r="N1351" s="56"/>
      <c r="O1351" s="56"/>
      <c r="P1351" s="56" t="s">
        <v>2373</v>
      </c>
      <c r="Q1351" s="56" t="s">
        <v>313</v>
      </c>
      <c r="R1351" s="84" t="s">
        <v>289</v>
      </c>
      <c r="S1351" s="56"/>
    </row>
    <row r="1352" spans="1:19" s="20" customFormat="1" ht="21.75" hidden="1" customHeight="1" x14ac:dyDescent="0.2">
      <c r="A1352" s="56" t="s">
        <v>2334</v>
      </c>
      <c r="B1352" s="75">
        <v>4512707696</v>
      </c>
      <c r="C1352" s="52">
        <v>46134</v>
      </c>
      <c r="D1352" s="54">
        <v>4</v>
      </c>
      <c r="E1352" s="54">
        <v>1</v>
      </c>
      <c r="F1352" s="56" t="s">
        <v>602</v>
      </c>
      <c r="G1352" s="56" t="s">
        <v>606</v>
      </c>
      <c r="H1352" s="84" t="s">
        <v>76</v>
      </c>
      <c r="I1352" s="56" t="s">
        <v>284</v>
      </c>
      <c r="J1352" s="75">
        <v>20109072177</v>
      </c>
      <c r="K1352" s="56"/>
      <c r="L1352" s="56" t="s">
        <v>2350</v>
      </c>
      <c r="M1352" s="56" t="s">
        <v>2362</v>
      </c>
      <c r="N1352" s="56"/>
      <c r="O1352" s="56"/>
      <c r="P1352" s="56" t="s">
        <v>2374</v>
      </c>
      <c r="Q1352" s="56" t="s">
        <v>643</v>
      </c>
      <c r="R1352" s="84" t="s">
        <v>289</v>
      </c>
      <c r="S1352" s="56"/>
    </row>
    <row r="1353" spans="1:19" s="20" customFormat="1" ht="21.75" hidden="1" customHeight="1" x14ac:dyDescent="0.2">
      <c r="A1353" s="56" t="s">
        <v>2334</v>
      </c>
      <c r="B1353" s="75">
        <v>4512707696</v>
      </c>
      <c r="C1353" s="52">
        <v>46134</v>
      </c>
      <c r="D1353" s="54">
        <v>8</v>
      </c>
      <c r="E1353" s="54">
        <v>2</v>
      </c>
      <c r="F1353" s="56" t="s">
        <v>302</v>
      </c>
      <c r="G1353" s="56" t="s">
        <v>303</v>
      </c>
      <c r="H1353" s="84" t="s">
        <v>76</v>
      </c>
      <c r="I1353" s="56" t="s">
        <v>284</v>
      </c>
      <c r="J1353" s="75">
        <v>20109072177</v>
      </c>
      <c r="K1353" s="56"/>
      <c r="L1353" s="56" t="s">
        <v>2350</v>
      </c>
      <c r="M1353" s="56" t="s">
        <v>2362</v>
      </c>
      <c r="N1353" s="56"/>
      <c r="O1353" s="56"/>
      <c r="P1353" s="56" t="s">
        <v>2374</v>
      </c>
      <c r="Q1353" s="56" t="s">
        <v>643</v>
      </c>
      <c r="R1353" s="84" t="s">
        <v>289</v>
      </c>
      <c r="S1353" s="56"/>
    </row>
    <row r="1354" spans="1:19" s="20" customFormat="1" ht="21.75" hidden="1" customHeight="1" x14ac:dyDescent="0.2">
      <c r="A1354" s="56" t="s">
        <v>2334</v>
      </c>
      <c r="B1354" s="75">
        <v>4512707696</v>
      </c>
      <c r="C1354" s="52">
        <v>46134</v>
      </c>
      <c r="D1354" s="54">
        <v>4</v>
      </c>
      <c r="E1354" s="54">
        <v>1</v>
      </c>
      <c r="F1354" s="56" t="s">
        <v>15</v>
      </c>
      <c r="G1354" s="56" t="s">
        <v>96</v>
      </c>
      <c r="H1354" s="84" t="s">
        <v>76</v>
      </c>
      <c r="I1354" s="56" t="s">
        <v>284</v>
      </c>
      <c r="J1354" s="75">
        <v>20109072177</v>
      </c>
      <c r="K1354" s="56"/>
      <c r="L1354" s="56" t="s">
        <v>2350</v>
      </c>
      <c r="M1354" s="56" t="s">
        <v>2362</v>
      </c>
      <c r="N1354" s="56"/>
      <c r="O1354" s="56"/>
      <c r="P1354" s="56" t="s">
        <v>2374</v>
      </c>
      <c r="Q1354" s="56" t="s">
        <v>643</v>
      </c>
      <c r="R1354" s="84" t="s">
        <v>289</v>
      </c>
      <c r="S1354" s="56"/>
    </row>
    <row r="1355" spans="1:19" s="20" customFormat="1" ht="21.75" hidden="1" customHeight="1" x14ac:dyDescent="0.2">
      <c r="A1355" s="56" t="s">
        <v>2334</v>
      </c>
      <c r="B1355" s="75">
        <v>4512707696</v>
      </c>
      <c r="C1355" s="52">
        <v>46134</v>
      </c>
      <c r="D1355" s="54">
        <v>8</v>
      </c>
      <c r="E1355" s="54">
        <v>1</v>
      </c>
      <c r="F1355" s="56" t="s">
        <v>31</v>
      </c>
      <c r="G1355" s="56" t="s">
        <v>98</v>
      </c>
      <c r="H1355" s="84" t="s">
        <v>76</v>
      </c>
      <c r="I1355" s="56" t="s">
        <v>284</v>
      </c>
      <c r="J1355" s="75">
        <v>20109072177</v>
      </c>
      <c r="K1355" s="56"/>
      <c r="L1355" s="56" t="s">
        <v>2350</v>
      </c>
      <c r="M1355" s="56" t="s">
        <v>2362</v>
      </c>
      <c r="N1355" s="56"/>
      <c r="O1355" s="56"/>
      <c r="P1355" s="56" t="s">
        <v>2374</v>
      </c>
      <c r="Q1355" s="56" t="s">
        <v>643</v>
      </c>
      <c r="R1355" s="84" t="s">
        <v>289</v>
      </c>
      <c r="S1355" s="56"/>
    </row>
    <row r="1356" spans="1:19" s="20" customFormat="1" ht="21.75" hidden="1" customHeight="1" x14ac:dyDescent="0.2">
      <c r="A1356" s="56" t="s">
        <v>2335</v>
      </c>
      <c r="B1356" s="75">
        <v>4512707729</v>
      </c>
      <c r="C1356" s="52">
        <v>46134</v>
      </c>
      <c r="D1356" s="54">
        <v>8</v>
      </c>
      <c r="E1356" s="54">
        <v>2</v>
      </c>
      <c r="F1356" s="56" t="s">
        <v>602</v>
      </c>
      <c r="G1356" s="56" t="s">
        <v>606</v>
      </c>
      <c r="H1356" s="84" t="s">
        <v>76</v>
      </c>
      <c r="I1356" s="56" t="s">
        <v>284</v>
      </c>
      <c r="J1356" s="75">
        <v>20109072177</v>
      </c>
      <c r="K1356" s="56"/>
      <c r="L1356" s="56" t="s">
        <v>2351</v>
      </c>
      <c r="M1356" s="56" t="s">
        <v>2361</v>
      </c>
      <c r="N1356" s="56"/>
      <c r="O1356" s="56"/>
      <c r="P1356" s="56" t="s">
        <v>255</v>
      </c>
      <c r="Q1356" s="56" t="s">
        <v>1032</v>
      </c>
      <c r="R1356" s="84" t="s">
        <v>289</v>
      </c>
      <c r="S1356" s="56"/>
    </row>
    <row r="1357" spans="1:19" s="20" customFormat="1" ht="21.75" hidden="1" customHeight="1" x14ac:dyDescent="0.2">
      <c r="A1357" s="56" t="s">
        <v>2335</v>
      </c>
      <c r="B1357" s="75">
        <v>4512707729</v>
      </c>
      <c r="C1357" s="52">
        <v>46134</v>
      </c>
      <c r="D1357" s="54">
        <v>4</v>
      </c>
      <c r="E1357" s="54">
        <v>1</v>
      </c>
      <c r="F1357" s="56" t="s">
        <v>325</v>
      </c>
      <c r="G1357" s="56" t="s">
        <v>338</v>
      </c>
      <c r="H1357" s="84" t="s">
        <v>76</v>
      </c>
      <c r="I1357" s="56" t="s">
        <v>284</v>
      </c>
      <c r="J1357" s="75">
        <v>20109072177</v>
      </c>
      <c r="K1357" s="56"/>
      <c r="L1357" s="56" t="s">
        <v>2351</v>
      </c>
      <c r="M1357" s="56" t="s">
        <v>2361</v>
      </c>
      <c r="N1357" s="56"/>
      <c r="O1357" s="56"/>
      <c r="P1357" s="56" t="s">
        <v>255</v>
      </c>
      <c r="Q1357" s="56" t="s">
        <v>1032</v>
      </c>
      <c r="R1357" s="84" t="s">
        <v>289</v>
      </c>
      <c r="S1357" s="56"/>
    </row>
    <row r="1358" spans="1:19" s="20" customFormat="1" ht="21.75" hidden="1" customHeight="1" x14ac:dyDescent="0.2">
      <c r="A1358" s="56" t="s">
        <v>2335</v>
      </c>
      <c r="B1358" s="75">
        <v>4512707729</v>
      </c>
      <c r="C1358" s="52">
        <v>46134</v>
      </c>
      <c r="D1358" s="54">
        <v>4</v>
      </c>
      <c r="E1358" s="54">
        <v>1</v>
      </c>
      <c r="F1358" s="56" t="s">
        <v>15</v>
      </c>
      <c r="G1358" s="56" t="s">
        <v>96</v>
      </c>
      <c r="H1358" s="84" t="s">
        <v>76</v>
      </c>
      <c r="I1358" s="56" t="s">
        <v>284</v>
      </c>
      <c r="J1358" s="75">
        <v>20109072177</v>
      </c>
      <c r="K1358" s="56"/>
      <c r="L1358" s="56" t="s">
        <v>2351</v>
      </c>
      <c r="M1358" s="56" t="s">
        <v>2361</v>
      </c>
      <c r="N1358" s="56"/>
      <c r="O1358" s="56"/>
      <c r="P1358" s="56" t="s">
        <v>255</v>
      </c>
      <c r="Q1358" s="56" t="s">
        <v>1032</v>
      </c>
      <c r="R1358" s="84" t="s">
        <v>289</v>
      </c>
      <c r="S1358" s="56"/>
    </row>
    <row r="1359" spans="1:19" s="20" customFormat="1" ht="21.75" hidden="1" customHeight="1" x14ac:dyDescent="0.2">
      <c r="A1359" s="56" t="s">
        <v>2335</v>
      </c>
      <c r="B1359" s="75">
        <v>4512707729</v>
      </c>
      <c r="C1359" s="52">
        <v>46134</v>
      </c>
      <c r="D1359" s="54">
        <v>8</v>
      </c>
      <c r="E1359" s="54">
        <v>1</v>
      </c>
      <c r="F1359" s="56" t="s">
        <v>31</v>
      </c>
      <c r="G1359" s="56" t="s">
        <v>98</v>
      </c>
      <c r="H1359" s="84" t="s">
        <v>76</v>
      </c>
      <c r="I1359" s="56" t="s">
        <v>284</v>
      </c>
      <c r="J1359" s="75">
        <v>20109072177</v>
      </c>
      <c r="K1359" s="56"/>
      <c r="L1359" s="56" t="s">
        <v>2351</v>
      </c>
      <c r="M1359" s="56" t="s">
        <v>2361</v>
      </c>
      <c r="N1359" s="56"/>
      <c r="O1359" s="56"/>
      <c r="P1359" s="56" t="s">
        <v>255</v>
      </c>
      <c r="Q1359" s="56" t="s">
        <v>1032</v>
      </c>
      <c r="R1359" s="84" t="s">
        <v>289</v>
      </c>
      <c r="S1359" s="56"/>
    </row>
    <row r="1360" spans="1:19" s="20" customFormat="1" ht="21.75" hidden="1" customHeight="1" x14ac:dyDescent="0.2">
      <c r="A1360" s="56" t="s">
        <v>2335</v>
      </c>
      <c r="B1360" s="75">
        <v>4512707729</v>
      </c>
      <c r="C1360" s="52">
        <v>46134</v>
      </c>
      <c r="D1360" s="54">
        <v>6</v>
      </c>
      <c r="E1360" s="54">
        <v>3</v>
      </c>
      <c r="F1360" s="56" t="s">
        <v>2368</v>
      </c>
      <c r="G1360" s="136" t="s">
        <v>309</v>
      </c>
      <c r="H1360" s="84" t="s">
        <v>76</v>
      </c>
      <c r="I1360" s="56" t="s">
        <v>284</v>
      </c>
      <c r="J1360" s="75">
        <v>20109072177</v>
      </c>
      <c r="K1360" s="56"/>
      <c r="L1360" s="56" t="s">
        <v>2351</v>
      </c>
      <c r="M1360" s="56" t="s">
        <v>2361</v>
      </c>
      <c r="N1360" s="56"/>
      <c r="O1360" s="56"/>
      <c r="P1360" s="56" t="s">
        <v>255</v>
      </c>
      <c r="Q1360" s="56" t="s">
        <v>1032</v>
      </c>
      <c r="R1360" s="84" t="s">
        <v>289</v>
      </c>
      <c r="S1360" s="56"/>
    </row>
    <row r="1361" spans="1:19" s="20" customFormat="1" ht="21.75" hidden="1" customHeight="1" x14ac:dyDescent="0.2">
      <c r="A1361" s="56" t="s">
        <v>2335</v>
      </c>
      <c r="B1361" s="75">
        <v>4512707729</v>
      </c>
      <c r="C1361" s="52">
        <v>46134</v>
      </c>
      <c r="D1361" s="54">
        <v>6</v>
      </c>
      <c r="E1361" s="54">
        <v>3</v>
      </c>
      <c r="F1361" s="56" t="s">
        <v>2369</v>
      </c>
      <c r="G1361" s="56" t="s">
        <v>297</v>
      </c>
      <c r="H1361" s="84" t="s">
        <v>76</v>
      </c>
      <c r="I1361" s="56" t="s">
        <v>284</v>
      </c>
      <c r="J1361" s="75">
        <v>20109072177</v>
      </c>
      <c r="K1361" s="56"/>
      <c r="L1361" s="56" t="s">
        <v>2351</v>
      </c>
      <c r="M1361" s="56" t="s">
        <v>2361</v>
      </c>
      <c r="N1361" s="56"/>
      <c r="O1361" s="56"/>
      <c r="P1361" s="56" t="s">
        <v>255</v>
      </c>
      <c r="Q1361" s="56" t="s">
        <v>1032</v>
      </c>
      <c r="R1361" s="84" t="s">
        <v>289</v>
      </c>
      <c r="S1361" s="56"/>
    </row>
    <row r="1362" spans="1:19" s="20" customFormat="1" ht="21.75" hidden="1" customHeight="1" x14ac:dyDescent="0.2">
      <c r="A1362" s="56" t="s">
        <v>2335</v>
      </c>
      <c r="B1362" s="75">
        <v>4512707729</v>
      </c>
      <c r="C1362" s="52">
        <v>46134</v>
      </c>
      <c r="D1362" s="54">
        <v>6</v>
      </c>
      <c r="E1362" s="54">
        <v>3</v>
      </c>
      <c r="F1362" s="56" t="s">
        <v>327</v>
      </c>
      <c r="G1362" s="56" t="s">
        <v>340</v>
      </c>
      <c r="H1362" s="84" t="s">
        <v>76</v>
      </c>
      <c r="I1362" s="56" t="s">
        <v>284</v>
      </c>
      <c r="J1362" s="75">
        <v>20109072177</v>
      </c>
      <c r="K1362" s="56"/>
      <c r="L1362" s="56" t="s">
        <v>2351</v>
      </c>
      <c r="M1362" s="56" t="s">
        <v>2361</v>
      </c>
      <c r="N1362" s="56"/>
      <c r="O1362" s="56"/>
      <c r="P1362" s="56" t="s">
        <v>255</v>
      </c>
      <c r="Q1362" s="56" t="s">
        <v>1032</v>
      </c>
      <c r="R1362" s="84" t="s">
        <v>289</v>
      </c>
      <c r="S1362" s="56"/>
    </row>
    <row r="1363" spans="1:19" s="20" customFormat="1" ht="21.75" hidden="1" customHeight="1" x14ac:dyDescent="0.2">
      <c r="A1363" s="56" t="s">
        <v>2335</v>
      </c>
      <c r="B1363" s="75">
        <v>4512707729</v>
      </c>
      <c r="C1363" s="52">
        <v>46134</v>
      </c>
      <c r="D1363" s="54">
        <v>6</v>
      </c>
      <c r="E1363" s="54">
        <v>3</v>
      </c>
      <c r="F1363" s="56" t="s">
        <v>2370</v>
      </c>
      <c r="G1363" s="56" t="s">
        <v>78</v>
      </c>
      <c r="H1363" s="84" t="s">
        <v>76</v>
      </c>
      <c r="I1363" s="56" t="s">
        <v>284</v>
      </c>
      <c r="J1363" s="75">
        <v>20109072177</v>
      </c>
      <c r="K1363" s="56"/>
      <c r="L1363" s="56" t="s">
        <v>2351</v>
      </c>
      <c r="M1363" s="56" t="s">
        <v>2361</v>
      </c>
      <c r="N1363" s="56"/>
      <c r="O1363" s="56"/>
      <c r="P1363" s="56" t="s">
        <v>255</v>
      </c>
      <c r="Q1363" s="56" t="s">
        <v>1032</v>
      </c>
      <c r="R1363" s="84" t="s">
        <v>289</v>
      </c>
      <c r="S1363" s="56"/>
    </row>
    <row r="1364" spans="1:19" s="20" customFormat="1" ht="21.75" hidden="1" customHeight="1" x14ac:dyDescent="0.2">
      <c r="A1364" s="56" t="s">
        <v>2336</v>
      </c>
      <c r="B1364" s="75">
        <v>4512707763</v>
      </c>
      <c r="C1364" s="52">
        <v>46134</v>
      </c>
      <c r="D1364" s="54">
        <v>4</v>
      </c>
      <c r="E1364" s="54">
        <v>1</v>
      </c>
      <c r="F1364" s="56" t="s">
        <v>302</v>
      </c>
      <c r="G1364" s="56" t="s">
        <v>303</v>
      </c>
      <c r="H1364" s="84" t="s">
        <v>76</v>
      </c>
      <c r="I1364" s="56" t="s">
        <v>284</v>
      </c>
      <c r="J1364" s="75">
        <v>20109072177</v>
      </c>
      <c r="K1364" s="56"/>
      <c r="L1364" s="56" t="s">
        <v>2352</v>
      </c>
      <c r="M1364" s="56" t="s">
        <v>662</v>
      </c>
      <c r="N1364" s="56"/>
      <c r="O1364" s="56"/>
      <c r="P1364" s="53" t="s">
        <v>636</v>
      </c>
      <c r="Q1364" s="56" t="s">
        <v>647</v>
      </c>
      <c r="R1364" s="84" t="s">
        <v>289</v>
      </c>
      <c r="S1364" s="56"/>
    </row>
    <row r="1365" spans="1:19" s="20" customFormat="1" ht="21.75" hidden="1" customHeight="1" x14ac:dyDescent="0.2">
      <c r="A1365" s="56" t="s">
        <v>2337</v>
      </c>
      <c r="B1365" s="75">
        <v>4512707744</v>
      </c>
      <c r="C1365" s="52">
        <v>46134</v>
      </c>
      <c r="D1365" s="54">
        <v>4</v>
      </c>
      <c r="E1365" s="54">
        <v>1</v>
      </c>
      <c r="F1365" s="56" t="s">
        <v>325</v>
      </c>
      <c r="G1365" s="56" t="s">
        <v>338</v>
      </c>
      <c r="H1365" s="84" t="s">
        <v>76</v>
      </c>
      <c r="I1365" s="56" t="s">
        <v>284</v>
      </c>
      <c r="J1365" s="75">
        <v>20109072177</v>
      </c>
      <c r="K1365" s="56"/>
      <c r="L1365" s="56" t="s">
        <v>2353</v>
      </c>
      <c r="M1365" s="56" t="s">
        <v>306</v>
      </c>
      <c r="N1365" s="56"/>
      <c r="O1365" s="56"/>
      <c r="P1365" s="56" t="s">
        <v>300</v>
      </c>
      <c r="Q1365" s="56" t="s">
        <v>301</v>
      </c>
      <c r="R1365" s="84" t="s">
        <v>289</v>
      </c>
      <c r="S1365" s="56"/>
    </row>
    <row r="1366" spans="1:19" s="20" customFormat="1" ht="21.75" hidden="1" customHeight="1" x14ac:dyDescent="0.2">
      <c r="A1366" s="56" t="s">
        <v>2337</v>
      </c>
      <c r="B1366" s="75">
        <v>4512707744</v>
      </c>
      <c r="C1366" s="52">
        <v>46134</v>
      </c>
      <c r="D1366" s="54">
        <v>6</v>
      </c>
      <c r="E1366" s="54">
        <v>3</v>
      </c>
      <c r="F1366" s="56" t="s">
        <v>2371</v>
      </c>
      <c r="G1366" s="56" t="s">
        <v>968</v>
      </c>
      <c r="H1366" s="84" t="s">
        <v>76</v>
      </c>
      <c r="I1366" s="56" t="s">
        <v>284</v>
      </c>
      <c r="J1366" s="75">
        <v>20109072177</v>
      </c>
      <c r="K1366" s="56"/>
      <c r="L1366" s="56" t="s">
        <v>2353</v>
      </c>
      <c r="M1366" s="56" t="s">
        <v>306</v>
      </c>
      <c r="N1366" s="56"/>
      <c r="O1366" s="56"/>
      <c r="P1366" s="56" t="s">
        <v>300</v>
      </c>
      <c r="Q1366" s="56" t="s">
        <v>301</v>
      </c>
      <c r="R1366" s="84" t="s">
        <v>289</v>
      </c>
      <c r="S1366" s="56"/>
    </row>
    <row r="1367" spans="1:19" s="20" customFormat="1" ht="21.75" hidden="1" customHeight="1" x14ac:dyDescent="0.2">
      <c r="A1367" s="56" t="s">
        <v>2338</v>
      </c>
      <c r="B1367" s="75">
        <v>4512706106</v>
      </c>
      <c r="C1367" s="52">
        <v>46134</v>
      </c>
      <c r="D1367" s="54">
        <v>4</v>
      </c>
      <c r="E1367" s="54">
        <v>1</v>
      </c>
      <c r="F1367" s="56" t="s">
        <v>602</v>
      </c>
      <c r="G1367" s="56" t="s">
        <v>606</v>
      </c>
      <c r="H1367" s="84" t="s">
        <v>76</v>
      </c>
      <c r="I1367" s="56" t="s">
        <v>284</v>
      </c>
      <c r="J1367" s="75">
        <v>20109072177</v>
      </c>
      <c r="K1367" s="56"/>
      <c r="L1367" s="56" t="s">
        <v>2354</v>
      </c>
      <c r="M1367" s="56" t="s">
        <v>306</v>
      </c>
      <c r="N1367" s="56"/>
      <c r="O1367" s="56"/>
      <c r="P1367" s="56" t="s">
        <v>60</v>
      </c>
      <c r="Q1367" s="56" t="s">
        <v>2375</v>
      </c>
      <c r="R1367" s="84" t="s">
        <v>289</v>
      </c>
      <c r="S1367" s="56"/>
    </row>
    <row r="1368" spans="1:19" s="20" customFormat="1" ht="21.75" hidden="1" customHeight="1" x14ac:dyDescent="0.2">
      <c r="A1368" s="56" t="s">
        <v>2338</v>
      </c>
      <c r="B1368" s="75">
        <v>4512706106</v>
      </c>
      <c r="C1368" s="52">
        <v>46134</v>
      </c>
      <c r="D1368" s="54">
        <v>4</v>
      </c>
      <c r="E1368" s="54">
        <v>1</v>
      </c>
      <c r="F1368" s="56" t="s">
        <v>326</v>
      </c>
      <c r="G1368" s="56" t="s">
        <v>339</v>
      </c>
      <c r="H1368" s="84" t="s">
        <v>76</v>
      </c>
      <c r="I1368" s="56" t="s">
        <v>284</v>
      </c>
      <c r="J1368" s="75">
        <v>20109072177</v>
      </c>
      <c r="K1368" s="56"/>
      <c r="L1368" s="56" t="s">
        <v>2354</v>
      </c>
      <c r="M1368" s="56" t="s">
        <v>306</v>
      </c>
      <c r="N1368" s="56"/>
      <c r="O1368" s="56"/>
      <c r="P1368" s="56" t="s">
        <v>60</v>
      </c>
      <c r="Q1368" s="56" t="s">
        <v>2375</v>
      </c>
      <c r="R1368" s="84" t="s">
        <v>289</v>
      </c>
      <c r="S1368" s="56"/>
    </row>
    <row r="1369" spans="1:19" s="20" customFormat="1" ht="21.75" hidden="1" customHeight="1" x14ac:dyDescent="0.2">
      <c r="A1369" s="56" t="s">
        <v>2338</v>
      </c>
      <c r="B1369" s="75">
        <v>4512706106</v>
      </c>
      <c r="C1369" s="52">
        <v>46134</v>
      </c>
      <c r="D1369" s="54">
        <v>4</v>
      </c>
      <c r="E1369" s="54">
        <v>1</v>
      </c>
      <c r="F1369" s="56" t="s">
        <v>15</v>
      </c>
      <c r="G1369" s="56" t="s">
        <v>96</v>
      </c>
      <c r="H1369" s="84" t="s">
        <v>76</v>
      </c>
      <c r="I1369" s="56" t="s">
        <v>284</v>
      </c>
      <c r="J1369" s="75">
        <v>20109072177</v>
      </c>
      <c r="K1369" s="56"/>
      <c r="L1369" s="56" t="s">
        <v>2354</v>
      </c>
      <c r="M1369" s="56" t="s">
        <v>306</v>
      </c>
      <c r="N1369" s="56"/>
      <c r="O1369" s="56"/>
      <c r="P1369" s="56" t="s">
        <v>60</v>
      </c>
      <c r="Q1369" s="56" t="s">
        <v>2375</v>
      </c>
      <c r="R1369" s="84" t="s">
        <v>289</v>
      </c>
      <c r="S1369" s="56"/>
    </row>
    <row r="1370" spans="1:19" s="20" customFormat="1" ht="21.75" hidden="1" customHeight="1" x14ac:dyDescent="0.2">
      <c r="A1370" s="56" t="s">
        <v>2338</v>
      </c>
      <c r="B1370" s="75">
        <v>4512706106</v>
      </c>
      <c r="C1370" s="52">
        <v>46134</v>
      </c>
      <c r="D1370" s="54">
        <v>8</v>
      </c>
      <c r="E1370" s="54">
        <v>1</v>
      </c>
      <c r="F1370" s="56" t="s">
        <v>31</v>
      </c>
      <c r="G1370" s="56" t="s">
        <v>98</v>
      </c>
      <c r="H1370" s="84" t="s">
        <v>76</v>
      </c>
      <c r="I1370" s="56" t="s">
        <v>284</v>
      </c>
      <c r="J1370" s="75">
        <v>20109072177</v>
      </c>
      <c r="K1370" s="56"/>
      <c r="L1370" s="56" t="s">
        <v>2354</v>
      </c>
      <c r="M1370" s="56" t="s">
        <v>306</v>
      </c>
      <c r="N1370" s="56"/>
      <c r="O1370" s="56"/>
      <c r="P1370" s="56" t="s">
        <v>60</v>
      </c>
      <c r="Q1370" s="56" t="s">
        <v>2375</v>
      </c>
      <c r="R1370" s="84" t="s">
        <v>289</v>
      </c>
      <c r="S1370" s="56"/>
    </row>
    <row r="1371" spans="1:19" s="20" customFormat="1" ht="21.75" hidden="1" customHeight="1" x14ac:dyDescent="0.2">
      <c r="A1371" s="56" t="s">
        <v>2339</v>
      </c>
      <c r="B1371" s="75">
        <v>4512706124</v>
      </c>
      <c r="C1371" s="52">
        <v>46134</v>
      </c>
      <c r="D1371" s="54">
        <v>6</v>
      </c>
      <c r="E1371" s="54">
        <v>3</v>
      </c>
      <c r="F1371" s="56" t="s">
        <v>2367</v>
      </c>
      <c r="G1371" s="56" t="s">
        <v>1016</v>
      </c>
      <c r="H1371" s="84" t="s">
        <v>76</v>
      </c>
      <c r="I1371" s="56" t="s">
        <v>284</v>
      </c>
      <c r="J1371" s="75">
        <v>20109072177</v>
      </c>
      <c r="K1371" s="56"/>
      <c r="L1371" s="56" t="s">
        <v>650</v>
      </c>
      <c r="M1371" s="56" t="s">
        <v>299</v>
      </c>
      <c r="N1371" s="56"/>
      <c r="O1371" s="56"/>
      <c r="P1371" s="137" t="s">
        <v>630</v>
      </c>
      <c r="Q1371" s="56" t="s">
        <v>637</v>
      </c>
      <c r="R1371" s="84" t="s">
        <v>289</v>
      </c>
      <c r="S1371" s="56"/>
    </row>
    <row r="1372" spans="1:19" s="20" customFormat="1" ht="21.75" hidden="1" customHeight="1" x14ac:dyDescent="0.2">
      <c r="A1372" s="56" t="s">
        <v>2339</v>
      </c>
      <c r="B1372" s="75">
        <v>4512706124</v>
      </c>
      <c r="C1372" s="52">
        <v>46134</v>
      </c>
      <c r="D1372" s="54">
        <v>8</v>
      </c>
      <c r="E1372" s="54">
        <v>1</v>
      </c>
      <c r="F1372" s="56" t="s">
        <v>31</v>
      </c>
      <c r="G1372" s="56" t="s">
        <v>98</v>
      </c>
      <c r="H1372" s="84" t="s">
        <v>76</v>
      </c>
      <c r="I1372" s="56" t="s">
        <v>284</v>
      </c>
      <c r="J1372" s="75">
        <v>20109072177</v>
      </c>
      <c r="K1372" s="56"/>
      <c r="L1372" s="56" t="s">
        <v>650</v>
      </c>
      <c r="M1372" s="56" t="s">
        <v>299</v>
      </c>
      <c r="N1372" s="56"/>
      <c r="O1372" s="56"/>
      <c r="P1372" s="137" t="s">
        <v>630</v>
      </c>
      <c r="Q1372" s="56" t="s">
        <v>637</v>
      </c>
      <c r="R1372" s="84" t="s">
        <v>289</v>
      </c>
      <c r="S1372" s="56"/>
    </row>
    <row r="1373" spans="1:19" s="20" customFormat="1" ht="21.75" hidden="1" customHeight="1" x14ac:dyDescent="0.2">
      <c r="A1373" s="56" t="s">
        <v>2339</v>
      </c>
      <c r="B1373" s="75">
        <v>4512706124</v>
      </c>
      <c r="C1373" s="52">
        <v>46134</v>
      </c>
      <c r="D1373" s="54">
        <v>4</v>
      </c>
      <c r="E1373" s="54">
        <v>1</v>
      </c>
      <c r="F1373" s="56" t="s">
        <v>15</v>
      </c>
      <c r="G1373" s="56" t="s">
        <v>96</v>
      </c>
      <c r="H1373" s="84" t="s">
        <v>76</v>
      </c>
      <c r="I1373" s="56" t="s">
        <v>284</v>
      </c>
      <c r="J1373" s="75">
        <v>20109072177</v>
      </c>
      <c r="K1373" s="56"/>
      <c r="L1373" s="56" t="s">
        <v>650</v>
      </c>
      <c r="M1373" s="56" t="s">
        <v>299</v>
      </c>
      <c r="N1373" s="56"/>
      <c r="O1373" s="56"/>
      <c r="P1373" s="137" t="s">
        <v>630</v>
      </c>
      <c r="Q1373" s="56" t="s">
        <v>637</v>
      </c>
      <c r="R1373" s="84" t="s">
        <v>289</v>
      </c>
      <c r="S1373" s="56"/>
    </row>
    <row r="1374" spans="1:19" s="20" customFormat="1" ht="21.75" hidden="1" customHeight="1" x14ac:dyDescent="0.2">
      <c r="A1374" s="56" t="s">
        <v>2340</v>
      </c>
      <c r="B1374" s="75">
        <v>4512706129</v>
      </c>
      <c r="C1374" s="52">
        <v>46134</v>
      </c>
      <c r="D1374" s="54">
        <v>4</v>
      </c>
      <c r="E1374" s="54">
        <v>1</v>
      </c>
      <c r="F1374" s="56" t="s">
        <v>325</v>
      </c>
      <c r="G1374" s="56" t="s">
        <v>338</v>
      </c>
      <c r="H1374" s="84" t="s">
        <v>76</v>
      </c>
      <c r="I1374" s="56" t="s">
        <v>284</v>
      </c>
      <c r="J1374" s="75">
        <v>20109072177</v>
      </c>
      <c r="K1374" s="56"/>
      <c r="L1374" s="56" t="s">
        <v>2355</v>
      </c>
      <c r="M1374" s="56" t="s">
        <v>2363</v>
      </c>
      <c r="N1374" s="56"/>
      <c r="O1374" s="56"/>
      <c r="P1374" s="56" t="s">
        <v>2377</v>
      </c>
      <c r="Q1374" s="56" t="s">
        <v>2390</v>
      </c>
      <c r="R1374" s="84" t="s">
        <v>289</v>
      </c>
      <c r="S1374" s="56"/>
    </row>
    <row r="1375" spans="1:19" s="20" customFormat="1" ht="21.75" hidden="1" customHeight="1" x14ac:dyDescent="0.2">
      <c r="A1375" s="56" t="s">
        <v>2340</v>
      </c>
      <c r="B1375" s="75">
        <v>4512706129</v>
      </c>
      <c r="C1375" s="52">
        <v>46134</v>
      </c>
      <c r="D1375" s="54">
        <v>4</v>
      </c>
      <c r="E1375" s="54">
        <v>1</v>
      </c>
      <c r="F1375" s="56" t="s">
        <v>15</v>
      </c>
      <c r="G1375" s="56" t="s">
        <v>96</v>
      </c>
      <c r="H1375" s="84" t="s">
        <v>76</v>
      </c>
      <c r="I1375" s="56" t="s">
        <v>284</v>
      </c>
      <c r="J1375" s="75">
        <v>20109072177</v>
      </c>
      <c r="K1375" s="56"/>
      <c r="L1375" s="56" t="s">
        <v>2355</v>
      </c>
      <c r="M1375" s="56" t="s">
        <v>2363</v>
      </c>
      <c r="N1375" s="56"/>
      <c r="O1375" s="56"/>
      <c r="P1375" s="56" t="s">
        <v>2377</v>
      </c>
      <c r="Q1375" s="56" t="s">
        <v>2390</v>
      </c>
      <c r="R1375" s="84" t="s">
        <v>289</v>
      </c>
      <c r="S1375" s="56"/>
    </row>
    <row r="1376" spans="1:19" s="20" customFormat="1" ht="21.75" hidden="1" customHeight="1" x14ac:dyDescent="0.2">
      <c r="A1376" s="56" t="s">
        <v>2341</v>
      </c>
      <c r="B1376" s="75">
        <v>4512706136</v>
      </c>
      <c r="C1376" s="52">
        <v>46134</v>
      </c>
      <c r="D1376" s="54">
        <v>4</v>
      </c>
      <c r="E1376" s="54">
        <v>1</v>
      </c>
      <c r="F1376" s="56" t="s">
        <v>602</v>
      </c>
      <c r="G1376" s="56" t="s">
        <v>606</v>
      </c>
      <c r="H1376" s="84" t="s">
        <v>76</v>
      </c>
      <c r="I1376" s="56" t="s">
        <v>284</v>
      </c>
      <c r="J1376" s="75">
        <v>20109072177</v>
      </c>
      <c r="K1376" s="56"/>
      <c r="L1376" s="56" t="s">
        <v>2356</v>
      </c>
      <c r="M1376" s="56" t="s">
        <v>2364</v>
      </c>
      <c r="N1376" s="56"/>
      <c r="O1376" s="56"/>
      <c r="P1376" s="56" t="s">
        <v>631</v>
      </c>
      <c r="Q1376" s="56" t="s">
        <v>638</v>
      </c>
      <c r="R1376" s="84" t="s">
        <v>289</v>
      </c>
      <c r="S1376" s="56"/>
    </row>
    <row r="1377" spans="1:19" s="20" customFormat="1" ht="21.75" hidden="1" customHeight="1" x14ac:dyDescent="0.2">
      <c r="A1377" s="56" t="s">
        <v>2341</v>
      </c>
      <c r="B1377" s="75">
        <v>4512706136</v>
      </c>
      <c r="C1377" s="52">
        <v>46134</v>
      </c>
      <c r="D1377" s="54">
        <v>4</v>
      </c>
      <c r="E1377" s="54">
        <v>1</v>
      </c>
      <c r="F1377" s="56" t="s">
        <v>325</v>
      </c>
      <c r="G1377" s="56" t="s">
        <v>338</v>
      </c>
      <c r="H1377" s="84" t="s">
        <v>76</v>
      </c>
      <c r="I1377" s="56" t="s">
        <v>284</v>
      </c>
      <c r="J1377" s="75">
        <v>20109072177</v>
      </c>
      <c r="K1377" s="56"/>
      <c r="L1377" s="56" t="s">
        <v>2356</v>
      </c>
      <c r="M1377" s="56" t="s">
        <v>2364</v>
      </c>
      <c r="N1377" s="56"/>
      <c r="O1377" s="56"/>
      <c r="P1377" s="56" t="s">
        <v>631</v>
      </c>
      <c r="Q1377" s="56" t="s">
        <v>638</v>
      </c>
      <c r="R1377" s="84" t="s">
        <v>289</v>
      </c>
      <c r="S1377" s="56"/>
    </row>
    <row r="1378" spans="1:19" s="20" customFormat="1" ht="21.75" hidden="1" customHeight="1" x14ac:dyDescent="0.2">
      <c r="A1378" s="56" t="s">
        <v>2341</v>
      </c>
      <c r="B1378" s="75">
        <v>4512706136</v>
      </c>
      <c r="C1378" s="52">
        <v>46134</v>
      </c>
      <c r="D1378" s="54">
        <v>4</v>
      </c>
      <c r="E1378" s="54">
        <v>1</v>
      </c>
      <c r="F1378" s="56" t="s">
        <v>302</v>
      </c>
      <c r="G1378" s="56" t="s">
        <v>303</v>
      </c>
      <c r="H1378" s="84" t="s">
        <v>76</v>
      </c>
      <c r="I1378" s="56" t="s">
        <v>284</v>
      </c>
      <c r="J1378" s="75">
        <v>20109072177</v>
      </c>
      <c r="K1378" s="56"/>
      <c r="L1378" s="56" t="s">
        <v>2356</v>
      </c>
      <c r="M1378" s="56" t="s">
        <v>2364</v>
      </c>
      <c r="N1378" s="56"/>
      <c r="O1378" s="56"/>
      <c r="P1378" s="56" t="s">
        <v>631</v>
      </c>
      <c r="Q1378" s="56" t="s">
        <v>638</v>
      </c>
      <c r="R1378" s="84" t="s">
        <v>289</v>
      </c>
      <c r="S1378" s="56"/>
    </row>
    <row r="1379" spans="1:19" s="20" customFormat="1" ht="21.75" hidden="1" customHeight="1" x14ac:dyDescent="0.2">
      <c r="A1379" s="56" t="s">
        <v>2341</v>
      </c>
      <c r="B1379" s="75">
        <v>4512706136</v>
      </c>
      <c r="C1379" s="52">
        <v>46134</v>
      </c>
      <c r="D1379" s="54">
        <v>4</v>
      </c>
      <c r="E1379" s="54">
        <v>1</v>
      </c>
      <c r="F1379" s="56" t="s">
        <v>15</v>
      </c>
      <c r="G1379" s="56" t="s">
        <v>96</v>
      </c>
      <c r="H1379" s="84" t="s">
        <v>76</v>
      </c>
      <c r="I1379" s="56" t="s">
        <v>284</v>
      </c>
      <c r="J1379" s="75">
        <v>20109072177</v>
      </c>
      <c r="K1379" s="56"/>
      <c r="L1379" s="56" t="s">
        <v>2356</v>
      </c>
      <c r="M1379" s="56" t="s">
        <v>2364</v>
      </c>
      <c r="N1379" s="56"/>
      <c r="O1379" s="56"/>
      <c r="P1379" s="56" t="s">
        <v>631</v>
      </c>
      <c r="Q1379" s="56" t="s">
        <v>638</v>
      </c>
      <c r="R1379" s="84" t="s">
        <v>289</v>
      </c>
      <c r="S1379" s="56"/>
    </row>
    <row r="1380" spans="1:19" s="20" customFormat="1" ht="21.75" hidden="1" customHeight="1" x14ac:dyDescent="0.2">
      <c r="A1380" s="56" t="s">
        <v>2342</v>
      </c>
      <c r="B1380" s="75">
        <v>4512706153</v>
      </c>
      <c r="C1380" s="52">
        <v>46134</v>
      </c>
      <c r="D1380" s="54">
        <v>4</v>
      </c>
      <c r="E1380" s="54">
        <v>1</v>
      </c>
      <c r="F1380" s="56" t="s">
        <v>602</v>
      </c>
      <c r="G1380" s="56" t="s">
        <v>606</v>
      </c>
      <c r="H1380" s="84" t="s">
        <v>76</v>
      </c>
      <c r="I1380" s="56" t="s">
        <v>284</v>
      </c>
      <c r="J1380" s="75">
        <v>20109072177</v>
      </c>
      <c r="K1380" s="56"/>
      <c r="L1380" s="56" t="s">
        <v>2357</v>
      </c>
      <c r="M1380" s="56" t="s">
        <v>2364</v>
      </c>
      <c r="N1380" s="56"/>
      <c r="O1380" s="56"/>
      <c r="P1380" s="137" t="s">
        <v>632</v>
      </c>
      <c r="Q1380" s="56" t="s">
        <v>639</v>
      </c>
      <c r="R1380" s="84" t="s">
        <v>289</v>
      </c>
      <c r="S1380" s="56"/>
    </row>
    <row r="1381" spans="1:19" s="20" customFormat="1" ht="21.75" hidden="1" customHeight="1" x14ac:dyDescent="0.2">
      <c r="A1381" s="56" t="s">
        <v>2342</v>
      </c>
      <c r="B1381" s="75">
        <v>4512706153</v>
      </c>
      <c r="C1381" s="52">
        <v>46134</v>
      </c>
      <c r="D1381" s="54">
        <v>4</v>
      </c>
      <c r="E1381" s="54">
        <v>1</v>
      </c>
      <c r="F1381" s="56" t="s">
        <v>302</v>
      </c>
      <c r="G1381" s="56" t="s">
        <v>303</v>
      </c>
      <c r="H1381" s="84" t="s">
        <v>76</v>
      </c>
      <c r="I1381" s="56" t="s">
        <v>284</v>
      </c>
      <c r="J1381" s="75">
        <v>20109072177</v>
      </c>
      <c r="K1381" s="56"/>
      <c r="L1381" s="56" t="s">
        <v>2357</v>
      </c>
      <c r="M1381" s="56" t="s">
        <v>2364</v>
      </c>
      <c r="N1381" s="56"/>
      <c r="O1381" s="56"/>
      <c r="P1381" s="137" t="s">
        <v>632</v>
      </c>
      <c r="Q1381" s="56" t="s">
        <v>639</v>
      </c>
      <c r="R1381" s="84" t="s">
        <v>289</v>
      </c>
      <c r="S1381" s="56"/>
    </row>
    <row r="1382" spans="1:19" s="20" customFormat="1" ht="21.75" hidden="1" customHeight="1" x14ac:dyDescent="0.2">
      <c r="A1382" s="56" t="s">
        <v>2342</v>
      </c>
      <c r="B1382" s="75">
        <v>4512706153</v>
      </c>
      <c r="C1382" s="52">
        <v>46134</v>
      </c>
      <c r="D1382" s="54">
        <v>4</v>
      </c>
      <c r="E1382" s="54">
        <v>1</v>
      </c>
      <c r="F1382" s="56" t="s">
        <v>15</v>
      </c>
      <c r="G1382" s="56" t="s">
        <v>96</v>
      </c>
      <c r="H1382" s="84" t="s">
        <v>76</v>
      </c>
      <c r="I1382" s="56" t="s">
        <v>284</v>
      </c>
      <c r="J1382" s="75">
        <v>20109072177</v>
      </c>
      <c r="K1382" s="56"/>
      <c r="L1382" s="56" t="s">
        <v>2357</v>
      </c>
      <c r="M1382" s="56" t="s">
        <v>2364</v>
      </c>
      <c r="N1382" s="56"/>
      <c r="O1382" s="56"/>
      <c r="P1382" s="137" t="s">
        <v>632</v>
      </c>
      <c r="Q1382" s="56" t="s">
        <v>639</v>
      </c>
      <c r="R1382" s="84" t="s">
        <v>289</v>
      </c>
      <c r="S1382" s="56"/>
    </row>
    <row r="1383" spans="1:19" s="20" customFormat="1" ht="21.75" hidden="1" customHeight="1" x14ac:dyDescent="0.2">
      <c r="A1383" s="56" t="s">
        <v>2342</v>
      </c>
      <c r="B1383" s="75">
        <v>4512706153</v>
      </c>
      <c r="C1383" s="52">
        <v>46134</v>
      </c>
      <c r="D1383" s="54">
        <v>6</v>
      </c>
      <c r="E1383" s="54">
        <v>3</v>
      </c>
      <c r="F1383" s="56" t="s">
        <v>2369</v>
      </c>
      <c r="G1383" s="56" t="s">
        <v>297</v>
      </c>
      <c r="H1383" s="84" t="s">
        <v>76</v>
      </c>
      <c r="I1383" s="56" t="s">
        <v>284</v>
      </c>
      <c r="J1383" s="75">
        <v>20109072177</v>
      </c>
      <c r="K1383" s="56"/>
      <c r="L1383" s="56" t="s">
        <v>2357</v>
      </c>
      <c r="M1383" s="56" t="s">
        <v>2364</v>
      </c>
      <c r="N1383" s="56"/>
      <c r="O1383" s="56"/>
      <c r="P1383" s="137" t="s">
        <v>632</v>
      </c>
      <c r="Q1383" s="56" t="s">
        <v>639</v>
      </c>
      <c r="R1383" s="84" t="s">
        <v>289</v>
      </c>
      <c r="S1383" s="56"/>
    </row>
    <row r="1384" spans="1:19" s="20" customFormat="1" ht="21.75" hidden="1" customHeight="1" x14ac:dyDescent="0.2">
      <c r="A1384" s="56" t="s">
        <v>2342</v>
      </c>
      <c r="B1384" s="75">
        <v>4512706153</v>
      </c>
      <c r="C1384" s="52">
        <v>46134</v>
      </c>
      <c r="D1384" s="54">
        <v>6</v>
      </c>
      <c r="E1384" s="54">
        <v>3</v>
      </c>
      <c r="F1384" s="56" t="s">
        <v>2370</v>
      </c>
      <c r="G1384" s="56" t="s">
        <v>78</v>
      </c>
      <c r="H1384" s="84" t="s">
        <v>76</v>
      </c>
      <c r="I1384" s="56" t="s">
        <v>284</v>
      </c>
      <c r="J1384" s="75">
        <v>20109072177</v>
      </c>
      <c r="K1384" s="56"/>
      <c r="L1384" s="56" t="s">
        <v>2357</v>
      </c>
      <c r="M1384" s="56" t="s">
        <v>2364</v>
      </c>
      <c r="N1384" s="56"/>
      <c r="O1384" s="56"/>
      <c r="P1384" s="137" t="s">
        <v>632</v>
      </c>
      <c r="Q1384" s="56" t="s">
        <v>639</v>
      </c>
      <c r="R1384" s="84" t="s">
        <v>289</v>
      </c>
      <c r="S1384" s="56"/>
    </row>
    <row r="1385" spans="1:19" s="20" customFormat="1" ht="21.75" hidden="1" customHeight="1" x14ac:dyDescent="0.2">
      <c r="A1385" s="56" t="s">
        <v>2343</v>
      </c>
      <c r="B1385" s="75">
        <v>4512706166</v>
      </c>
      <c r="C1385" s="52">
        <v>46134</v>
      </c>
      <c r="D1385" s="54">
        <v>8</v>
      </c>
      <c r="E1385" s="54">
        <v>2</v>
      </c>
      <c r="F1385" s="56" t="s">
        <v>325</v>
      </c>
      <c r="G1385" s="56" t="s">
        <v>338</v>
      </c>
      <c r="H1385" s="84" t="s">
        <v>76</v>
      </c>
      <c r="I1385" s="56" t="s">
        <v>284</v>
      </c>
      <c r="J1385" s="75">
        <v>20109072177</v>
      </c>
      <c r="K1385" s="56"/>
      <c r="L1385" s="56" t="s">
        <v>2358</v>
      </c>
      <c r="M1385" s="56" t="s">
        <v>2365</v>
      </c>
      <c r="N1385" s="56"/>
      <c r="O1385" s="56"/>
      <c r="P1385" s="56" t="s">
        <v>2376</v>
      </c>
      <c r="Q1385" s="56" t="s">
        <v>1489</v>
      </c>
      <c r="R1385" s="84" t="s">
        <v>289</v>
      </c>
      <c r="S1385" s="56"/>
    </row>
    <row r="1386" spans="1:19" s="20" customFormat="1" ht="21.75" hidden="1" customHeight="1" x14ac:dyDescent="0.2">
      <c r="A1386" s="56" t="s">
        <v>2343</v>
      </c>
      <c r="B1386" s="75">
        <v>4512706166</v>
      </c>
      <c r="C1386" s="52">
        <v>46134</v>
      </c>
      <c r="D1386" s="54">
        <v>4</v>
      </c>
      <c r="E1386" s="54">
        <v>1</v>
      </c>
      <c r="F1386" s="56" t="s">
        <v>326</v>
      </c>
      <c r="G1386" s="56" t="s">
        <v>339</v>
      </c>
      <c r="H1386" s="84" t="s">
        <v>76</v>
      </c>
      <c r="I1386" s="56" t="s">
        <v>284</v>
      </c>
      <c r="J1386" s="75">
        <v>20109072177</v>
      </c>
      <c r="K1386" s="56"/>
      <c r="L1386" s="56" t="s">
        <v>2358</v>
      </c>
      <c r="M1386" s="56" t="s">
        <v>2365</v>
      </c>
      <c r="N1386" s="56"/>
      <c r="O1386" s="56"/>
      <c r="P1386" s="56" t="s">
        <v>2376</v>
      </c>
      <c r="Q1386" s="56" t="s">
        <v>1489</v>
      </c>
      <c r="R1386" s="84" t="s">
        <v>289</v>
      </c>
      <c r="S1386" s="56"/>
    </row>
    <row r="1387" spans="1:19" s="20" customFormat="1" ht="21.75" hidden="1" customHeight="1" x14ac:dyDescent="0.2">
      <c r="A1387" s="56" t="s">
        <v>2344</v>
      </c>
      <c r="B1387" s="75">
        <v>4512706098</v>
      </c>
      <c r="C1387" s="52">
        <v>46134</v>
      </c>
      <c r="D1387" s="54">
        <v>4</v>
      </c>
      <c r="E1387" s="54">
        <v>1</v>
      </c>
      <c r="F1387" s="56" t="s">
        <v>325</v>
      </c>
      <c r="G1387" s="56" t="s">
        <v>338</v>
      </c>
      <c r="H1387" s="84" t="s">
        <v>76</v>
      </c>
      <c r="I1387" s="56" t="s">
        <v>284</v>
      </c>
      <c r="J1387" s="75">
        <v>20109072177</v>
      </c>
      <c r="K1387" s="56"/>
      <c r="L1387" s="56" t="s">
        <v>2359</v>
      </c>
      <c r="M1387" s="56" t="s">
        <v>2366</v>
      </c>
      <c r="N1387" s="56"/>
      <c r="O1387" s="56"/>
      <c r="P1387" s="56" t="s">
        <v>1036</v>
      </c>
      <c r="Q1387" s="56" t="s">
        <v>288</v>
      </c>
      <c r="R1387" s="84" t="s">
        <v>289</v>
      </c>
      <c r="S1387" s="56"/>
    </row>
    <row r="1388" spans="1:19" s="20" customFormat="1" ht="21.75" hidden="1" customHeight="1" x14ac:dyDescent="0.2">
      <c r="A1388" s="56" t="s">
        <v>2344</v>
      </c>
      <c r="B1388" s="75">
        <v>4512706098</v>
      </c>
      <c r="C1388" s="52">
        <v>46134</v>
      </c>
      <c r="D1388" s="54">
        <v>4</v>
      </c>
      <c r="E1388" s="54">
        <v>1</v>
      </c>
      <c r="F1388" s="56" t="s">
        <v>15</v>
      </c>
      <c r="G1388" s="56" t="s">
        <v>96</v>
      </c>
      <c r="H1388" s="84" t="s">
        <v>76</v>
      </c>
      <c r="I1388" s="56" t="s">
        <v>284</v>
      </c>
      <c r="J1388" s="75">
        <v>20109072177</v>
      </c>
      <c r="K1388" s="56"/>
      <c r="L1388" s="56" t="s">
        <v>2359</v>
      </c>
      <c r="M1388" s="56" t="s">
        <v>2366</v>
      </c>
      <c r="N1388" s="56"/>
      <c r="O1388" s="56"/>
      <c r="P1388" s="56" t="s">
        <v>1036</v>
      </c>
      <c r="Q1388" s="56" t="s">
        <v>288</v>
      </c>
      <c r="R1388" s="84" t="s">
        <v>289</v>
      </c>
      <c r="S1388" s="56"/>
    </row>
    <row r="1389" spans="1:19" s="20" customFormat="1" ht="21.75" hidden="1" customHeight="1" x14ac:dyDescent="0.2">
      <c r="A1389" s="56" t="s">
        <v>2345</v>
      </c>
      <c r="B1389" s="75">
        <v>4512707683</v>
      </c>
      <c r="C1389" s="52">
        <v>46134</v>
      </c>
      <c r="D1389" s="54">
        <v>6</v>
      </c>
      <c r="E1389" s="54">
        <v>3</v>
      </c>
      <c r="F1389" s="56" t="s">
        <v>2367</v>
      </c>
      <c r="G1389" s="56" t="s">
        <v>1016</v>
      </c>
      <c r="H1389" s="84" t="s">
        <v>76</v>
      </c>
      <c r="I1389" s="56" t="s">
        <v>284</v>
      </c>
      <c r="J1389" s="75">
        <v>20109072177</v>
      </c>
      <c r="K1389" s="56"/>
      <c r="L1389" s="56" t="s">
        <v>2360</v>
      </c>
      <c r="M1389" s="56" t="s">
        <v>2362</v>
      </c>
      <c r="N1389" s="56"/>
      <c r="O1389" s="56"/>
      <c r="P1389" s="56" t="s">
        <v>256</v>
      </c>
      <c r="Q1389" s="56" t="s">
        <v>1048</v>
      </c>
      <c r="R1389" s="84" t="s">
        <v>289</v>
      </c>
      <c r="S1389" s="56"/>
    </row>
    <row r="1390" spans="1:19" s="20" customFormat="1" ht="21.75" hidden="1" customHeight="1" x14ac:dyDescent="0.2">
      <c r="A1390" s="56" t="s">
        <v>2345</v>
      </c>
      <c r="B1390" s="75">
        <v>4512707683</v>
      </c>
      <c r="C1390" s="52">
        <v>46134</v>
      </c>
      <c r="D1390" s="54">
        <v>4</v>
      </c>
      <c r="E1390" s="54">
        <v>1</v>
      </c>
      <c r="F1390" s="56" t="s">
        <v>15</v>
      </c>
      <c r="G1390" s="56" t="s">
        <v>96</v>
      </c>
      <c r="H1390" s="84" t="s">
        <v>76</v>
      </c>
      <c r="I1390" s="56" t="s">
        <v>284</v>
      </c>
      <c r="J1390" s="75">
        <v>20109072177</v>
      </c>
      <c r="K1390" s="56"/>
      <c r="L1390" s="56" t="s">
        <v>2360</v>
      </c>
      <c r="M1390" s="56" t="s">
        <v>2362</v>
      </c>
      <c r="N1390" s="56"/>
      <c r="O1390" s="56"/>
      <c r="P1390" s="56" t="s">
        <v>256</v>
      </c>
      <c r="Q1390" s="56" t="s">
        <v>1048</v>
      </c>
      <c r="R1390" s="84" t="s">
        <v>289</v>
      </c>
      <c r="S1390" s="56"/>
    </row>
    <row r="1391" spans="1:19" s="20" customFormat="1" ht="21.75" hidden="1" customHeight="1" x14ac:dyDescent="0.2">
      <c r="A1391" s="56" t="s">
        <v>2345</v>
      </c>
      <c r="B1391" s="75">
        <v>4512707683</v>
      </c>
      <c r="C1391" s="52">
        <v>46134</v>
      </c>
      <c r="D1391" s="54">
        <v>4</v>
      </c>
      <c r="E1391" s="54">
        <v>1</v>
      </c>
      <c r="F1391" s="56" t="s">
        <v>326</v>
      </c>
      <c r="G1391" s="56" t="s">
        <v>339</v>
      </c>
      <c r="H1391" s="84" t="s">
        <v>76</v>
      </c>
      <c r="I1391" s="56" t="s">
        <v>284</v>
      </c>
      <c r="J1391" s="75">
        <v>20109072177</v>
      </c>
      <c r="K1391" s="56"/>
      <c r="L1391" s="56" t="s">
        <v>2360</v>
      </c>
      <c r="M1391" s="56" t="s">
        <v>2362</v>
      </c>
      <c r="N1391" s="56"/>
      <c r="O1391" s="56"/>
      <c r="P1391" s="56" t="s">
        <v>256</v>
      </c>
      <c r="Q1391" s="56" t="s">
        <v>1048</v>
      </c>
      <c r="R1391" s="84" t="s">
        <v>289</v>
      </c>
      <c r="S1391" s="56"/>
    </row>
    <row r="1392" spans="1:19" s="20" customFormat="1" ht="21.75" hidden="1" customHeight="1" x14ac:dyDescent="0.2">
      <c r="A1392" s="56" t="s">
        <v>2345</v>
      </c>
      <c r="B1392" s="75">
        <v>4512707683</v>
      </c>
      <c r="C1392" s="52">
        <v>46134</v>
      </c>
      <c r="D1392" s="54">
        <v>4</v>
      </c>
      <c r="E1392" s="54">
        <v>1</v>
      </c>
      <c r="F1392" s="56" t="s">
        <v>302</v>
      </c>
      <c r="G1392" s="56" t="s">
        <v>303</v>
      </c>
      <c r="H1392" s="84" t="s">
        <v>76</v>
      </c>
      <c r="I1392" s="56" t="s">
        <v>284</v>
      </c>
      <c r="J1392" s="75">
        <v>20109072177</v>
      </c>
      <c r="K1392" s="56"/>
      <c r="L1392" s="56" t="s">
        <v>2360</v>
      </c>
      <c r="M1392" s="56" t="s">
        <v>2362</v>
      </c>
      <c r="N1392" s="56"/>
      <c r="O1392" s="56"/>
      <c r="P1392" s="56" t="s">
        <v>256</v>
      </c>
      <c r="Q1392" s="56" t="s">
        <v>1048</v>
      </c>
      <c r="R1392" s="84" t="s">
        <v>289</v>
      </c>
      <c r="S1392" s="56"/>
    </row>
    <row r="1393" spans="1:19" ht="21.75" hidden="1" customHeight="1" x14ac:dyDescent="0.25">
      <c r="A1393" s="56" t="s">
        <v>2383</v>
      </c>
      <c r="B1393" s="139"/>
      <c r="C1393" s="52">
        <v>46134</v>
      </c>
      <c r="D1393" s="19">
        <v>600</v>
      </c>
      <c r="E1393" s="140">
        <v>50</v>
      </c>
      <c r="F1393" s="141" t="s">
        <v>162</v>
      </c>
      <c r="G1393" s="138" t="s">
        <v>163</v>
      </c>
      <c r="H1393" s="84" t="s">
        <v>76</v>
      </c>
      <c r="I1393" s="138" t="s">
        <v>2378</v>
      </c>
      <c r="J1393" s="139" t="s">
        <v>2379</v>
      </c>
      <c r="K1393" s="138">
        <v>960628425</v>
      </c>
      <c r="L1393" s="138" t="s">
        <v>2380</v>
      </c>
      <c r="M1393" s="138" t="s">
        <v>347</v>
      </c>
      <c r="N1393" s="138"/>
      <c r="O1393" s="138"/>
      <c r="P1393" s="137" t="s">
        <v>2381</v>
      </c>
      <c r="Q1393" s="143" t="s">
        <v>2382</v>
      </c>
      <c r="R1393" s="142" t="s">
        <v>396</v>
      </c>
      <c r="S1393" s="11"/>
    </row>
    <row r="1394" spans="1:19" s="20" customFormat="1" ht="21.75" hidden="1" customHeight="1" x14ac:dyDescent="0.2">
      <c r="A1394" s="144" t="s">
        <v>2384</v>
      </c>
      <c r="B1394" s="145" t="s">
        <v>2386</v>
      </c>
      <c r="C1394" s="146">
        <v>46134</v>
      </c>
      <c r="D1394" s="25">
        <v>1</v>
      </c>
      <c r="E1394" s="147">
        <v>1</v>
      </c>
      <c r="F1394" s="148" t="s">
        <v>1572</v>
      </c>
      <c r="G1394" s="149" t="s">
        <v>2385</v>
      </c>
      <c r="H1394" s="118" t="s">
        <v>99</v>
      </c>
      <c r="I1394" s="149" t="s">
        <v>2387</v>
      </c>
      <c r="J1394" s="152">
        <v>2795408</v>
      </c>
      <c r="K1394" s="149" t="s">
        <v>2389</v>
      </c>
      <c r="L1394" s="149" t="s">
        <v>2388</v>
      </c>
      <c r="M1394" s="149" t="s">
        <v>299</v>
      </c>
      <c r="N1394" s="149"/>
      <c r="O1394" s="149"/>
      <c r="P1394" s="153" t="s">
        <v>1673</v>
      </c>
      <c r="Q1394" s="150"/>
      <c r="R1394" s="151" t="s">
        <v>441</v>
      </c>
      <c r="S1394" s="27"/>
    </row>
    <row r="1395" spans="1:19" s="20" customFormat="1" ht="21.75" hidden="1" customHeight="1" x14ac:dyDescent="0.2">
      <c r="A1395" s="16" t="s">
        <v>2391</v>
      </c>
      <c r="B1395" s="17" t="s">
        <v>2392</v>
      </c>
      <c r="C1395" s="52">
        <v>46134</v>
      </c>
      <c r="D1395" s="19">
        <v>1</v>
      </c>
      <c r="E1395" s="140">
        <v>1</v>
      </c>
      <c r="F1395" s="16" t="s">
        <v>1531</v>
      </c>
      <c r="G1395" s="16" t="s">
        <v>1530</v>
      </c>
      <c r="H1395" s="84" t="s">
        <v>99</v>
      </c>
      <c r="I1395" s="16" t="s">
        <v>2393</v>
      </c>
      <c r="J1395" s="93">
        <v>20517369153</v>
      </c>
      <c r="K1395" s="93">
        <v>51981534015</v>
      </c>
      <c r="L1395" s="16" t="s">
        <v>2394</v>
      </c>
      <c r="M1395" s="138" t="s">
        <v>299</v>
      </c>
      <c r="N1395" s="11"/>
      <c r="O1395" s="11"/>
      <c r="P1395" s="16" t="s">
        <v>1673</v>
      </c>
      <c r="Q1395" s="11"/>
      <c r="R1395" s="16" t="s">
        <v>440</v>
      </c>
      <c r="S1395" s="11"/>
    </row>
    <row r="1396" spans="1:19" ht="20.25" hidden="1" customHeight="1" x14ac:dyDescent="0.25">
      <c r="A1396" s="16" t="s">
        <v>2395</v>
      </c>
      <c r="B1396" s="16" t="s">
        <v>73</v>
      </c>
      <c r="C1396" s="18">
        <v>46136</v>
      </c>
      <c r="D1396" s="21">
        <v>4</v>
      </c>
      <c r="E1396" s="19">
        <v>1</v>
      </c>
      <c r="F1396" s="16" t="s">
        <v>357</v>
      </c>
      <c r="G1396" s="16" t="s">
        <v>369</v>
      </c>
      <c r="H1396" s="16" t="s">
        <v>1650</v>
      </c>
      <c r="I1396" s="16" t="s">
        <v>379</v>
      </c>
      <c r="J1396" s="17">
        <v>20101596363</v>
      </c>
      <c r="K1396" s="16" t="s">
        <v>399</v>
      </c>
      <c r="L1396" s="16" t="s">
        <v>1705</v>
      </c>
      <c r="M1396" s="16" t="s">
        <v>347</v>
      </c>
      <c r="N1396" s="11"/>
      <c r="O1396" s="11"/>
      <c r="P1396" s="16" t="s">
        <v>1712</v>
      </c>
      <c r="Q1396" s="11" t="s">
        <v>1713</v>
      </c>
      <c r="R1396" s="16" t="s">
        <v>396</v>
      </c>
      <c r="S1396" s="11"/>
    </row>
    <row r="1397" spans="1:19" ht="20.25" hidden="1" customHeight="1" x14ac:dyDescent="0.25">
      <c r="A1397" s="16" t="s">
        <v>2395</v>
      </c>
      <c r="B1397" s="16" t="s">
        <v>73</v>
      </c>
      <c r="C1397" s="18">
        <v>46136</v>
      </c>
      <c r="D1397" s="21">
        <v>12</v>
      </c>
      <c r="E1397" s="19">
        <v>1</v>
      </c>
      <c r="F1397" s="154" t="s">
        <v>2396</v>
      </c>
      <c r="G1397" s="16" t="s">
        <v>2397</v>
      </c>
      <c r="H1397" s="16" t="s">
        <v>1650</v>
      </c>
      <c r="I1397" s="16" t="s">
        <v>379</v>
      </c>
      <c r="J1397" s="17">
        <v>20101596363</v>
      </c>
      <c r="K1397" s="16" t="s">
        <v>399</v>
      </c>
      <c r="L1397" s="16" t="s">
        <v>1705</v>
      </c>
      <c r="M1397" s="16" t="s">
        <v>347</v>
      </c>
      <c r="N1397" s="11"/>
      <c r="O1397" s="11"/>
      <c r="P1397" s="16" t="s">
        <v>1712</v>
      </c>
      <c r="Q1397" s="11" t="s">
        <v>1713</v>
      </c>
      <c r="R1397" s="16" t="s">
        <v>396</v>
      </c>
      <c r="S1397" s="11"/>
    </row>
    <row r="1398" spans="1:19" ht="20.25" hidden="1" customHeight="1" x14ac:dyDescent="0.25">
      <c r="A1398" s="16" t="s">
        <v>2395</v>
      </c>
      <c r="B1398" s="16" t="s">
        <v>73</v>
      </c>
      <c r="C1398" s="18">
        <v>46136</v>
      </c>
      <c r="D1398" s="21">
        <v>12</v>
      </c>
      <c r="E1398" s="19">
        <v>1</v>
      </c>
      <c r="F1398" s="16" t="s">
        <v>914</v>
      </c>
      <c r="G1398" s="16" t="s">
        <v>931</v>
      </c>
      <c r="H1398" s="16" t="s">
        <v>1650</v>
      </c>
      <c r="I1398" s="16" t="s">
        <v>379</v>
      </c>
      <c r="J1398" s="17">
        <v>20101596363</v>
      </c>
      <c r="K1398" s="16" t="s">
        <v>399</v>
      </c>
      <c r="L1398" s="16" t="s">
        <v>1705</v>
      </c>
      <c r="M1398" s="16" t="s">
        <v>347</v>
      </c>
      <c r="N1398" s="11"/>
      <c r="O1398" s="11"/>
      <c r="P1398" s="16" t="s">
        <v>1712</v>
      </c>
      <c r="Q1398" s="11" t="s">
        <v>1713</v>
      </c>
      <c r="R1398" s="16" t="s">
        <v>396</v>
      </c>
      <c r="S1398" s="11"/>
    </row>
    <row r="1399" spans="1:19" ht="20.25" hidden="1" customHeight="1" x14ac:dyDescent="0.25">
      <c r="A1399" s="16" t="s">
        <v>2395</v>
      </c>
      <c r="B1399" s="16" t="s">
        <v>73</v>
      </c>
      <c r="C1399" s="18">
        <v>46136</v>
      </c>
      <c r="D1399" s="21">
        <v>4</v>
      </c>
      <c r="E1399" s="19">
        <v>1</v>
      </c>
      <c r="F1399" s="16" t="s">
        <v>1547</v>
      </c>
      <c r="G1399" s="16" t="s">
        <v>1550</v>
      </c>
      <c r="H1399" s="16" t="s">
        <v>1650</v>
      </c>
      <c r="I1399" s="16" t="s">
        <v>379</v>
      </c>
      <c r="J1399" s="17">
        <v>20101596363</v>
      </c>
      <c r="K1399" s="16" t="s">
        <v>399</v>
      </c>
      <c r="L1399" s="16" t="s">
        <v>1705</v>
      </c>
      <c r="M1399" s="16" t="s">
        <v>347</v>
      </c>
      <c r="N1399" s="11"/>
      <c r="O1399" s="11"/>
      <c r="P1399" s="16" t="s">
        <v>1712</v>
      </c>
      <c r="Q1399" s="11" t="s">
        <v>1713</v>
      </c>
      <c r="R1399" s="16" t="s">
        <v>396</v>
      </c>
      <c r="S1399" s="11"/>
    </row>
    <row r="1400" spans="1:19" ht="20.25" hidden="1" customHeight="1" x14ac:dyDescent="0.25">
      <c r="A1400" s="16" t="s">
        <v>2395</v>
      </c>
      <c r="B1400" s="16" t="s">
        <v>73</v>
      </c>
      <c r="C1400" s="18">
        <v>46136</v>
      </c>
      <c r="D1400" s="21">
        <v>2</v>
      </c>
      <c r="E1400" s="19">
        <v>1</v>
      </c>
      <c r="F1400" s="16" t="s">
        <v>443</v>
      </c>
      <c r="G1400" s="16" t="s">
        <v>450</v>
      </c>
      <c r="H1400" s="16" t="s">
        <v>1650</v>
      </c>
      <c r="I1400" s="16" t="s">
        <v>379</v>
      </c>
      <c r="J1400" s="17">
        <v>20101596363</v>
      </c>
      <c r="K1400" s="16" t="s">
        <v>399</v>
      </c>
      <c r="L1400" s="16" t="s">
        <v>1705</v>
      </c>
      <c r="M1400" s="16" t="s">
        <v>347</v>
      </c>
      <c r="N1400" s="11"/>
      <c r="O1400" s="11"/>
      <c r="P1400" s="16" t="s">
        <v>1712</v>
      </c>
      <c r="Q1400" s="11" t="s">
        <v>1713</v>
      </c>
      <c r="R1400" s="16" t="s">
        <v>396</v>
      </c>
      <c r="S1400" s="11"/>
    </row>
    <row r="1401" spans="1:19" ht="20.25" hidden="1" customHeight="1" x14ac:dyDescent="0.25">
      <c r="A1401" s="16" t="s">
        <v>2395</v>
      </c>
      <c r="B1401" s="16" t="s">
        <v>73</v>
      </c>
      <c r="C1401" s="18">
        <v>46136</v>
      </c>
      <c r="D1401" s="21">
        <v>12</v>
      </c>
      <c r="E1401" s="19">
        <v>1</v>
      </c>
      <c r="F1401" s="16" t="s">
        <v>2398</v>
      </c>
      <c r="G1401" s="16" t="s">
        <v>2399</v>
      </c>
      <c r="H1401" s="16" t="s">
        <v>1650</v>
      </c>
      <c r="I1401" s="16" t="s">
        <v>379</v>
      </c>
      <c r="J1401" s="17">
        <v>20101596363</v>
      </c>
      <c r="K1401" s="16" t="s">
        <v>399</v>
      </c>
      <c r="L1401" s="16" t="s">
        <v>1705</v>
      </c>
      <c r="M1401" s="16" t="s">
        <v>347</v>
      </c>
      <c r="N1401" s="11"/>
      <c r="O1401" s="11"/>
      <c r="P1401" s="16" t="s">
        <v>1712</v>
      </c>
      <c r="Q1401" s="11" t="s">
        <v>1713</v>
      </c>
      <c r="R1401" s="16" t="s">
        <v>396</v>
      </c>
      <c r="S1401" s="11"/>
    </row>
    <row r="1402" spans="1:19" ht="21.75" hidden="1" customHeight="1" x14ac:dyDescent="0.25">
      <c r="A1402" s="56" t="s">
        <v>2400</v>
      </c>
      <c r="B1402" s="139"/>
      <c r="C1402" s="18">
        <v>46136</v>
      </c>
      <c r="D1402" s="19">
        <f>30*24</f>
        <v>720</v>
      </c>
      <c r="E1402" s="140">
        <v>30</v>
      </c>
      <c r="F1402" s="141" t="s">
        <v>1212</v>
      </c>
      <c r="G1402" s="138" t="s">
        <v>1228</v>
      </c>
      <c r="H1402" s="84" t="s">
        <v>76</v>
      </c>
      <c r="I1402" s="138" t="s">
        <v>2378</v>
      </c>
      <c r="J1402" s="139" t="s">
        <v>2379</v>
      </c>
      <c r="K1402" s="138">
        <v>960628425</v>
      </c>
      <c r="L1402" s="138" t="s">
        <v>2380</v>
      </c>
      <c r="M1402" s="138" t="s">
        <v>347</v>
      </c>
      <c r="N1402" s="138"/>
      <c r="O1402" s="138"/>
      <c r="P1402" s="137" t="s">
        <v>2381</v>
      </c>
      <c r="Q1402" s="143" t="s">
        <v>2382</v>
      </c>
      <c r="R1402" s="142" t="s">
        <v>396</v>
      </c>
      <c r="S1402" s="11"/>
    </row>
    <row r="1403" spans="1:19" ht="21.75" hidden="1" customHeight="1" x14ac:dyDescent="0.25">
      <c r="A1403" s="17" t="s">
        <v>2401</v>
      </c>
      <c r="B1403" s="17">
        <v>13926150</v>
      </c>
      <c r="C1403" s="18">
        <v>46137</v>
      </c>
      <c r="D1403" s="21">
        <v>72</v>
      </c>
      <c r="E1403" s="19">
        <v>6</v>
      </c>
      <c r="F1403" s="17" t="s">
        <v>19</v>
      </c>
      <c r="G1403" s="17" t="s">
        <v>120</v>
      </c>
      <c r="H1403" s="80" t="s">
        <v>76</v>
      </c>
      <c r="I1403" s="17" t="s">
        <v>134</v>
      </c>
      <c r="J1403" s="17">
        <v>20100070970</v>
      </c>
      <c r="K1403" s="14"/>
      <c r="L1403" s="17" t="s">
        <v>1632</v>
      </c>
      <c r="M1403" s="17" t="s">
        <v>77</v>
      </c>
      <c r="N1403" s="14"/>
      <c r="O1403" s="14"/>
      <c r="P1403" s="17" t="s">
        <v>1912</v>
      </c>
      <c r="Q1403" s="17"/>
      <c r="R1403" s="17" t="s">
        <v>143</v>
      </c>
      <c r="S1403" s="14"/>
    </row>
    <row r="1404" spans="1:19" ht="21.75" hidden="1" customHeight="1" x14ac:dyDescent="0.25">
      <c r="A1404" s="17" t="s">
        <v>2401</v>
      </c>
      <c r="B1404" s="17">
        <v>13926150</v>
      </c>
      <c r="C1404" s="18">
        <v>46137</v>
      </c>
      <c r="D1404" s="21">
        <v>24</v>
      </c>
      <c r="E1404" s="19">
        <v>2</v>
      </c>
      <c r="F1404" s="17" t="s">
        <v>21</v>
      </c>
      <c r="G1404" s="17" t="s">
        <v>115</v>
      </c>
      <c r="H1404" s="80" t="s">
        <v>76</v>
      </c>
      <c r="I1404" s="17" t="s">
        <v>134</v>
      </c>
      <c r="J1404" s="17">
        <v>20100070970</v>
      </c>
      <c r="K1404" s="14"/>
      <c r="L1404" s="17" t="s">
        <v>1632</v>
      </c>
      <c r="M1404" s="17" t="s">
        <v>77</v>
      </c>
      <c r="N1404" s="14"/>
      <c r="O1404" s="14"/>
      <c r="P1404" s="17" t="s">
        <v>1912</v>
      </c>
      <c r="Q1404" s="17"/>
      <c r="R1404" s="17" t="s">
        <v>143</v>
      </c>
      <c r="S1404" s="14"/>
    </row>
    <row r="1405" spans="1:19" ht="21.75" hidden="1" customHeight="1" x14ac:dyDescent="0.25">
      <c r="A1405" s="17" t="s">
        <v>2401</v>
      </c>
      <c r="B1405" s="17">
        <v>13926150</v>
      </c>
      <c r="C1405" s="18">
        <v>46137</v>
      </c>
      <c r="D1405" s="21">
        <v>48</v>
      </c>
      <c r="E1405" s="19">
        <v>1</v>
      </c>
      <c r="F1405" s="17" t="s">
        <v>22</v>
      </c>
      <c r="G1405" s="17" t="s">
        <v>108</v>
      </c>
      <c r="H1405" s="80" t="s">
        <v>76</v>
      </c>
      <c r="I1405" s="17" t="s">
        <v>134</v>
      </c>
      <c r="J1405" s="17">
        <v>20100070970</v>
      </c>
      <c r="K1405" s="14"/>
      <c r="L1405" s="17" t="s">
        <v>1632</v>
      </c>
      <c r="M1405" s="17" t="s">
        <v>77</v>
      </c>
      <c r="N1405" s="14"/>
      <c r="O1405" s="14"/>
      <c r="P1405" s="17" t="s">
        <v>1912</v>
      </c>
      <c r="Q1405" s="17"/>
      <c r="R1405" s="17" t="s">
        <v>143</v>
      </c>
      <c r="S1405" s="14"/>
    </row>
    <row r="1406" spans="1:19" ht="21.75" hidden="1" customHeight="1" x14ac:dyDescent="0.25">
      <c r="A1406" s="17" t="s">
        <v>2401</v>
      </c>
      <c r="B1406" s="17">
        <v>13926150</v>
      </c>
      <c r="C1406" s="18">
        <v>46137</v>
      </c>
      <c r="D1406" s="21">
        <v>180</v>
      </c>
      <c r="E1406" s="19">
        <v>15</v>
      </c>
      <c r="F1406" s="17" t="s">
        <v>23</v>
      </c>
      <c r="G1406" s="17" t="s">
        <v>119</v>
      </c>
      <c r="H1406" s="80" t="s">
        <v>76</v>
      </c>
      <c r="I1406" s="17" t="s">
        <v>134</v>
      </c>
      <c r="J1406" s="17">
        <v>20100070970</v>
      </c>
      <c r="K1406" s="14"/>
      <c r="L1406" s="17" t="s">
        <v>1632</v>
      </c>
      <c r="M1406" s="17" t="s">
        <v>77</v>
      </c>
      <c r="N1406" s="14"/>
      <c r="O1406" s="14"/>
      <c r="P1406" s="17" t="s">
        <v>1912</v>
      </c>
      <c r="Q1406" s="17"/>
      <c r="R1406" s="17" t="s">
        <v>143</v>
      </c>
      <c r="S1406" s="14"/>
    </row>
    <row r="1407" spans="1:19" ht="21.75" hidden="1" customHeight="1" x14ac:dyDescent="0.25">
      <c r="A1407" s="17" t="s">
        <v>2401</v>
      </c>
      <c r="B1407" s="17">
        <v>13926150</v>
      </c>
      <c r="C1407" s="18">
        <v>46137</v>
      </c>
      <c r="D1407" s="21">
        <v>84</v>
      </c>
      <c r="E1407" s="19">
        <v>7</v>
      </c>
      <c r="F1407" s="17" t="s">
        <v>24</v>
      </c>
      <c r="G1407" s="17" t="s">
        <v>112</v>
      </c>
      <c r="H1407" s="80" t="s">
        <v>76</v>
      </c>
      <c r="I1407" s="17" t="s">
        <v>134</v>
      </c>
      <c r="J1407" s="17">
        <v>20100070970</v>
      </c>
      <c r="K1407" s="14"/>
      <c r="L1407" s="17" t="s">
        <v>1632</v>
      </c>
      <c r="M1407" s="17" t="s">
        <v>77</v>
      </c>
      <c r="N1407" s="14"/>
      <c r="O1407" s="14"/>
      <c r="P1407" s="17" t="s">
        <v>1912</v>
      </c>
      <c r="Q1407" s="17"/>
      <c r="R1407" s="17" t="s">
        <v>143</v>
      </c>
      <c r="S1407" s="14"/>
    </row>
    <row r="1408" spans="1:19" ht="21.75" hidden="1" customHeight="1" x14ac:dyDescent="0.25">
      <c r="A1408" s="17" t="s">
        <v>2401</v>
      </c>
      <c r="B1408" s="17">
        <v>13926150</v>
      </c>
      <c r="C1408" s="18">
        <v>46137</v>
      </c>
      <c r="D1408" s="21">
        <v>12</v>
      </c>
      <c r="E1408" s="19">
        <v>1</v>
      </c>
      <c r="F1408" s="17" t="s">
        <v>25</v>
      </c>
      <c r="G1408" s="17" t="s">
        <v>136</v>
      </c>
      <c r="H1408" s="80" t="s">
        <v>76</v>
      </c>
      <c r="I1408" s="17" t="s">
        <v>134</v>
      </c>
      <c r="J1408" s="17">
        <v>20100070970</v>
      </c>
      <c r="K1408" s="14"/>
      <c r="L1408" s="17" t="s">
        <v>1632</v>
      </c>
      <c r="M1408" s="17" t="s">
        <v>77</v>
      </c>
      <c r="N1408" s="14"/>
      <c r="O1408" s="14"/>
      <c r="P1408" s="17" t="s">
        <v>1912</v>
      </c>
      <c r="Q1408" s="17"/>
      <c r="R1408" s="17" t="s">
        <v>143</v>
      </c>
      <c r="S1408" s="14"/>
    </row>
    <row r="1409" spans="1:19" ht="21.75" hidden="1" customHeight="1" x14ac:dyDescent="0.25">
      <c r="A1409" s="17" t="s">
        <v>2401</v>
      </c>
      <c r="B1409" s="17">
        <v>13926150</v>
      </c>
      <c r="C1409" s="18">
        <v>46137</v>
      </c>
      <c r="D1409" s="21">
        <v>66</v>
      </c>
      <c r="E1409" s="19">
        <v>11</v>
      </c>
      <c r="F1409" s="17" t="s">
        <v>26</v>
      </c>
      <c r="G1409" s="17" t="s">
        <v>111</v>
      </c>
      <c r="H1409" s="80" t="s">
        <v>76</v>
      </c>
      <c r="I1409" s="17" t="s">
        <v>134</v>
      </c>
      <c r="J1409" s="17">
        <v>20100070970</v>
      </c>
      <c r="K1409" s="14"/>
      <c r="L1409" s="17" t="s">
        <v>1632</v>
      </c>
      <c r="M1409" s="17" t="s">
        <v>77</v>
      </c>
      <c r="N1409" s="14"/>
      <c r="O1409" s="14"/>
      <c r="P1409" s="17" t="s">
        <v>1912</v>
      </c>
      <c r="Q1409" s="17"/>
      <c r="R1409" s="17" t="s">
        <v>143</v>
      </c>
      <c r="S1409" s="14"/>
    </row>
    <row r="1410" spans="1:19" ht="21.75" hidden="1" customHeight="1" x14ac:dyDescent="0.25">
      <c r="A1410" s="17" t="s">
        <v>2401</v>
      </c>
      <c r="B1410" s="17">
        <v>13926150</v>
      </c>
      <c r="C1410" s="18">
        <v>46137</v>
      </c>
      <c r="D1410" s="21">
        <v>24</v>
      </c>
      <c r="E1410" s="19">
        <v>1</v>
      </c>
      <c r="F1410" s="17" t="s">
        <v>27</v>
      </c>
      <c r="G1410" s="17" t="s">
        <v>103</v>
      </c>
      <c r="H1410" s="80" t="s">
        <v>76</v>
      </c>
      <c r="I1410" s="17" t="s">
        <v>134</v>
      </c>
      <c r="J1410" s="17">
        <v>20100070970</v>
      </c>
      <c r="K1410" s="14"/>
      <c r="L1410" s="17" t="s">
        <v>1632</v>
      </c>
      <c r="M1410" s="17" t="s">
        <v>77</v>
      </c>
      <c r="N1410" s="14"/>
      <c r="O1410" s="14"/>
      <c r="P1410" s="17" t="s">
        <v>1912</v>
      </c>
      <c r="Q1410" s="17"/>
      <c r="R1410" s="17" t="s">
        <v>143</v>
      </c>
      <c r="S1410" s="14"/>
    </row>
    <row r="1411" spans="1:19" ht="21.75" hidden="1" customHeight="1" x14ac:dyDescent="0.25">
      <c r="A1411" s="17" t="s">
        <v>2401</v>
      </c>
      <c r="B1411" s="17">
        <v>13926150</v>
      </c>
      <c r="C1411" s="18">
        <v>46137</v>
      </c>
      <c r="D1411" s="21">
        <v>24</v>
      </c>
      <c r="E1411" s="19">
        <v>1</v>
      </c>
      <c r="F1411" s="17" t="s">
        <v>18</v>
      </c>
      <c r="G1411" s="17" t="s">
        <v>109</v>
      </c>
      <c r="H1411" s="80" t="s">
        <v>76</v>
      </c>
      <c r="I1411" s="17" t="s">
        <v>134</v>
      </c>
      <c r="J1411" s="17">
        <v>20100070970</v>
      </c>
      <c r="K1411" s="14"/>
      <c r="L1411" s="17" t="s">
        <v>1632</v>
      </c>
      <c r="M1411" s="17" t="s">
        <v>77</v>
      </c>
      <c r="N1411" s="14"/>
      <c r="O1411" s="14"/>
      <c r="P1411" s="17" t="s">
        <v>1912</v>
      </c>
      <c r="Q1411" s="17"/>
      <c r="R1411" s="17" t="s">
        <v>143</v>
      </c>
      <c r="S1411" s="14"/>
    </row>
    <row r="1412" spans="1:19" ht="21.75" hidden="1" customHeight="1" x14ac:dyDescent="0.25">
      <c r="A1412" s="79" t="s">
        <v>2402</v>
      </c>
      <c r="B1412" s="77"/>
      <c r="C1412" s="157">
        <v>46139</v>
      </c>
      <c r="D1412" s="78">
        <v>12</v>
      </c>
      <c r="E1412" s="60">
        <v>1</v>
      </c>
      <c r="F1412" s="79" t="s">
        <v>2405</v>
      </c>
      <c r="G1412" s="79" t="s">
        <v>2407</v>
      </c>
      <c r="H1412" s="79" t="s">
        <v>1650</v>
      </c>
      <c r="I1412" s="79" t="s">
        <v>2403</v>
      </c>
      <c r="J1412" s="77">
        <v>20611802910</v>
      </c>
      <c r="K1412" s="66"/>
      <c r="L1412" s="79" t="s">
        <v>2404</v>
      </c>
      <c r="M1412" s="79" t="s">
        <v>662</v>
      </c>
      <c r="N1412" s="66"/>
      <c r="O1412" s="66"/>
      <c r="P1412" s="79"/>
      <c r="Q1412" s="79"/>
      <c r="R1412" s="79" t="s">
        <v>396</v>
      </c>
      <c r="S1412" s="66"/>
    </row>
    <row r="1413" spans="1:19" ht="22.5" hidden="1" customHeight="1" x14ac:dyDescent="0.25">
      <c r="A1413" s="16" t="s">
        <v>2402</v>
      </c>
      <c r="B1413" s="124"/>
      <c r="C1413" s="18">
        <v>46139</v>
      </c>
      <c r="D1413" s="21">
        <v>1</v>
      </c>
      <c r="E1413" s="19">
        <v>1</v>
      </c>
      <c r="F1413" s="125" t="s">
        <v>2406</v>
      </c>
      <c r="G1413" s="124" t="s">
        <v>2408</v>
      </c>
      <c r="H1413" s="16" t="s">
        <v>1650</v>
      </c>
      <c r="I1413" s="16" t="s">
        <v>2403</v>
      </c>
      <c r="J1413" s="17">
        <v>20611802910</v>
      </c>
      <c r="K1413" s="125"/>
      <c r="L1413" s="16" t="s">
        <v>2404</v>
      </c>
      <c r="M1413" s="16" t="s">
        <v>662</v>
      </c>
      <c r="N1413" s="125"/>
      <c r="O1413" s="125"/>
      <c r="P1413" s="125"/>
      <c r="Q1413" s="125"/>
      <c r="R1413" s="16" t="s">
        <v>396</v>
      </c>
      <c r="S1413" s="125"/>
    </row>
    <row r="1414" spans="1:19" s="20" customFormat="1" ht="21.75" hidden="1" customHeight="1" x14ac:dyDescent="0.2">
      <c r="A1414" s="16" t="s">
        <v>2409</v>
      </c>
      <c r="B1414" s="17">
        <v>4883</v>
      </c>
      <c r="C1414" s="18">
        <v>46141</v>
      </c>
      <c r="D1414" s="21">
        <v>36</v>
      </c>
      <c r="E1414" s="19">
        <v>3</v>
      </c>
      <c r="F1414" s="16" t="s">
        <v>567</v>
      </c>
      <c r="G1414" s="16" t="s">
        <v>568</v>
      </c>
      <c r="H1414" s="16" t="s">
        <v>1650</v>
      </c>
      <c r="I1414" s="16" t="s">
        <v>41</v>
      </c>
      <c r="J1414" s="17">
        <v>20513229080</v>
      </c>
      <c r="K1414" s="17" t="s">
        <v>663</v>
      </c>
      <c r="L1414" s="16" t="s">
        <v>648</v>
      </c>
      <c r="M1414" s="16" t="s">
        <v>420</v>
      </c>
      <c r="N1414" s="11"/>
      <c r="O1414" s="11"/>
      <c r="P1414" s="16" t="s">
        <v>137</v>
      </c>
      <c r="Q1414" s="16" t="s">
        <v>73</v>
      </c>
      <c r="R1414" s="16" t="s">
        <v>396</v>
      </c>
      <c r="S1414" s="11"/>
    </row>
    <row r="1415" spans="1:19" s="20" customFormat="1" ht="21.75" hidden="1" customHeight="1" x14ac:dyDescent="0.2">
      <c r="A1415" s="16" t="s">
        <v>2409</v>
      </c>
      <c r="B1415" s="17">
        <v>4883</v>
      </c>
      <c r="C1415" s="52">
        <v>46141</v>
      </c>
      <c r="D1415" s="21">
        <v>144</v>
      </c>
      <c r="E1415" s="19">
        <v>6</v>
      </c>
      <c r="F1415" s="159" t="s">
        <v>2206</v>
      </c>
      <c r="G1415" s="94" t="s">
        <v>2231</v>
      </c>
      <c r="H1415" s="16" t="s">
        <v>1650</v>
      </c>
      <c r="I1415" s="16" t="s">
        <v>41</v>
      </c>
      <c r="J1415" s="17">
        <v>20513229080</v>
      </c>
      <c r="K1415" s="17" t="s">
        <v>663</v>
      </c>
      <c r="L1415" s="16" t="s">
        <v>648</v>
      </c>
      <c r="M1415" s="16" t="s">
        <v>420</v>
      </c>
      <c r="N1415" s="11"/>
      <c r="O1415" s="11"/>
      <c r="P1415" s="16" t="s">
        <v>137</v>
      </c>
      <c r="Q1415" s="16" t="s">
        <v>73</v>
      </c>
      <c r="R1415" s="16" t="s">
        <v>396</v>
      </c>
      <c r="S1415" s="11"/>
    </row>
    <row r="1416" spans="1:19" ht="22.5" hidden="1" customHeight="1" x14ac:dyDescent="0.25">
      <c r="A1416" s="79" t="s">
        <v>2410</v>
      </c>
      <c r="B1416" s="161"/>
      <c r="C1416" s="157">
        <v>46140</v>
      </c>
      <c r="D1416" s="60">
        <v>192</v>
      </c>
      <c r="E1416" s="60">
        <v>16</v>
      </c>
      <c r="F1416" s="79" t="s">
        <v>24</v>
      </c>
      <c r="G1416" s="79" t="s">
        <v>112</v>
      </c>
      <c r="H1416" s="79" t="s">
        <v>76</v>
      </c>
      <c r="I1416" s="79" t="s">
        <v>1433</v>
      </c>
      <c r="J1416" s="77">
        <v>20609357917</v>
      </c>
      <c r="K1416" s="77">
        <v>900956100</v>
      </c>
      <c r="L1416" s="66" t="s">
        <v>2411</v>
      </c>
      <c r="M1416" s="66" t="s">
        <v>312</v>
      </c>
      <c r="N1416" s="66"/>
      <c r="O1416" s="66"/>
      <c r="P1416" s="79" t="s">
        <v>2242</v>
      </c>
      <c r="Q1416" s="66" t="s">
        <v>2416</v>
      </c>
      <c r="R1416" s="79" t="s">
        <v>396</v>
      </c>
      <c r="S1416" s="66"/>
    </row>
    <row r="1417" spans="1:19" ht="21.75" hidden="1" customHeight="1" x14ac:dyDescent="0.25">
      <c r="A1417" s="16" t="s">
        <v>2412</v>
      </c>
      <c r="B1417" s="14"/>
      <c r="C1417" s="18">
        <v>46140</v>
      </c>
      <c r="D1417" s="88">
        <v>60</v>
      </c>
      <c r="E1417" s="19">
        <v>5</v>
      </c>
      <c r="F1417" s="72" t="s">
        <v>567</v>
      </c>
      <c r="G1417" s="72" t="s">
        <v>568</v>
      </c>
      <c r="H1417" s="16" t="s">
        <v>1650</v>
      </c>
      <c r="I1417" s="72" t="s">
        <v>1239</v>
      </c>
      <c r="J1417" s="14">
        <v>10106005376</v>
      </c>
      <c r="K1417" s="11" t="s">
        <v>2415</v>
      </c>
      <c r="L1417" s="11" t="s">
        <v>1254</v>
      </c>
      <c r="M1417" s="11" t="s">
        <v>347</v>
      </c>
      <c r="N1417" s="11"/>
      <c r="O1417" s="11"/>
      <c r="P1417" s="11" t="s">
        <v>1256</v>
      </c>
      <c r="Q1417" s="11" t="s">
        <v>2414</v>
      </c>
      <c r="R1417" s="11" t="s">
        <v>396</v>
      </c>
      <c r="S1417" s="11"/>
    </row>
    <row r="1418" spans="1:19" ht="21.75" hidden="1" customHeight="1" x14ac:dyDescent="0.25">
      <c r="A1418" s="16" t="s">
        <v>2412</v>
      </c>
      <c r="B1418" s="14"/>
      <c r="C1418" s="18">
        <v>46140</v>
      </c>
      <c r="D1418" s="88">
        <v>60</v>
      </c>
      <c r="E1418" s="19">
        <v>5</v>
      </c>
      <c r="F1418" s="72" t="s">
        <v>33</v>
      </c>
      <c r="G1418" s="72" t="s">
        <v>103</v>
      </c>
      <c r="H1418" s="16" t="s">
        <v>1650</v>
      </c>
      <c r="I1418" s="72" t="s">
        <v>1239</v>
      </c>
      <c r="J1418" s="14">
        <v>10106005376</v>
      </c>
      <c r="K1418" s="11" t="s">
        <v>2415</v>
      </c>
      <c r="L1418" s="11" t="s">
        <v>1254</v>
      </c>
      <c r="M1418" s="11" t="s">
        <v>347</v>
      </c>
      <c r="N1418" s="11"/>
      <c r="O1418" s="11"/>
      <c r="P1418" s="11" t="s">
        <v>1256</v>
      </c>
      <c r="Q1418" s="11" t="s">
        <v>2414</v>
      </c>
      <c r="R1418" s="11" t="s">
        <v>396</v>
      </c>
      <c r="S1418" s="11"/>
    </row>
    <row r="1419" spans="1:19" ht="21.75" hidden="1" customHeight="1" x14ac:dyDescent="0.25">
      <c r="A1419" s="16" t="s">
        <v>2412</v>
      </c>
      <c r="B1419" s="14"/>
      <c r="C1419" s="18">
        <v>46140</v>
      </c>
      <c r="D1419" s="88">
        <v>36</v>
      </c>
      <c r="E1419" s="19">
        <v>3</v>
      </c>
      <c r="F1419" s="72" t="s">
        <v>2413</v>
      </c>
      <c r="G1419" s="72" t="s">
        <v>2399</v>
      </c>
      <c r="H1419" s="16" t="s">
        <v>1650</v>
      </c>
      <c r="I1419" s="72" t="s">
        <v>1239</v>
      </c>
      <c r="J1419" s="14">
        <v>10106005376</v>
      </c>
      <c r="K1419" s="11" t="s">
        <v>2415</v>
      </c>
      <c r="L1419" s="11" t="s">
        <v>1254</v>
      </c>
      <c r="M1419" s="11" t="s">
        <v>347</v>
      </c>
      <c r="N1419" s="11"/>
      <c r="O1419" s="11"/>
      <c r="P1419" s="11" t="s">
        <v>1256</v>
      </c>
      <c r="Q1419" s="11" t="s">
        <v>2414</v>
      </c>
      <c r="R1419" s="11" t="s">
        <v>396</v>
      </c>
      <c r="S1419" s="11"/>
    </row>
    <row r="1420" spans="1:19" ht="21.75" hidden="1" customHeight="1" x14ac:dyDescent="0.25">
      <c r="A1420" s="16" t="s">
        <v>2412</v>
      </c>
      <c r="B1420" s="14"/>
      <c r="C1420" s="18">
        <v>46140</v>
      </c>
      <c r="D1420" s="88">
        <v>24</v>
      </c>
      <c r="E1420" s="19">
        <v>1</v>
      </c>
      <c r="F1420" s="72" t="s">
        <v>18</v>
      </c>
      <c r="G1420" s="72" t="s">
        <v>109</v>
      </c>
      <c r="H1420" s="16" t="s">
        <v>1650</v>
      </c>
      <c r="I1420" s="72" t="s">
        <v>1239</v>
      </c>
      <c r="J1420" s="14">
        <v>10106005376</v>
      </c>
      <c r="K1420" s="11" t="s">
        <v>2415</v>
      </c>
      <c r="L1420" s="11" t="s">
        <v>1254</v>
      </c>
      <c r="M1420" s="11" t="s">
        <v>347</v>
      </c>
      <c r="N1420" s="11"/>
      <c r="O1420" s="11"/>
      <c r="P1420" s="11" t="s">
        <v>1256</v>
      </c>
      <c r="Q1420" s="11" t="s">
        <v>2414</v>
      </c>
      <c r="R1420" s="11" t="s">
        <v>396</v>
      </c>
      <c r="S1420" s="11"/>
    </row>
    <row r="1421" spans="1:19" ht="21.75" hidden="1" customHeight="1" x14ac:dyDescent="0.25">
      <c r="A1421" s="16" t="s">
        <v>2412</v>
      </c>
      <c r="B1421" s="14"/>
      <c r="C1421" s="18">
        <v>46140</v>
      </c>
      <c r="D1421" s="88">
        <v>48</v>
      </c>
      <c r="E1421" s="19">
        <v>1</v>
      </c>
      <c r="F1421" s="72" t="s">
        <v>1546</v>
      </c>
      <c r="G1421" s="72" t="s">
        <v>1549</v>
      </c>
      <c r="H1421" s="16" t="s">
        <v>1650</v>
      </c>
      <c r="I1421" s="72" t="s">
        <v>1239</v>
      </c>
      <c r="J1421" s="14">
        <v>10106005376</v>
      </c>
      <c r="K1421" s="11" t="s">
        <v>2415</v>
      </c>
      <c r="L1421" s="11" t="s">
        <v>1254</v>
      </c>
      <c r="M1421" s="11" t="s">
        <v>347</v>
      </c>
      <c r="N1421" s="11"/>
      <c r="O1421" s="11"/>
      <c r="P1421" s="11" t="s">
        <v>1256</v>
      </c>
      <c r="Q1421" s="11" t="s">
        <v>2414</v>
      </c>
      <c r="R1421" s="11" t="s">
        <v>396</v>
      </c>
      <c r="S1421" s="11"/>
    </row>
    <row r="1422" spans="1:19" s="20" customFormat="1" ht="21.75" hidden="1" customHeight="1" x14ac:dyDescent="0.2">
      <c r="A1422" s="16" t="s">
        <v>2417</v>
      </c>
      <c r="B1422" s="14"/>
      <c r="C1422" s="18">
        <v>46141</v>
      </c>
      <c r="D1422" s="21">
        <v>6</v>
      </c>
      <c r="E1422" s="209">
        <v>8</v>
      </c>
      <c r="F1422" s="16" t="s">
        <v>2419</v>
      </c>
      <c r="G1422" s="16" t="s">
        <v>2420</v>
      </c>
      <c r="H1422" s="16" t="s">
        <v>1544</v>
      </c>
      <c r="I1422" s="16" t="s">
        <v>936</v>
      </c>
      <c r="J1422" s="17">
        <v>10296695276</v>
      </c>
      <c r="K1422" s="17" t="s">
        <v>73</v>
      </c>
      <c r="L1422" s="16" t="s">
        <v>945</v>
      </c>
      <c r="M1422" s="16" t="s">
        <v>75</v>
      </c>
      <c r="N1422" s="11"/>
      <c r="O1422" s="11"/>
      <c r="P1422" s="16" t="s">
        <v>942</v>
      </c>
      <c r="Q1422" s="16" t="s">
        <v>943</v>
      </c>
      <c r="R1422" s="16" t="s">
        <v>142</v>
      </c>
      <c r="S1422" s="11"/>
    </row>
    <row r="1423" spans="1:19" s="20" customFormat="1" ht="21.75" hidden="1" customHeight="1" x14ac:dyDescent="0.2">
      <c r="A1423" s="16" t="s">
        <v>2417</v>
      </c>
      <c r="B1423" s="14"/>
      <c r="C1423" s="18">
        <v>46141</v>
      </c>
      <c r="D1423" s="21">
        <v>12</v>
      </c>
      <c r="E1423" s="209"/>
      <c r="F1423" s="16" t="s">
        <v>40</v>
      </c>
      <c r="G1423" s="16" t="s">
        <v>117</v>
      </c>
      <c r="H1423" s="16" t="s">
        <v>1544</v>
      </c>
      <c r="I1423" s="16" t="s">
        <v>936</v>
      </c>
      <c r="J1423" s="17">
        <v>10296695276</v>
      </c>
      <c r="K1423" s="17" t="s">
        <v>73</v>
      </c>
      <c r="L1423" s="16" t="s">
        <v>945</v>
      </c>
      <c r="M1423" s="16" t="s">
        <v>75</v>
      </c>
      <c r="N1423" s="11"/>
      <c r="O1423" s="11"/>
      <c r="P1423" s="16" t="s">
        <v>942</v>
      </c>
      <c r="Q1423" s="16" t="s">
        <v>943</v>
      </c>
      <c r="R1423" s="16" t="s">
        <v>142</v>
      </c>
      <c r="S1423" s="11"/>
    </row>
    <row r="1424" spans="1:19" s="20" customFormat="1" ht="21.75" hidden="1" customHeight="1" x14ac:dyDescent="0.2">
      <c r="A1424" s="16" t="s">
        <v>2417</v>
      </c>
      <c r="B1424" s="14"/>
      <c r="C1424" s="18">
        <v>46141</v>
      </c>
      <c r="D1424" s="21">
        <v>12</v>
      </c>
      <c r="E1424" s="209"/>
      <c r="F1424" s="16" t="s">
        <v>44</v>
      </c>
      <c r="G1424" s="16" t="s">
        <v>118</v>
      </c>
      <c r="H1424" s="16" t="s">
        <v>1544</v>
      </c>
      <c r="I1424" s="16" t="s">
        <v>936</v>
      </c>
      <c r="J1424" s="17">
        <v>10296695276</v>
      </c>
      <c r="K1424" s="17" t="s">
        <v>73</v>
      </c>
      <c r="L1424" s="16" t="s">
        <v>945</v>
      </c>
      <c r="M1424" s="16" t="s">
        <v>75</v>
      </c>
      <c r="N1424" s="11"/>
      <c r="O1424" s="11"/>
      <c r="P1424" s="16" t="s">
        <v>942</v>
      </c>
      <c r="Q1424" s="16" t="s">
        <v>943</v>
      </c>
      <c r="R1424" s="16" t="s">
        <v>142</v>
      </c>
      <c r="S1424" s="11"/>
    </row>
    <row r="1425" spans="1:19" s="20" customFormat="1" ht="21.75" hidden="1" customHeight="1" x14ac:dyDescent="0.2">
      <c r="A1425" s="16" t="s">
        <v>2417</v>
      </c>
      <c r="B1425" s="14"/>
      <c r="C1425" s="18">
        <v>46141</v>
      </c>
      <c r="D1425" s="21">
        <v>16</v>
      </c>
      <c r="E1425" s="209"/>
      <c r="F1425" s="16" t="s">
        <v>1207</v>
      </c>
      <c r="G1425" s="16" t="s">
        <v>1223</v>
      </c>
      <c r="H1425" s="16" t="s">
        <v>1544</v>
      </c>
      <c r="I1425" s="16" t="s">
        <v>936</v>
      </c>
      <c r="J1425" s="17">
        <v>10296695276</v>
      </c>
      <c r="K1425" s="17" t="s">
        <v>73</v>
      </c>
      <c r="L1425" s="16" t="s">
        <v>945</v>
      </c>
      <c r="M1425" s="16" t="s">
        <v>75</v>
      </c>
      <c r="N1425" s="11"/>
      <c r="O1425" s="11"/>
      <c r="P1425" s="16" t="s">
        <v>942</v>
      </c>
      <c r="Q1425" s="16" t="s">
        <v>943</v>
      </c>
      <c r="R1425" s="16" t="s">
        <v>142</v>
      </c>
      <c r="S1425" s="11"/>
    </row>
    <row r="1426" spans="1:19" s="20" customFormat="1" ht="21.75" hidden="1" customHeight="1" x14ac:dyDescent="0.2">
      <c r="A1426" s="16" t="s">
        <v>2417</v>
      </c>
      <c r="B1426" s="14"/>
      <c r="C1426" s="18">
        <v>46141</v>
      </c>
      <c r="D1426" s="21">
        <v>48</v>
      </c>
      <c r="E1426" s="209"/>
      <c r="F1426" s="16" t="s">
        <v>46</v>
      </c>
      <c r="G1426" s="16" t="s">
        <v>104</v>
      </c>
      <c r="H1426" s="16" t="s">
        <v>1544</v>
      </c>
      <c r="I1426" s="16" t="s">
        <v>936</v>
      </c>
      <c r="J1426" s="17">
        <v>10296695276</v>
      </c>
      <c r="K1426" s="17" t="s">
        <v>73</v>
      </c>
      <c r="L1426" s="16" t="s">
        <v>945</v>
      </c>
      <c r="M1426" s="16" t="s">
        <v>75</v>
      </c>
      <c r="N1426" s="11"/>
      <c r="O1426" s="11"/>
      <c r="P1426" s="16" t="s">
        <v>942</v>
      </c>
      <c r="Q1426" s="16" t="s">
        <v>943</v>
      </c>
      <c r="R1426" s="16" t="s">
        <v>142</v>
      </c>
      <c r="S1426" s="11"/>
    </row>
    <row r="1427" spans="1:19" s="20" customFormat="1" ht="21.75" hidden="1" customHeight="1" x14ac:dyDescent="0.2">
      <c r="A1427" s="16" t="s">
        <v>2417</v>
      </c>
      <c r="B1427" s="14"/>
      <c r="C1427" s="18">
        <v>46141</v>
      </c>
      <c r="D1427" s="21">
        <v>72</v>
      </c>
      <c r="E1427" s="209"/>
      <c r="F1427" s="16" t="s">
        <v>1127</v>
      </c>
      <c r="G1427" s="16" t="s">
        <v>1139</v>
      </c>
      <c r="H1427" s="16" t="s">
        <v>1544</v>
      </c>
      <c r="I1427" s="16" t="s">
        <v>936</v>
      </c>
      <c r="J1427" s="17">
        <v>10296695276</v>
      </c>
      <c r="K1427" s="17" t="s">
        <v>73</v>
      </c>
      <c r="L1427" s="16" t="s">
        <v>945</v>
      </c>
      <c r="M1427" s="16" t="s">
        <v>75</v>
      </c>
      <c r="N1427" s="11"/>
      <c r="O1427" s="11"/>
      <c r="P1427" s="16" t="s">
        <v>942</v>
      </c>
      <c r="Q1427" s="16" t="s">
        <v>943</v>
      </c>
      <c r="R1427" s="16" t="s">
        <v>142</v>
      </c>
      <c r="S1427" s="11"/>
    </row>
    <row r="1428" spans="1:19" s="20" customFormat="1" ht="21.75" hidden="1" customHeight="1" x14ac:dyDescent="0.2">
      <c r="A1428" s="16" t="s">
        <v>2417</v>
      </c>
      <c r="B1428" s="14"/>
      <c r="C1428" s="18">
        <v>46141</v>
      </c>
      <c r="D1428" s="21">
        <v>72</v>
      </c>
      <c r="E1428" s="209"/>
      <c r="F1428" s="16" t="s">
        <v>70</v>
      </c>
      <c r="G1428" s="16" t="s">
        <v>105</v>
      </c>
      <c r="H1428" s="16" t="s">
        <v>1544</v>
      </c>
      <c r="I1428" s="16" t="s">
        <v>936</v>
      </c>
      <c r="J1428" s="17">
        <v>10296695276</v>
      </c>
      <c r="K1428" s="17" t="s">
        <v>73</v>
      </c>
      <c r="L1428" s="16" t="s">
        <v>945</v>
      </c>
      <c r="M1428" s="16" t="s">
        <v>75</v>
      </c>
      <c r="N1428" s="11"/>
      <c r="O1428" s="11"/>
      <c r="P1428" s="16" t="s">
        <v>942</v>
      </c>
      <c r="Q1428" s="16" t="s">
        <v>943</v>
      </c>
      <c r="R1428" s="16" t="s">
        <v>142</v>
      </c>
      <c r="S1428" s="11"/>
    </row>
    <row r="1429" spans="1:19" s="20" customFormat="1" ht="21.75" hidden="1" customHeight="1" x14ac:dyDescent="0.2">
      <c r="A1429" s="16" t="s">
        <v>2425</v>
      </c>
      <c r="B1429" s="17"/>
      <c r="C1429" s="18">
        <v>46141</v>
      </c>
      <c r="D1429" s="21">
        <v>2</v>
      </c>
      <c r="E1429" s="209">
        <v>2</v>
      </c>
      <c r="F1429" s="16" t="s">
        <v>904</v>
      </c>
      <c r="G1429" s="16" t="s">
        <v>2030</v>
      </c>
      <c r="H1429" s="16" t="s">
        <v>1544</v>
      </c>
      <c r="I1429" s="16" t="s">
        <v>1119</v>
      </c>
      <c r="J1429" s="17">
        <v>20528035869</v>
      </c>
      <c r="K1429" s="17"/>
      <c r="L1429" s="16" t="s">
        <v>1156</v>
      </c>
      <c r="M1429" s="16" t="s">
        <v>2447</v>
      </c>
      <c r="N1429" s="11"/>
      <c r="O1429" s="11"/>
      <c r="P1429" s="11" t="s">
        <v>2448</v>
      </c>
      <c r="Q1429" s="16" t="s">
        <v>1153</v>
      </c>
      <c r="R1429" s="16" t="s">
        <v>142</v>
      </c>
      <c r="S1429" s="11"/>
    </row>
    <row r="1430" spans="1:19" s="20" customFormat="1" ht="21.75" hidden="1" customHeight="1" x14ac:dyDescent="0.2">
      <c r="A1430" s="16" t="s">
        <v>2425</v>
      </c>
      <c r="B1430" s="17"/>
      <c r="C1430" s="18">
        <v>46141</v>
      </c>
      <c r="D1430" s="21">
        <v>2</v>
      </c>
      <c r="E1430" s="209"/>
      <c r="F1430" s="16" t="s">
        <v>905</v>
      </c>
      <c r="G1430" s="16" t="s">
        <v>2031</v>
      </c>
      <c r="H1430" s="16" t="s">
        <v>1544</v>
      </c>
      <c r="I1430" s="16" t="s">
        <v>1119</v>
      </c>
      <c r="J1430" s="17">
        <v>20528035869</v>
      </c>
      <c r="K1430" s="17"/>
      <c r="L1430" s="16" t="s">
        <v>1156</v>
      </c>
      <c r="M1430" s="16" t="s">
        <v>2447</v>
      </c>
      <c r="N1430" s="11"/>
      <c r="O1430" s="11"/>
      <c r="P1430" s="11" t="s">
        <v>2448</v>
      </c>
      <c r="Q1430" s="16" t="s">
        <v>1153</v>
      </c>
      <c r="R1430" s="16" t="s">
        <v>142</v>
      </c>
      <c r="S1430" s="11"/>
    </row>
    <row r="1431" spans="1:19" s="20" customFormat="1" ht="21.75" hidden="1" customHeight="1" x14ac:dyDescent="0.2">
      <c r="A1431" s="16" t="s">
        <v>2425</v>
      </c>
      <c r="B1431" s="17"/>
      <c r="C1431" s="18">
        <v>46141</v>
      </c>
      <c r="D1431" s="21">
        <v>2</v>
      </c>
      <c r="E1431" s="209"/>
      <c r="F1431" s="16" t="s">
        <v>907</v>
      </c>
      <c r="G1431" s="16" t="s">
        <v>2033</v>
      </c>
      <c r="H1431" s="16" t="s">
        <v>1544</v>
      </c>
      <c r="I1431" s="16" t="s">
        <v>1119</v>
      </c>
      <c r="J1431" s="17">
        <v>20528035869</v>
      </c>
      <c r="K1431" s="17"/>
      <c r="L1431" s="16" t="s">
        <v>1156</v>
      </c>
      <c r="M1431" s="16" t="s">
        <v>2447</v>
      </c>
      <c r="N1431" s="11"/>
      <c r="O1431" s="11"/>
      <c r="P1431" s="11" t="s">
        <v>2448</v>
      </c>
      <c r="Q1431" s="16" t="s">
        <v>1153</v>
      </c>
      <c r="R1431" s="16" t="s">
        <v>142</v>
      </c>
      <c r="S1431" s="11"/>
    </row>
    <row r="1432" spans="1:19" s="20" customFormat="1" ht="21.75" hidden="1" customHeight="1" x14ac:dyDescent="0.2">
      <c r="A1432" s="16" t="s">
        <v>2425</v>
      </c>
      <c r="B1432" s="17"/>
      <c r="C1432" s="18">
        <v>46141</v>
      </c>
      <c r="D1432" s="21">
        <v>2</v>
      </c>
      <c r="E1432" s="209"/>
      <c r="F1432" s="16" t="s">
        <v>906</v>
      </c>
      <c r="G1432" s="16" t="s">
        <v>2032</v>
      </c>
      <c r="H1432" s="16" t="s">
        <v>1544</v>
      </c>
      <c r="I1432" s="16" t="s">
        <v>1119</v>
      </c>
      <c r="J1432" s="17">
        <v>20528035869</v>
      </c>
      <c r="K1432" s="17"/>
      <c r="L1432" s="16" t="s">
        <v>1156</v>
      </c>
      <c r="M1432" s="16" t="s">
        <v>2447</v>
      </c>
      <c r="N1432" s="11"/>
      <c r="O1432" s="11"/>
      <c r="P1432" s="11" t="s">
        <v>2448</v>
      </c>
      <c r="Q1432" s="16" t="s">
        <v>1153</v>
      </c>
      <c r="R1432" s="16" t="s">
        <v>142</v>
      </c>
      <c r="S1432" s="11"/>
    </row>
    <row r="1433" spans="1:19" s="20" customFormat="1" ht="21.75" hidden="1" customHeight="1" x14ac:dyDescent="0.2">
      <c r="A1433" s="16" t="s">
        <v>2425</v>
      </c>
      <c r="B1433" s="17"/>
      <c r="C1433" s="18">
        <v>46141</v>
      </c>
      <c r="D1433" s="21">
        <v>2</v>
      </c>
      <c r="E1433" s="209"/>
      <c r="F1433" s="16" t="s">
        <v>909</v>
      </c>
      <c r="G1433" s="16" t="s">
        <v>2038</v>
      </c>
      <c r="H1433" s="16" t="s">
        <v>1544</v>
      </c>
      <c r="I1433" s="16" t="s">
        <v>1119</v>
      </c>
      <c r="J1433" s="17">
        <v>20528035869</v>
      </c>
      <c r="K1433" s="17"/>
      <c r="L1433" s="16" t="s">
        <v>1156</v>
      </c>
      <c r="M1433" s="16" t="s">
        <v>2447</v>
      </c>
      <c r="N1433" s="11"/>
      <c r="O1433" s="11"/>
      <c r="P1433" s="11" t="s">
        <v>2448</v>
      </c>
      <c r="Q1433" s="16" t="s">
        <v>1153</v>
      </c>
      <c r="R1433" s="16" t="s">
        <v>142</v>
      </c>
      <c r="S1433" s="11"/>
    </row>
    <row r="1434" spans="1:19" s="20" customFormat="1" ht="21.75" hidden="1" customHeight="1" x14ac:dyDescent="0.2">
      <c r="A1434" s="16" t="s">
        <v>2425</v>
      </c>
      <c r="B1434" s="17"/>
      <c r="C1434" s="18">
        <v>46141</v>
      </c>
      <c r="D1434" s="21">
        <v>2</v>
      </c>
      <c r="E1434" s="209"/>
      <c r="F1434" s="16" t="s">
        <v>908</v>
      </c>
      <c r="G1434" s="16" t="s">
        <v>2037</v>
      </c>
      <c r="H1434" s="16" t="s">
        <v>1544</v>
      </c>
      <c r="I1434" s="16" t="s">
        <v>1119</v>
      </c>
      <c r="J1434" s="17">
        <v>20528035869</v>
      </c>
      <c r="K1434" s="17"/>
      <c r="L1434" s="16" t="s">
        <v>1156</v>
      </c>
      <c r="M1434" s="16" t="s">
        <v>2447</v>
      </c>
      <c r="N1434" s="11"/>
      <c r="O1434" s="11"/>
      <c r="P1434" s="11" t="s">
        <v>2448</v>
      </c>
      <c r="Q1434" s="16" t="s">
        <v>1153</v>
      </c>
      <c r="R1434" s="16" t="s">
        <v>142</v>
      </c>
      <c r="S1434" s="11"/>
    </row>
    <row r="1435" spans="1:19" s="20" customFormat="1" ht="21.75" hidden="1" customHeight="1" x14ac:dyDescent="0.2">
      <c r="A1435" s="11" t="s">
        <v>2426</v>
      </c>
      <c r="B1435" s="14"/>
      <c r="C1435" s="18">
        <v>46141</v>
      </c>
      <c r="D1435" s="19">
        <v>36</v>
      </c>
      <c r="E1435" s="209">
        <v>3</v>
      </c>
      <c r="F1435" s="11" t="s">
        <v>155</v>
      </c>
      <c r="G1435" s="14" t="s">
        <v>125</v>
      </c>
      <c r="H1435" s="16" t="s">
        <v>1544</v>
      </c>
      <c r="I1435" s="11" t="s">
        <v>2427</v>
      </c>
      <c r="J1435" s="14">
        <v>20558244870</v>
      </c>
      <c r="K1435" s="14">
        <v>962220504</v>
      </c>
      <c r="L1435" s="11" t="s">
        <v>945</v>
      </c>
      <c r="M1435" s="11" t="s">
        <v>2428</v>
      </c>
      <c r="N1435" s="11"/>
      <c r="O1435" s="11"/>
      <c r="P1435" s="11" t="s">
        <v>2448</v>
      </c>
      <c r="Q1435" s="11" t="s">
        <v>943</v>
      </c>
      <c r="R1435" s="16" t="s">
        <v>142</v>
      </c>
      <c r="S1435" s="11" t="s">
        <v>2429</v>
      </c>
    </row>
    <row r="1436" spans="1:19" s="20" customFormat="1" ht="21.75" hidden="1" customHeight="1" x14ac:dyDescent="0.2">
      <c r="A1436" s="11" t="s">
        <v>2426</v>
      </c>
      <c r="B1436" s="14"/>
      <c r="C1436" s="18">
        <v>46141</v>
      </c>
      <c r="D1436" s="19">
        <v>48</v>
      </c>
      <c r="E1436" s="209"/>
      <c r="F1436" s="11" t="s">
        <v>27</v>
      </c>
      <c r="G1436" s="14" t="s">
        <v>103</v>
      </c>
      <c r="H1436" s="16" t="s">
        <v>1544</v>
      </c>
      <c r="I1436" s="11" t="s">
        <v>2427</v>
      </c>
      <c r="J1436" s="14">
        <v>20558244870</v>
      </c>
      <c r="K1436" s="14">
        <v>962220504</v>
      </c>
      <c r="L1436" s="11" t="s">
        <v>945</v>
      </c>
      <c r="M1436" s="11" t="s">
        <v>2428</v>
      </c>
      <c r="N1436" s="11"/>
      <c r="O1436" s="11"/>
      <c r="P1436" s="11" t="s">
        <v>2448</v>
      </c>
      <c r="Q1436" s="11" t="s">
        <v>943</v>
      </c>
      <c r="R1436" s="16" t="s">
        <v>142</v>
      </c>
      <c r="S1436" s="11" t="s">
        <v>2429</v>
      </c>
    </row>
    <row r="1437" spans="1:19" s="20" customFormat="1" ht="21.75" hidden="1" customHeight="1" x14ac:dyDescent="0.2">
      <c r="A1437" s="11" t="s">
        <v>2426</v>
      </c>
      <c r="B1437" s="14"/>
      <c r="C1437" s="18">
        <v>46141</v>
      </c>
      <c r="D1437" s="19">
        <v>24</v>
      </c>
      <c r="E1437" s="209"/>
      <c r="F1437" s="11" t="s">
        <v>18</v>
      </c>
      <c r="G1437" s="14" t="s">
        <v>109</v>
      </c>
      <c r="H1437" s="16" t="s">
        <v>1544</v>
      </c>
      <c r="I1437" s="11" t="s">
        <v>2427</v>
      </c>
      <c r="J1437" s="14">
        <v>20558244870</v>
      </c>
      <c r="K1437" s="14">
        <v>962220504</v>
      </c>
      <c r="L1437" s="11" t="s">
        <v>945</v>
      </c>
      <c r="M1437" s="11" t="s">
        <v>2428</v>
      </c>
      <c r="N1437" s="11"/>
      <c r="O1437" s="11"/>
      <c r="P1437" s="11" t="s">
        <v>2448</v>
      </c>
      <c r="Q1437" s="11" t="s">
        <v>943</v>
      </c>
      <c r="R1437" s="16" t="s">
        <v>142</v>
      </c>
      <c r="S1437" s="11" t="s">
        <v>2429</v>
      </c>
    </row>
    <row r="1438" spans="1:19" s="20" customFormat="1" ht="21.75" hidden="1" customHeight="1" x14ac:dyDescent="0.2">
      <c r="A1438" s="11" t="s">
        <v>2426</v>
      </c>
      <c r="B1438" s="14"/>
      <c r="C1438" s="18">
        <v>46141</v>
      </c>
      <c r="D1438" s="19">
        <v>48</v>
      </c>
      <c r="E1438" s="209"/>
      <c r="F1438" s="11" t="s">
        <v>1546</v>
      </c>
      <c r="G1438" s="14" t="s">
        <v>1549</v>
      </c>
      <c r="H1438" s="16" t="s">
        <v>1544</v>
      </c>
      <c r="I1438" s="11" t="s">
        <v>2427</v>
      </c>
      <c r="J1438" s="14">
        <v>20558244870</v>
      </c>
      <c r="K1438" s="14">
        <v>962220504</v>
      </c>
      <c r="L1438" s="11" t="s">
        <v>945</v>
      </c>
      <c r="M1438" s="11" t="s">
        <v>2428</v>
      </c>
      <c r="N1438" s="11"/>
      <c r="O1438" s="11"/>
      <c r="P1438" s="11" t="s">
        <v>2448</v>
      </c>
      <c r="Q1438" s="11" t="s">
        <v>943</v>
      </c>
      <c r="R1438" s="16" t="s">
        <v>142</v>
      </c>
      <c r="S1438" s="11" t="s">
        <v>2429</v>
      </c>
    </row>
    <row r="1439" spans="1:19" s="20" customFormat="1" ht="21.75" hidden="1" customHeight="1" x14ac:dyDescent="0.2">
      <c r="A1439" s="11" t="s">
        <v>2430</v>
      </c>
      <c r="B1439" s="14"/>
      <c r="C1439" s="18">
        <v>46141</v>
      </c>
      <c r="D1439" s="19">
        <v>60</v>
      </c>
      <c r="E1439" s="209">
        <v>6</v>
      </c>
      <c r="F1439" s="11" t="s">
        <v>155</v>
      </c>
      <c r="G1439" s="14" t="s">
        <v>125</v>
      </c>
      <c r="H1439" s="16" t="s">
        <v>1544</v>
      </c>
      <c r="I1439" s="11" t="s">
        <v>2431</v>
      </c>
      <c r="J1439" s="14">
        <v>20558137950</v>
      </c>
      <c r="K1439" s="14">
        <v>940470808</v>
      </c>
      <c r="L1439" s="11" t="s">
        <v>945</v>
      </c>
      <c r="M1439" s="11" t="s">
        <v>2428</v>
      </c>
      <c r="N1439" s="11"/>
      <c r="O1439" s="11"/>
      <c r="P1439" s="11" t="s">
        <v>2448</v>
      </c>
      <c r="Q1439" s="11" t="s">
        <v>943</v>
      </c>
      <c r="R1439" s="16" t="s">
        <v>142</v>
      </c>
      <c r="S1439" s="11" t="s">
        <v>2432</v>
      </c>
    </row>
    <row r="1440" spans="1:19" s="20" customFormat="1" ht="21.75" hidden="1" customHeight="1" x14ac:dyDescent="0.2">
      <c r="A1440" s="11" t="s">
        <v>2430</v>
      </c>
      <c r="B1440" s="14"/>
      <c r="C1440" s="18">
        <v>46141</v>
      </c>
      <c r="D1440" s="19">
        <v>12</v>
      </c>
      <c r="E1440" s="209"/>
      <c r="F1440" s="11" t="s">
        <v>27</v>
      </c>
      <c r="G1440" s="14" t="s">
        <v>103</v>
      </c>
      <c r="H1440" s="16" t="s">
        <v>1544</v>
      </c>
      <c r="I1440" s="11" t="s">
        <v>2431</v>
      </c>
      <c r="J1440" s="14">
        <v>20558137950</v>
      </c>
      <c r="K1440" s="14">
        <v>940470808</v>
      </c>
      <c r="L1440" s="11" t="s">
        <v>945</v>
      </c>
      <c r="M1440" s="11" t="s">
        <v>2428</v>
      </c>
      <c r="N1440" s="11"/>
      <c r="O1440" s="11"/>
      <c r="P1440" s="11" t="s">
        <v>2448</v>
      </c>
      <c r="Q1440" s="11" t="s">
        <v>943</v>
      </c>
      <c r="R1440" s="16" t="s">
        <v>142</v>
      </c>
      <c r="S1440" s="11" t="s">
        <v>2432</v>
      </c>
    </row>
    <row r="1441" spans="1:19" s="20" customFormat="1" ht="21.75" hidden="1" customHeight="1" x14ac:dyDescent="0.2">
      <c r="A1441" s="11" t="s">
        <v>2430</v>
      </c>
      <c r="B1441" s="14"/>
      <c r="C1441" s="18">
        <v>46141</v>
      </c>
      <c r="D1441" s="19">
        <v>24</v>
      </c>
      <c r="E1441" s="209"/>
      <c r="F1441" s="11" t="s">
        <v>1212</v>
      </c>
      <c r="G1441" s="14" t="s">
        <v>1228</v>
      </c>
      <c r="H1441" s="16" t="s">
        <v>1544</v>
      </c>
      <c r="I1441" s="11" t="s">
        <v>2431</v>
      </c>
      <c r="J1441" s="14">
        <v>20558137950</v>
      </c>
      <c r="K1441" s="14">
        <v>940470808</v>
      </c>
      <c r="L1441" s="11" t="s">
        <v>945</v>
      </c>
      <c r="M1441" s="11" t="s">
        <v>2428</v>
      </c>
      <c r="N1441" s="11"/>
      <c r="O1441" s="11"/>
      <c r="P1441" s="11" t="s">
        <v>2448</v>
      </c>
      <c r="Q1441" s="11" t="s">
        <v>943</v>
      </c>
      <c r="R1441" s="16" t="s">
        <v>142</v>
      </c>
      <c r="S1441" s="11" t="s">
        <v>2432</v>
      </c>
    </row>
    <row r="1442" spans="1:19" s="20" customFormat="1" ht="21.75" hidden="1" customHeight="1" x14ac:dyDescent="0.2">
      <c r="A1442" s="11" t="s">
        <v>2430</v>
      </c>
      <c r="B1442" s="14"/>
      <c r="C1442" s="18">
        <v>46141</v>
      </c>
      <c r="D1442" s="19">
        <v>48</v>
      </c>
      <c r="E1442" s="209"/>
      <c r="F1442" s="11" t="s">
        <v>172</v>
      </c>
      <c r="G1442" s="14" t="s">
        <v>175</v>
      </c>
      <c r="H1442" s="16" t="s">
        <v>1544</v>
      </c>
      <c r="I1442" s="11" t="s">
        <v>2431</v>
      </c>
      <c r="J1442" s="14">
        <v>20558137950</v>
      </c>
      <c r="K1442" s="14">
        <v>940470808</v>
      </c>
      <c r="L1442" s="11" t="s">
        <v>945</v>
      </c>
      <c r="M1442" s="11" t="s">
        <v>2428</v>
      </c>
      <c r="N1442" s="11"/>
      <c r="O1442" s="11"/>
      <c r="P1442" s="11" t="s">
        <v>2448</v>
      </c>
      <c r="Q1442" s="11" t="s">
        <v>943</v>
      </c>
      <c r="R1442" s="16" t="s">
        <v>142</v>
      </c>
      <c r="S1442" s="11" t="s">
        <v>2432</v>
      </c>
    </row>
    <row r="1443" spans="1:19" s="20" customFormat="1" ht="21.75" hidden="1" customHeight="1" x14ac:dyDescent="0.2">
      <c r="A1443" s="11" t="s">
        <v>2430</v>
      </c>
      <c r="B1443" s="14"/>
      <c r="C1443" s="18">
        <v>46141</v>
      </c>
      <c r="D1443" s="19">
        <v>12</v>
      </c>
      <c r="E1443" s="209"/>
      <c r="F1443" s="11" t="s">
        <v>162</v>
      </c>
      <c r="G1443" s="14" t="s">
        <v>163</v>
      </c>
      <c r="H1443" s="16" t="s">
        <v>1544</v>
      </c>
      <c r="I1443" s="11" t="s">
        <v>2431</v>
      </c>
      <c r="J1443" s="14">
        <v>20558137950</v>
      </c>
      <c r="K1443" s="14">
        <v>940470808</v>
      </c>
      <c r="L1443" s="11" t="s">
        <v>945</v>
      </c>
      <c r="M1443" s="11" t="s">
        <v>2428</v>
      </c>
      <c r="N1443" s="11"/>
      <c r="O1443" s="11"/>
      <c r="P1443" s="11" t="s">
        <v>2448</v>
      </c>
      <c r="Q1443" s="11" t="s">
        <v>943</v>
      </c>
      <c r="R1443" s="16" t="s">
        <v>142</v>
      </c>
      <c r="S1443" s="11" t="s">
        <v>2432</v>
      </c>
    </row>
    <row r="1444" spans="1:19" s="20" customFormat="1" ht="21.75" hidden="1" customHeight="1" x14ac:dyDescent="0.2">
      <c r="A1444" s="11" t="s">
        <v>2430</v>
      </c>
      <c r="B1444" s="14"/>
      <c r="C1444" s="18">
        <v>46141</v>
      </c>
      <c r="D1444" s="19">
        <v>4</v>
      </c>
      <c r="E1444" s="209"/>
      <c r="F1444" s="11" t="s">
        <v>40</v>
      </c>
      <c r="G1444" s="14" t="s">
        <v>117</v>
      </c>
      <c r="H1444" s="16" t="s">
        <v>1544</v>
      </c>
      <c r="I1444" s="11" t="s">
        <v>2431</v>
      </c>
      <c r="J1444" s="14">
        <v>20558137950</v>
      </c>
      <c r="K1444" s="14">
        <v>940470808</v>
      </c>
      <c r="L1444" s="11" t="s">
        <v>945</v>
      </c>
      <c r="M1444" s="11" t="s">
        <v>2428</v>
      </c>
      <c r="N1444" s="11"/>
      <c r="O1444" s="11"/>
      <c r="P1444" s="11" t="s">
        <v>2448</v>
      </c>
      <c r="Q1444" s="11" t="s">
        <v>943</v>
      </c>
      <c r="R1444" s="16" t="s">
        <v>142</v>
      </c>
      <c r="S1444" s="11" t="s">
        <v>2432</v>
      </c>
    </row>
    <row r="1445" spans="1:19" s="20" customFormat="1" ht="21.75" hidden="1" customHeight="1" x14ac:dyDescent="0.2">
      <c r="A1445" s="11" t="s">
        <v>2430</v>
      </c>
      <c r="B1445" s="14"/>
      <c r="C1445" s="18">
        <v>46141</v>
      </c>
      <c r="D1445" s="19">
        <v>12</v>
      </c>
      <c r="E1445" s="209"/>
      <c r="F1445" s="11" t="s">
        <v>71</v>
      </c>
      <c r="G1445" s="14" t="s">
        <v>176</v>
      </c>
      <c r="H1445" s="16" t="s">
        <v>1544</v>
      </c>
      <c r="I1445" s="11" t="s">
        <v>2431</v>
      </c>
      <c r="J1445" s="14">
        <v>20558137950</v>
      </c>
      <c r="K1445" s="14">
        <v>940470808</v>
      </c>
      <c r="L1445" s="11" t="s">
        <v>945</v>
      </c>
      <c r="M1445" s="11" t="s">
        <v>2428</v>
      </c>
      <c r="N1445" s="11"/>
      <c r="O1445" s="11"/>
      <c r="P1445" s="11" t="s">
        <v>2448</v>
      </c>
      <c r="Q1445" s="11" t="s">
        <v>943</v>
      </c>
      <c r="R1445" s="16" t="s">
        <v>142</v>
      </c>
      <c r="S1445" s="11" t="s">
        <v>2432</v>
      </c>
    </row>
    <row r="1446" spans="1:19" s="20" customFormat="1" ht="21.75" hidden="1" customHeight="1" x14ac:dyDescent="0.2">
      <c r="A1446" s="11" t="s">
        <v>2433</v>
      </c>
      <c r="B1446" s="14" t="s">
        <v>2450</v>
      </c>
      <c r="C1446" s="18">
        <v>46141</v>
      </c>
      <c r="D1446" s="19">
        <v>1</v>
      </c>
      <c r="E1446" s="19">
        <v>1</v>
      </c>
      <c r="F1446" s="11" t="s">
        <v>2418</v>
      </c>
      <c r="G1446" s="14" t="s">
        <v>2434</v>
      </c>
      <c r="H1446" s="16" t="s">
        <v>99</v>
      </c>
      <c r="I1446" s="11" t="s">
        <v>2435</v>
      </c>
      <c r="J1446" s="14" t="s">
        <v>2436</v>
      </c>
      <c r="K1446" s="14" t="s">
        <v>2451</v>
      </c>
      <c r="L1446" s="11" t="s">
        <v>2449</v>
      </c>
      <c r="M1446" s="11" t="s">
        <v>75</v>
      </c>
      <c r="N1446" s="11"/>
      <c r="O1446" s="11"/>
      <c r="P1446" s="11" t="s">
        <v>2448</v>
      </c>
      <c r="Q1446" s="11"/>
      <c r="R1446" s="11" t="s">
        <v>442</v>
      </c>
      <c r="S1446" s="11" t="s">
        <v>2437</v>
      </c>
    </row>
    <row r="1447" spans="1:19" s="20" customFormat="1" ht="21.75" hidden="1" customHeight="1" x14ac:dyDescent="0.2">
      <c r="A1447" s="11" t="s">
        <v>2438</v>
      </c>
      <c r="B1447" s="14"/>
      <c r="C1447" s="18">
        <v>46141</v>
      </c>
      <c r="D1447" s="19">
        <v>1</v>
      </c>
      <c r="E1447" s="19">
        <v>1</v>
      </c>
      <c r="F1447" s="11" t="s">
        <v>2211</v>
      </c>
      <c r="G1447" s="14" t="s">
        <v>2439</v>
      </c>
      <c r="H1447" s="11" t="s">
        <v>99</v>
      </c>
      <c r="I1447" s="11" t="s">
        <v>2440</v>
      </c>
      <c r="J1447" s="14" t="s">
        <v>2443</v>
      </c>
      <c r="K1447" s="14">
        <v>924701395</v>
      </c>
      <c r="L1447" s="11" t="s">
        <v>2441</v>
      </c>
      <c r="M1447" s="11" t="s">
        <v>299</v>
      </c>
      <c r="N1447" s="11"/>
      <c r="O1447" s="11"/>
      <c r="P1447" s="11" t="s">
        <v>2187</v>
      </c>
      <c r="Q1447" s="11"/>
      <c r="R1447" s="11" t="s">
        <v>820</v>
      </c>
      <c r="S1447" s="11" t="s">
        <v>2442</v>
      </c>
    </row>
    <row r="1448" spans="1:19" s="20" customFormat="1" ht="21.75" hidden="1" customHeight="1" x14ac:dyDescent="0.2">
      <c r="A1448" s="11" t="s">
        <v>2444</v>
      </c>
      <c r="B1448" s="14"/>
      <c r="C1448" s="18">
        <v>46141</v>
      </c>
      <c r="D1448" s="19">
        <v>2</v>
      </c>
      <c r="E1448" s="209">
        <v>4</v>
      </c>
      <c r="F1448" s="11" t="s">
        <v>910</v>
      </c>
      <c r="G1448" s="14" t="s">
        <v>2421</v>
      </c>
      <c r="H1448" s="16" t="s">
        <v>1544</v>
      </c>
      <c r="I1448" s="11" t="s">
        <v>2445</v>
      </c>
      <c r="J1448" s="14">
        <v>20491026741</v>
      </c>
      <c r="K1448" s="14">
        <v>979069303</v>
      </c>
      <c r="L1448" s="11" t="s">
        <v>2137</v>
      </c>
      <c r="M1448" s="11" t="s">
        <v>75</v>
      </c>
      <c r="N1448" s="11"/>
      <c r="O1448" s="11"/>
      <c r="P1448" s="11" t="s">
        <v>2448</v>
      </c>
      <c r="Q1448" s="11" t="s">
        <v>2136</v>
      </c>
      <c r="R1448" s="16" t="s">
        <v>142</v>
      </c>
      <c r="S1448" s="11" t="s">
        <v>2446</v>
      </c>
    </row>
    <row r="1449" spans="1:19" s="20" customFormat="1" ht="21.75" hidden="1" customHeight="1" x14ac:dyDescent="0.2">
      <c r="A1449" s="11" t="s">
        <v>2444</v>
      </c>
      <c r="B1449" s="14"/>
      <c r="C1449" s="18">
        <v>46141</v>
      </c>
      <c r="D1449" s="19">
        <v>2</v>
      </c>
      <c r="E1449" s="209"/>
      <c r="F1449" s="11" t="s">
        <v>1771</v>
      </c>
      <c r="G1449" s="14" t="s">
        <v>2423</v>
      </c>
      <c r="H1449" s="16" t="s">
        <v>1544</v>
      </c>
      <c r="I1449" s="11" t="s">
        <v>2445</v>
      </c>
      <c r="J1449" s="14">
        <v>20491026741</v>
      </c>
      <c r="K1449" s="14">
        <v>979069303</v>
      </c>
      <c r="L1449" s="11" t="s">
        <v>2137</v>
      </c>
      <c r="M1449" s="11" t="s">
        <v>75</v>
      </c>
      <c r="N1449" s="11"/>
      <c r="O1449" s="11"/>
      <c r="P1449" s="11" t="s">
        <v>2448</v>
      </c>
      <c r="Q1449" s="11" t="s">
        <v>2136</v>
      </c>
      <c r="R1449" s="16" t="s">
        <v>142</v>
      </c>
      <c r="S1449" s="11" t="s">
        <v>2446</v>
      </c>
    </row>
    <row r="1450" spans="1:19" s="20" customFormat="1" ht="21.75" hidden="1" customHeight="1" x14ac:dyDescent="0.2">
      <c r="A1450" s="11" t="s">
        <v>2444</v>
      </c>
      <c r="B1450" s="14"/>
      <c r="C1450" s="18">
        <v>46141</v>
      </c>
      <c r="D1450" s="19">
        <v>2</v>
      </c>
      <c r="E1450" s="209"/>
      <c r="F1450" s="11" t="s">
        <v>1769</v>
      </c>
      <c r="G1450" s="14" t="s">
        <v>2422</v>
      </c>
      <c r="H1450" s="16" t="s">
        <v>1544</v>
      </c>
      <c r="I1450" s="11" t="s">
        <v>2445</v>
      </c>
      <c r="J1450" s="14">
        <v>20491026741</v>
      </c>
      <c r="K1450" s="14">
        <v>979069303</v>
      </c>
      <c r="L1450" s="11" t="s">
        <v>2137</v>
      </c>
      <c r="M1450" s="11" t="s">
        <v>75</v>
      </c>
      <c r="N1450" s="11"/>
      <c r="O1450" s="11"/>
      <c r="P1450" s="11" t="s">
        <v>2448</v>
      </c>
      <c r="Q1450" s="11" t="s">
        <v>2136</v>
      </c>
      <c r="R1450" s="16" t="s">
        <v>142</v>
      </c>
      <c r="S1450" s="11" t="s">
        <v>2446</v>
      </c>
    </row>
    <row r="1451" spans="1:19" s="20" customFormat="1" ht="21.75" hidden="1" customHeight="1" x14ac:dyDescent="0.2">
      <c r="A1451" s="11" t="s">
        <v>2444</v>
      </c>
      <c r="B1451" s="14"/>
      <c r="C1451" s="18">
        <v>46141</v>
      </c>
      <c r="D1451" s="19">
        <v>2</v>
      </c>
      <c r="E1451" s="209"/>
      <c r="F1451" s="11" t="s">
        <v>1770</v>
      </c>
      <c r="G1451" s="14" t="s">
        <v>2424</v>
      </c>
      <c r="H1451" s="16" t="s">
        <v>1544</v>
      </c>
      <c r="I1451" s="11" t="s">
        <v>2445</v>
      </c>
      <c r="J1451" s="14">
        <v>20491026741</v>
      </c>
      <c r="K1451" s="14">
        <v>979069303</v>
      </c>
      <c r="L1451" s="11" t="s">
        <v>2137</v>
      </c>
      <c r="M1451" s="11" t="s">
        <v>75</v>
      </c>
      <c r="N1451" s="11"/>
      <c r="O1451" s="11"/>
      <c r="P1451" s="11" t="s">
        <v>2448</v>
      </c>
      <c r="Q1451" s="11" t="s">
        <v>2136</v>
      </c>
      <c r="R1451" s="16" t="s">
        <v>142</v>
      </c>
      <c r="S1451" s="11" t="s">
        <v>2446</v>
      </c>
    </row>
    <row r="1452" spans="1:19" s="20" customFormat="1" ht="21.75" hidden="1" customHeight="1" x14ac:dyDescent="0.2">
      <c r="A1452" s="11" t="s">
        <v>2444</v>
      </c>
      <c r="B1452" s="14"/>
      <c r="C1452" s="18">
        <v>46141</v>
      </c>
      <c r="D1452" s="19">
        <v>3</v>
      </c>
      <c r="E1452" s="209"/>
      <c r="F1452" s="11" t="s">
        <v>908</v>
      </c>
      <c r="G1452" s="14" t="s">
        <v>2037</v>
      </c>
      <c r="H1452" s="16" t="s">
        <v>1544</v>
      </c>
      <c r="I1452" s="11" t="s">
        <v>2445</v>
      </c>
      <c r="J1452" s="14">
        <v>20491026741</v>
      </c>
      <c r="K1452" s="14">
        <v>979069303</v>
      </c>
      <c r="L1452" s="11" t="s">
        <v>2137</v>
      </c>
      <c r="M1452" s="11" t="s">
        <v>75</v>
      </c>
      <c r="N1452" s="11"/>
      <c r="O1452" s="11"/>
      <c r="P1452" s="11" t="s">
        <v>2448</v>
      </c>
      <c r="Q1452" s="11" t="s">
        <v>2136</v>
      </c>
      <c r="R1452" s="16" t="s">
        <v>142</v>
      </c>
      <c r="S1452" s="11" t="s">
        <v>2446</v>
      </c>
    </row>
    <row r="1453" spans="1:19" s="20" customFormat="1" ht="21.75" hidden="1" customHeight="1" x14ac:dyDescent="0.2">
      <c r="A1453" s="16" t="s">
        <v>2452</v>
      </c>
      <c r="B1453" s="21" t="s">
        <v>73</v>
      </c>
      <c r="C1453" s="18">
        <v>46142</v>
      </c>
      <c r="D1453" s="21">
        <v>2</v>
      </c>
      <c r="E1453" s="209">
        <v>8</v>
      </c>
      <c r="F1453" s="16" t="s">
        <v>1132</v>
      </c>
      <c r="G1453" s="16" t="s">
        <v>2034</v>
      </c>
      <c r="H1453" s="16" t="s">
        <v>1544</v>
      </c>
      <c r="I1453" s="16" t="s">
        <v>1122</v>
      </c>
      <c r="J1453" s="21">
        <v>10048263912</v>
      </c>
      <c r="K1453" s="11">
        <v>932251252</v>
      </c>
      <c r="L1453" s="11" t="s">
        <v>2457</v>
      </c>
      <c r="M1453" s="11" t="s">
        <v>391</v>
      </c>
      <c r="N1453" s="11"/>
      <c r="O1453" s="11"/>
      <c r="P1453" s="11"/>
      <c r="Q1453" s="11" t="s">
        <v>2459</v>
      </c>
      <c r="R1453" s="11" t="s">
        <v>2458</v>
      </c>
      <c r="S1453" s="11" t="s">
        <v>2456</v>
      </c>
    </row>
    <row r="1454" spans="1:19" s="20" customFormat="1" ht="21.75" hidden="1" customHeight="1" x14ac:dyDescent="0.2">
      <c r="A1454" s="16" t="s">
        <v>2452</v>
      </c>
      <c r="B1454" s="21" t="s">
        <v>73</v>
      </c>
      <c r="C1454" s="18">
        <v>46142</v>
      </c>
      <c r="D1454" s="21">
        <v>2</v>
      </c>
      <c r="E1454" s="209"/>
      <c r="F1454" s="16" t="s">
        <v>1134</v>
      </c>
      <c r="G1454" s="16" t="s">
        <v>2035</v>
      </c>
      <c r="H1454" s="16" t="s">
        <v>1544</v>
      </c>
      <c r="I1454" s="16" t="s">
        <v>1122</v>
      </c>
      <c r="J1454" s="21">
        <v>10048263912</v>
      </c>
      <c r="K1454" s="11">
        <v>932251252</v>
      </c>
      <c r="L1454" s="11" t="s">
        <v>2457</v>
      </c>
      <c r="M1454" s="11" t="s">
        <v>391</v>
      </c>
      <c r="N1454" s="11"/>
      <c r="O1454" s="11"/>
      <c r="P1454" s="11"/>
      <c r="Q1454" s="11" t="s">
        <v>2459</v>
      </c>
      <c r="R1454" s="11" t="s">
        <v>2458</v>
      </c>
      <c r="S1454" s="11" t="s">
        <v>2456</v>
      </c>
    </row>
    <row r="1455" spans="1:19" s="20" customFormat="1" ht="21.75" hidden="1" customHeight="1" x14ac:dyDescent="0.2">
      <c r="A1455" s="16" t="s">
        <v>2452</v>
      </c>
      <c r="B1455" s="21" t="s">
        <v>73</v>
      </c>
      <c r="C1455" s="18">
        <v>46142</v>
      </c>
      <c r="D1455" s="21">
        <v>2</v>
      </c>
      <c r="E1455" s="209"/>
      <c r="F1455" s="16" t="s">
        <v>1133</v>
      </c>
      <c r="G1455" s="16" t="s">
        <v>2036</v>
      </c>
      <c r="H1455" s="16" t="s">
        <v>1544</v>
      </c>
      <c r="I1455" s="16" t="s">
        <v>1122</v>
      </c>
      <c r="J1455" s="21">
        <v>10048263912</v>
      </c>
      <c r="K1455" s="11">
        <v>932251252</v>
      </c>
      <c r="L1455" s="11" t="s">
        <v>2457</v>
      </c>
      <c r="M1455" s="11" t="s">
        <v>391</v>
      </c>
      <c r="N1455" s="11"/>
      <c r="O1455" s="11"/>
      <c r="P1455" s="11"/>
      <c r="Q1455" s="11" t="s">
        <v>2459</v>
      </c>
      <c r="R1455" s="11" t="s">
        <v>2458</v>
      </c>
      <c r="S1455" s="11" t="s">
        <v>2456</v>
      </c>
    </row>
    <row r="1456" spans="1:19" s="20" customFormat="1" ht="21.75" hidden="1" customHeight="1" x14ac:dyDescent="0.2">
      <c r="A1456" s="16" t="s">
        <v>2452</v>
      </c>
      <c r="B1456" s="21" t="s">
        <v>73</v>
      </c>
      <c r="C1456" s="18">
        <v>46142</v>
      </c>
      <c r="D1456" s="21">
        <v>6</v>
      </c>
      <c r="E1456" s="209"/>
      <c r="F1456" s="16" t="s">
        <v>908</v>
      </c>
      <c r="G1456" s="16" t="s">
        <v>2037</v>
      </c>
      <c r="H1456" s="16" t="s">
        <v>1544</v>
      </c>
      <c r="I1456" s="16" t="s">
        <v>1122</v>
      </c>
      <c r="J1456" s="21">
        <v>10048263912</v>
      </c>
      <c r="K1456" s="11">
        <v>932251252</v>
      </c>
      <c r="L1456" s="11" t="s">
        <v>2457</v>
      </c>
      <c r="M1456" s="11" t="s">
        <v>391</v>
      </c>
      <c r="N1456" s="11"/>
      <c r="O1456" s="11"/>
      <c r="P1456" s="11"/>
      <c r="Q1456" s="11" t="s">
        <v>2459</v>
      </c>
      <c r="R1456" s="11" t="s">
        <v>2458</v>
      </c>
      <c r="S1456" s="11" t="s">
        <v>2456</v>
      </c>
    </row>
    <row r="1457" spans="1:19" s="20" customFormat="1" ht="21.75" hidden="1" customHeight="1" x14ac:dyDescent="0.2">
      <c r="A1457" s="16" t="s">
        <v>2452</v>
      </c>
      <c r="B1457" s="21" t="s">
        <v>73</v>
      </c>
      <c r="C1457" s="18">
        <v>46142</v>
      </c>
      <c r="D1457" s="21">
        <v>6</v>
      </c>
      <c r="E1457" s="209"/>
      <c r="F1457" s="16" t="s">
        <v>909</v>
      </c>
      <c r="G1457" s="16" t="s">
        <v>2038</v>
      </c>
      <c r="H1457" s="16" t="s">
        <v>1544</v>
      </c>
      <c r="I1457" s="16" t="s">
        <v>1122</v>
      </c>
      <c r="J1457" s="21">
        <v>10048263912</v>
      </c>
      <c r="K1457" s="11">
        <v>932251252</v>
      </c>
      <c r="L1457" s="11" t="s">
        <v>2457</v>
      </c>
      <c r="M1457" s="11" t="s">
        <v>391</v>
      </c>
      <c r="N1457" s="11"/>
      <c r="O1457" s="11"/>
      <c r="P1457" s="11"/>
      <c r="Q1457" s="11" t="s">
        <v>2459</v>
      </c>
      <c r="R1457" s="11" t="s">
        <v>2458</v>
      </c>
      <c r="S1457" s="11" t="s">
        <v>2456</v>
      </c>
    </row>
    <row r="1458" spans="1:19" s="20" customFormat="1" ht="21.75" hidden="1" customHeight="1" x14ac:dyDescent="0.2">
      <c r="A1458" s="16" t="s">
        <v>2452</v>
      </c>
      <c r="B1458" s="21" t="s">
        <v>73</v>
      </c>
      <c r="C1458" s="18">
        <v>46142</v>
      </c>
      <c r="D1458" s="21">
        <v>3</v>
      </c>
      <c r="E1458" s="209"/>
      <c r="F1458" s="16" t="s">
        <v>904</v>
      </c>
      <c r="G1458" s="16" t="s">
        <v>2030</v>
      </c>
      <c r="H1458" s="16" t="s">
        <v>1544</v>
      </c>
      <c r="I1458" s="16" t="s">
        <v>1122</v>
      </c>
      <c r="J1458" s="21">
        <v>10048263912</v>
      </c>
      <c r="K1458" s="11">
        <v>932251252</v>
      </c>
      <c r="L1458" s="11" t="s">
        <v>2457</v>
      </c>
      <c r="M1458" s="11" t="s">
        <v>391</v>
      </c>
      <c r="N1458" s="11"/>
      <c r="O1458" s="11"/>
      <c r="P1458" s="11"/>
      <c r="Q1458" s="11" t="s">
        <v>2459</v>
      </c>
      <c r="R1458" s="11" t="s">
        <v>2458</v>
      </c>
      <c r="S1458" s="11" t="s">
        <v>2456</v>
      </c>
    </row>
    <row r="1459" spans="1:19" s="20" customFormat="1" ht="21.75" hidden="1" customHeight="1" x14ac:dyDescent="0.2">
      <c r="A1459" s="16" t="s">
        <v>2452</v>
      </c>
      <c r="B1459" s="21" t="s">
        <v>73</v>
      </c>
      <c r="C1459" s="18">
        <v>46142</v>
      </c>
      <c r="D1459" s="21">
        <v>3</v>
      </c>
      <c r="E1459" s="209"/>
      <c r="F1459" s="16" t="s">
        <v>905</v>
      </c>
      <c r="G1459" s="16" t="s">
        <v>2031</v>
      </c>
      <c r="H1459" s="16" t="s">
        <v>1544</v>
      </c>
      <c r="I1459" s="16" t="s">
        <v>1122</v>
      </c>
      <c r="J1459" s="21">
        <v>10048263912</v>
      </c>
      <c r="K1459" s="11">
        <v>932251252</v>
      </c>
      <c r="L1459" s="11" t="s">
        <v>2457</v>
      </c>
      <c r="M1459" s="11" t="s">
        <v>391</v>
      </c>
      <c r="N1459" s="11"/>
      <c r="O1459" s="11"/>
      <c r="P1459" s="11"/>
      <c r="Q1459" s="11" t="s">
        <v>2459</v>
      </c>
      <c r="R1459" s="11" t="s">
        <v>2458</v>
      </c>
      <c r="S1459" s="11" t="s">
        <v>2456</v>
      </c>
    </row>
    <row r="1460" spans="1:19" s="20" customFormat="1" ht="21.75" hidden="1" customHeight="1" x14ac:dyDescent="0.2">
      <c r="A1460" s="16" t="s">
        <v>2452</v>
      </c>
      <c r="B1460" s="21" t="s">
        <v>73</v>
      </c>
      <c r="C1460" s="18">
        <v>46142</v>
      </c>
      <c r="D1460" s="21">
        <v>3</v>
      </c>
      <c r="E1460" s="209"/>
      <c r="F1460" s="16" t="s">
        <v>1302</v>
      </c>
      <c r="G1460" s="16" t="s">
        <v>2054</v>
      </c>
      <c r="H1460" s="16" t="s">
        <v>1544</v>
      </c>
      <c r="I1460" s="16" t="s">
        <v>1122</v>
      </c>
      <c r="J1460" s="21">
        <v>10048263912</v>
      </c>
      <c r="K1460" s="11">
        <v>932251252</v>
      </c>
      <c r="L1460" s="11" t="s">
        <v>2457</v>
      </c>
      <c r="M1460" s="11" t="s">
        <v>391</v>
      </c>
      <c r="N1460" s="11"/>
      <c r="O1460" s="11"/>
      <c r="P1460" s="11"/>
      <c r="Q1460" s="11" t="s">
        <v>2459</v>
      </c>
      <c r="R1460" s="11" t="s">
        <v>2458</v>
      </c>
      <c r="S1460" s="11" t="s">
        <v>2456</v>
      </c>
    </row>
    <row r="1461" spans="1:19" s="20" customFormat="1" ht="21.75" hidden="1" customHeight="1" x14ac:dyDescent="0.2">
      <c r="A1461" s="16" t="s">
        <v>2452</v>
      </c>
      <c r="B1461" s="21" t="s">
        <v>73</v>
      </c>
      <c r="C1461" s="18">
        <v>46142</v>
      </c>
      <c r="D1461" s="21">
        <v>3</v>
      </c>
      <c r="E1461" s="209"/>
      <c r="F1461" s="16" t="s">
        <v>1303</v>
      </c>
      <c r="G1461" s="16" t="s">
        <v>2055</v>
      </c>
      <c r="H1461" s="16" t="s">
        <v>1544</v>
      </c>
      <c r="I1461" s="16" t="s">
        <v>1122</v>
      </c>
      <c r="J1461" s="21">
        <v>10048263912</v>
      </c>
      <c r="K1461" s="11">
        <v>932251252</v>
      </c>
      <c r="L1461" s="11" t="s">
        <v>2457</v>
      </c>
      <c r="M1461" s="11" t="s">
        <v>391</v>
      </c>
      <c r="N1461" s="11"/>
      <c r="O1461" s="11"/>
      <c r="P1461" s="11"/>
      <c r="Q1461" s="11" t="s">
        <v>2459</v>
      </c>
      <c r="R1461" s="11" t="s">
        <v>2458</v>
      </c>
      <c r="S1461" s="11" t="s">
        <v>2456</v>
      </c>
    </row>
    <row r="1462" spans="1:19" s="20" customFormat="1" ht="21.75" hidden="1" customHeight="1" x14ac:dyDescent="0.2">
      <c r="A1462" s="11" t="s">
        <v>2462</v>
      </c>
      <c r="B1462" s="21" t="s">
        <v>73</v>
      </c>
      <c r="C1462" s="18">
        <v>46142</v>
      </c>
      <c r="D1462" s="174">
        <v>1</v>
      </c>
      <c r="E1462" s="208">
        <v>1</v>
      </c>
      <c r="F1462" s="159" t="s">
        <v>353</v>
      </c>
      <c r="G1462" s="159" t="s">
        <v>365</v>
      </c>
      <c r="H1462" s="176" t="s">
        <v>99</v>
      </c>
      <c r="I1462" s="11" t="s">
        <v>2460</v>
      </c>
      <c r="J1462" s="174">
        <v>20600675550</v>
      </c>
      <c r="K1462" s="11">
        <v>941658488</v>
      </c>
      <c r="L1462" s="11" t="s">
        <v>2468</v>
      </c>
      <c r="M1462" s="11" t="s">
        <v>392</v>
      </c>
      <c r="N1462" s="11"/>
      <c r="O1462" s="11"/>
      <c r="P1462" s="11"/>
      <c r="Q1462" s="11"/>
      <c r="R1462" s="11" t="s">
        <v>933</v>
      </c>
      <c r="S1462" s="159" t="s">
        <v>2461</v>
      </c>
    </row>
    <row r="1463" spans="1:19" s="20" customFormat="1" ht="21.75" hidden="1" customHeight="1" x14ac:dyDescent="0.2">
      <c r="A1463" s="11" t="s">
        <v>2462</v>
      </c>
      <c r="B1463" s="21" t="s">
        <v>73</v>
      </c>
      <c r="C1463" s="18">
        <v>46142</v>
      </c>
      <c r="D1463" s="174">
        <v>1</v>
      </c>
      <c r="E1463" s="208"/>
      <c r="F1463" s="159" t="s">
        <v>17</v>
      </c>
      <c r="G1463" s="159" t="s">
        <v>91</v>
      </c>
      <c r="H1463" s="176" t="s">
        <v>99</v>
      </c>
      <c r="I1463" s="11" t="s">
        <v>2460</v>
      </c>
      <c r="J1463" s="174">
        <v>20600675550</v>
      </c>
      <c r="K1463" s="11">
        <v>941658488</v>
      </c>
      <c r="L1463" s="11" t="s">
        <v>2468</v>
      </c>
      <c r="M1463" s="11" t="s">
        <v>392</v>
      </c>
      <c r="N1463" s="11"/>
      <c r="O1463" s="11"/>
      <c r="P1463" s="11"/>
      <c r="Q1463" s="11"/>
      <c r="R1463" s="11" t="s">
        <v>933</v>
      </c>
      <c r="S1463" s="159" t="s">
        <v>2461</v>
      </c>
    </row>
    <row r="1464" spans="1:19" s="20" customFormat="1" ht="21.75" hidden="1" customHeight="1" x14ac:dyDescent="0.2">
      <c r="A1464" s="11" t="s">
        <v>2453</v>
      </c>
      <c r="B1464" s="21" t="s">
        <v>73</v>
      </c>
      <c r="C1464" s="18">
        <v>46142</v>
      </c>
      <c r="D1464" s="175">
        <v>5</v>
      </c>
      <c r="E1464" s="209">
        <v>11</v>
      </c>
      <c r="F1464" s="94" t="s">
        <v>908</v>
      </c>
      <c r="G1464" s="94" t="s">
        <v>2037</v>
      </c>
      <c r="H1464" s="177" t="s">
        <v>129</v>
      </c>
      <c r="I1464" s="94" t="s">
        <v>2454</v>
      </c>
      <c r="J1464" s="178">
        <v>20601485754</v>
      </c>
      <c r="K1464" s="11">
        <v>982619881</v>
      </c>
      <c r="L1464" s="11" t="s">
        <v>1281</v>
      </c>
      <c r="M1464" s="11" t="s">
        <v>75</v>
      </c>
      <c r="N1464" s="11"/>
      <c r="O1464" s="11"/>
      <c r="P1464" s="11"/>
      <c r="Q1464" s="11" t="s">
        <v>1286</v>
      </c>
      <c r="R1464" s="11" t="s">
        <v>2458</v>
      </c>
      <c r="S1464" s="94" t="s">
        <v>2463</v>
      </c>
    </row>
    <row r="1465" spans="1:19" s="20" customFormat="1" ht="21.75" hidden="1" customHeight="1" x14ac:dyDescent="0.2">
      <c r="A1465" s="11" t="s">
        <v>2453</v>
      </c>
      <c r="B1465" s="21" t="s">
        <v>73</v>
      </c>
      <c r="C1465" s="18">
        <v>46142</v>
      </c>
      <c r="D1465" s="175">
        <v>5</v>
      </c>
      <c r="E1465" s="209"/>
      <c r="F1465" s="94" t="s">
        <v>909</v>
      </c>
      <c r="G1465" s="94" t="s">
        <v>2038</v>
      </c>
      <c r="H1465" s="177" t="s">
        <v>129</v>
      </c>
      <c r="I1465" s="94" t="s">
        <v>2454</v>
      </c>
      <c r="J1465" s="178">
        <v>20601485754</v>
      </c>
      <c r="K1465" s="11">
        <v>982619881</v>
      </c>
      <c r="L1465" s="11" t="s">
        <v>1281</v>
      </c>
      <c r="M1465" s="11" t="s">
        <v>75</v>
      </c>
      <c r="N1465" s="11"/>
      <c r="O1465" s="11"/>
      <c r="P1465" s="11"/>
      <c r="Q1465" s="11" t="s">
        <v>1286</v>
      </c>
      <c r="R1465" s="11" t="s">
        <v>2458</v>
      </c>
      <c r="S1465" s="94" t="s">
        <v>2463</v>
      </c>
    </row>
    <row r="1466" spans="1:19" s="20" customFormat="1" ht="21.75" hidden="1" customHeight="1" x14ac:dyDescent="0.2">
      <c r="A1466" s="11" t="s">
        <v>2453</v>
      </c>
      <c r="B1466" s="21" t="s">
        <v>73</v>
      </c>
      <c r="C1466" s="18">
        <v>46142</v>
      </c>
      <c r="D1466" s="175">
        <v>5</v>
      </c>
      <c r="E1466" s="209"/>
      <c r="F1466" s="94" t="s">
        <v>906</v>
      </c>
      <c r="G1466" s="94" t="s">
        <v>2032</v>
      </c>
      <c r="H1466" s="177" t="s">
        <v>129</v>
      </c>
      <c r="I1466" s="94" t="s">
        <v>2454</v>
      </c>
      <c r="J1466" s="178">
        <v>20601485754</v>
      </c>
      <c r="K1466" s="11">
        <v>982619881</v>
      </c>
      <c r="L1466" s="11" t="s">
        <v>1281</v>
      </c>
      <c r="M1466" s="11" t="s">
        <v>75</v>
      </c>
      <c r="N1466" s="11"/>
      <c r="O1466" s="11"/>
      <c r="P1466" s="11"/>
      <c r="Q1466" s="11" t="s">
        <v>1286</v>
      </c>
      <c r="R1466" s="11" t="s">
        <v>2458</v>
      </c>
      <c r="S1466" s="94" t="s">
        <v>2463</v>
      </c>
    </row>
    <row r="1467" spans="1:19" s="20" customFormat="1" ht="21.75" hidden="1" customHeight="1" x14ac:dyDescent="0.2">
      <c r="A1467" s="11" t="s">
        <v>2453</v>
      </c>
      <c r="B1467" s="21" t="s">
        <v>73</v>
      </c>
      <c r="C1467" s="18">
        <v>46142</v>
      </c>
      <c r="D1467" s="175">
        <v>5</v>
      </c>
      <c r="E1467" s="209"/>
      <c r="F1467" s="94" t="s">
        <v>907</v>
      </c>
      <c r="G1467" s="94" t="s">
        <v>2033</v>
      </c>
      <c r="H1467" s="177" t="s">
        <v>129</v>
      </c>
      <c r="I1467" s="94" t="s">
        <v>2454</v>
      </c>
      <c r="J1467" s="178">
        <v>20601485754</v>
      </c>
      <c r="K1467" s="11">
        <v>982619881</v>
      </c>
      <c r="L1467" s="11" t="s">
        <v>1281</v>
      </c>
      <c r="M1467" s="11" t="s">
        <v>75</v>
      </c>
      <c r="N1467" s="11"/>
      <c r="O1467" s="11"/>
      <c r="P1467" s="11"/>
      <c r="Q1467" s="11" t="s">
        <v>1286</v>
      </c>
      <c r="R1467" s="11" t="s">
        <v>2458</v>
      </c>
      <c r="S1467" s="94" t="s">
        <v>2463</v>
      </c>
    </row>
    <row r="1468" spans="1:19" s="20" customFormat="1" ht="21.75" hidden="1" customHeight="1" x14ac:dyDescent="0.2">
      <c r="A1468" s="11" t="s">
        <v>2453</v>
      </c>
      <c r="B1468" s="21" t="s">
        <v>73</v>
      </c>
      <c r="C1468" s="18">
        <v>46142</v>
      </c>
      <c r="D1468" s="175">
        <v>4</v>
      </c>
      <c r="E1468" s="209"/>
      <c r="F1468" s="94" t="s">
        <v>1132</v>
      </c>
      <c r="G1468" s="94" t="s">
        <v>2034</v>
      </c>
      <c r="H1468" s="177" t="s">
        <v>129</v>
      </c>
      <c r="I1468" s="94" t="s">
        <v>2454</v>
      </c>
      <c r="J1468" s="178">
        <v>20601485754</v>
      </c>
      <c r="K1468" s="11">
        <v>982619881</v>
      </c>
      <c r="L1468" s="11" t="s">
        <v>1281</v>
      </c>
      <c r="M1468" s="11" t="s">
        <v>75</v>
      </c>
      <c r="N1468" s="11"/>
      <c r="O1468" s="11"/>
      <c r="P1468" s="11"/>
      <c r="Q1468" s="11" t="s">
        <v>1286</v>
      </c>
      <c r="R1468" s="11" t="s">
        <v>2458</v>
      </c>
      <c r="S1468" s="94" t="s">
        <v>2463</v>
      </c>
    </row>
    <row r="1469" spans="1:19" s="20" customFormat="1" ht="21.75" hidden="1" customHeight="1" x14ac:dyDescent="0.2">
      <c r="A1469" s="11" t="s">
        <v>2453</v>
      </c>
      <c r="B1469" s="21" t="s">
        <v>73</v>
      </c>
      <c r="C1469" s="18">
        <v>46142</v>
      </c>
      <c r="D1469" s="175">
        <v>4</v>
      </c>
      <c r="E1469" s="209"/>
      <c r="F1469" s="94" t="s">
        <v>1134</v>
      </c>
      <c r="G1469" s="94" t="s">
        <v>2035</v>
      </c>
      <c r="H1469" s="177" t="s">
        <v>129</v>
      </c>
      <c r="I1469" s="94" t="s">
        <v>2454</v>
      </c>
      <c r="J1469" s="178">
        <v>20601485754</v>
      </c>
      <c r="K1469" s="11">
        <v>982619881</v>
      </c>
      <c r="L1469" s="11" t="s">
        <v>1281</v>
      </c>
      <c r="M1469" s="11" t="s">
        <v>75</v>
      </c>
      <c r="N1469" s="11"/>
      <c r="O1469" s="11"/>
      <c r="P1469" s="11"/>
      <c r="Q1469" s="11" t="s">
        <v>1286</v>
      </c>
      <c r="R1469" s="11" t="s">
        <v>2458</v>
      </c>
      <c r="S1469" s="94" t="s">
        <v>2463</v>
      </c>
    </row>
    <row r="1470" spans="1:19" s="20" customFormat="1" ht="21.75" hidden="1" customHeight="1" x14ac:dyDescent="0.2">
      <c r="A1470" s="11" t="s">
        <v>2453</v>
      </c>
      <c r="B1470" s="21" t="s">
        <v>73</v>
      </c>
      <c r="C1470" s="18">
        <v>46142</v>
      </c>
      <c r="D1470" s="175">
        <v>4</v>
      </c>
      <c r="E1470" s="209"/>
      <c r="F1470" s="94" t="s">
        <v>1133</v>
      </c>
      <c r="G1470" s="94" t="s">
        <v>2036</v>
      </c>
      <c r="H1470" s="177" t="s">
        <v>129</v>
      </c>
      <c r="I1470" s="94" t="s">
        <v>2454</v>
      </c>
      <c r="J1470" s="178">
        <v>20601485754</v>
      </c>
      <c r="K1470" s="11">
        <v>982619881</v>
      </c>
      <c r="L1470" s="11" t="s">
        <v>1281</v>
      </c>
      <c r="M1470" s="11" t="s">
        <v>75</v>
      </c>
      <c r="N1470" s="11"/>
      <c r="O1470" s="11"/>
      <c r="P1470" s="11"/>
      <c r="Q1470" s="11" t="s">
        <v>1286</v>
      </c>
      <c r="R1470" s="11" t="s">
        <v>2458</v>
      </c>
      <c r="S1470" s="94" t="s">
        <v>2463</v>
      </c>
    </row>
    <row r="1471" spans="1:19" s="20" customFormat="1" ht="21.75" hidden="1" customHeight="1" x14ac:dyDescent="0.2">
      <c r="A1471" s="11" t="s">
        <v>2453</v>
      </c>
      <c r="B1471" s="21" t="s">
        <v>73</v>
      </c>
      <c r="C1471" s="18">
        <v>46142</v>
      </c>
      <c r="D1471" s="175">
        <v>6</v>
      </c>
      <c r="E1471" s="209"/>
      <c r="F1471" s="94" t="s">
        <v>904</v>
      </c>
      <c r="G1471" s="94" t="s">
        <v>2030</v>
      </c>
      <c r="H1471" s="177" t="s">
        <v>129</v>
      </c>
      <c r="I1471" s="94" t="s">
        <v>2454</v>
      </c>
      <c r="J1471" s="178">
        <v>20601485754</v>
      </c>
      <c r="K1471" s="11">
        <v>982619881</v>
      </c>
      <c r="L1471" s="11" t="s">
        <v>1281</v>
      </c>
      <c r="M1471" s="11" t="s">
        <v>75</v>
      </c>
      <c r="N1471" s="11"/>
      <c r="O1471" s="11"/>
      <c r="P1471" s="11"/>
      <c r="Q1471" s="11" t="s">
        <v>1286</v>
      </c>
      <c r="R1471" s="11" t="s">
        <v>2458</v>
      </c>
      <c r="S1471" s="94" t="s">
        <v>2463</v>
      </c>
    </row>
    <row r="1472" spans="1:19" s="20" customFormat="1" ht="21.75" hidden="1" customHeight="1" x14ac:dyDescent="0.2">
      <c r="A1472" s="11" t="s">
        <v>2453</v>
      </c>
      <c r="B1472" s="21" t="s">
        <v>73</v>
      </c>
      <c r="C1472" s="18">
        <v>46142</v>
      </c>
      <c r="D1472" s="175">
        <v>6</v>
      </c>
      <c r="E1472" s="209"/>
      <c r="F1472" s="94" t="s">
        <v>905</v>
      </c>
      <c r="G1472" s="94" t="s">
        <v>2031</v>
      </c>
      <c r="H1472" s="177" t="s">
        <v>129</v>
      </c>
      <c r="I1472" s="94" t="s">
        <v>2454</v>
      </c>
      <c r="J1472" s="178">
        <v>20601485754</v>
      </c>
      <c r="K1472" s="11">
        <v>982619881</v>
      </c>
      <c r="L1472" s="11" t="s">
        <v>1281</v>
      </c>
      <c r="M1472" s="11" t="s">
        <v>75</v>
      </c>
      <c r="N1472" s="11"/>
      <c r="O1472" s="11"/>
      <c r="P1472" s="11"/>
      <c r="Q1472" s="11" t="s">
        <v>1286</v>
      </c>
      <c r="R1472" s="11" t="s">
        <v>2458</v>
      </c>
      <c r="S1472" s="94" t="s">
        <v>2463</v>
      </c>
    </row>
    <row r="1473" spans="1:19" s="20" customFormat="1" ht="21.75" hidden="1" customHeight="1" x14ac:dyDescent="0.2">
      <c r="A1473" s="11" t="s">
        <v>2453</v>
      </c>
      <c r="B1473" s="21" t="s">
        <v>73</v>
      </c>
      <c r="C1473" s="18">
        <v>46142</v>
      </c>
      <c r="D1473" s="175">
        <v>6</v>
      </c>
      <c r="E1473" s="209"/>
      <c r="F1473" s="94" t="s">
        <v>1302</v>
      </c>
      <c r="G1473" s="94" t="s">
        <v>2054</v>
      </c>
      <c r="H1473" s="177" t="s">
        <v>129</v>
      </c>
      <c r="I1473" s="94" t="s">
        <v>2454</v>
      </c>
      <c r="J1473" s="178">
        <v>20601485754</v>
      </c>
      <c r="K1473" s="11">
        <v>982619881</v>
      </c>
      <c r="L1473" s="11" t="s">
        <v>1281</v>
      </c>
      <c r="M1473" s="11" t="s">
        <v>75</v>
      </c>
      <c r="N1473" s="11"/>
      <c r="O1473" s="11"/>
      <c r="P1473" s="11"/>
      <c r="Q1473" s="11" t="s">
        <v>1286</v>
      </c>
      <c r="R1473" s="11" t="s">
        <v>2458</v>
      </c>
      <c r="S1473" s="94" t="s">
        <v>2463</v>
      </c>
    </row>
    <row r="1474" spans="1:19" s="20" customFormat="1" ht="21.75" hidden="1" customHeight="1" x14ac:dyDescent="0.2">
      <c r="A1474" s="11" t="s">
        <v>2453</v>
      </c>
      <c r="B1474" s="21" t="s">
        <v>73</v>
      </c>
      <c r="C1474" s="18">
        <v>46142</v>
      </c>
      <c r="D1474" s="175">
        <v>6</v>
      </c>
      <c r="E1474" s="209"/>
      <c r="F1474" s="94" t="s">
        <v>1303</v>
      </c>
      <c r="G1474" s="94" t="s">
        <v>2055</v>
      </c>
      <c r="H1474" s="177" t="s">
        <v>129</v>
      </c>
      <c r="I1474" s="94" t="s">
        <v>2454</v>
      </c>
      <c r="J1474" s="178">
        <v>20601485754</v>
      </c>
      <c r="K1474" s="11">
        <v>982619881</v>
      </c>
      <c r="L1474" s="11" t="s">
        <v>1281</v>
      </c>
      <c r="M1474" s="11" t="s">
        <v>75</v>
      </c>
      <c r="N1474" s="11"/>
      <c r="O1474" s="11"/>
      <c r="P1474" s="11"/>
      <c r="Q1474" s="11" t="s">
        <v>1286</v>
      </c>
      <c r="R1474" s="11" t="s">
        <v>2458</v>
      </c>
      <c r="S1474" s="94" t="s">
        <v>2463</v>
      </c>
    </row>
    <row r="1475" spans="1:19" s="20" customFormat="1" ht="21.75" hidden="1" customHeight="1" x14ac:dyDescent="0.2">
      <c r="A1475" s="11" t="s">
        <v>2453</v>
      </c>
      <c r="B1475" s="21" t="s">
        <v>73</v>
      </c>
      <c r="C1475" s="18">
        <v>46142</v>
      </c>
      <c r="D1475" s="175">
        <v>3</v>
      </c>
      <c r="E1475" s="209"/>
      <c r="F1475" s="94" t="s">
        <v>910</v>
      </c>
      <c r="G1475" s="94" t="s">
        <v>2421</v>
      </c>
      <c r="H1475" s="177" t="s">
        <v>129</v>
      </c>
      <c r="I1475" s="94" t="s">
        <v>2454</v>
      </c>
      <c r="J1475" s="178">
        <v>20601485754</v>
      </c>
      <c r="K1475" s="11">
        <v>982619881</v>
      </c>
      <c r="L1475" s="11" t="s">
        <v>1281</v>
      </c>
      <c r="M1475" s="11" t="s">
        <v>75</v>
      </c>
      <c r="N1475" s="11"/>
      <c r="O1475" s="11"/>
      <c r="P1475" s="11"/>
      <c r="Q1475" s="11" t="s">
        <v>1286</v>
      </c>
      <c r="R1475" s="11" t="s">
        <v>2458</v>
      </c>
      <c r="S1475" s="94" t="s">
        <v>2463</v>
      </c>
    </row>
    <row r="1476" spans="1:19" s="20" customFormat="1" ht="21.75" hidden="1" customHeight="1" x14ac:dyDescent="0.2">
      <c r="A1476" s="11" t="s">
        <v>2453</v>
      </c>
      <c r="B1476" s="21" t="s">
        <v>73</v>
      </c>
      <c r="C1476" s="18">
        <v>46142</v>
      </c>
      <c r="D1476" s="175">
        <v>3</v>
      </c>
      <c r="E1476" s="209"/>
      <c r="F1476" s="94" t="s">
        <v>1771</v>
      </c>
      <c r="G1476" s="94" t="s">
        <v>2423</v>
      </c>
      <c r="H1476" s="177" t="s">
        <v>129</v>
      </c>
      <c r="I1476" s="94" t="s">
        <v>2454</v>
      </c>
      <c r="J1476" s="178">
        <v>20601485754</v>
      </c>
      <c r="K1476" s="11">
        <v>982619881</v>
      </c>
      <c r="L1476" s="11" t="s">
        <v>1281</v>
      </c>
      <c r="M1476" s="11" t="s">
        <v>75</v>
      </c>
      <c r="N1476" s="11"/>
      <c r="O1476" s="11"/>
      <c r="P1476" s="11"/>
      <c r="Q1476" s="11" t="s">
        <v>1286</v>
      </c>
      <c r="R1476" s="11" t="s">
        <v>2458</v>
      </c>
      <c r="S1476" s="94" t="s">
        <v>2463</v>
      </c>
    </row>
    <row r="1477" spans="1:19" s="20" customFormat="1" ht="21.75" hidden="1" customHeight="1" x14ac:dyDescent="0.2">
      <c r="A1477" s="11" t="s">
        <v>2453</v>
      </c>
      <c r="B1477" s="21" t="s">
        <v>73</v>
      </c>
      <c r="C1477" s="18">
        <v>46142</v>
      </c>
      <c r="D1477" s="175">
        <v>10</v>
      </c>
      <c r="E1477" s="209"/>
      <c r="F1477" s="94" t="s">
        <v>1301</v>
      </c>
      <c r="G1477" s="94" t="s">
        <v>2455</v>
      </c>
      <c r="H1477" s="177" t="s">
        <v>129</v>
      </c>
      <c r="I1477" s="94" t="s">
        <v>2454</v>
      </c>
      <c r="J1477" s="178">
        <v>20601485754</v>
      </c>
      <c r="K1477" s="11">
        <v>982619881</v>
      </c>
      <c r="L1477" s="11" t="s">
        <v>1281</v>
      </c>
      <c r="M1477" s="11" t="s">
        <v>75</v>
      </c>
      <c r="N1477" s="11"/>
      <c r="O1477" s="11"/>
      <c r="P1477" s="11"/>
      <c r="Q1477" s="11" t="s">
        <v>1286</v>
      </c>
      <c r="R1477" s="11" t="s">
        <v>2458</v>
      </c>
      <c r="S1477" s="94" t="s">
        <v>2463</v>
      </c>
    </row>
    <row r="1478" spans="1:19" s="20" customFormat="1" ht="21.75" hidden="1" customHeight="1" x14ac:dyDescent="0.2">
      <c r="A1478" s="11" t="s">
        <v>2467</v>
      </c>
      <c r="B1478" s="21" t="s">
        <v>73</v>
      </c>
      <c r="C1478" s="18">
        <v>46142</v>
      </c>
      <c r="D1478" s="175">
        <v>3</v>
      </c>
      <c r="E1478" s="205">
        <v>7</v>
      </c>
      <c r="F1478" s="94" t="s">
        <v>908</v>
      </c>
      <c r="G1478" s="94" t="s">
        <v>2037</v>
      </c>
      <c r="H1478" s="177" t="s">
        <v>129</v>
      </c>
      <c r="I1478" s="94" t="s">
        <v>2464</v>
      </c>
      <c r="J1478" s="178">
        <v>20564098826</v>
      </c>
      <c r="K1478" s="11">
        <v>942424234</v>
      </c>
      <c r="L1478" s="11" t="s">
        <v>2471</v>
      </c>
      <c r="M1478" s="11" t="s">
        <v>75</v>
      </c>
      <c r="N1478" s="11"/>
      <c r="O1478" s="11"/>
      <c r="P1478" s="11"/>
      <c r="Q1478" s="11" t="s">
        <v>2469</v>
      </c>
      <c r="R1478" s="11" t="s">
        <v>2458</v>
      </c>
      <c r="S1478" s="94" t="s">
        <v>2470</v>
      </c>
    </row>
    <row r="1479" spans="1:19" s="20" customFormat="1" ht="21.75" hidden="1" customHeight="1" x14ac:dyDescent="0.2">
      <c r="A1479" s="11" t="s">
        <v>2467</v>
      </c>
      <c r="B1479" s="21" t="s">
        <v>73</v>
      </c>
      <c r="C1479" s="18">
        <v>46142</v>
      </c>
      <c r="D1479" s="175">
        <v>3</v>
      </c>
      <c r="E1479" s="206"/>
      <c r="F1479" s="94" t="s">
        <v>909</v>
      </c>
      <c r="G1479" s="94" t="s">
        <v>2038</v>
      </c>
      <c r="H1479" s="177" t="s">
        <v>129</v>
      </c>
      <c r="I1479" s="94" t="s">
        <v>2464</v>
      </c>
      <c r="J1479" s="178">
        <v>20564098826</v>
      </c>
      <c r="K1479" s="11">
        <v>942424234</v>
      </c>
      <c r="L1479" s="11" t="s">
        <v>2471</v>
      </c>
      <c r="M1479" s="11" t="s">
        <v>75</v>
      </c>
      <c r="N1479" s="11"/>
      <c r="O1479" s="11"/>
      <c r="P1479" s="11"/>
      <c r="Q1479" s="11" t="s">
        <v>2469</v>
      </c>
      <c r="R1479" s="11" t="s">
        <v>2458</v>
      </c>
      <c r="S1479" s="94" t="s">
        <v>2470</v>
      </c>
    </row>
    <row r="1480" spans="1:19" s="20" customFormat="1" ht="21.75" hidden="1" customHeight="1" x14ac:dyDescent="0.2">
      <c r="A1480" s="11" t="s">
        <v>2467</v>
      </c>
      <c r="B1480" s="21" t="s">
        <v>73</v>
      </c>
      <c r="C1480" s="18">
        <v>46142</v>
      </c>
      <c r="D1480" s="175">
        <v>3</v>
      </c>
      <c r="E1480" s="206"/>
      <c r="F1480" s="94" t="s">
        <v>906</v>
      </c>
      <c r="G1480" s="94" t="s">
        <v>2032</v>
      </c>
      <c r="H1480" s="177" t="s">
        <v>129</v>
      </c>
      <c r="I1480" s="94" t="s">
        <v>2464</v>
      </c>
      <c r="J1480" s="178">
        <v>20564098826</v>
      </c>
      <c r="K1480" s="11">
        <v>942424234</v>
      </c>
      <c r="L1480" s="11" t="s">
        <v>2471</v>
      </c>
      <c r="M1480" s="11" t="s">
        <v>75</v>
      </c>
      <c r="N1480" s="11"/>
      <c r="O1480" s="11"/>
      <c r="P1480" s="11"/>
      <c r="Q1480" s="11" t="s">
        <v>2469</v>
      </c>
      <c r="R1480" s="11" t="s">
        <v>2458</v>
      </c>
      <c r="S1480" s="94" t="s">
        <v>2470</v>
      </c>
    </row>
    <row r="1481" spans="1:19" s="20" customFormat="1" ht="21.75" hidden="1" customHeight="1" x14ac:dyDescent="0.2">
      <c r="A1481" s="11" t="s">
        <v>2467</v>
      </c>
      <c r="B1481" s="21" t="s">
        <v>73</v>
      </c>
      <c r="C1481" s="18">
        <v>46142</v>
      </c>
      <c r="D1481" s="175">
        <v>3</v>
      </c>
      <c r="E1481" s="206"/>
      <c r="F1481" s="94" t="s">
        <v>907</v>
      </c>
      <c r="G1481" s="94" t="s">
        <v>2033</v>
      </c>
      <c r="H1481" s="177" t="s">
        <v>129</v>
      </c>
      <c r="I1481" s="94" t="s">
        <v>2464</v>
      </c>
      <c r="J1481" s="178">
        <v>20564098826</v>
      </c>
      <c r="K1481" s="11">
        <v>942424234</v>
      </c>
      <c r="L1481" s="11" t="s">
        <v>2471</v>
      </c>
      <c r="M1481" s="11" t="s">
        <v>75</v>
      </c>
      <c r="N1481" s="11"/>
      <c r="O1481" s="11"/>
      <c r="P1481" s="11"/>
      <c r="Q1481" s="11" t="s">
        <v>2469</v>
      </c>
      <c r="R1481" s="11" t="s">
        <v>2458</v>
      </c>
      <c r="S1481" s="94" t="s">
        <v>2470</v>
      </c>
    </row>
    <row r="1482" spans="1:19" s="20" customFormat="1" ht="21.75" hidden="1" customHeight="1" x14ac:dyDescent="0.2">
      <c r="A1482" s="11" t="s">
        <v>2467</v>
      </c>
      <c r="B1482" s="21" t="s">
        <v>73</v>
      </c>
      <c r="C1482" s="18">
        <v>46142</v>
      </c>
      <c r="D1482" s="175">
        <v>2</v>
      </c>
      <c r="E1482" s="206"/>
      <c r="F1482" s="94" t="s">
        <v>1132</v>
      </c>
      <c r="G1482" s="94" t="s">
        <v>2034</v>
      </c>
      <c r="H1482" s="177" t="s">
        <v>129</v>
      </c>
      <c r="I1482" s="94" t="s">
        <v>2464</v>
      </c>
      <c r="J1482" s="178">
        <v>20564098826</v>
      </c>
      <c r="K1482" s="11">
        <v>942424234</v>
      </c>
      <c r="L1482" s="11" t="s">
        <v>2471</v>
      </c>
      <c r="M1482" s="11" t="s">
        <v>75</v>
      </c>
      <c r="N1482" s="11"/>
      <c r="O1482" s="11"/>
      <c r="P1482" s="11"/>
      <c r="Q1482" s="11" t="s">
        <v>2469</v>
      </c>
      <c r="R1482" s="11" t="s">
        <v>2458</v>
      </c>
      <c r="S1482" s="94" t="s">
        <v>2470</v>
      </c>
    </row>
    <row r="1483" spans="1:19" s="20" customFormat="1" ht="21.75" hidden="1" customHeight="1" x14ac:dyDescent="0.2">
      <c r="A1483" s="11" t="s">
        <v>2467</v>
      </c>
      <c r="B1483" s="21" t="s">
        <v>73</v>
      </c>
      <c r="C1483" s="18">
        <v>46142</v>
      </c>
      <c r="D1483" s="175">
        <v>2</v>
      </c>
      <c r="E1483" s="206"/>
      <c r="F1483" s="94" t="s">
        <v>1134</v>
      </c>
      <c r="G1483" s="94" t="s">
        <v>2035</v>
      </c>
      <c r="H1483" s="177" t="s">
        <v>129</v>
      </c>
      <c r="I1483" s="94" t="s">
        <v>2464</v>
      </c>
      <c r="J1483" s="178">
        <v>20564098826</v>
      </c>
      <c r="K1483" s="11">
        <v>942424234</v>
      </c>
      <c r="L1483" s="11" t="s">
        <v>2471</v>
      </c>
      <c r="M1483" s="11" t="s">
        <v>75</v>
      </c>
      <c r="N1483" s="11"/>
      <c r="O1483" s="11"/>
      <c r="P1483" s="11"/>
      <c r="Q1483" s="11" t="s">
        <v>2469</v>
      </c>
      <c r="R1483" s="11" t="s">
        <v>2458</v>
      </c>
      <c r="S1483" s="94" t="s">
        <v>2470</v>
      </c>
    </row>
    <row r="1484" spans="1:19" s="20" customFormat="1" ht="21.75" hidden="1" customHeight="1" x14ac:dyDescent="0.2">
      <c r="A1484" s="11" t="s">
        <v>2467</v>
      </c>
      <c r="B1484" s="21" t="s">
        <v>73</v>
      </c>
      <c r="C1484" s="18">
        <v>46142</v>
      </c>
      <c r="D1484" s="175">
        <v>2</v>
      </c>
      <c r="E1484" s="206"/>
      <c r="F1484" s="94" t="s">
        <v>1133</v>
      </c>
      <c r="G1484" s="94" t="s">
        <v>2036</v>
      </c>
      <c r="H1484" s="177" t="s">
        <v>129</v>
      </c>
      <c r="I1484" s="94" t="s">
        <v>2464</v>
      </c>
      <c r="J1484" s="178">
        <v>20564098826</v>
      </c>
      <c r="K1484" s="11">
        <v>942424234</v>
      </c>
      <c r="L1484" s="11" t="s">
        <v>2471</v>
      </c>
      <c r="M1484" s="11" t="s">
        <v>75</v>
      </c>
      <c r="N1484" s="11"/>
      <c r="O1484" s="11"/>
      <c r="P1484" s="11"/>
      <c r="Q1484" s="11" t="s">
        <v>2469</v>
      </c>
      <c r="R1484" s="11" t="s">
        <v>2458</v>
      </c>
      <c r="S1484" s="94" t="s">
        <v>2470</v>
      </c>
    </row>
    <row r="1485" spans="1:19" s="20" customFormat="1" ht="21.75" hidden="1" customHeight="1" x14ac:dyDescent="0.2">
      <c r="A1485" s="11" t="s">
        <v>2467</v>
      </c>
      <c r="B1485" s="21" t="s">
        <v>73</v>
      </c>
      <c r="C1485" s="18">
        <v>46142</v>
      </c>
      <c r="D1485" s="175">
        <v>3</v>
      </c>
      <c r="E1485" s="206"/>
      <c r="F1485" s="94" t="s">
        <v>904</v>
      </c>
      <c r="G1485" s="94" t="s">
        <v>2030</v>
      </c>
      <c r="H1485" s="177" t="s">
        <v>129</v>
      </c>
      <c r="I1485" s="94" t="s">
        <v>2464</v>
      </c>
      <c r="J1485" s="178">
        <v>20564098826</v>
      </c>
      <c r="K1485" s="11">
        <v>942424234</v>
      </c>
      <c r="L1485" s="11" t="s">
        <v>2471</v>
      </c>
      <c r="M1485" s="11" t="s">
        <v>75</v>
      </c>
      <c r="N1485" s="11"/>
      <c r="O1485" s="11"/>
      <c r="P1485" s="11"/>
      <c r="Q1485" s="11" t="s">
        <v>2469</v>
      </c>
      <c r="R1485" s="11" t="s">
        <v>2458</v>
      </c>
      <c r="S1485" s="94" t="s">
        <v>2470</v>
      </c>
    </row>
    <row r="1486" spans="1:19" s="20" customFormat="1" ht="21.75" hidden="1" customHeight="1" x14ac:dyDescent="0.2">
      <c r="A1486" s="11" t="s">
        <v>2467</v>
      </c>
      <c r="B1486" s="21" t="s">
        <v>73</v>
      </c>
      <c r="C1486" s="18">
        <v>46142</v>
      </c>
      <c r="D1486" s="175">
        <v>3</v>
      </c>
      <c r="E1486" s="206"/>
      <c r="F1486" s="94" t="s">
        <v>905</v>
      </c>
      <c r="G1486" s="94" t="s">
        <v>2031</v>
      </c>
      <c r="H1486" s="177" t="s">
        <v>129</v>
      </c>
      <c r="I1486" s="94" t="s">
        <v>2464</v>
      </c>
      <c r="J1486" s="178">
        <v>20564098826</v>
      </c>
      <c r="K1486" s="11">
        <v>942424234</v>
      </c>
      <c r="L1486" s="11" t="s">
        <v>2471</v>
      </c>
      <c r="M1486" s="11" t="s">
        <v>75</v>
      </c>
      <c r="N1486" s="11"/>
      <c r="O1486" s="11"/>
      <c r="P1486" s="11"/>
      <c r="Q1486" s="11" t="s">
        <v>2469</v>
      </c>
      <c r="R1486" s="11" t="s">
        <v>2458</v>
      </c>
      <c r="S1486" s="94" t="s">
        <v>2470</v>
      </c>
    </row>
    <row r="1487" spans="1:19" s="20" customFormat="1" ht="21.75" hidden="1" customHeight="1" x14ac:dyDescent="0.2">
      <c r="A1487" s="11" t="s">
        <v>2467</v>
      </c>
      <c r="B1487" s="21" t="s">
        <v>73</v>
      </c>
      <c r="C1487" s="18">
        <v>46142</v>
      </c>
      <c r="D1487" s="175">
        <v>3</v>
      </c>
      <c r="E1487" s="206"/>
      <c r="F1487" s="94" t="s">
        <v>1302</v>
      </c>
      <c r="G1487" s="94" t="s">
        <v>2054</v>
      </c>
      <c r="H1487" s="177" t="s">
        <v>129</v>
      </c>
      <c r="I1487" s="94" t="s">
        <v>2464</v>
      </c>
      <c r="J1487" s="178">
        <v>20564098826</v>
      </c>
      <c r="K1487" s="11">
        <v>942424234</v>
      </c>
      <c r="L1487" s="11" t="s">
        <v>2471</v>
      </c>
      <c r="M1487" s="11" t="s">
        <v>75</v>
      </c>
      <c r="N1487" s="11"/>
      <c r="O1487" s="11"/>
      <c r="P1487" s="11"/>
      <c r="Q1487" s="11" t="s">
        <v>2469</v>
      </c>
      <c r="R1487" s="11" t="s">
        <v>2458</v>
      </c>
      <c r="S1487" s="94" t="s">
        <v>2470</v>
      </c>
    </row>
    <row r="1488" spans="1:19" s="20" customFormat="1" ht="21.75" hidden="1" customHeight="1" x14ac:dyDescent="0.2">
      <c r="A1488" s="11" t="s">
        <v>2467</v>
      </c>
      <c r="B1488" s="21" t="s">
        <v>73</v>
      </c>
      <c r="C1488" s="18">
        <v>46142</v>
      </c>
      <c r="D1488" s="175">
        <v>3</v>
      </c>
      <c r="E1488" s="206"/>
      <c r="F1488" s="94" t="s">
        <v>1303</v>
      </c>
      <c r="G1488" s="94" t="s">
        <v>2055</v>
      </c>
      <c r="H1488" s="177" t="s">
        <v>129</v>
      </c>
      <c r="I1488" s="94" t="s">
        <v>2464</v>
      </c>
      <c r="J1488" s="178">
        <v>20564098826</v>
      </c>
      <c r="K1488" s="11">
        <v>942424234</v>
      </c>
      <c r="L1488" s="11" t="s">
        <v>2471</v>
      </c>
      <c r="M1488" s="11" t="s">
        <v>75</v>
      </c>
      <c r="N1488" s="11"/>
      <c r="O1488" s="11"/>
      <c r="P1488" s="11"/>
      <c r="Q1488" s="11" t="s">
        <v>2469</v>
      </c>
      <c r="R1488" s="11" t="s">
        <v>2458</v>
      </c>
      <c r="S1488" s="94" t="s">
        <v>2470</v>
      </c>
    </row>
    <row r="1489" spans="1:19" s="20" customFormat="1" ht="21.75" hidden="1" customHeight="1" x14ac:dyDescent="0.2">
      <c r="A1489" s="11" t="s">
        <v>2467</v>
      </c>
      <c r="B1489" s="21" t="s">
        <v>73</v>
      </c>
      <c r="C1489" s="18">
        <v>46142</v>
      </c>
      <c r="D1489" s="175">
        <v>4</v>
      </c>
      <c r="E1489" s="206"/>
      <c r="F1489" s="94" t="s">
        <v>901</v>
      </c>
      <c r="G1489" s="94" t="s">
        <v>2311</v>
      </c>
      <c r="H1489" s="177" t="s">
        <v>129</v>
      </c>
      <c r="I1489" s="94" t="s">
        <v>2464</v>
      </c>
      <c r="J1489" s="178">
        <v>20564098826</v>
      </c>
      <c r="K1489" s="11">
        <v>942424234</v>
      </c>
      <c r="L1489" s="11" t="s">
        <v>2471</v>
      </c>
      <c r="M1489" s="11" t="s">
        <v>75</v>
      </c>
      <c r="N1489" s="11"/>
      <c r="O1489" s="11"/>
      <c r="P1489" s="11"/>
      <c r="Q1489" s="11" t="s">
        <v>2469</v>
      </c>
      <c r="R1489" s="11" t="s">
        <v>2458</v>
      </c>
      <c r="S1489" s="94" t="s">
        <v>2470</v>
      </c>
    </row>
    <row r="1490" spans="1:19" s="20" customFormat="1" ht="21.75" hidden="1" customHeight="1" x14ac:dyDescent="0.2">
      <c r="A1490" s="11" t="s">
        <v>2467</v>
      </c>
      <c r="B1490" s="21" t="s">
        <v>73</v>
      </c>
      <c r="C1490" s="18">
        <v>46142</v>
      </c>
      <c r="D1490" s="175">
        <v>8</v>
      </c>
      <c r="E1490" s="206"/>
      <c r="F1490" s="94" t="s">
        <v>902</v>
      </c>
      <c r="G1490" s="94" t="s">
        <v>2312</v>
      </c>
      <c r="H1490" s="177" t="s">
        <v>129</v>
      </c>
      <c r="I1490" s="94" t="s">
        <v>2464</v>
      </c>
      <c r="J1490" s="178">
        <v>20564098826</v>
      </c>
      <c r="K1490" s="11">
        <v>942424234</v>
      </c>
      <c r="L1490" s="11" t="s">
        <v>2471</v>
      </c>
      <c r="M1490" s="11" t="s">
        <v>75</v>
      </c>
      <c r="N1490" s="11"/>
      <c r="O1490" s="11"/>
      <c r="P1490" s="11"/>
      <c r="Q1490" s="11" t="s">
        <v>2469</v>
      </c>
      <c r="R1490" s="11" t="s">
        <v>2458</v>
      </c>
      <c r="S1490" s="94" t="s">
        <v>2470</v>
      </c>
    </row>
    <row r="1491" spans="1:19" s="20" customFormat="1" ht="21.75" hidden="1" customHeight="1" x14ac:dyDescent="0.2">
      <c r="A1491" s="11" t="s">
        <v>2467</v>
      </c>
      <c r="B1491" s="21" t="s">
        <v>73</v>
      </c>
      <c r="C1491" s="18">
        <v>46142</v>
      </c>
      <c r="D1491" s="175">
        <v>8</v>
      </c>
      <c r="E1491" s="206"/>
      <c r="F1491" s="94" t="s">
        <v>903</v>
      </c>
      <c r="G1491" s="94" t="s">
        <v>2313</v>
      </c>
      <c r="H1491" s="177" t="s">
        <v>129</v>
      </c>
      <c r="I1491" s="94" t="s">
        <v>2464</v>
      </c>
      <c r="J1491" s="178">
        <v>20564098826</v>
      </c>
      <c r="K1491" s="11">
        <v>942424234</v>
      </c>
      <c r="L1491" s="11" t="s">
        <v>2471</v>
      </c>
      <c r="M1491" s="11" t="s">
        <v>75</v>
      </c>
      <c r="N1491" s="11"/>
      <c r="O1491" s="11"/>
      <c r="P1491" s="11"/>
      <c r="Q1491" s="11" t="s">
        <v>2469</v>
      </c>
      <c r="R1491" s="11" t="s">
        <v>2458</v>
      </c>
      <c r="S1491" s="94" t="s">
        <v>2470</v>
      </c>
    </row>
    <row r="1492" spans="1:19" s="20" customFormat="1" ht="21.75" hidden="1" customHeight="1" x14ac:dyDescent="0.2">
      <c r="A1492" s="11" t="s">
        <v>2467</v>
      </c>
      <c r="B1492" s="21" t="s">
        <v>73</v>
      </c>
      <c r="C1492" s="18">
        <v>46142</v>
      </c>
      <c r="D1492" s="175">
        <v>6</v>
      </c>
      <c r="E1492" s="206"/>
      <c r="F1492" s="94" t="s">
        <v>1136</v>
      </c>
      <c r="G1492" s="94" t="s">
        <v>2465</v>
      </c>
      <c r="H1492" s="177" t="s">
        <v>129</v>
      </c>
      <c r="I1492" s="94" t="s">
        <v>2464</v>
      </c>
      <c r="J1492" s="178">
        <v>20564098826</v>
      </c>
      <c r="K1492" s="11">
        <v>942424234</v>
      </c>
      <c r="L1492" s="11" t="s">
        <v>2471</v>
      </c>
      <c r="M1492" s="11" t="s">
        <v>75</v>
      </c>
      <c r="N1492" s="11"/>
      <c r="O1492" s="11"/>
      <c r="P1492" s="11"/>
      <c r="Q1492" s="11" t="s">
        <v>2469</v>
      </c>
      <c r="R1492" s="11" t="s">
        <v>2458</v>
      </c>
      <c r="S1492" s="94" t="s">
        <v>2470</v>
      </c>
    </row>
    <row r="1493" spans="1:19" s="20" customFormat="1" ht="21.75" hidden="1" customHeight="1" x14ac:dyDescent="0.2">
      <c r="A1493" s="11" t="s">
        <v>2467</v>
      </c>
      <c r="B1493" s="21" t="s">
        <v>73</v>
      </c>
      <c r="C1493" s="18">
        <v>46142</v>
      </c>
      <c r="D1493" s="175">
        <v>6</v>
      </c>
      <c r="E1493" s="207"/>
      <c r="F1493" s="94" t="s">
        <v>1137</v>
      </c>
      <c r="G1493" s="94" t="s">
        <v>2466</v>
      </c>
      <c r="H1493" s="177" t="s">
        <v>129</v>
      </c>
      <c r="I1493" s="94" t="s">
        <v>2464</v>
      </c>
      <c r="J1493" s="178">
        <v>20564098826</v>
      </c>
      <c r="K1493" s="11">
        <v>942424234</v>
      </c>
      <c r="L1493" s="11" t="s">
        <v>2471</v>
      </c>
      <c r="M1493" s="11" t="s">
        <v>75</v>
      </c>
      <c r="N1493" s="11"/>
      <c r="O1493" s="11"/>
      <c r="P1493" s="11"/>
      <c r="Q1493" s="11" t="s">
        <v>2469</v>
      </c>
      <c r="R1493" s="11" t="s">
        <v>2458</v>
      </c>
      <c r="S1493" s="94" t="s">
        <v>2470</v>
      </c>
    </row>
    <row r="1494" spans="1:19" ht="21.75" hidden="1" customHeight="1" x14ac:dyDescent="0.25">
      <c r="A1494" s="56" t="s">
        <v>2472</v>
      </c>
      <c r="B1494" s="75">
        <v>4512745864</v>
      </c>
      <c r="C1494" s="52">
        <v>46144</v>
      </c>
      <c r="D1494" s="54">
        <v>4</v>
      </c>
      <c r="E1494" s="54">
        <v>1</v>
      </c>
      <c r="F1494" s="56" t="s">
        <v>16</v>
      </c>
      <c r="G1494" s="56" t="s">
        <v>89</v>
      </c>
      <c r="H1494" s="84" t="s">
        <v>76</v>
      </c>
      <c r="I1494" s="56" t="s">
        <v>284</v>
      </c>
      <c r="J1494" s="75">
        <v>20109072177</v>
      </c>
      <c r="K1494" s="56"/>
      <c r="L1494" s="56" t="s">
        <v>2352</v>
      </c>
      <c r="M1494" s="56" t="s">
        <v>662</v>
      </c>
      <c r="N1494" s="56"/>
      <c r="O1494" s="56"/>
      <c r="P1494" s="53" t="s">
        <v>636</v>
      </c>
      <c r="Q1494" s="56" t="s">
        <v>647</v>
      </c>
      <c r="R1494" s="84" t="s">
        <v>289</v>
      </c>
      <c r="S1494" s="56"/>
    </row>
    <row r="1495" spans="1:19" ht="21.75" hidden="1" customHeight="1" x14ac:dyDescent="0.25">
      <c r="A1495" s="56" t="s">
        <v>2472</v>
      </c>
      <c r="B1495" s="75">
        <v>4512745864</v>
      </c>
      <c r="C1495" s="52">
        <v>46144</v>
      </c>
      <c r="D1495" s="54">
        <v>4</v>
      </c>
      <c r="E1495" s="54">
        <v>1</v>
      </c>
      <c r="F1495" s="56" t="s">
        <v>37</v>
      </c>
      <c r="G1495" s="56" t="s">
        <v>133</v>
      </c>
      <c r="H1495" s="84" t="s">
        <v>76</v>
      </c>
      <c r="I1495" s="56" t="s">
        <v>284</v>
      </c>
      <c r="J1495" s="75">
        <v>20109072177</v>
      </c>
      <c r="K1495" s="56"/>
      <c r="L1495" s="56" t="s">
        <v>2352</v>
      </c>
      <c r="M1495" s="56" t="s">
        <v>662</v>
      </c>
      <c r="N1495" s="56"/>
      <c r="O1495" s="56"/>
      <c r="P1495" s="53" t="s">
        <v>636</v>
      </c>
      <c r="Q1495" s="56" t="s">
        <v>647</v>
      </c>
      <c r="R1495" s="84" t="s">
        <v>289</v>
      </c>
      <c r="S1495" s="56"/>
    </row>
    <row r="1496" spans="1:19" ht="21.75" hidden="1" customHeight="1" x14ac:dyDescent="0.25">
      <c r="A1496" s="56" t="s">
        <v>2473</v>
      </c>
      <c r="B1496" s="75">
        <v>4512745860</v>
      </c>
      <c r="C1496" s="52">
        <v>46144</v>
      </c>
      <c r="D1496" s="54">
        <v>4</v>
      </c>
      <c r="E1496" s="54">
        <v>1</v>
      </c>
      <c r="F1496" s="56" t="s">
        <v>29</v>
      </c>
      <c r="G1496" s="56" t="s">
        <v>94</v>
      </c>
      <c r="H1496" s="84" t="s">
        <v>76</v>
      </c>
      <c r="I1496" s="56" t="s">
        <v>284</v>
      </c>
      <c r="J1496" s="75">
        <v>20109072177</v>
      </c>
      <c r="K1496" s="56"/>
      <c r="L1496" s="56" t="s">
        <v>2346</v>
      </c>
      <c r="M1496" s="56" t="s">
        <v>2361</v>
      </c>
      <c r="N1496" s="56"/>
      <c r="O1496" s="56"/>
      <c r="P1496" s="56" t="s">
        <v>635</v>
      </c>
      <c r="Q1496" s="56" t="s">
        <v>646</v>
      </c>
      <c r="R1496" s="84" t="s">
        <v>289</v>
      </c>
      <c r="S1496" s="56"/>
    </row>
    <row r="1497" spans="1:19" ht="21.75" hidden="1" customHeight="1" x14ac:dyDescent="0.25">
      <c r="A1497" s="56" t="s">
        <v>2473</v>
      </c>
      <c r="B1497" s="75">
        <v>4512745860</v>
      </c>
      <c r="C1497" s="52">
        <v>46144</v>
      </c>
      <c r="D1497" s="54">
        <v>4</v>
      </c>
      <c r="E1497" s="54">
        <v>1</v>
      </c>
      <c r="F1497" s="56" t="s">
        <v>28</v>
      </c>
      <c r="G1497" s="56" t="s">
        <v>95</v>
      </c>
      <c r="H1497" s="84" t="s">
        <v>76</v>
      </c>
      <c r="I1497" s="56" t="s">
        <v>284</v>
      </c>
      <c r="J1497" s="75">
        <v>20109072177</v>
      </c>
      <c r="K1497" s="56"/>
      <c r="L1497" s="56" t="s">
        <v>2346</v>
      </c>
      <c r="M1497" s="56" t="s">
        <v>2361</v>
      </c>
      <c r="N1497" s="56"/>
      <c r="O1497" s="56"/>
      <c r="P1497" s="56" t="s">
        <v>635</v>
      </c>
      <c r="Q1497" s="56" t="s">
        <v>646</v>
      </c>
      <c r="R1497" s="84" t="s">
        <v>289</v>
      </c>
      <c r="S1497" s="56"/>
    </row>
    <row r="1498" spans="1:19" ht="21.75" hidden="1" customHeight="1" x14ac:dyDescent="0.25">
      <c r="A1498" s="56" t="s">
        <v>2473</v>
      </c>
      <c r="B1498" s="75">
        <v>4512745860</v>
      </c>
      <c r="C1498" s="52">
        <v>46144</v>
      </c>
      <c r="D1498" s="54">
        <v>4</v>
      </c>
      <c r="E1498" s="54">
        <v>1</v>
      </c>
      <c r="F1498" s="56" t="s">
        <v>30</v>
      </c>
      <c r="G1498" s="56" t="s">
        <v>122</v>
      </c>
      <c r="H1498" s="84" t="s">
        <v>76</v>
      </c>
      <c r="I1498" s="56" t="s">
        <v>284</v>
      </c>
      <c r="J1498" s="75">
        <v>20109072177</v>
      </c>
      <c r="K1498" s="56"/>
      <c r="L1498" s="56" t="s">
        <v>2346</v>
      </c>
      <c r="M1498" s="56" t="s">
        <v>2361</v>
      </c>
      <c r="N1498" s="56"/>
      <c r="O1498" s="56"/>
      <c r="P1498" s="56" t="s">
        <v>635</v>
      </c>
      <c r="Q1498" s="56" t="s">
        <v>646</v>
      </c>
      <c r="R1498" s="84" t="s">
        <v>289</v>
      </c>
      <c r="S1498" s="56"/>
    </row>
    <row r="1499" spans="1:19" ht="21.75" hidden="1" customHeight="1" x14ac:dyDescent="0.25">
      <c r="A1499" s="56" t="s">
        <v>2474</v>
      </c>
      <c r="B1499" s="75">
        <v>4512745844</v>
      </c>
      <c r="C1499" s="52">
        <v>46144</v>
      </c>
      <c r="D1499" s="54">
        <v>4</v>
      </c>
      <c r="E1499" s="54">
        <v>1</v>
      </c>
      <c r="F1499" s="56" t="s">
        <v>16</v>
      </c>
      <c r="G1499" s="56" t="s">
        <v>89</v>
      </c>
      <c r="H1499" s="84" t="s">
        <v>76</v>
      </c>
      <c r="I1499" s="56" t="s">
        <v>284</v>
      </c>
      <c r="J1499" s="75">
        <v>20109072177</v>
      </c>
      <c r="K1499" s="56"/>
      <c r="L1499" s="56" t="s">
        <v>2351</v>
      </c>
      <c r="M1499" s="56" t="s">
        <v>2361</v>
      </c>
      <c r="N1499" s="56"/>
      <c r="O1499" s="56"/>
      <c r="P1499" s="56" t="s">
        <v>255</v>
      </c>
      <c r="Q1499" s="56" t="s">
        <v>1032</v>
      </c>
      <c r="R1499" s="84" t="s">
        <v>289</v>
      </c>
      <c r="S1499" s="56"/>
    </row>
    <row r="1500" spans="1:19" ht="21.75" hidden="1" customHeight="1" x14ac:dyDescent="0.25">
      <c r="A1500" s="56" t="s">
        <v>2474</v>
      </c>
      <c r="B1500" s="75">
        <v>4512745844</v>
      </c>
      <c r="C1500" s="52">
        <v>46144</v>
      </c>
      <c r="D1500" s="54">
        <v>4</v>
      </c>
      <c r="E1500" s="54">
        <v>1</v>
      </c>
      <c r="F1500" s="56" t="s">
        <v>28</v>
      </c>
      <c r="G1500" s="56" t="s">
        <v>95</v>
      </c>
      <c r="H1500" s="84" t="s">
        <v>76</v>
      </c>
      <c r="I1500" s="56" t="s">
        <v>284</v>
      </c>
      <c r="J1500" s="75">
        <v>20109072177</v>
      </c>
      <c r="K1500" s="56"/>
      <c r="L1500" s="56" t="s">
        <v>2351</v>
      </c>
      <c r="M1500" s="56" t="s">
        <v>2361</v>
      </c>
      <c r="N1500" s="56"/>
      <c r="O1500" s="56"/>
      <c r="P1500" s="56" t="s">
        <v>255</v>
      </c>
      <c r="Q1500" s="56" t="s">
        <v>1032</v>
      </c>
      <c r="R1500" s="84" t="s">
        <v>289</v>
      </c>
      <c r="S1500" s="56"/>
    </row>
    <row r="1501" spans="1:19" ht="21.75" hidden="1" customHeight="1" x14ac:dyDescent="0.25">
      <c r="A1501" s="56" t="s">
        <v>2474</v>
      </c>
      <c r="B1501" s="75">
        <v>4512745844</v>
      </c>
      <c r="C1501" s="52">
        <v>46144</v>
      </c>
      <c r="D1501" s="54">
        <v>4</v>
      </c>
      <c r="E1501" s="54">
        <v>1</v>
      </c>
      <c r="F1501" s="56" t="s">
        <v>29</v>
      </c>
      <c r="G1501" s="56" t="s">
        <v>94</v>
      </c>
      <c r="H1501" s="84" t="s">
        <v>76</v>
      </c>
      <c r="I1501" s="56" t="s">
        <v>284</v>
      </c>
      <c r="J1501" s="75">
        <v>20109072177</v>
      </c>
      <c r="K1501" s="56"/>
      <c r="L1501" s="56" t="s">
        <v>2351</v>
      </c>
      <c r="M1501" s="56" t="s">
        <v>2361</v>
      </c>
      <c r="N1501" s="56"/>
      <c r="O1501" s="56"/>
      <c r="P1501" s="56" t="s">
        <v>255</v>
      </c>
      <c r="Q1501" s="56" t="s">
        <v>1032</v>
      </c>
      <c r="R1501" s="84" t="s">
        <v>289</v>
      </c>
      <c r="S1501" s="56"/>
    </row>
    <row r="1502" spans="1:19" ht="21.75" hidden="1" customHeight="1" x14ac:dyDescent="0.25">
      <c r="A1502" s="56" t="s">
        <v>2474</v>
      </c>
      <c r="B1502" s="75">
        <v>4512745844</v>
      </c>
      <c r="C1502" s="52">
        <v>46144</v>
      </c>
      <c r="D1502" s="54">
        <v>4</v>
      </c>
      <c r="E1502" s="54">
        <v>1</v>
      </c>
      <c r="F1502" s="56" t="s">
        <v>38</v>
      </c>
      <c r="G1502" s="56" t="s">
        <v>97</v>
      </c>
      <c r="H1502" s="84" t="s">
        <v>76</v>
      </c>
      <c r="I1502" s="56" t="s">
        <v>284</v>
      </c>
      <c r="J1502" s="75">
        <v>20109072177</v>
      </c>
      <c r="K1502" s="56"/>
      <c r="L1502" s="56" t="s">
        <v>2351</v>
      </c>
      <c r="M1502" s="56" t="s">
        <v>2361</v>
      </c>
      <c r="N1502" s="56"/>
      <c r="O1502" s="56"/>
      <c r="P1502" s="56" t="s">
        <v>255</v>
      </c>
      <c r="Q1502" s="56" t="s">
        <v>1032</v>
      </c>
      <c r="R1502" s="84" t="s">
        <v>289</v>
      </c>
      <c r="S1502" s="56"/>
    </row>
    <row r="1503" spans="1:19" ht="21.75" hidden="1" customHeight="1" x14ac:dyDescent="0.25">
      <c r="A1503" s="56" t="s">
        <v>2475</v>
      </c>
      <c r="B1503" s="75">
        <v>4512745829</v>
      </c>
      <c r="C1503" s="52">
        <v>46144</v>
      </c>
      <c r="D1503" s="54">
        <v>4</v>
      </c>
      <c r="E1503" s="54">
        <v>1</v>
      </c>
      <c r="F1503" s="56" t="s">
        <v>29</v>
      </c>
      <c r="G1503" s="56" t="s">
        <v>94</v>
      </c>
      <c r="H1503" s="84" t="s">
        <v>76</v>
      </c>
      <c r="I1503" s="56" t="s">
        <v>284</v>
      </c>
      <c r="J1503" s="75">
        <v>20109072177</v>
      </c>
      <c r="K1503" s="56"/>
      <c r="L1503" s="56" t="s">
        <v>2350</v>
      </c>
      <c r="M1503" s="56" t="s">
        <v>2362</v>
      </c>
      <c r="N1503" s="56"/>
      <c r="O1503" s="56"/>
      <c r="P1503" s="56" t="s">
        <v>2374</v>
      </c>
      <c r="Q1503" s="56" t="s">
        <v>643</v>
      </c>
      <c r="R1503" s="84" t="s">
        <v>289</v>
      </c>
      <c r="S1503" s="56"/>
    </row>
    <row r="1504" spans="1:19" ht="21.75" hidden="1" customHeight="1" x14ac:dyDescent="0.25">
      <c r="A1504" s="56" t="s">
        <v>2475</v>
      </c>
      <c r="B1504" s="75">
        <v>4512745829</v>
      </c>
      <c r="C1504" s="52">
        <v>46144</v>
      </c>
      <c r="D1504" s="54">
        <v>4</v>
      </c>
      <c r="E1504" s="54">
        <v>1</v>
      </c>
      <c r="F1504" s="56" t="s">
        <v>28</v>
      </c>
      <c r="G1504" s="56" t="s">
        <v>95</v>
      </c>
      <c r="H1504" s="84" t="s">
        <v>76</v>
      </c>
      <c r="I1504" s="56" t="s">
        <v>284</v>
      </c>
      <c r="J1504" s="75">
        <v>20109072177</v>
      </c>
      <c r="K1504" s="56"/>
      <c r="L1504" s="56" t="s">
        <v>2350</v>
      </c>
      <c r="M1504" s="56" t="s">
        <v>2362</v>
      </c>
      <c r="N1504" s="56"/>
      <c r="O1504" s="56"/>
      <c r="P1504" s="56" t="s">
        <v>2374</v>
      </c>
      <c r="Q1504" s="56" t="s">
        <v>643</v>
      </c>
      <c r="R1504" s="84" t="s">
        <v>289</v>
      </c>
      <c r="S1504" s="56"/>
    </row>
    <row r="1505" spans="1:19" ht="21.75" hidden="1" customHeight="1" x14ac:dyDescent="0.25">
      <c r="A1505" s="56" t="s">
        <v>2475</v>
      </c>
      <c r="B1505" s="75">
        <v>4512745829</v>
      </c>
      <c r="C1505" s="52">
        <v>46144</v>
      </c>
      <c r="D1505" s="54">
        <v>4</v>
      </c>
      <c r="E1505" s="54">
        <v>1</v>
      </c>
      <c r="F1505" s="56" t="s">
        <v>30</v>
      </c>
      <c r="G1505" s="56" t="s">
        <v>122</v>
      </c>
      <c r="H1505" s="84" t="s">
        <v>76</v>
      </c>
      <c r="I1505" s="56" t="s">
        <v>284</v>
      </c>
      <c r="J1505" s="75">
        <v>20109072177</v>
      </c>
      <c r="K1505" s="56"/>
      <c r="L1505" s="56" t="s">
        <v>2350</v>
      </c>
      <c r="M1505" s="56" t="s">
        <v>2362</v>
      </c>
      <c r="N1505" s="56"/>
      <c r="O1505" s="56"/>
      <c r="P1505" s="56" t="s">
        <v>2374</v>
      </c>
      <c r="Q1505" s="56" t="s">
        <v>643</v>
      </c>
      <c r="R1505" s="84" t="s">
        <v>289</v>
      </c>
      <c r="S1505" s="56"/>
    </row>
    <row r="1506" spans="1:19" ht="21.75" hidden="1" customHeight="1" x14ac:dyDescent="0.25">
      <c r="A1506" s="56" t="s">
        <v>2476</v>
      </c>
      <c r="B1506" s="75">
        <v>4512745852</v>
      </c>
      <c r="C1506" s="52">
        <v>46144</v>
      </c>
      <c r="D1506" s="54">
        <v>4</v>
      </c>
      <c r="E1506" s="54">
        <v>1</v>
      </c>
      <c r="F1506" s="56" t="s">
        <v>16</v>
      </c>
      <c r="G1506" s="56" t="s">
        <v>89</v>
      </c>
      <c r="H1506" s="84" t="s">
        <v>76</v>
      </c>
      <c r="I1506" s="56" t="s">
        <v>284</v>
      </c>
      <c r="J1506" s="75">
        <v>20109072177</v>
      </c>
      <c r="K1506" s="56"/>
      <c r="L1506" s="56" t="s">
        <v>2353</v>
      </c>
      <c r="M1506" s="56" t="s">
        <v>306</v>
      </c>
      <c r="N1506" s="56"/>
      <c r="O1506" s="56"/>
      <c r="P1506" s="56" t="s">
        <v>300</v>
      </c>
      <c r="Q1506" s="56" t="s">
        <v>301</v>
      </c>
      <c r="R1506" s="84" t="s">
        <v>289</v>
      </c>
      <c r="S1506" s="56"/>
    </row>
    <row r="1507" spans="1:19" ht="21.75" hidden="1" customHeight="1" x14ac:dyDescent="0.25">
      <c r="A1507" s="56" t="s">
        <v>2476</v>
      </c>
      <c r="B1507" s="75">
        <v>4512745852</v>
      </c>
      <c r="C1507" s="52">
        <v>46144</v>
      </c>
      <c r="D1507" s="54">
        <v>4</v>
      </c>
      <c r="E1507" s="54">
        <v>1</v>
      </c>
      <c r="F1507" s="56" t="s">
        <v>30</v>
      </c>
      <c r="G1507" s="56" t="s">
        <v>122</v>
      </c>
      <c r="H1507" s="84" t="s">
        <v>76</v>
      </c>
      <c r="I1507" s="56" t="s">
        <v>284</v>
      </c>
      <c r="J1507" s="75">
        <v>20109072177</v>
      </c>
      <c r="K1507" s="56"/>
      <c r="L1507" s="56" t="s">
        <v>2353</v>
      </c>
      <c r="M1507" s="56" t="s">
        <v>306</v>
      </c>
      <c r="N1507" s="56"/>
      <c r="O1507" s="56"/>
      <c r="P1507" s="56" t="s">
        <v>300</v>
      </c>
      <c r="Q1507" s="56" t="s">
        <v>301</v>
      </c>
      <c r="R1507" s="84" t="s">
        <v>289</v>
      </c>
      <c r="S1507" s="56"/>
    </row>
    <row r="1508" spans="1:19" ht="21.75" hidden="1" customHeight="1" x14ac:dyDescent="0.25">
      <c r="A1508" s="56" t="s">
        <v>2476</v>
      </c>
      <c r="B1508" s="75">
        <v>4512745852</v>
      </c>
      <c r="C1508" s="52">
        <v>46144</v>
      </c>
      <c r="D1508" s="54">
        <v>4</v>
      </c>
      <c r="E1508" s="54">
        <v>1</v>
      </c>
      <c r="F1508" s="56" t="s">
        <v>28</v>
      </c>
      <c r="G1508" s="56" t="s">
        <v>95</v>
      </c>
      <c r="H1508" s="84" t="s">
        <v>76</v>
      </c>
      <c r="I1508" s="56" t="s">
        <v>284</v>
      </c>
      <c r="J1508" s="75">
        <v>20109072177</v>
      </c>
      <c r="K1508" s="56"/>
      <c r="L1508" s="56" t="s">
        <v>2353</v>
      </c>
      <c r="M1508" s="56" t="s">
        <v>306</v>
      </c>
      <c r="N1508" s="56"/>
      <c r="O1508" s="56"/>
      <c r="P1508" s="56" t="s">
        <v>300</v>
      </c>
      <c r="Q1508" s="56" t="s">
        <v>301</v>
      </c>
      <c r="R1508" s="84" t="s">
        <v>289</v>
      </c>
      <c r="S1508" s="56"/>
    </row>
    <row r="1509" spans="1:19" ht="21.75" hidden="1" customHeight="1" x14ac:dyDescent="0.25">
      <c r="A1509" s="56" t="s">
        <v>2476</v>
      </c>
      <c r="B1509" s="75">
        <v>4512745852</v>
      </c>
      <c r="C1509" s="52">
        <v>46144</v>
      </c>
      <c r="D1509" s="54">
        <v>4</v>
      </c>
      <c r="E1509" s="54">
        <v>1</v>
      </c>
      <c r="F1509" s="56" t="s">
        <v>29</v>
      </c>
      <c r="G1509" s="56" t="s">
        <v>94</v>
      </c>
      <c r="H1509" s="84" t="s">
        <v>76</v>
      </c>
      <c r="I1509" s="56" t="s">
        <v>284</v>
      </c>
      <c r="J1509" s="75">
        <v>20109072177</v>
      </c>
      <c r="K1509" s="56"/>
      <c r="L1509" s="56" t="s">
        <v>2353</v>
      </c>
      <c r="M1509" s="56" t="s">
        <v>306</v>
      </c>
      <c r="N1509" s="56"/>
      <c r="O1509" s="56"/>
      <c r="P1509" s="56" t="s">
        <v>300</v>
      </c>
      <c r="Q1509" s="56" t="s">
        <v>301</v>
      </c>
      <c r="R1509" s="84" t="s">
        <v>289</v>
      </c>
      <c r="S1509" s="56"/>
    </row>
    <row r="1510" spans="1:19" ht="21.75" hidden="1" customHeight="1" x14ac:dyDescent="0.25">
      <c r="A1510" s="56" t="s">
        <v>2476</v>
      </c>
      <c r="B1510" s="75">
        <v>4512745852</v>
      </c>
      <c r="C1510" s="52">
        <v>46144</v>
      </c>
      <c r="D1510" s="54">
        <v>4</v>
      </c>
      <c r="E1510" s="54">
        <v>1</v>
      </c>
      <c r="F1510" s="56" t="s">
        <v>38</v>
      </c>
      <c r="G1510" s="56" t="s">
        <v>97</v>
      </c>
      <c r="H1510" s="84" t="s">
        <v>76</v>
      </c>
      <c r="I1510" s="56" t="s">
        <v>284</v>
      </c>
      <c r="J1510" s="75">
        <v>20109072177</v>
      </c>
      <c r="K1510" s="56"/>
      <c r="L1510" s="56" t="s">
        <v>2353</v>
      </c>
      <c r="M1510" s="56" t="s">
        <v>306</v>
      </c>
      <c r="N1510" s="56"/>
      <c r="O1510" s="56"/>
      <c r="P1510" s="56" t="s">
        <v>300</v>
      </c>
      <c r="Q1510" s="56" t="s">
        <v>301</v>
      </c>
      <c r="R1510" s="84" t="s">
        <v>289</v>
      </c>
      <c r="S1510" s="56"/>
    </row>
    <row r="1511" spans="1:19" ht="21.75" hidden="1" customHeight="1" x14ac:dyDescent="0.25">
      <c r="A1511" s="56" t="s">
        <v>2477</v>
      </c>
      <c r="B1511" s="75">
        <v>4512745835</v>
      </c>
      <c r="C1511" s="52">
        <v>46144</v>
      </c>
      <c r="D1511" s="54">
        <v>4</v>
      </c>
      <c r="E1511" s="54">
        <v>1</v>
      </c>
      <c r="F1511" s="56" t="s">
        <v>30</v>
      </c>
      <c r="G1511" s="56" t="s">
        <v>122</v>
      </c>
      <c r="H1511" s="84" t="s">
        <v>76</v>
      </c>
      <c r="I1511" s="56" t="s">
        <v>284</v>
      </c>
      <c r="J1511" s="75">
        <v>20109072177</v>
      </c>
      <c r="K1511" s="56"/>
      <c r="L1511" s="56" t="s">
        <v>2347</v>
      </c>
      <c r="M1511" s="56" t="s">
        <v>2362</v>
      </c>
      <c r="N1511" s="56"/>
      <c r="O1511" s="56"/>
      <c r="P1511" s="56" t="s">
        <v>631</v>
      </c>
      <c r="Q1511" s="56" t="s">
        <v>644</v>
      </c>
      <c r="R1511" s="84" t="s">
        <v>289</v>
      </c>
      <c r="S1511" s="56"/>
    </row>
    <row r="1512" spans="1:19" ht="21.75" hidden="1" customHeight="1" x14ac:dyDescent="0.25">
      <c r="A1512" s="56" t="s">
        <v>2478</v>
      </c>
      <c r="B1512" s="75">
        <v>4512745814</v>
      </c>
      <c r="C1512" s="52">
        <v>46144</v>
      </c>
      <c r="D1512" s="54">
        <v>4</v>
      </c>
      <c r="E1512" s="54">
        <v>1</v>
      </c>
      <c r="F1512" s="56" t="s">
        <v>29</v>
      </c>
      <c r="G1512" s="56" t="s">
        <v>94</v>
      </c>
      <c r="H1512" s="84" t="s">
        <v>76</v>
      </c>
      <c r="I1512" s="56" t="s">
        <v>284</v>
      </c>
      <c r="J1512" s="75">
        <v>20109072177</v>
      </c>
      <c r="K1512" s="56"/>
      <c r="L1512" s="56" t="s">
        <v>2349</v>
      </c>
      <c r="M1512" s="56" t="s">
        <v>2363</v>
      </c>
      <c r="N1512" s="56"/>
      <c r="O1512" s="56"/>
      <c r="P1512" s="56" t="s">
        <v>2373</v>
      </c>
      <c r="Q1512" s="56" t="s">
        <v>313</v>
      </c>
      <c r="R1512" s="84" t="s">
        <v>289</v>
      </c>
      <c r="S1512" s="56"/>
    </row>
    <row r="1513" spans="1:19" ht="21.75" hidden="1" customHeight="1" x14ac:dyDescent="0.25">
      <c r="A1513" s="56" t="s">
        <v>2478</v>
      </c>
      <c r="B1513" s="75">
        <v>4512745814</v>
      </c>
      <c r="C1513" s="52">
        <v>46144</v>
      </c>
      <c r="D1513" s="54">
        <v>4</v>
      </c>
      <c r="E1513" s="54">
        <v>1</v>
      </c>
      <c r="F1513" s="56" t="s">
        <v>30</v>
      </c>
      <c r="G1513" s="56" t="s">
        <v>122</v>
      </c>
      <c r="H1513" s="84" t="s">
        <v>76</v>
      </c>
      <c r="I1513" s="56" t="s">
        <v>284</v>
      </c>
      <c r="J1513" s="75">
        <v>20109072177</v>
      </c>
      <c r="K1513" s="56"/>
      <c r="L1513" s="56" t="s">
        <v>2349</v>
      </c>
      <c r="M1513" s="56" t="s">
        <v>2363</v>
      </c>
      <c r="N1513" s="56"/>
      <c r="O1513" s="56"/>
      <c r="P1513" s="56" t="s">
        <v>2373</v>
      </c>
      <c r="Q1513" s="56" t="s">
        <v>313</v>
      </c>
      <c r="R1513" s="84" t="s">
        <v>289</v>
      </c>
      <c r="S1513" s="56"/>
    </row>
    <row r="1514" spans="1:19" ht="21.75" hidden="1" customHeight="1" x14ac:dyDescent="0.25">
      <c r="A1514" s="56" t="s">
        <v>2478</v>
      </c>
      <c r="B1514" s="75">
        <v>4512745814</v>
      </c>
      <c r="C1514" s="52">
        <v>46144</v>
      </c>
      <c r="D1514" s="54">
        <v>4</v>
      </c>
      <c r="E1514" s="54">
        <v>1</v>
      </c>
      <c r="F1514" s="56" t="s">
        <v>37</v>
      </c>
      <c r="G1514" s="56" t="s">
        <v>133</v>
      </c>
      <c r="H1514" s="84" t="s">
        <v>76</v>
      </c>
      <c r="I1514" s="56" t="s">
        <v>284</v>
      </c>
      <c r="J1514" s="75">
        <v>20109072177</v>
      </c>
      <c r="K1514" s="56"/>
      <c r="L1514" s="56" t="s">
        <v>2349</v>
      </c>
      <c r="M1514" s="56" t="s">
        <v>2363</v>
      </c>
      <c r="N1514" s="56"/>
      <c r="O1514" s="56"/>
      <c r="P1514" s="56" t="s">
        <v>2373</v>
      </c>
      <c r="Q1514" s="56" t="s">
        <v>313</v>
      </c>
      <c r="R1514" s="84" t="s">
        <v>289</v>
      </c>
      <c r="S1514" s="56"/>
    </row>
    <row r="1515" spans="1:19" ht="21.75" hidden="1" customHeight="1" x14ac:dyDescent="0.25">
      <c r="A1515" s="56" t="s">
        <v>2479</v>
      </c>
      <c r="B1515" s="75">
        <v>4512745796</v>
      </c>
      <c r="C1515" s="52">
        <v>46144</v>
      </c>
      <c r="D1515" s="54">
        <v>4</v>
      </c>
      <c r="E1515" s="54">
        <v>1</v>
      </c>
      <c r="F1515" s="56" t="s">
        <v>37</v>
      </c>
      <c r="G1515" s="56" t="s">
        <v>133</v>
      </c>
      <c r="H1515" s="84" t="s">
        <v>76</v>
      </c>
      <c r="I1515" s="56" t="s">
        <v>284</v>
      </c>
      <c r="J1515" s="75">
        <v>20109072177</v>
      </c>
      <c r="K1515" s="56"/>
      <c r="L1515" s="56" t="s">
        <v>2360</v>
      </c>
      <c r="M1515" s="56" t="s">
        <v>2362</v>
      </c>
      <c r="N1515" s="56"/>
      <c r="O1515" s="56"/>
      <c r="P1515" s="56" t="s">
        <v>256</v>
      </c>
      <c r="Q1515" s="56" t="s">
        <v>1048</v>
      </c>
      <c r="R1515" s="84" t="s">
        <v>289</v>
      </c>
      <c r="S1515" s="56"/>
    </row>
    <row r="1516" spans="1:19" ht="21.75" hidden="1" customHeight="1" x14ac:dyDescent="0.25">
      <c r="A1516" s="56" t="s">
        <v>2479</v>
      </c>
      <c r="B1516" s="75">
        <v>4512745796</v>
      </c>
      <c r="C1516" s="52">
        <v>46144</v>
      </c>
      <c r="D1516" s="54">
        <v>4</v>
      </c>
      <c r="E1516" s="54">
        <v>1</v>
      </c>
      <c r="F1516" s="56" t="s">
        <v>30</v>
      </c>
      <c r="G1516" s="56" t="s">
        <v>122</v>
      </c>
      <c r="H1516" s="84" t="s">
        <v>76</v>
      </c>
      <c r="I1516" s="56" t="s">
        <v>284</v>
      </c>
      <c r="J1516" s="75">
        <v>20109072177</v>
      </c>
      <c r="K1516" s="56"/>
      <c r="L1516" s="56" t="s">
        <v>2360</v>
      </c>
      <c r="M1516" s="56" t="s">
        <v>2362</v>
      </c>
      <c r="N1516" s="56"/>
      <c r="O1516" s="56"/>
      <c r="P1516" s="56" t="s">
        <v>256</v>
      </c>
      <c r="Q1516" s="56" t="s">
        <v>1048</v>
      </c>
      <c r="R1516" s="84" t="s">
        <v>289</v>
      </c>
      <c r="S1516" s="56"/>
    </row>
    <row r="1517" spans="1:19" ht="21.75" hidden="1" customHeight="1" x14ac:dyDescent="0.25">
      <c r="A1517" s="56" t="s">
        <v>2479</v>
      </c>
      <c r="B1517" s="75">
        <v>4512745796</v>
      </c>
      <c r="C1517" s="52">
        <v>46144</v>
      </c>
      <c r="D1517" s="54">
        <v>4</v>
      </c>
      <c r="E1517" s="54">
        <v>1</v>
      </c>
      <c r="F1517" s="56" t="s">
        <v>29</v>
      </c>
      <c r="G1517" s="56" t="s">
        <v>94</v>
      </c>
      <c r="H1517" s="84" t="s">
        <v>76</v>
      </c>
      <c r="I1517" s="56" t="s">
        <v>284</v>
      </c>
      <c r="J1517" s="75">
        <v>20109072177</v>
      </c>
      <c r="K1517" s="56"/>
      <c r="L1517" s="56" t="s">
        <v>2360</v>
      </c>
      <c r="M1517" s="56" t="s">
        <v>2362</v>
      </c>
      <c r="N1517" s="56"/>
      <c r="O1517" s="56"/>
      <c r="P1517" s="56" t="s">
        <v>256</v>
      </c>
      <c r="Q1517" s="56" t="s">
        <v>1048</v>
      </c>
      <c r="R1517" s="84" t="s">
        <v>289</v>
      </c>
      <c r="S1517" s="56"/>
    </row>
    <row r="1518" spans="1:19" ht="21.75" hidden="1" customHeight="1" x14ac:dyDescent="0.25">
      <c r="A1518" s="56" t="s">
        <v>2480</v>
      </c>
      <c r="B1518" s="75">
        <v>4512745784</v>
      </c>
      <c r="C1518" s="52">
        <v>46144</v>
      </c>
      <c r="D1518" s="54">
        <v>4</v>
      </c>
      <c r="E1518" s="54">
        <v>1</v>
      </c>
      <c r="F1518" s="56" t="s">
        <v>28</v>
      </c>
      <c r="G1518" s="56" t="s">
        <v>95</v>
      </c>
      <c r="H1518" s="84" t="s">
        <v>76</v>
      </c>
      <c r="I1518" s="56" t="s">
        <v>284</v>
      </c>
      <c r="J1518" s="75">
        <v>20109072177</v>
      </c>
      <c r="K1518" s="56"/>
      <c r="L1518" s="56" t="s">
        <v>2348</v>
      </c>
      <c r="M1518" s="56" t="s">
        <v>533</v>
      </c>
      <c r="N1518" s="56"/>
      <c r="O1518" s="56"/>
      <c r="P1518" s="53" t="s">
        <v>2372</v>
      </c>
      <c r="Q1518" s="56" t="s">
        <v>642</v>
      </c>
      <c r="R1518" s="84" t="s">
        <v>289</v>
      </c>
      <c r="S1518" s="56"/>
    </row>
    <row r="1519" spans="1:19" ht="21.75" hidden="1" customHeight="1" x14ac:dyDescent="0.25">
      <c r="A1519" s="56" t="s">
        <v>2480</v>
      </c>
      <c r="B1519" s="75">
        <v>4512745784</v>
      </c>
      <c r="C1519" s="52">
        <v>46144</v>
      </c>
      <c r="D1519" s="54">
        <v>4</v>
      </c>
      <c r="E1519" s="54">
        <v>1</v>
      </c>
      <c r="F1519" s="56" t="s">
        <v>30</v>
      </c>
      <c r="G1519" s="56" t="s">
        <v>122</v>
      </c>
      <c r="H1519" s="84" t="s">
        <v>76</v>
      </c>
      <c r="I1519" s="56" t="s">
        <v>284</v>
      </c>
      <c r="J1519" s="75">
        <v>20109072177</v>
      </c>
      <c r="K1519" s="56"/>
      <c r="L1519" s="56" t="s">
        <v>2348</v>
      </c>
      <c r="M1519" s="56" t="s">
        <v>533</v>
      </c>
      <c r="N1519" s="56"/>
      <c r="O1519" s="56"/>
      <c r="P1519" s="53" t="s">
        <v>2372</v>
      </c>
      <c r="Q1519" s="56" t="s">
        <v>642</v>
      </c>
      <c r="R1519" s="84" t="s">
        <v>289</v>
      </c>
      <c r="S1519" s="56"/>
    </row>
    <row r="1520" spans="1:19" ht="21.75" hidden="1" customHeight="1" x14ac:dyDescent="0.25">
      <c r="A1520" s="56" t="s">
        <v>2481</v>
      </c>
      <c r="B1520" s="75">
        <v>4512745771</v>
      </c>
      <c r="C1520" s="52">
        <v>46144</v>
      </c>
      <c r="D1520" s="54">
        <v>4</v>
      </c>
      <c r="E1520" s="54">
        <v>1</v>
      </c>
      <c r="F1520" s="56" t="s">
        <v>29</v>
      </c>
      <c r="G1520" s="56" t="s">
        <v>94</v>
      </c>
      <c r="H1520" s="84" t="s">
        <v>76</v>
      </c>
      <c r="I1520" s="56" t="s">
        <v>284</v>
      </c>
      <c r="J1520" s="75">
        <v>20109072177</v>
      </c>
      <c r="K1520" s="56"/>
      <c r="L1520" s="56" t="s">
        <v>1015</v>
      </c>
      <c r="M1520" s="56" t="s">
        <v>474</v>
      </c>
      <c r="N1520" s="56"/>
      <c r="O1520" s="56"/>
      <c r="P1520" s="181" t="s">
        <v>635</v>
      </c>
      <c r="Q1520" s="56" t="s">
        <v>641</v>
      </c>
      <c r="R1520" s="84" t="s">
        <v>289</v>
      </c>
      <c r="S1520" s="56"/>
    </row>
    <row r="1521" spans="1:19" ht="21.75" hidden="1" customHeight="1" x14ac:dyDescent="0.25">
      <c r="A1521" s="56" t="s">
        <v>2481</v>
      </c>
      <c r="B1521" s="75">
        <v>4512745771</v>
      </c>
      <c r="C1521" s="52">
        <v>46144</v>
      </c>
      <c r="D1521" s="54">
        <v>4</v>
      </c>
      <c r="E1521" s="54">
        <v>1</v>
      </c>
      <c r="F1521" s="56" t="s">
        <v>28</v>
      </c>
      <c r="G1521" s="56" t="s">
        <v>95</v>
      </c>
      <c r="H1521" s="84" t="s">
        <v>76</v>
      </c>
      <c r="I1521" s="56" t="s">
        <v>284</v>
      </c>
      <c r="J1521" s="75">
        <v>20109072177</v>
      </c>
      <c r="K1521" s="56"/>
      <c r="L1521" s="56" t="s">
        <v>1015</v>
      </c>
      <c r="M1521" s="56" t="s">
        <v>474</v>
      </c>
      <c r="N1521" s="56"/>
      <c r="O1521" s="56"/>
      <c r="P1521" s="181" t="s">
        <v>635</v>
      </c>
      <c r="Q1521" s="56" t="s">
        <v>641</v>
      </c>
      <c r="R1521" s="84" t="s">
        <v>289</v>
      </c>
      <c r="S1521" s="56"/>
    </row>
    <row r="1522" spans="1:19" ht="21.75" hidden="1" customHeight="1" x14ac:dyDescent="0.25">
      <c r="A1522" s="56" t="s">
        <v>2481</v>
      </c>
      <c r="B1522" s="75">
        <v>4512745771</v>
      </c>
      <c r="C1522" s="52">
        <v>46144</v>
      </c>
      <c r="D1522" s="54">
        <v>4</v>
      </c>
      <c r="E1522" s="54">
        <v>1</v>
      </c>
      <c r="F1522" s="56" t="s">
        <v>30</v>
      </c>
      <c r="G1522" s="56" t="s">
        <v>122</v>
      </c>
      <c r="H1522" s="84" t="s">
        <v>76</v>
      </c>
      <c r="I1522" s="56" t="s">
        <v>284</v>
      </c>
      <c r="J1522" s="75">
        <v>20109072177</v>
      </c>
      <c r="K1522" s="56"/>
      <c r="L1522" s="56" t="s">
        <v>1015</v>
      </c>
      <c r="M1522" s="56" t="s">
        <v>474</v>
      </c>
      <c r="N1522" s="56"/>
      <c r="O1522" s="56"/>
      <c r="P1522" s="181" t="s">
        <v>635</v>
      </c>
      <c r="Q1522" s="56" t="s">
        <v>641</v>
      </c>
      <c r="R1522" s="84" t="s">
        <v>289</v>
      </c>
      <c r="S1522" s="56"/>
    </row>
    <row r="1523" spans="1:19" ht="21.75" hidden="1" customHeight="1" x14ac:dyDescent="0.25">
      <c r="A1523" s="56" t="s">
        <v>2481</v>
      </c>
      <c r="B1523" s="75">
        <v>4512745771</v>
      </c>
      <c r="C1523" s="52">
        <v>46144</v>
      </c>
      <c r="D1523" s="54">
        <v>4</v>
      </c>
      <c r="E1523" s="54">
        <v>1</v>
      </c>
      <c r="F1523" s="56" t="s">
        <v>16</v>
      </c>
      <c r="G1523" s="56" t="s">
        <v>89</v>
      </c>
      <c r="H1523" s="84" t="s">
        <v>76</v>
      </c>
      <c r="I1523" s="56" t="s">
        <v>284</v>
      </c>
      <c r="J1523" s="75">
        <v>20109072177</v>
      </c>
      <c r="K1523" s="56"/>
      <c r="L1523" s="56" t="s">
        <v>1015</v>
      </c>
      <c r="M1523" s="56" t="s">
        <v>474</v>
      </c>
      <c r="N1523" s="56"/>
      <c r="O1523" s="56"/>
      <c r="P1523" s="181" t="s">
        <v>635</v>
      </c>
      <c r="Q1523" s="56" t="s">
        <v>641</v>
      </c>
      <c r="R1523" s="84" t="s">
        <v>289</v>
      </c>
      <c r="S1523" s="56"/>
    </row>
    <row r="1524" spans="1:19" ht="21.75" hidden="1" customHeight="1" x14ac:dyDescent="0.25">
      <c r="A1524" s="56" t="s">
        <v>2481</v>
      </c>
      <c r="B1524" s="75">
        <v>4512745771</v>
      </c>
      <c r="C1524" s="52">
        <v>46144</v>
      </c>
      <c r="D1524" s="54">
        <v>4</v>
      </c>
      <c r="E1524" s="54">
        <v>1</v>
      </c>
      <c r="F1524" s="56" t="s">
        <v>37</v>
      </c>
      <c r="G1524" s="56" t="s">
        <v>133</v>
      </c>
      <c r="H1524" s="84" t="s">
        <v>76</v>
      </c>
      <c r="I1524" s="56" t="s">
        <v>284</v>
      </c>
      <c r="J1524" s="75">
        <v>20109072177</v>
      </c>
      <c r="K1524" s="56"/>
      <c r="L1524" s="56" t="s">
        <v>1015</v>
      </c>
      <c r="M1524" s="56" t="s">
        <v>474</v>
      </c>
      <c r="N1524" s="56"/>
      <c r="O1524" s="56"/>
      <c r="P1524" s="181" t="s">
        <v>635</v>
      </c>
      <c r="Q1524" s="56" t="s">
        <v>641</v>
      </c>
      <c r="R1524" s="84" t="s">
        <v>289</v>
      </c>
      <c r="S1524" s="56"/>
    </row>
    <row r="1525" spans="1:19" ht="21.75" hidden="1" customHeight="1" x14ac:dyDescent="0.25">
      <c r="A1525" s="56" t="s">
        <v>2482</v>
      </c>
      <c r="B1525" s="75">
        <v>4512744857</v>
      </c>
      <c r="C1525" s="52">
        <v>46144</v>
      </c>
      <c r="D1525" s="54">
        <v>6</v>
      </c>
      <c r="E1525" s="54">
        <v>3</v>
      </c>
      <c r="F1525" s="56" t="s">
        <v>2370</v>
      </c>
      <c r="G1525" s="56" t="s">
        <v>78</v>
      </c>
      <c r="H1525" s="84" t="s">
        <v>76</v>
      </c>
      <c r="I1525" s="56" t="s">
        <v>284</v>
      </c>
      <c r="J1525" s="75">
        <v>20109072177</v>
      </c>
      <c r="K1525" s="56"/>
      <c r="L1525" s="56" t="s">
        <v>2357</v>
      </c>
      <c r="M1525" s="56" t="s">
        <v>2364</v>
      </c>
      <c r="N1525" s="56"/>
      <c r="O1525" s="56"/>
      <c r="P1525" s="137" t="s">
        <v>632</v>
      </c>
      <c r="Q1525" s="56" t="s">
        <v>639</v>
      </c>
      <c r="R1525" s="84" t="s">
        <v>289</v>
      </c>
      <c r="S1525" s="56"/>
    </row>
    <row r="1526" spans="1:19" ht="21.75" hidden="1" customHeight="1" x14ac:dyDescent="0.25">
      <c r="A1526" s="56" t="s">
        <v>2482</v>
      </c>
      <c r="B1526" s="75">
        <v>4512744857</v>
      </c>
      <c r="C1526" s="52">
        <v>46144</v>
      </c>
      <c r="D1526" s="54">
        <v>4</v>
      </c>
      <c r="E1526" s="54">
        <v>1</v>
      </c>
      <c r="F1526" s="56" t="s">
        <v>37</v>
      </c>
      <c r="G1526" s="56" t="s">
        <v>133</v>
      </c>
      <c r="H1526" s="84" t="s">
        <v>76</v>
      </c>
      <c r="I1526" s="56" t="s">
        <v>284</v>
      </c>
      <c r="J1526" s="75">
        <v>20109072177</v>
      </c>
      <c r="K1526" s="56"/>
      <c r="L1526" s="56" t="s">
        <v>2357</v>
      </c>
      <c r="M1526" s="56" t="s">
        <v>2364</v>
      </c>
      <c r="N1526" s="56"/>
      <c r="O1526" s="56"/>
      <c r="P1526" s="137" t="s">
        <v>632</v>
      </c>
      <c r="Q1526" s="56" t="s">
        <v>639</v>
      </c>
      <c r="R1526" s="84" t="s">
        <v>289</v>
      </c>
      <c r="S1526" s="56"/>
    </row>
    <row r="1527" spans="1:19" ht="21.75" hidden="1" customHeight="1" x14ac:dyDescent="0.25">
      <c r="A1527" s="56" t="s">
        <v>2482</v>
      </c>
      <c r="B1527" s="75">
        <v>4512744857</v>
      </c>
      <c r="C1527" s="52">
        <v>46144</v>
      </c>
      <c r="D1527" s="54">
        <v>4</v>
      </c>
      <c r="E1527" s="54">
        <v>1</v>
      </c>
      <c r="F1527" s="56" t="s">
        <v>30</v>
      </c>
      <c r="G1527" s="56" t="s">
        <v>122</v>
      </c>
      <c r="H1527" s="84" t="s">
        <v>76</v>
      </c>
      <c r="I1527" s="56" t="s">
        <v>284</v>
      </c>
      <c r="J1527" s="75">
        <v>20109072177</v>
      </c>
      <c r="K1527" s="56"/>
      <c r="L1527" s="56" t="s">
        <v>2357</v>
      </c>
      <c r="M1527" s="56" t="s">
        <v>2364</v>
      </c>
      <c r="N1527" s="56"/>
      <c r="O1527" s="56"/>
      <c r="P1527" s="137" t="s">
        <v>632</v>
      </c>
      <c r="Q1527" s="56" t="s">
        <v>639</v>
      </c>
      <c r="R1527" s="84" t="s">
        <v>289</v>
      </c>
      <c r="S1527" s="56"/>
    </row>
    <row r="1528" spans="1:19" ht="21.75" hidden="1" customHeight="1" x14ac:dyDescent="0.25">
      <c r="A1528" s="56" t="s">
        <v>2482</v>
      </c>
      <c r="B1528" s="75">
        <v>4512744857</v>
      </c>
      <c r="C1528" s="52">
        <v>46144</v>
      </c>
      <c r="D1528" s="54">
        <v>4</v>
      </c>
      <c r="E1528" s="54">
        <v>1</v>
      </c>
      <c r="F1528" s="56" t="s">
        <v>28</v>
      </c>
      <c r="G1528" s="56" t="s">
        <v>95</v>
      </c>
      <c r="H1528" s="84" t="s">
        <v>76</v>
      </c>
      <c r="I1528" s="56" t="s">
        <v>284</v>
      </c>
      <c r="J1528" s="75">
        <v>20109072177</v>
      </c>
      <c r="K1528" s="56"/>
      <c r="L1528" s="56" t="s">
        <v>2357</v>
      </c>
      <c r="M1528" s="56" t="s">
        <v>2364</v>
      </c>
      <c r="N1528" s="56"/>
      <c r="O1528" s="56"/>
      <c r="P1528" s="137" t="s">
        <v>632</v>
      </c>
      <c r="Q1528" s="56" t="s">
        <v>639</v>
      </c>
      <c r="R1528" s="84" t="s">
        <v>289</v>
      </c>
      <c r="S1528" s="56"/>
    </row>
    <row r="1529" spans="1:19" ht="21.75" hidden="1" customHeight="1" x14ac:dyDescent="0.25">
      <c r="A1529" s="56" t="s">
        <v>2482</v>
      </c>
      <c r="B1529" s="75">
        <v>4512744857</v>
      </c>
      <c r="C1529" s="52">
        <v>46144</v>
      </c>
      <c r="D1529" s="54">
        <v>4</v>
      </c>
      <c r="E1529" s="54">
        <v>1</v>
      </c>
      <c r="F1529" s="56" t="s">
        <v>29</v>
      </c>
      <c r="G1529" s="56" t="s">
        <v>94</v>
      </c>
      <c r="H1529" s="84" t="s">
        <v>76</v>
      </c>
      <c r="I1529" s="56" t="s">
        <v>284</v>
      </c>
      <c r="J1529" s="75">
        <v>20109072177</v>
      </c>
      <c r="K1529" s="56"/>
      <c r="L1529" s="56" t="s">
        <v>2357</v>
      </c>
      <c r="M1529" s="56" t="s">
        <v>2364</v>
      </c>
      <c r="N1529" s="56"/>
      <c r="O1529" s="56"/>
      <c r="P1529" s="137" t="s">
        <v>632</v>
      </c>
      <c r="Q1529" s="56" t="s">
        <v>639</v>
      </c>
      <c r="R1529" s="84" t="s">
        <v>289</v>
      </c>
      <c r="S1529" s="56"/>
    </row>
    <row r="1530" spans="1:19" ht="21.75" hidden="1" customHeight="1" x14ac:dyDescent="0.25">
      <c r="A1530" s="56" t="s">
        <v>2482</v>
      </c>
      <c r="B1530" s="75">
        <v>4512744857</v>
      </c>
      <c r="C1530" s="52">
        <v>46144</v>
      </c>
      <c r="D1530" s="54">
        <v>4</v>
      </c>
      <c r="E1530" s="54">
        <v>1</v>
      </c>
      <c r="F1530" s="56" t="s">
        <v>38</v>
      </c>
      <c r="G1530" s="56" t="s">
        <v>97</v>
      </c>
      <c r="H1530" s="84" t="s">
        <v>76</v>
      </c>
      <c r="I1530" s="56" t="s">
        <v>284</v>
      </c>
      <c r="J1530" s="75">
        <v>20109072177</v>
      </c>
      <c r="K1530" s="56"/>
      <c r="L1530" s="56" t="s">
        <v>2357</v>
      </c>
      <c r="M1530" s="56" t="s">
        <v>2364</v>
      </c>
      <c r="N1530" s="56"/>
      <c r="O1530" s="56"/>
      <c r="P1530" s="137" t="s">
        <v>632</v>
      </c>
      <c r="Q1530" s="56" t="s">
        <v>639</v>
      </c>
      <c r="R1530" s="84" t="s">
        <v>289</v>
      </c>
      <c r="S1530" s="56"/>
    </row>
    <row r="1531" spans="1:19" ht="21.75" hidden="1" customHeight="1" x14ac:dyDescent="0.25">
      <c r="A1531" s="56" t="s">
        <v>2483</v>
      </c>
      <c r="B1531" s="75">
        <v>4512744838</v>
      </c>
      <c r="C1531" s="52">
        <v>46144</v>
      </c>
      <c r="D1531" s="54">
        <v>4</v>
      </c>
      <c r="E1531" s="54">
        <v>1</v>
      </c>
      <c r="F1531" s="56" t="s">
        <v>28</v>
      </c>
      <c r="G1531" s="56" t="s">
        <v>95</v>
      </c>
      <c r="H1531" s="84" t="s">
        <v>76</v>
      </c>
      <c r="I1531" s="56" t="s">
        <v>284</v>
      </c>
      <c r="J1531" s="75">
        <v>20109072177</v>
      </c>
      <c r="K1531" s="56"/>
      <c r="L1531" s="56" t="s">
        <v>2356</v>
      </c>
      <c r="M1531" s="56" t="s">
        <v>2364</v>
      </c>
      <c r="N1531" s="56"/>
      <c r="O1531" s="56"/>
      <c r="P1531" s="56" t="s">
        <v>631</v>
      </c>
      <c r="Q1531" s="56" t="s">
        <v>638</v>
      </c>
      <c r="R1531" s="84" t="s">
        <v>289</v>
      </c>
      <c r="S1531" s="56"/>
    </row>
    <row r="1532" spans="1:19" ht="21.75" hidden="1" customHeight="1" x14ac:dyDescent="0.25">
      <c r="A1532" s="56" t="s">
        <v>2483</v>
      </c>
      <c r="B1532" s="75">
        <v>4512744838</v>
      </c>
      <c r="C1532" s="52">
        <v>46144</v>
      </c>
      <c r="D1532" s="54">
        <v>4</v>
      </c>
      <c r="E1532" s="54">
        <v>1</v>
      </c>
      <c r="F1532" s="56" t="s">
        <v>29</v>
      </c>
      <c r="G1532" s="56" t="s">
        <v>94</v>
      </c>
      <c r="H1532" s="84" t="s">
        <v>76</v>
      </c>
      <c r="I1532" s="56" t="s">
        <v>284</v>
      </c>
      <c r="J1532" s="75">
        <v>20109072177</v>
      </c>
      <c r="K1532" s="56"/>
      <c r="L1532" s="56" t="s">
        <v>2356</v>
      </c>
      <c r="M1532" s="56" t="s">
        <v>2364</v>
      </c>
      <c r="N1532" s="56"/>
      <c r="O1532" s="56"/>
      <c r="P1532" s="56" t="s">
        <v>631</v>
      </c>
      <c r="Q1532" s="56" t="s">
        <v>638</v>
      </c>
      <c r="R1532" s="84" t="s">
        <v>289</v>
      </c>
      <c r="S1532" s="56"/>
    </row>
    <row r="1533" spans="1:19" ht="21.75" hidden="1" customHeight="1" x14ac:dyDescent="0.25">
      <c r="A1533" s="56" t="s">
        <v>2485</v>
      </c>
      <c r="B1533" s="75">
        <v>4512744834</v>
      </c>
      <c r="C1533" s="52">
        <v>46144</v>
      </c>
      <c r="D1533" s="180">
        <v>4</v>
      </c>
      <c r="E1533" s="54">
        <v>1</v>
      </c>
      <c r="F1533" s="56" t="s">
        <v>325</v>
      </c>
      <c r="G1533" s="56" t="s">
        <v>338</v>
      </c>
      <c r="H1533" s="11" t="s">
        <v>76</v>
      </c>
      <c r="I1533" s="179" t="s">
        <v>284</v>
      </c>
      <c r="J1533" s="14">
        <v>20109072177</v>
      </c>
      <c r="K1533" s="179" t="s">
        <v>73</v>
      </c>
      <c r="L1533" s="11" t="s">
        <v>2519</v>
      </c>
      <c r="M1533" s="11" t="s">
        <v>533</v>
      </c>
      <c r="N1533" s="11"/>
      <c r="O1533" s="11"/>
      <c r="P1533" s="11" t="s">
        <v>1036</v>
      </c>
      <c r="Q1533" s="11" t="s">
        <v>2484</v>
      </c>
      <c r="R1533" s="11" t="s">
        <v>289</v>
      </c>
      <c r="S1533" s="11"/>
    </row>
    <row r="1534" spans="1:19" ht="21.75" hidden="1" customHeight="1" x14ac:dyDescent="0.25">
      <c r="A1534" s="56" t="s">
        <v>2486</v>
      </c>
      <c r="B1534" s="75">
        <v>4512744830</v>
      </c>
      <c r="C1534" s="52">
        <v>46144</v>
      </c>
      <c r="D1534" s="180">
        <v>4</v>
      </c>
      <c r="E1534" s="54">
        <v>1</v>
      </c>
      <c r="F1534" s="56" t="s">
        <v>37</v>
      </c>
      <c r="G1534" s="56" t="s">
        <v>133</v>
      </c>
      <c r="H1534" s="84" t="s">
        <v>76</v>
      </c>
      <c r="I1534" s="56" t="s">
        <v>284</v>
      </c>
      <c r="J1534" s="75">
        <v>20109072177</v>
      </c>
      <c r="K1534" s="56"/>
      <c r="L1534" s="56" t="s">
        <v>650</v>
      </c>
      <c r="M1534" s="56" t="s">
        <v>299</v>
      </c>
      <c r="N1534" s="56"/>
      <c r="O1534" s="56"/>
      <c r="P1534" s="137" t="s">
        <v>630</v>
      </c>
      <c r="Q1534" s="56" t="s">
        <v>637</v>
      </c>
      <c r="R1534" s="84" t="s">
        <v>289</v>
      </c>
      <c r="S1534" s="56"/>
    </row>
    <row r="1535" spans="1:19" ht="21.75" hidden="1" customHeight="1" x14ac:dyDescent="0.25">
      <c r="A1535" s="56" t="s">
        <v>2486</v>
      </c>
      <c r="B1535" s="75">
        <v>4512744830</v>
      </c>
      <c r="C1535" s="52">
        <v>46144</v>
      </c>
      <c r="D1535" s="180">
        <v>4</v>
      </c>
      <c r="E1535" s="54">
        <v>1</v>
      </c>
      <c r="F1535" s="56" t="s">
        <v>16</v>
      </c>
      <c r="G1535" s="56" t="s">
        <v>89</v>
      </c>
      <c r="H1535" s="84" t="s">
        <v>76</v>
      </c>
      <c r="I1535" s="56" t="s">
        <v>284</v>
      </c>
      <c r="J1535" s="75">
        <v>20109072177</v>
      </c>
      <c r="K1535" s="56"/>
      <c r="L1535" s="56" t="s">
        <v>650</v>
      </c>
      <c r="M1535" s="56" t="s">
        <v>299</v>
      </c>
      <c r="N1535" s="56"/>
      <c r="O1535" s="56"/>
      <c r="P1535" s="137" t="s">
        <v>630</v>
      </c>
      <c r="Q1535" s="56" t="s">
        <v>637</v>
      </c>
      <c r="R1535" s="84" t="s">
        <v>289</v>
      </c>
      <c r="S1535" s="56"/>
    </row>
    <row r="1536" spans="1:19" ht="21.75" hidden="1" customHeight="1" x14ac:dyDescent="0.25">
      <c r="A1536" s="56" t="s">
        <v>2486</v>
      </c>
      <c r="B1536" s="75">
        <v>4512744830</v>
      </c>
      <c r="C1536" s="52">
        <v>46144</v>
      </c>
      <c r="D1536" s="180">
        <v>4</v>
      </c>
      <c r="E1536" s="54">
        <v>1</v>
      </c>
      <c r="F1536" s="56" t="s">
        <v>30</v>
      </c>
      <c r="G1536" s="56" t="s">
        <v>122</v>
      </c>
      <c r="H1536" s="84" t="s">
        <v>76</v>
      </c>
      <c r="I1536" s="56" t="s">
        <v>284</v>
      </c>
      <c r="J1536" s="75">
        <v>20109072177</v>
      </c>
      <c r="K1536" s="56"/>
      <c r="L1536" s="56" t="s">
        <v>650</v>
      </c>
      <c r="M1536" s="56" t="s">
        <v>299</v>
      </c>
      <c r="N1536" s="56"/>
      <c r="O1536" s="56"/>
      <c r="P1536" s="137" t="s">
        <v>630</v>
      </c>
      <c r="Q1536" s="56" t="s">
        <v>637</v>
      </c>
      <c r="R1536" s="84" t="s">
        <v>289</v>
      </c>
      <c r="S1536" s="56"/>
    </row>
    <row r="1537" spans="1:19" ht="21.75" hidden="1" customHeight="1" x14ac:dyDescent="0.25">
      <c r="A1537" s="56" t="s">
        <v>2486</v>
      </c>
      <c r="B1537" s="75">
        <v>4512744830</v>
      </c>
      <c r="C1537" s="52">
        <v>46144</v>
      </c>
      <c r="D1537" s="180">
        <v>4</v>
      </c>
      <c r="E1537" s="54">
        <v>1</v>
      </c>
      <c r="F1537" s="56" t="s">
        <v>28</v>
      </c>
      <c r="G1537" s="56" t="s">
        <v>95</v>
      </c>
      <c r="H1537" s="84" t="s">
        <v>76</v>
      </c>
      <c r="I1537" s="56" t="s">
        <v>284</v>
      </c>
      <c r="J1537" s="75">
        <v>20109072177</v>
      </c>
      <c r="K1537" s="56"/>
      <c r="L1537" s="56" t="s">
        <v>650</v>
      </c>
      <c r="M1537" s="56" t="s">
        <v>299</v>
      </c>
      <c r="N1537" s="56"/>
      <c r="O1537" s="56"/>
      <c r="P1537" s="137" t="s">
        <v>630</v>
      </c>
      <c r="Q1537" s="56" t="s">
        <v>637</v>
      </c>
      <c r="R1537" s="84" t="s">
        <v>289</v>
      </c>
      <c r="S1537" s="56"/>
    </row>
    <row r="1538" spans="1:19" ht="21.75" hidden="1" customHeight="1" x14ac:dyDescent="0.25">
      <c r="A1538" s="56" t="s">
        <v>2486</v>
      </c>
      <c r="B1538" s="75">
        <v>4512744830</v>
      </c>
      <c r="C1538" s="52">
        <v>46144</v>
      </c>
      <c r="D1538" s="180">
        <v>4</v>
      </c>
      <c r="E1538" s="54">
        <v>1</v>
      </c>
      <c r="F1538" s="56" t="s">
        <v>29</v>
      </c>
      <c r="G1538" s="56" t="s">
        <v>94</v>
      </c>
      <c r="H1538" s="84" t="s">
        <v>76</v>
      </c>
      <c r="I1538" s="56" t="s">
        <v>284</v>
      </c>
      <c r="J1538" s="75">
        <v>20109072177</v>
      </c>
      <c r="K1538" s="56"/>
      <c r="L1538" s="56" t="s">
        <v>650</v>
      </c>
      <c r="M1538" s="56" t="s">
        <v>299</v>
      </c>
      <c r="N1538" s="56"/>
      <c r="O1538" s="56"/>
      <c r="P1538" s="137" t="s">
        <v>630</v>
      </c>
      <c r="Q1538" s="56" t="s">
        <v>637</v>
      </c>
      <c r="R1538" s="84" t="s">
        <v>289</v>
      </c>
      <c r="S1538" s="56"/>
    </row>
    <row r="1539" spans="1:19" ht="21.75" hidden="1" customHeight="1" x14ac:dyDescent="0.25">
      <c r="A1539" s="56" t="s">
        <v>2487</v>
      </c>
      <c r="B1539" s="75">
        <v>4512744809</v>
      </c>
      <c r="C1539" s="52">
        <v>46144</v>
      </c>
      <c r="D1539" s="54">
        <v>4</v>
      </c>
      <c r="E1539" s="54">
        <v>1</v>
      </c>
      <c r="F1539" s="56" t="s">
        <v>29</v>
      </c>
      <c r="G1539" s="56" t="s">
        <v>94</v>
      </c>
      <c r="H1539" s="84" t="s">
        <v>76</v>
      </c>
      <c r="I1539" s="56" t="s">
        <v>284</v>
      </c>
      <c r="J1539" s="75">
        <v>20109072177</v>
      </c>
      <c r="K1539" s="56"/>
      <c r="L1539" s="56" t="s">
        <v>2354</v>
      </c>
      <c r="M1539" s="56" t="s">
        <v>306</v>
      </c>
      <c r="N1539" s="56"/>
      <c r="O1539" s="56"/>
      <c r="P1539" s="56" t="s">
        <v>60</v>
      </c>
      <c r="Q1539" s="56" t="s">
        <v>2375</v>
      </c>
      <c r="R1539" s="84" t="s">
        <v>289</v>
      </c>
      <c r="S1539" s="56"/>
    </row>
    <row r="1540" spans="1:19" ht="21.75" hidden="1" customHeight="1" x14ac:dyDescent="0.25">
      <c r="A1540" s="56" t="s">
        <v>2487</v>
      </c>
      <c r="B1540" s="75">
        <v>4512744809</v>
      </c>
      <c r="C1540" s="52">
        <v>46144</v>
      </c>
      <c r="D1540" s="54">
        <v>4</v>
      </c>
      <c r="E1540" s="54">
        <v>1</v>
      </c>
      <c r="F1540" s="56" t="s">
        <v>28</v>
      </c>
      <c r="G1540" s="56" t="s">
        <v>95</v>
      </c>
      <c r="H1540" s="84" t="s">
        <v>76</v>
      </c>
      <c r="I1540" s="56" t="s">
        <v>284</v>
      </c>
      <c r="J1540" s="75">
        <v>20109072177</v>
      </c>
      <c r="K1540" s="56"/>
      <c r="L1540" s="56" t="s">
        <v>2354</v>
      </c>
      <c r="M1540" s="56" t="s">
        <v>306</v>
      </c>
      <c r="N1540" s="56"/>
      <c r="O1540" s="56"/>
      <c r="P1540" s="56" t="s">
        <v>60</v>
      </c>
      <c r="Q1540" s="56" t="s">
        <v>2375</v>
      </c>
      <c r="R1540" s="84" t="s">
        <v>289</v>
      </c>
      <c r="S1540" s="56"/>
    </row>
    <row r="1541" spans="1:19" ht="21.75" hidden="1" customHeight="1" x14ac:dyDescent="0.25">
      <c r="A1541" s="56" t="s">
        <v>2487</v>
      </c>
      <c r="B1541" s="75">
        <v>4512744809</v>
      </c>
      <c r="C1541" s="52">
        <v>46144</v>
      </c>
      <c r="D1541" s="54">
        <v>4</v>
      </c>
      <c r="E1541" s="54">
        <v>1</v>
      </c>
      <c r="F1541" s="56" t="s">
        <v>30</v>
      </c>
      <c r="G1541" s="56" t="s">
        <v>122</v>
      </c>
      <c r="H1541" s="84" t="s">
        <v>76</v>
      </c>
      <c r="I1541" s="56" t="s">
        <v>284</v>
      </c>
      <c r="J1541" s="75">
        <v>20109072177</v>
      </c>
      <c r="K1541" s="56"/>
      <c r="L1541" s="56" t="s">
        <v>2354</v>
      </c>
      <c r="M1541" s="56" t="s">
        <v>306</v>
      </c>
      <c r="N1541" s="56"/>
      <c r="O1541" s="56"/>
      <c r="P1541" s="56" t="s">
        <v>60</v>
      </c>
      <c r="Q1541" s="56" t="s">
        <v>2375</v>
      </c>
      <c r="R1541" s="84" t="s">
        <v>289</v>
      </c>
      <c r="S1541" s="56"/>
    </row>
    <row r="1542" spans="1:19" ht="21.75" hidden="1" customHeight="1" x14ac:dyDescent="0.25">
      <c r="A1542" s="56" t="s">
        <v>2487</v>
      </c>
      <c r="B1542" s="75">
        <v>4512744809</v>
      </c>
      <c r="C1542" s="52">
        <v>46144</v>
      </c>
      <c r="D1542" s="54">
        <v>4</v>
      </c>
      <c r="E1542" s="54">
        <v>1</v>
      </c>
      <c r="F1542" s="56" t="s">
        <v>16</v>
      </c>
      <c r="G1542" s="56" t="s">
        <v>89</v>
      </c>
      <c r="H1542" s="84" t="s">
        <v>76</v>
      </c>
      <c r="I1542" s="56" t="s">
        <v>284</v>
      </c>
      <c r="J1542" s="75">
        <v>20109072177</v>
      </c>
      <c r="K1542" s="56"/>
      <c r="L1542" s="56" t="s">
        <v>2354</v>
      </c>
      <c r="M1542" s="56" t="s">
        <v>306</v>
      </c>
      <c r="N1542" s="56"/>
      <c r="O1542" s="56"/>
      <c r="P1542" s="56" t="s">
        <v>60</v>
      </c>
      <c r="Q1542" s="56" t="s">
        <v>2375</v>
      </c>
      <c r="R1542" s="84" t="s">
        <v>289</v>
      </c>
      <c r="S1542" s="56"/>
    </row>
    <row r="1543" spans="1:19" ht="22.5" hidden="1" customHeight="1" x14ac:dyDescent="0.25">
      <c r="A1543" s="186" t="s">
        <v>2488</v>
      </c>
      <c r="B1543" s="187">
        <v>13961017</v>
      </c>
      <c r="C1543" s="196">
        <v>46146</v>
      </c>
      <c r="D1543" s="174">
        <v>384</v>
      </c>
      <c r="E1543" s="188">
        <v>16</v>
      </c>
      <c r="F1543" s="186" t="s">
        <v>18</v>
      </c>
      <c r="G1543" s="186" t="s">
        <v>109</v>
      </c>
      <c r="H1543" s="80" t="s">
        <v>76</v>
      </c>
      <c r="I1543" s="17" t="s">
        <v>134</v>
      </c>
      <c r="J1543" s="17">
        <v>20100070970</v>
      </c>
      <c r="K1543" s="14"/>
      <c r="L1543" s="17" t="s">
        <v>1632</v>
      </c>
      <c r="M1543" s="17" t="s">
        <v>77</v>
      </c>
      <c r="N1543" s="14"/>
      <c r="O1543" s="14"/>
      <c r="P1543" s="17" t="s">
        <v>1912</v>
      </c>
      <c r="Q1543" s="14"/>
      <c r="R1543" s="17" t="s">
        <v>143</v>
      </c>
      <c r="S1543" s="14"/>
    </row>
    <row r="1544" spans="1:19" ht="22.5" hidden="1" customHeight="1" x14ac:dyDescent="0.25">
      <c r="A1544" s="186" t="s">
        <v>2488</v>
      </c>
      <c r="B1544" s="187">
        <v>13961017</v>
      </c>
      <c r="C1544" s="196">
        <v>46146</v>
      </c>
      <c r="D1544" s="174">
        <v>60</v>
      </c>
      <c r="E1544" s="188">
        <v>5</v>
      </c>
      <c r="F1544" s="186" t="s">
        <v>19</v>
      </c>
      <c r="G1544" s="186" t="s">
        <v>120</v>
      </c>
      <c r="H1544" s="80" t="s">
        <v>76</v>
      </c>
      <c r="I1544" s="17" t="s">
        <v>134</v>
      </c>
      <c r="J1544" s="17">
        <v>20100070970</v>
      </c>
      <c r="K1544" s="14"/>
      <c r="L1544" s="17" t="s">
        <v>1632</v>
      </c>
      <c r="M1544" s="17" t="s">
        <v>77</v>
      </c>
      <c r="N1544" s="14"/>
      <c r="O1544" s="14"/>
      <c r="P1544" s="17" t="s">
        <v>1912</v>
      </c>
      <c r="Q1544" s="14"/>
      <c r="R1544" s="17" t="s">
        <v>143</v>
      </c>
      <c r="S1544" s="14"/>
    </row>
    <row r="1545" spans="1:19" ht="22.5" hidden="1" customHeight="1" x14ac:dyDescent="0.25">
      <c r="A1545" s="186" t="s">
        <v>2488</v>
      </c>
      <c r="B1545" s="187">
        <v>13961017</v>
      </c>
      <c r="C1545" s="196">
        <v>46146</v>
      </c>
      <c r="D1545" s="174">
        <v>36</v>
      </c>
      <c r="E1545" s="188">
        <v>3</v>
      </c>
      <c r="F1545" s="186" t="s">
        <v>20</v>
      </c>
      <c r="G1545" s="186" t="s">
        <v>113</v>
      </c>
      <c r="H1545" s="80" t="s">
        <v>76</v>
      </c>
      <c r="I1545" s="17" t="s">
        <v>134</v>
      </c>
      <c r="J1545" s="17">
        <v>20100070970</v>
      </c>
      <c r="K1545" s="14"/>
      <c r="L1545" s="17" t="s">
        <v>1632</v>
      </c>
      <c r="M1545" s="17" t="s">
        <v>77</v>
      </c>
      <c r="N1545" s="14"/>
      <c r="O1545" s="14"/>
      <c r="P1545" s="17" t="s">
        <v>1912</v>
      </c>
      <c r="Q1545" s="14"/>
      <c r="R1545" s="17" t="s">
        <v>143</v>
      </c>
      <c r="S1545" s="14"/>
    </row>
    <row r="1546" spans="1:19" ht="22.5" hidden="1" customHeight="1" x14ac:dyDescent="0.25">
      <c r="A1546" s="186" t="s">
        <v>2488</v>
      </c>
      <c r="B1546" s="187">
        <v>13961017</v>
      </c>
      <c r="C1546" s="196">
        <v>46146</v>
      </c>
      <c r="D1546" s="174">
        <v>36</v>
      </c>
      <c r="E1546" s="188">
        <v>3</v>
      </c>
      <c r="F1546" s="186" t="s">
        <v>21</v>
      </c>
      <c r="G1546" s="186" t="s">
        <v>115</v>
      </c>
      <c r="H1546" s="80" t="s">
        <v>76</v>
      </c>
      <c r="I1546" s="17" t="s">
        <v>134</v>
      </c>
      <c r="J1546" s="17">
        <v>20100070970</v>
      </c>
      <c r="K1546" s="14"/>
      <c r="L1546" s="17" t="s">
        <v>1632</v>
      </c>
      <c r="M1546" s="17" t="s">
        <v>77</v>
      </c>
      <c r="N1546" s="14"/>
      <c r="O1546" s="14"/>
      <c r="P1546" s="17" t="s">
        <v>1912</v>
      </c>
      <c r="Q1546" s="14"/>
      <c r="R1546" s="17" t="s">
        <v>143</v>
      </c>
      <c r="S1546" s="14"/>
    </row>
    <row r="1547" spans="1:19" ht="22.5" hidden="1" customHeight="1" x14ac:dyDescent="0.25">
      <c r="A1547" s="186" t="s">
        <v>2488</v>
      </c>
      <c r="B1547" s="187">
        <v>13961017</v>
      </c>
      <c r="C1547" s="196">
        <v>46146</v>
      </c>
      <c r="D1547" s="174">
        <v>144</v>
      </c>
      <c r="E1547" s="188">
        <v>3</v>
      </c>
      <c r="F1547" s="186" t="s">
        <v>22</v>
      </c>
      <c r="G1547" s="186" t="s">
        <v>108</v>
      </c>
      <c r="H1547" s="80" t="s">
        <v>76</v>
      </c>
      <c r="I1547" s="17" t="s">
        <v>134</v>
      </c>
      <c r="J1547" s="17">
        <v>20100070970</v>
      </c>
      <c r="K1547" s="14"/>
      <c r="L1547" s="17" t="s">
        <v>1632</v>
      </c>
      <c r="M1547" s="17" t="s">
        <v>77</v>
      </c>
      <c r="N1547" s="14"/>
      <c r="O1547" s="14"/>
      <c r="P1547" s="17" t="s">
        <v>1912</v>
      </c>
      <c r="Q1547" s="14"/>
      <c r="R1547" s="17" t="s">
        <v>143</v>
      </c>
      <c r="S1547" s="14"/>
    </row>
    <row r="1548" spans="1:19" ht="22.5" hidden="1" customHeight="1" x14ac:dyDescent="0.25">
      <c r="A1548" s="186" t="s">
        <v>2488</v>
      </c>
      <c r="B1548" s="187">
        <v>13961017</v>
      </c>
      <c r="C1548" s="196">
        <v>46146</v>
      </c>
      <c r="D1548" s="174">
        <v>168</v>
      </c>
      <c r="E1548" s="188">
        <v>14</v>
      </c>
      <c r="F1548" s="186" t="s">
        <v>23</v>
      </c>
      <c r="G1548" s="186" t="s">
        <v>119</v>
      </c>
      <c r="H1548" s="80" t="s">
        <v>76</v>
      </c>
      <c r="I1548" s="17" t="s">
        <v>134</v>
      </c>
      <c r="J1548" s="17">
        <v>20100070970</v>
      </c>
      <c r="K1548" s="14"/>
      <c r="L1548" s="17" t="s">
        <v>1632</v>
      </c>
      <c r="M1548" s="17" t="s">
        <v>77</v>
      </c>
      <c r="N1548" s="14"/>
      <c r="O1548" s="14"/>
      <c r="P1548" s="17" t="s">
        <v>1912</v>
      </c>
      <c r="Q1548" s="14"/>
      <c r="R1548" s="17" t="s">
        <v>143</v>
      </c>
      <c r="S1548" s="14"/>
    </row>
    <row r="1549" spans="1:19" ht="22.5" hidden="1" customHeight="1" x14ac:dyDescent="0.25">
      <c r="A1549" s="186" t="s">
        <v>2488</v>
      </c>
      <c r="B1549" s="187">
        <v>13961017</v>
      </c>
      <c r="C1549" s="196">
        <v>46146</v>
      </c>
      <c r="D1549" s="174">
        <v>72</v>
      </c>
      <c r="E1549" s="188">
        <v>6</v>
      </c>
      <c r="F1549" s="186" t="s">
        <v>24</v>
      </c>
      <c r="G1549" s="186" t="s">
        <v>112</v>
      </c>
      <c r="H1549" s="80" t="s">
        <v>76</v>
      </c>
      <c r="I1549" s="17" t="s">
        <v>134</v>
      </c>
      <c r="J1549" s="17">
        <v>20100070970</v>
      </c>
      <c r="K1549" s="14"/>
      <c r="L1549" s="17" t="s">
        <v>1632</v>
      </c>
      <c r="M1549" s="17" t="s">
        <v>77</v>
      </c>
      <c r="N1549" s="14"/>
      <c r="O1549" s="14"/>
      <c r="P1549" s="17" t="s">
        <v>1912</v>
      </c>
      <c r="Q1549" s="14"/>
      <c r="R1549" s="17" t="s">
        <v>143</v>
      </c>
      <c r="S1549" s="14"/>
    </row>
    <row r="1550" spans="1:19" ht="22.5" hidden="1" customHeight="1" x14ac:dyDescent="0.25">
      <c r="A1550" s="186" t="s">
        <v>2488</v>
      </c>
      <c r="B1550" s="187">
        <v>13961017</v>
      </c>
      <c r="C1550" s="196">
        <v>46146</v>
      </c>
      <c r="D1550" s="174">
        <v>36</v>
      </c>
      <c r="E1550" s="188">
        <v>3</v>
      </c>
      <c r="F1550" s="186" t="s">
        <v>25</v>
      </c>
      <c r="G1550" s="186" t="s">
        <v>136</v>
      </c>
      <c r="H1550" s="80" t="s">
        <v>76</v>
      </c>
      <c r="I1550" s="17" t="s">
        <v>134</v>
      </c>
      <c r="J1550" s="17">
        <v>20100070970</v>
      </c>
      <c r="K1550" s="14"/>
      <c r="L1550" s="17" t="s">
        <v>1632</v>
      </c>
      <c r="M1550" s="17" t="s">
        <v>77</v>
      </c>
      <c r="N1550" s="14"/>
      <c r="O1550" s="14"/>
      <c r="P1550" s="17" t="s">
        <v>1912</v>
      </c>
      <c r="Q1550" s="14"/>
      <c r="R1550" s="17" t="s">
        <v>143</v>
      </c>
      <c r="S1550" s="14"/>
    </row>
    <row r="1551" spans="1:19" ht="22.5" hidden="1" customHeight="1" x14ac:dyDescent="0.25">
      <c r="A1551" s="186" t="s">
        <v>2488</v>
      </c>
      <c r="B1551" s="187">
        <v>13961017</v>
      </c>
      <c r="C1551" s="196">
        <v>46146</v>
      </c>
      <c r="D1551" s="174">
        <v>98</v>
      </c>
      <c r="E1551" s="188">
        <v>16.333333333333332</v>
      </c>
      <c r="F1551" s="186" t="s">
        <v>26</v>
      </c>
      <c r="G1551" s="186" t="s">
        <v>111</v>
      </c>
      <c r="H1551" s="80" t="s">
        <v>76</v>
      </c>
      <c r="I1551" s="17" t="s">
        <v>134</v>
      </c>
      <c r="J1551" s="17">
        <v>20100070970</v>
      </c>
      <c r="K1551" s="14"/>
      <c r="L1551" s="17" t="s">
        <v>1632</v>
      </c>
      <c r="M1551" s="17" t="s">
        <v>77</v>
      </c>
      <c r="N1551" s="14"/>
      <c r="O1551" s="14"/>
      <c r="P1551" s="17" t="s">
        <v>1912</v>
      </c>
      <c r="Q1551" s="14"/>
      <c r="R1551" s="17" t="s">
        <v>143</v>
      </c>
      <c r="S1551" s="14"/>
    </row>
    <row r="1552" spans="1:19" ht="22.5" hidden="1" customHeight="1" x14ac:dyDescent="0.25">
      <c r="A1552" s="186" t="s">
        <v>2488</v>
      </c>
      <c r="B1552" s="187">
        <v>13961017</v>
      </c>
      <c r="C1552" s="196">
        <v>46146</v>
      </c>
      <c r="D1552" s="174">
        <v>48</v>
      </c>
      <c r="E1552" s="188">
        <v>4</v>
      </c>
      <c r="F1552" s="186" t="s">
        <v>27</v>
      </c>
      <c r="G1552" s="186" t="s">
        <v>103</v>
      </c>
      <c r="H1552" s="80" t="s">
        <v>76</v>
      </c>
      <c r="I1552" s="17" t="s">
        <v>134</v>
      </c>
      <c r="J1552" s="17">
        <v>20100070970</v>
      </c>
      <c r="K1552" s="14"/>
      <c r="L1552" s="17" t="s">
        <v>1632</v>
      </c>
      <c r="M1552" s="17" t="s">
        <v>77</v>
      </c>
      <c r="N1552" s="14"/>
      <c r="O1552" s="14"/>
      <c r="P1552" s="17" t="s">
        <v>1912</v>
      </c>
      <c r="Q1552" s="14"/>
      <c r="R1552" s="17" t="s">
        <v>143</v>
      </c>
      <c r="S1552" s="14"/>
    </row>
    <row r="1553" spans="1:19" s="20" customFormat="1" ht="21.75" hidden="1" customHeight="1" x14ac:dyDescent="0.2">
      <c r="A1553" s="84" t="s">
        <v>2489</v>
      </c>
      <c r="B1553" s="16" t="s">
        <v>2491</v>
      </c>
      <c r="C1553" s="196">
        <v>46144</v>
      </c>
      <c r="D1553" s="21">
        <v>2</v>
      </c>
      <c r="E1553" s="19">
        <v>2</v>
      </c>
      <c r="F1553" s="16" t="s">
        <v>443</v>
      </c>
      <c r="G1553" s="16" t="s">
        <v>450</v>
      </c>
      <c r="H1553" s="11" t="s">
        <v>76</v>
      </c>
      <c r="I1553" s="16" t="s">
        <v>457</v>
      </c>
      <c r="J1553" s="17">
        <v>20536876953</v>
      </c>
      <c r="K1553" s="16" t="s">
        <v>73</v>
      </c>
      <c r="L1553" s="16" t="s">
        <v>464</v>
      </c>
      <c r="M1553" s="16" t="s">
        <v>472</v>
      </c>
      <c r="N1553" s="11"/>
      <c r="O1553" s="11"/>
      <c r="P1553" s="11" t="s">
        <v>2091</v>
      </c>
      <c r="Q1553" s="11"/>
      <c r="R1553" s="16" t="s">
        <v>439</v>
      </c>
      <c r="S1553" s="11"/>
    </row>
    <row r="1554" spans="1:19" s="20" customFormat="1" ht="21.75" hidden="1" customHeight="1" x14ac:dyDescent="0.2">
      <c r="A1554" s="84" t="s">
        <v>2489</v>
      </c>
      <c r="B1554" s="16" t="s">
        <v>2491</v>
      </c>
      <c r="C1554" s="196">
        <v>46144</v>
      </c>
      <c r="D1554" s="21">
        <v>2</v>
      </c>
      <c r="E1554" s="19">
        <v>2</v>
      </c>
      <c r="F1554" s="16" t="s">
        <v>967</v>
      </c>
      <c r="G1554" s="16" t="s">
        <v>969</v>
      </c>
      <c r="H1554" s="11" t="s">
        <v>76</v>
      </c>
      <c r="I1554" s="16" t="s">
        <v>457</v>
      </c>
      <c r="J1554" s="17">
        <v>20536876953</v>
      </c>
      <c r="K1554" s="16" t="s">
        <v>73</v>
      </c>
      <c r="L1554" s="16" t="s">
        <v>464</v>
      </c>
      <c r="M1554" s="16" t="s">
        <v>472</v>
      </c>
      <c r="N1554" s="11"/>
      <c r="O1554" s="11"/>
      <c r="P1554" s="11" t="s">
        <v>2091</v>
      </c>
      <c r="Q1554" s="11"/>
      <c r="R1554" s="16" t="s">
        <v>439</v>
      </c>
      <c r="S1554" s="11"/>
    </row>
    <row r="1555" spans="1:19" s="20" customFormat="1" ht="21.75" hidden="1" customHeight="1" x14ac:dyDescent="0.2">
      <c r="A1555" s="84" t="s">
        <v>2498</v>
      </c>
      <c r="B1555" s="16"/>
      <c r="C1555" s="196">
        <v>46144</v>
      </c>
      <c r="D1555" s="175">
        <v>2</v>
      </c>
      <c r="E1555" s="209">
        <v>6</v>
      </c>
      <c r="F1555" s="94" t="s">
        <v>1132</v>
      </c>
      <c r="G1555" s="94" t="s">
        <v>2034</v>
      </c>
      <c r="H1555" s="11" t="s">
        <v>129</v>
      </c>
      <c r="I1555" s="94" t="s">
        <v>2499</v>
      </c>
      <c r="J1555" s="94" t="s">
        <v>2500</v>
      </c>
      <c r="K1555" s="16"/>
      <c r="L1555" s="16" t="s">
        <v>2501</v>
      </c>
      <c r="M1555" s="16" t="s">
        <v>75</v>
      </c>
      <c r="N1555" s="11"/>
      <c r="O1555" s="11"/>
      <c r="P1555" s="11" t="s">
        <v>2497</v>
      </c>
      <c r="Q1555" s="11" t="s">
        <v>2502</v>
      </c>
      <c r="R1555" s="16" t="s">
        <v>2458</v>
      </c>
      <c r="S1555" s="11"/>
    </row>
    <row r="1556" spans="1:19" s="20" customFormat="1" ht="21.75" hidden="1" customHeight="1" x14ac:dyDescent="0.2">
      <c r="A1556" s="84" t="s">
        <v>2498</v>
      </c>
      <c r="B1556" s="16"/>
      <c r="C1556" s="196">
        <v>46144</v>
      </c>
      <c r="D1556" s="175">
        <v>2</v>
      </c>
      <c r="E1556" s="209"/>
      <c r="F1556" s="94" t="s">
        <v>1134</v>
      </c>
      <c r="G1556" s="94" t="s">
        <v>2035</v>
      </c>
      <c r="H1556" s="11" t="s">
        <v>129</v>
      </c>
      <c r="I1556" s="94" t="s">
        <v>2499</v>
      </c>
      <c r="J1556" s="94" t="s">
        <v>2500</v>
      </c>
      <c r="K1556" s="16"/>
      <c r="L1556" s="16" t="s">
        <v>2501</v>
      </c>
      <c r="M1556" s="16" t="s">
        <v>75</v>
      </c>
      <c r="N1556" s="11"/>
      <c r="O1556" s="11"/>
      <c r="P1556" s="11" t="s">
        <v>2497</v>
      </c>
      <c r="Q1556" s="11" t="s">
        <v>2502</v>
      </c>
      <c r="R1556" s="16" t="s">
        <v>2458</v>
      </c>
      <c r="S1556" s="11"/>
    </row>
    <row r="1557" spans="1:19" s="20" customFormat="1" ht="21.75" hidden="1" customHeight="1" x14ac:dyDescent="0.2">
      <c r="A1557" s="84" t="s">
        <v>2498</v>
      </c>
      <c r="B1557" s="16"/>
      <c r="C1557" s="196">
        <v>46144</v>
      </c>
      <c r="D1557" s="175">
        <v>2</v>
      </c>
      <c r="E1557" s="209"/>
      <c r="F1557" s="94" t="s">
        <v>1133</v>
      </c>
      <c r="G1557" s="94" t="s">
        <v>2036</v>
      </c>
      <c r="H1557" s="11" t="s">
        <v>129</v>
      </c>
      <c r="I1557" s="94" t="s">
        <v>2499</v>
      </c>
      <c r="J1557" s="94" t="s">
        <v>2500</v>
      </c>
      <c r="K1557" s="16"/>
      <c r="L1557" s="16" t="s">
        <v>2501</v>
      </c>
      <c r="M1557" s="16" t="s">
        <v>75</v>
      </c>
      <c r="N1557" s="11"/>
      <c r="O1557" s="11"/>
      <c r="P1557" s="11" t="s">
        <v>2497</v>
      </c>
      <c r="Q1557" s="11" t="s">
        <v>2502</v>
      </c>
      <c r="R1557" s="16" t="s">
        <v>2458</v>
      </c>
      <c r="S1557" s="11"/>
    </row>
    <row r="1558" spans="1:19" s="20" customFormat="1" ht="21.75" hidden="1" customHeight="1" x14ac:dyDescent="0.2">
      <c r="A1558" s="84" t="s">
        <v>2498</v>
      </c>
      <c r="B1558" s="16"/>
      <c r="C1558" s="196">
        <v>46144</v>
      </c>
      <c r="D1558" s="175">
        <v>1</v>
      </c>
      <c r="E1558" s="209"/>
      <c r="F1558" s="94" t="s">
        <v>908</v>
      </c>
      <c r="G1558" s="94" t="s">
        <v>2037</v>
      </c>
      <c r="H1558" s="11" t="s">
        <v>129</v>
      </c>
      <c r="I1558" s="94" t="s">
        <v>2499</v>
      </c>
      <c r="J1558" s="94" t="s">
        <v>2500</v>
      </c>
      <c r="K1558" s="16"/>
      <c r="L1558" s="16" t="s">
        <v>2501</v>
      </c>
      <c r="M1558" s="16" t="s">
        <v>75</v>
      </c>
      <c r="N1558" s="11"/>
      <c r="O1558" s="11"/>
      <c r="P1558" s="11" t="s">
        <v>2497</v>
      </c>
      <c r="Q1558" s="11" t="s">
        <v>2502</v>
      </c>
      <c r="R1558" s="16" t="s">
        <v>2458</v>
      </c>
      <c r="S1558" s="11"/>
    </row>
    <row r="1559" spans="1:19" s="20" customFormat="1" ht="21.75" hidden="1" customHeight="1" x14ac:dyDescent="0.2">
      <c r="A1559" s="84" t="s">
        <v>2498</v>
      </c>
      <c r="B1559" s="16"/>
      <c r="C1559" s="196">
        <v>46144</v>
      </c>
      <c r="D1559" s="175">
        <v>1</v>
      </c>
      <c r="E1559" s="209"/>
      <c r="F1559" s="94" t="s">
        <v>909</v>
      </c>
      <c r="G1559" s="94" t="s">
        <v>2038</v>
      </c>
      <c r="H1559" s="11" t="s">
        <v>129</v>
      </c>
      <c r="I1559" s="94" t="s">
        <v>2499</v>
      </c>
      <c r="J1559" s="94" t="s">
        <v>2500</v>
      </c>
      <c r="K1559" s="16"/>
      <c r="L1559" s="16" t="s">
        <v>2501</v>
      </c>
      <c r="M1559" s="16" t="s">
        <v>75</v>
      </c>
      <c r="N1559" s="11"/>
      <c r="O1559" s="11"/>
      <c r="P1559" s="11" t="s">
        <v>2497</v>
      </c>
      <c r="Q1559" s="11" t="s">
        <v>2502</v>
      </c>
      <c r="R1559" s="16" t="s">
        <v>2458</v>
      </c>
      <c r="S1559" s="11"/>
    </row>
    <row r="1560" spans="1:19" s="20" customFormat="1" ht="21.75" hidden="1" customHeight="1" x14ac:dyDescent="0.2">
      <c r="A1560" s="84" t="s">
        <v>2498</v>
      </c>
      <c r="B1560" s="16"/>
      <c r="C1560" s="196">
        <v>46144</v>
      </c>
      <c r="D1560" s="175">
        <v>1</v>
      </c>
      <c r="E1560" s="209"/>
      <c r="F1560" s="94" t="s">
        <v>906</v>
      </c>
      <c r="G1560" s="94" t="s">
        <v>2032</v>
      </c>
      <c r="H1560" s="11" t="s">
        <v>129</v>
      </c>
      <c r="I1560" s="94" t="s">
        <v>2499</v>
      </c>
      <c r="J1560" s="94" t="s">
        <v>2500</v>
      </c>
      <c r="K1560" s="16"/>
      <c r="L1560" s="16" t="s">
        <v>2501</v>
      </c>
      <c r="M1560" s="16" t="s">
        <v>75</v>
      </c>
      <c r="N1560" s="11"/>
      <c r="O1560" s="11"/>
      <c r="P1560" s="11" t="s">
        <v>2497</v>
      </c>
      <c r="Q1560" s="11" t="s">
        <v>2502</v>
      </c>
      <c r="R1560" s="16" t="s">
        <v>2458</v>
      </c>
      <c r="S1560" s="11"/>
    </row>
    <row r="1561" spans="1:19" s="20" customFormat="1" ht="21.75" hidden="1" customHeight="1" x14ac:dyDescent="0.2">
      <c r="A1561" s="84" t="s">
        <v>2498</v>
      </c>
      <c r="B1561" s="16"/>
      <c r="C1561" s="196">
        <v>46144</v>
      </c>
      <c r="D1561" s="175">
        <v>1</v>
      </c>
      <c r="E1561" s="209"/>
      <c r="F1561" s="94" t="s">
        <v>907</v>
      </c>
      <c r="G1561" s="94" t="s">
        <v>2033</v>
      </c>
      <c r="H1561" s="11" t="s">
        <v>129</v>
      </c>
      <c r="I1561" s="94" t="s">
        <v>2499</v>
      </c>
      <c r="J1561" s="94" t="s">
        <v>2500</v>
      </c>
      <c r="K1561" s="16"/>
      <c r="L1561" s="16" t="s">
        <v>2501</v>
      </c>
      <c r="M1561" s="16" t="s">
        <v>75</v>
      </c>
      <c r="N1561" s="11"/>
      <c r="O1561" s="11"/>
      <c r="P1561" s="11" t="s">
        <v>2497</v>
      </c>
      <c r="Q1561" s="11" t="s">
        <v>2502</v>
      </c>
      <c r="R1561" s="16" t="s">
        <v>2458</v>
      </c>
      <c r="S1561" s="11"/>
    </row>
    <row r="1562" spans="1:19" s="20" customFormat="1" ht="21.75" hidden="1" customHeight="1" x14ac:dyDescent="0.2">
      <c r="A1562" s="84" t="s">
        <v>2498</v>
      </c>
      <c r="B1562" s="16"/>
      <c r="C1562" s="196">
        <v>46144</v>
      </c>
      <c r="D1562" s="175">
        <v>1</v>
      </c>
      <c r="E1562" s="209"/>
      <c r="F1562" s="94" t="s">
        <v>1769</v>
      </c>
      <c r="G1562" s="94" t="s">
        <v>2422</v>
      </c>
      <c r="H1562" s="11" t="s">
        <v>129</v>
      </c>
      <c r="I1562" s="94" t="s">
        <v>2499</v>
      </c>
      <c r="J1562" s="94" t="s">
        <v>2500</v>
      </c>
      <c r="K1562" s="16"/>
      <c r="L1562" s="16" t="s">
        <v>2501</v>
      </c>
      <c r="M1562" s="16" t="s">
        <v>75</v>
      </c>
      <c r="N1562" s="11"/>
      <c r="O1562" s="11"/>
      <c r="P1562" s="11" t="s">
        <v>2497</v>
      </c>
      <c r="Q1562" s="11" t="s">
        <v>2502</v>
      </c>
      <c r="R1562" s="16" t="s">
        <v>2458</v>
      </c>
      <c r="S1562" s="11"/>
    </row>
    <row r="1563" spans="1:19" s="20" customFormat="1" ht="21.75" hidden="1" customHeight="1" x14ac:dyDescent="0.2">
      <c r="A1563" s="84" t="s">
        <v>2498</v>
      </c>
      <c r="B1563" s="16"/>
      <c r="C1563" s="196">
        <v>46144</v>
      </c>
      <c r="D1563" s="175">
        <v>1</v>
      </c>
      <c r="E1563" s="209"/>
      <c r="F1563" s="94" t="s">
        <v>1770</v>
      </c>
      <c r="G1563" s="94" t="s">
        <v>2424</v>
      </c>
      <c r="H1563" s="11" t="s">
        <v>129</v>
      </c>
      <c r="I1563" s="94" t="s">
        <v>2499</v>
      </c>
      <c r="J1563" s="94" t="s">
        <v>2500</v>
      </c>
      <c r="K1563" s="16"/>
      <c r="L1563" s="16" t="s">
        <v>2501</v>
      </c>
      <c r="M1563" s="16" t="s">
        <v>75</v>
      </c>
      <c r="N1563" s="11"/>
      <c r="O1563" s="11"/>
      <c r="P1563" s="11" t="s">
        <v>2497</v>
      </c>
      <c r="Q1563" s="11" t="s">
        <v>2502</v>
      </c>
      <c r="R1563" s="16" t="s">
        <v>2458</v>
      </c>
      <c r="S1563" s="11"/>
    </row>
    <row r="1564" spans="1:19" s="20" customFormat="1" ht="21.75" hidden="1" customHeight="1" x14ac:dyDescent="0.2">
      <c r="A1564" s="84" t="s">
        <v>2498</v>
      </c>
      <c r="B1564" s="16"/>
      <c r="C1564" s="196">
        <v>46144</v>
      </c>
      <c r="D1564" s="175">
        <v>1</v>
      </c>
      <c r="E1564" s="209"/>
      <c r="F1564" s="94" t="s">
        <v>910</v>
      </c>
      <c r="G1564" s="94" t="s">
        <v>2421</v>
      </c>
      <c r="H1564" s="11" t="s">
        <v>129</v>
      </c>
      <c r="I1564" s="94" t="s">
        <v>2499</v>
      </c>
      <c r="J1564" s="94" t="s">
        <v>2500</v>
      </c>
      <c r="K1564" s="16"/>
      <c r="L1564" s="16" t="s">
        <v>2501</v>
      </c>
      <c r="M1564" s="16" t="s">
        <v>75</v>
      </c>
      <c r="N1564" s="11"/>
      <c r="O1564" s="11"/>
      <c r="P1564" s="11" t="s">
        <v>2497</v>
      </c>
      <c r="Q1564" s="11" t="s">
        <v>2502</v>
      </c>
      <c r="R1564" s="16" t="s">
        <v>2458</v>
      </c>
      <c r="S1564" s="11"/>
    </row>
    <row r="1565" spans="1:19" s="20" customFormat="1" ht="21.75" hidden="1" customHeight="1" x14ac:dyDescent="0.2">
      <c r="A1565" s="84" t="s">
        <v>2498</v>
      </c>
      <c r="B1565" s="16"/>
      <c r="C1565" s="196">
        <v>46144</v>
      </c>
      <c r="D1565" s="175">
        <v>1</v>
      </c>
      <c r="E1565" s="209"/>
      <c r="F1565" s="94" t="s">
        <v>1771</v>
      </c>
      <c r="G1565" s="94" t="s">
        <v>2423</v>
      </c>
      <c r="H1565" s="11" t="s">
        <v>129</v>
      </c>
      <c r="I1565" s="94" t="s">
        <v>2499</v>
      </c>
      <c r="J1565" s="94" t="s">
        <v>2500</v>
      </c>
      <c r="K1565" s="16"/>
      <c r="L1565" s="16" t="s">
        <v>2501</v>
      </c>
      <c r="M1565" s="16" t="s">
        <v>75</v>
      </c>
      <c r="N1565" s="11"/>
      <c r="O1565" s="11"/>
      <c r="P1565" s="11" t="s">
        <v>2497</v>
      </c>
      <c r="Q1565" s="11" t="s">
        <v>2502</v>
      </c>
      <c r="R1565" s="16" t="s">
        <v>2458</v>
      </c>
      <c r="S1565" s="11"/>
    </row>
    <row r="1566" spans="1:19" s="20" customFormat="1" ht="21.75" hidden="1" customHeight="1" x14ac:dyDescent="0.2">
      <c r="A1566" s="84" t="s">
        <v>2498</v>
      </c>
      <c r="B1566" s="16"/>
      <c r="C1566" s="196">
        <v>46144</v>
      </c>
      <c r="D1566" s="175">
        <v>48</v>
      </c>
      <c r="E1566" s="209"/>
      <c r="F1566" s="94" t="s">
        <v>154</v>
      </c>
      <c r="G1566" s="94" t="s">
        <v>123</v>
      </c>
      <c r="H1566" s="11" t="s">
        <v>129</v>
      </c>
      <c r="I1566" s="94" t="s">
        <v>2499</v>
      </c>
      <c r="J1566" s="94" t="s">
        <v>2500</v>
      </c>
      <c r="K1566" s="16"/>
      <c r="L1566" s="16" t="s">
        <v>2501</v>
      </c>
      <c r="M1566" s="16" t="s">
        <v>75</v>
      </c>
      <c r="N1566" s="11"/>
      <c r="O1566" s="11"/>
      <c r="P1566" s="11" t="s">
        <v>2497</v>
      </c>
      <c r="Q1566" s="11" t="s">
        <v>2502</v>
      </c>
      <c r="R1566" s="16" t="s">
        <v>2458</v>
      </c>
      <c r="S1566" s="11"/>
    </row>
    <row r="1567" spans="1:19" s="20" customFormat="1" ht="21.75" hidden="1" customHeight="1" x14ac:dyDescent="0.2">
      <c r="A1567" s="84" t="s">
        <v>2498</v>
      </c>
      <c r="B1567" s="16"/>
      <c r="C1567" s="196">
        <v>46144</v>
      </c>
      <c r="D1567" s="175">
        <v>12</v>
      </c>
      <c r="E1567" s="209"/>
      <c r="F1567" s="94" t="s">
        <v>172</v>
      </c>
      <c r="G1567" s="94" t="s">
        <v>175</v>
      </c>
      <c r="H1567" s="11" t="s">
        <v>129</v>
      </c>
      <c r="I1567" s="94" t="s">
        <v>2499</v>
      </c>
      <c r="J1567" s="94" t="s">
        <v>2500</v>
      </c>
      <c r="K1567" s="16"/>
      <c r="L1567" s="16" t="s">
        <v>2501</v>
      </c>
      <c r="M1567" s="16" t="s">
        <v>75</v>
      </c>
      <c r="N1567" s="11"/>
      <c r="O1567" s="11"/>
      <c r="P1567" s="11" t="s">
        <v>2497</v>
      </c>
      <c r="Q1567" s="11" t="s">
        <v>2502</v>
      </c>
      <c r="R1567" s="16" t="s">
        <v>2458</v>
      </c>
      <c r="S1567" s="11"/>
    </row>
    <row r="1568" spans="1:19" s="20" customFormat="1" ht="21.75" hidden="1" customHeight="1" x14ac:dyDescent="0.2">
      <c r="A1568" s="84" t="s">
        <v>2498</v>
      </c>
      <c r="B1568" s="16"/>
      <c r="C1568" s="196">
        <v>46144</v>
      </c>
      <c r="D1568" s="175">
        <v>12</v>
      </c>
      <c r="E1568" s="209"/>
      <c r="F1568" s="94" t="s">
        <v>174</v>
      </c>
      <c r="G1568" s="94" t="s">
        <v>130</v>
      </c>
      <c r="H1568" s="11" t="s">
        <v>129</v>
      </c>
      <c r="I1568" s="94" t="s">
        <v>2499</v>
      </c>
      <c r="J1568" s="94" t="s">
        <v>2500</v>
      </c>
      <c r="K1568" s="16"/>
      <c r="L1568" s="16" t="s">
        <v>2501</v>
      </c>
      <c r="M1568" s="16" t="s">
        <v>75</v>
      </c>
      <c r="N1568" s="11"/>
      <c r="O1568" s="11"/>
      <c r="P1568" s="11" t="s">
        <v>2497</v>
      </c>
      <c r="Q1568" s="11" t="s">
        <v>2502</v>
      </c>
      <c r="R1568" s="16" t="s">
        <v>2458</v>
      </c>
      <c r="S1568" s="11"/>
    </row>
    <row r="1569" spans="1:19" s="20" customFormat="1" ht="21.75" hidden="1" customHeight="1" x14ac:dyDescent="0.2">
      <c r="A1569" s="84" t="s">
        <v>2490</v>
      </c>
      <c r="B1569" s="14" t="s">
        <v>2496</v>
      </c>
      <c r="C1569" s="196">
        <v>46144</v>
      </c>
      <c r="D1569" s="21">
        <v>1</v>
      </c>
      <c r="E1569" s="19">
        <v>1</v>
      </c>
      <c r="F1569" s="11" t="s">
        <v>353</v>
      </c>
      <c r="G1569" s="14" t="s">
        <v>365</v>
      </c>
      <c r="H1569" s="11" t="s">
        <v>99</v>
      </c>
      <c r="I1569" s="11" t="s">
        <v>2492</v>
      </c>
      <c r="J1569" s="14" t="s">
        <v>2493</v>
      </c>
      <c r="K1569" s="11" t="s">
        <v>2494</v>
      </c>
      <c r="L1569" s="11" t="s">
        <v>2495</v>
      </c>
      <c r="M1569" s="11" t="s">
        <v>2275</v>
      </c>
      <c r="N1569" s="11"/>
      <c r="O1569" s="11"/>
      <c r="P1569" s="11" t="s">
        <v>2497</v>
      </c>
      <c r="Q1569" s="11"/>
      <c r="R1569" s="11" t="s">
        <v>442</v>
      </c>
      <c r="S1569" s="11"/>
    </row>
    <row r="1570" spans="1:19" s="20" customFormat="1" ht="21.75" hidden="1" customHeight="1" x14ac:dyDescent="0.2">
      <c r="A1570" s="16" t="s">
        <v>2518</v>
      </c>
      <c r="B1570" s="17" t="s">
        <v>73</v>
      </c>
      <c r="C1570" s="196">
        <v>46161</v>
      </c>
      <c r="D1570" s="21">
        <v>2</v>
      </c>
      <c r="E1570" s="209">
        <v>3</v>
      </c>
      <c r="F1570" s="16" t="s">
        <v>1132</v>
      </c>
      <c r="G1570" s="16" t="s">
        <v>2034</v>
      </c>
      <c r="H1570" s="17" t="s">
        <v>1544</v>
      </c>
      <c r="I1570" s="17" t="s">
        <v>2513</v>
      </c>
      <c r="J1570" s="17">
        <v>20609767929</v>
      </c>
      <c r="K1570" s="17"/>
      <c r="L1570" s="16" t="s">
        <v>2614</v>
      </c>
      <c r="M1570" s="16" t="s">
        <v>662</v>
      </c>
      <c r="N1570" s="11"/>
      <c r="O1570" s="11"/>
      <c r="P1570" s="16" t="s">
        <v>2565</v>
      </c>
      <c r="Q1570" s="16" t="s">
        <v>2615</v>
      </c>
      <c r="R1570" s="16" t="s">
        <v>142</v>
      </c>
      <c r="S1570" s="11"/>
    </row>
    <row r="1571" spans="1:19" s="20" customFormat="1" ht="21.75" hidden="1" customHeight="1" x14ac:dyDescent="0.2">
      <c r="A1571" s="16" t="s">
        <v>2518</v>
      </c>
      <c r="B1571" s="17" t="s">
        <v>73</v>
      </c>
      <c r="C1571" s="196">
        <v>46161</v>
      </c>
      <c r="D1571" s="21">
        <v>1</v>
      </c>
      <c r="E1571" s="209"/>
      <c r="F1571" s="16" t="s">
        <v>1134</v>
      </c>
      <c r="G1571" s="16" t="s">
        <v>2035</v>
      </c>
      <c r="H1571" s="17" t="s">
        <v>1544</v>
      </c>
      <c r="I1571" s="17" t="s">
        <v>2513</v>
      </c>
      <c r="J1571" s="17">
        <v>20609767929</v>
      </c>
      <c r="K1571" s="17"/>
      <c r="L1571" s="16" t="s">
        <v>2614</v>
      </c>
      <c r="M1571" s="16" t="s">
        <v>662</v>
      </c>
      <c r="N1571" s="11"/>
      <c r="O1571" s="11"/>
      <c r="P1571" s="16" t="s">
        <v>2565</v>
      </c>
      <c r="Q1571" s="16" t="s">
        <v>2615</v>
      </c>
      <c r="R1571" s="16" t="s">
        <v>142</v>
      </c>
      <c r="S1571" s="11"/>
    </row>
    <row r="1572" spans="1:19" s="20" customFormat="1" ht="21.75" hidden="1" customHeight="1" x14ac:dyDescent="0.2">
      <c r="A1572" s="16" t="s">
        <v>2518</v>
      </c>
      <c r="B1572" s="17" t="s">
        <v>73</v>
      </c>
      <c r="C1572" s="196">
        <v>46161</v>
      </c>
      <c r="D1572" s="21">
        <v>1</v>
      </c>
      <c r="E1572" s="209"/>
      <c r="F1572" s="16" t="s">
        <v>1133</v>
      </c>
      <c r="G1572" s="16" t="s">
        <v>2036</v>
      </c>
      <c r="H1572" s="17" t="s">
        <v>1544</v>
      </c>
      <c r="I1572" s="17" t="s">
        <v>2513</v>
      </c>
      <c r="J1572" s="17">
        <v>20609767929</v>
      </c>
      <c r="K1572" s="17"/>
      <c r="L1572" s="16" t="s">
        <v>2614</v>
      </c>
      <c r="M1572" s="16" t="s">
        <v>662</v>
      </c>
      <c r="N1572" s="11"/>
      <c r="O1572" s="11"/>
      <c r="P1572" s="16" t="s">
        <v>2565</v>
      </c>
      <c r="Q1572" s="16" t="s">
        <v>2615</v>
      </c>
      <c r="R1572" s="16" t="s">
        <v>142</v>
      </c>
      <c r="S1572" s="11"/>
    </row>
    <row r="1573" spans="1:19" s="20" customFormat="1" ht="21.75" hidden="1" customHeight="1" x14ac:dyDescent="0.2">
      <c r="A1573" s="16" t="s">
        <v>2518</v>
      </c>
      <c r="B1573" s="17" t="s">
        <v>73</v>
      </c>
      <c r="C1573" s="196">
        <v>46161</v>
      </c>
      <c r="D1573" s="21">
        <v>3</v>
      </c>
      <c r="E1573" s="209"/>
      <c r="F1573" s="16" t="s">
        <v>904</v>
      </c>
      <c r="G1573" s="16" t="s">
        <v>2030</v>
      </c>
      <c r="H1573" s="17" t="s">
        <v>1544</v>
      </c>
      <c r="I1573" s="17" t="s">
        <v>2513</v>
      </c>
      <c r="J1573" s="17">
        <v>20609767929</v>
      </c>
      <c r="K1573" s="17"/>
      <c r="L1573" s="16" t="s">
        <v>2614</v>
      </c>
      <c r="M1573" s="16" t="s">
        <v>662</v>
      </c>
      <c r="N1573" s="11"/>
      <c r="O1573" s="11"/>
      <c r="P1573" s="16" t="s">
        <v>2565</v>
      </c>
      <c r="Q1573" s="16" t="s">
        <v>2615</v>
      </c>
      <c r="R1573" s="16" t="s">
        <v>142</v>
      </c>
      <c r="S1573" s="11"/>
    </row>
    <row r="1574" spans="1:19" s="20" customFormat="1" ht="21.75" hidden="1" customHeight="1" x14ac:dyDescent="0.2">
      <c r="A1574" s="16" t="s">
        <v>2518</v>
      </c>
      <c r="B1574" s="17" t="s">
        <v>73</v>
      </c>
      <c r="C1574" s="196">
        <v>46161</v>
      </c>
      <c r="D1574" s="21">
        <v>3</v>
      </c>
      <c r="E1574" s="209"/>
      <c r="F1574" s="16" t="s">
        <v>905</v>
      </c>
      <c r="G1574" s="16" t="s">
        <v>2031</v>
      </c>
      <c r="H1574" s="17" t="s">
        <v>1544</v>
      </c>
      <c r="I1574" s="17" t="s">
        <v>2513</v>
      </c>
      <c r="J1574" s="17">
        <v>20609767929</v>
      </c>
      <c r="K1574" s="17"/>
      <c r="L1574" s="16" t="s">
        <v>2614</v>
      </c>
      <c r="M1574" s="16" t="s">
        <v>662</v>
      </c>
      <c r="N1574" s="11"/>
      <c r="O1574" s="11"/>
      <c r="P1574" s="16" t="s">
        <v>2565</v>
      </c>
      <c r="Q1574" s="16" t="s">
        <v>2615</v>
      </c>
      <c r="R1574" s="16" t="s">
        <v>142</v>
      </c>
      <c r="S1574" s="11"/>
    </row>
    <row r="1575" spans="1:19" s="20" customFormat="1" ht="21.75" hidden="1" customHeight="1" x14ac:dyDescent="0.2">
      <c r="A1575" s="16" t="s">
        <v>2518</v>
      </c>
      <c r="B1575" s="17" t="s">
        <v>73</v>
      </c>
      <c r="C1575" s="196">
        <v>46161</v>
      </c>
      <c r="D1575" s="21">
        <v>3</v>
      </c>
      <c r="E1575" s="209"/>
      <c r="F1575" s="16" t="s">
        <v>1302</v>
      </c>
      <c r="G1575" s="16" t="s">
        <v>2054</v>
      </c>
      <c r="H1575" s="17" t="s">
        <v>1544</v>
      </c>
      <c r="I1575" s="17" t="s">
        <v>2513</v>
      </c>
      <c r="J1575" s="17">
        <v>20609767929</v>
      </c>
      <c r="K1575" s="17"/>
      <c r="L1575" s="16" t="s">
        <v>2614</v>
      </c>
      <c r="M1575" s="16" t="s">
        <v>662</v>
      </c>
      <c r="N1575" s="11"/>
      <c r="O1575" s="11"/>
      <c r="P1575" s="16" t="s">
        <v>2565</v>
      </c>
      <c r="Q1575" s="16" t="s">
        <v>2615</v>
      </c>
      <c r="R1575" s="16" t="s">
        <v>142</v>
      </c>
      <c r="S1575" s="11"/>
    </row>
    <row r="1576" spans="1:19" s="20" customFormat="1" ht="21.75" hidden="1" customHeight="1" x14ac:dyDescent="0.2">
      <c r="A1576" s="16" t="s">
        <v>2518</v>
      </c>
      <c r="B1576" s="17" t="s">
        <v>73</v>
      </c>
      <c r="C1576" s="196">
        <v>46161</v>
      </c>
      <c r="D1576" s="21">
        <v>3</v>
      </c>
      <c r="E1576" s="209"/>
      <c r="F1576" s="16" t="s">
        <v>1303</v>
      </c>
      <c r="G1576" s="16" t="s">
        <v>2055</v>
      </c>
      <c r="H1576" s="17" t="s">
        <v>1544</v>
      </c>
      <c r="I1576" s="17" t="s">
        <v>2513</v>
      </c>
      <c r="J1576" s="17">
        <v>20609767929</v>
      </c>
      <c r="K1576" s="17"/>
      <c r="L1576" s="16" t="s">
        <v>2614</v>
      </c>
      <c r="M1576" s="16" t="s">
        <v>662</v>
      </c>
      <c r="N1576" s="11"/>
      <c r="O1576" s="11"/>
      <c r="P1576" s="16" t="s">
        <v>2565</v>
      </c>
      <c r="Q1576" s="16" t="s">
        <v>2615</v>
      </c>
      <c r="R1576" s="16" t="s">
        <v>142</v>
      </c>
      <c r="S1576" s="11"/>
    </row>
    <row r="1577" spans="1:19" s="20" customFormat="1" ht="21.75" hidden="1" customHeight="1" x14ac:dyDescent="0.2">
      <c r="A1577" s="16" t="s">
        <v>2518</v>
      </c>
      <c r="B1577" s="17" t="s">
        <v>73</v>
      </c>
      <c r="C1577" s="196">
        <v>46161</v>
      </c>
      <c r="D1577" s="21">
        <v>1</v>
      </c>
      <c r="E1577" s="209"/>
      <c r="F1577" s="16" t="s">
        <v>906</v>
      </c>
      <c r="G1577" s="16" t="s">
        <v>2032</v>
      </c>
      <c r="H1577" s="17" t="s">
        <v>1544</v>
      </c>
      <c r="I1577" s="17" t="s">
        <v>2513</v>
      </c>
      <c r="J1577" s="17">
        <v>20609767929</v>
      </c>
      <c r="K1577" s="17"/>
      <c r="L1577" s="16" t="s">
        <v>2614</v>
      </c>
      <c r="M1577" s="16" t="s">
        <v>662</v>
      </c>
      <c r="N1577" s="11"/>
      <c r="O1577" s="11"/>
      <c r="P1577" s="16" t="s">
        <v>2565</v>
      </c>
      <c r="Q1577" s="16" t="s">
        <v>2615</v>
      </c>
      <c r="R1577" s="16" t="s">
        <v>142</v>
      </c>
      <c r="S1577" s="11"/>
    </row>
    <row r="1578" spans="1:19" s="20" customFormat="1" ht="21.75" hidden="1" customHeight="1" x14ac:dyDescent="0.2">
      <c r="A1578" s="16" t="s">
        <v>2518</v>
      </c>
      <c r="B1578" s="17" t="s">
        <v>73</v>
      </c>
      <c r="C1578" s="196">
        <v>46161</v>
      </c>
      <c r="D1578" s="21">
        <v>1</v>
      </c>
      <c r="E1578" s="209"/>
      <c r="F1578" s="16" t="s">
        <v>907</v>
      </c>
      <c r="G1578" s="16" t="s">
        <v>2033</v>
      </c>
      <c r="H1578" s="17" t="s">
        <v>1544</v>
      </c>
      <c r="I1578" s="17" t="s">
        <v>2513</v>
      </c>
      <c r="J1578" s="17">
        <v>20609767929</v>
      </c>
      <c r="K1578" s="17"/>
      <c r="L1578" s="16" t="s">
        <v>2614</v>
      </c>
      <c r="M1578" s="16" t="s">
        <v>662</v>
      </c>
      <c r="N1578" s="11"/>
      <c r="O1578" s="11"/>
      <c r="P1578" s="16" t="s">
        <v>2565</v>
      </c>
      <c r="Q1578" s="16" t="s">
        <v>2615</v>
      </c>
      <c r="R1578" s="16" t="s">
        <v>142</v>
      </c>
      <c r="S1578" s="11"/>
    </row>
    <row r="1579" spans="1:19" s="20" customFormat="1" ht="21.75" hidden="1" customHeight="1" x14ac:dyDescent="0.2">
      <c r="A1579" s="16" t="s">
        <v>2518</v>
      </c>
      <c r="B1579" s="17" t="s">
        <v>73</v>
      </c>
      <c r="C1579" s="196">
        <v>46161</v>
      </c>
      <c r="D1579" s="21">
        <v>1</v>
      </c>
      <c r="E1579" s="209"/>
      <c r="F1579" s="16" t="s">
        <v>908</v>
      </c>
      <c r="G1579" s="16" t="s">
        <v>2037</v>
      </c>
      <c r="H1579" s="17" t="s">
        <v>1544</v>
      </c>
      <c r="I1579" s="17" t="s">
        <v>2513</v>
      </c>
      <c r="J1579" s="17">
        <v>20609767929</v>
      </c>
      <c r="K1579" s="17"/>
      <c r="L1579" s="16" t="s">
        <v>2614</v>
      </c>
      <c r="M1579" s="16" t="s">
        <v>662</v>
      </c>
      <c r="N1579" s="11"/>
      <c r="O1579" s="11"/>
      <c r="P1579" s="16" t="s">
        <v>2565</v>
      </c>
      <c r="Q1579" s="16" t="s">
        <v>2615</v>
      </c>
      <c r="R1579" s="16" t="s">
        <v>142</v>
      </c>
      <c r="S1579" s="11"/>
    </row>
    <row r="1580" spans="1:19" s="20" customFormat="1" ht="21.75" hidden="1" customHeight="1" x14ac:dyDescent="0.2">
      <c r="A1580" s="16" t="s">
        <v>2518</v>
      </c>
      <c r="B1580" s="17" t="s">
        <v>73</v>
      </c>
      <c r="C1580" s="196">
        <v>46161</v>
      </c>
      <c r="D1580" s="21">
        <v>1</v>
      </c>
      <c r="E1580" s="209"/>
      <c r="F1580" s="16" t="s">
        <v>909</v>
      </c>
      <c r="G1580" s="16" t="s">
        <v>2038</v>
      </c>
      <c r="H1580" s="17" t="s">
        <v>1544</v>
      </c>
      <c r="I1580" s="17" t="s">
        <v>2513</v>
      </c>
      <c r="J1580" s="17">
        <v>20609767929</v>
      </c>
      <c r="K1580" s="17"/>
      <c r="L1580" s="16" t="s">
        <v>2614</v>
      </c>
      <c r="M1580" s="16" t="s">
        <v>662</v>
      </c>
      <c r="N1580" s="11"/>
      <c r="O1580" s="11"/>
      <c r="P1580" s="16" t="s">
        <v>2565</v>
      </c>
      <c r="Q1580" s="16" t="s">
        <v>2615</v>
      </c>
      <c r="R1580" s="16" t="s">
        <v>142</v>
      </c>
      <c r="S1580" s="11"/>
    </row>
    <row r="1581" spans="1:19" s="20" customFormat="1" ht="21.75" hidden="1" customHeight="1" x14ac:dyDescent="0.2">
      <c r="A1581" s="16" t="s">
        <v>2503</v>
      </c>
      <c r="B1581" s="17" t="s">
        <v>73</v>
      </c>
      <c r="C1581" s="196">
        <v>46144</v>
      </c>
      <c r="D1581" s="21">
        <v>36</v>
      </c>
      <c r="E1581" s="185">
        <v>3</v>
      </c>
      <c r="F1581" s="16" t="s">
        <v>172</v>
      </c>
      <c r="G1581" s="16" t="s">
        <v>175</v>
      </c>
      <c r="H1581" s="16" t="s">
        <v>1544</v>
      </c>
      <c r="I1581" s="16" t="s">
        <v>970</v>
      </c>
      <c r="J1581" s="17">
        <v>20447849047</v>
      </c>
      <c r="K1581" s="17">
        <v>951640669</v>
      </c>
      <c r="L1581" s="16" t="s">
        <v>975</v>
      </c>
      <c r="M1581" s="16" t="s">
        <v>75</v>
      </c>
      <c r="N1581" s="11"/>
      <c r="O1581" s="11"/>
      <c r="P1581" s="16" t="s">
        <v>2515</v>
      </c>
      <c r="Q1581" s="16" t="s">
        <v>973</v>
      </c>
      <c r="R1581" s="16" t="s">
        <v>142</v>
      </c>
      <c r="S1581" s="11"/>
    </row>
    <row r="1582" spans="1:19" s="20" customFormat="1" ht="21.75" hidden="1" customHeight="1" x14ac:dyDescent="0.2">
      <c r="A1582" s="16" t="s">
        <v>2503</v>
      </c>
      <c r="B1582" s="17" t="s">
        <v>73</v>
      </c>
      <c r="C1582" s="196">
        <v>46144</v>
      </c>
      <c r="D1582" s="21">
        <v>12</v>
      </c>
      <c r="E1582" s="185">
        <v>1</v>
      </c>
      <c r="F1582" s="16" t="s">
        <v>24</v>
      </c>
      <c r="G1582" s="16" t="s">
        <v>112</v>
      </c>
      <c r="H1582" s="16" t="s">
        <v>1544</v>
      </c>
      <c r="I1582" s="16" t="s">
        <v>970</v>
      </c>
      <c r="J1582" s="17">
        <v>20447849047</v>
      </c>
      <c r="K1582" s="17">
        <v>951640669</v>
      </c>
      <c r="L1582" s="16" t="s">
        <v>975</v>
      </c>
      <c r="M1582" s="16" t="s">
        <v>75</v>
      </c>
      <c r="N1582" s="11"/>
      <c r="O1582" s="11"/>
      <c r="P1582" s="16" t="s">
        <v>2515</v>
      </c>
      <c r="Q1582" s="16" t="s">
        <v>973</v>
      </c>
      <c r="R1582" s="16" t="s">
        <v>142</v>
      </c>
      <c r="S1582" s="11"/>
    </row>
    <row r="1583" spans="1:19" s="20" customFormat="1" ht="21.75" hidden="1" customHeight="1" x14ac:dyDescent="0.2">
      <c r="A1583" s="16" t="s">
        <v>2503</v>
      </c>
      <c r="B1583" s="17" t="s">
        <v>73</v>
      </c>
      <c r="C1583" s="196">
        <v>46144</v>
      </c>
      <c r="D1583" s="21">
        <v>12</v>
      </c>
      <c r="E1583" s="185">
        <v>1</v>
      </c>
      <c r="F1583" s="16" t="s">
        <v>46</v>
      </c>
      <c r="G1583" s="16" t="s">
        <v>104</v>
      </c>
      <c r="H1583" s="16" t="s">
        <v>1544</v>
      </c>
      <c r="I1583" s="16" t="s">
        <v>970</v>
      </c>
      <c r="J1583" s="17">
        <v>20447849047</v>
      </c>
      <c r="K1583" s="17">
        <v>951640669</v>
      </c>
      <c r="L1583" s="16" t="s">
        <v>975</v>
      </c>
      <c r="M1583" s="16" t="s">
        <v>75</v>
      </c>
      <c r="N1583" s="11"/>
      <c r="O1583" s="11"/>
      <c r="P1583" s="16" t="s">
        <v>2515</v>
      </c>
      <c r="Q1583" s="16" t="s">
        <v>973</v>
      </c>
      <c r="R1583" s="16" t="s">
        <v>142</v>
      </c>
      <c r="S1583" s="11"/>
    </row>
    <row r="1584" spans="1:19" s="20" customFormat="1" ht="21.75" hidden="1" customHeight="1" x14ac:dyDescent="0.2">
      <c r="A1584" s="16" t="s">
        <v>2503</v>
      </c>
      <c r="B1584" s="17" t="s">
        <v>73</v>
      </c>
      <c r="C1584" s="196">
        <v>46144</v>
      </c>
      <c r="D1584" s="21">
        <v>6</v>
      </c>
      <c r="E1584" s="185">
        <v>1</v>
      </c>
      <c r="F1584" s="16" t="s">
        <v>2508</v>
      </c>
      <c r="G1584" s="16" t="s">
        <v>2511</v>
      </c>
      <c r="H1584" s="16" t="s">
        <v>1544</v>
      </c>
      <c r="I1584" s="16" t="s">
        <v>970</v>
      </c>
      <c r="J1584" s="17">
        <v>20447849047</v>
      </c>
      <c r="K1584" s="17">
        <v>951640669</v>
      </c>
      <c r="L1584" s="16" t="s">
        <v>975</v>
      </c>
      <c r="M1584" s="16" t="s">
        <v>75</v>
      </c>
      <c r="N1584" s="11"/>
      <c r="O1584" s="11"/>
      <c r="P1584" s="16" t="s">
        <v>2515</v>
      </c>
      <c r="Q1584" s="16" t="s">
        <v>973</v>
      </c>
      <c r="R1584" s="16" t="s">
        <v>142</v>
      </c>
      <c r="S1584" s="11"/>
    </row>
    <row r="1585" spans="1:19" s="20" customFormat="1" ht="21.75" hidden="1" customHeight="1" x14ac:dyDescent="0.2">
      <c r="A1585" s="16" t="s">
        <v>2503</v>
      </c>
      <c r="B1585" s="17" t="s">
        <v>73</v>
      </c>
      <c r="C1585" s="196">
        <v>46144</v>
      </c>
      <c r="D1585" s="21">
        <v>6</v>
      </c>
      <c r="E1585" s="185">
        <v>1</v>
      </c>
      <c r="F1585" s="16" t="s">
        <v>2509</v>
      </c>
      <c r="G1585" s="16" t="s">
        <v>2512</v>
      </c>
      <c r="H1585" s="16" t="s">
        <v>1544</v>
      </c>
      <c r="I1585" s="16" t="s">
        <v>970</v>
      </c>
      <c r="J1585" s="17">
        <v>20447849047</v>
      </c>
      <c r="K1585" s="17">
        <v>951640669</v>
      </c>
      <c r="L1585" s="16" t="s">
        <v>975</v>
      </c>
      <c r="M1585" s="16" t="s">
        <v>75</v>
      </c>
      <c r="N1585" s="11"/>
      <c r="O1585" s="11"/>
      <c r="P1585" s="16" t="s">
        <v>2515</v>
      </c>
      <c r="Q1585" s="16" t="s">
        <v>973</v>
      </c>
      <c r="R1585" s="16" t="s">
        <v>142</v>
      </c>
      <c r="S1585" s="11"/>
    </row>
    <row r="1586" spans="1:19" s="20" customFormat="1" ht="21.75" hidden="1" customHeight="1" x14ac:dyDescent="0.2">
      <c r="A1586" s="16" t="s">
        <v>2503</v>
      </c>
      <c r="B1586" s="17" t="s">
        <v>73</v>
      </c>
      <c r="C1586" s="196">
        <v>46144</v>
      </c>
      <c r="D1586" s="21">
        <v>2</v>
      </c>
      <c r="E1586" s="185">
        <v>2</v>
      </c>
      <c r="F1586" s="16" t="s">
        <v>14</v>
      </c>
      <c r="G1586" s="16" t="s">
        <v>114</v>
      </c>
      <c r="H1586" s="16" t="s">
        <v>1544</v>
      </c>
      <c r="I1586" s="16" t="s">
        <v>970</v>
      </c>
      <c r="J1586" s="17">
        <v>20447849047</v>
      </c>
      <c r="K1586" s="17">
        <v>951640669</v>
      </c>
      <c r="L1586" s="16" t="s">
        <v>975</v>
      </c>
      <c r="M1586" s="16" t="s">
        <v>75</v>
      </c>
      <c r="N1586" s="11"/>
      <c r="O1586" s="11"/>
      <c r="P1586" s="16" t="s">
        <v>2515</v>
      </c>
      <c r="Q1586" s="16" t="s">
        <v>973</v>
      </c>
      <c r="R1586" s="16" t="s">
        <v>142</v>
      </c>
      <c r="S1586" s="11"/>
    </row>
    <row r="1587" spans="1:19" s="20" customFormat="1" ht="21.75" hidden="1" customHeight="1" x14ac:dyDescent="0.2">
      <c r="A1587" s="16" t="s">
        <v>2503</v>
      </c>
      <c r="B1587" s="17" t="s">
        <v>73</v>
      </c>
      <c r="C1587" s="196">
        <v>46144</v>
      </c>
      <c r="D1587" s="21">
        <v>48</v>
      </c>
      <c r="E1587" s="185">
        <v>4</v>
      </c>
      <c r="F1587" s="16" t="s">
        <v>54</v>
      </c>
      <c r="G1587" s="16" t="s">
        <v>92</v>
      </c>
      <c r="H1587" s="16" t="s">
        <v>1544</v>
      </c>
      <c r="I1587" s="16" t="s">
        <v>970</v>
      </c>
      <c r="J1587" s="17">
        <v>20447849047</v>
      </c>
      <c r="K1587" s="17">
        <v>951640669</v>
      </c>
      <c r="L1587" s="16" t="s">
        <v>975</v>
      </c>
      <c r="M1587" s="16" t="s">
        <v>75</v>
      </c>
      <c r="N1587" s="11"/>
      <c r="O1587" s="11"/>
      <c r="P1587" s="16" t="s">
        <v>2515</v>
      </c>
      <c r="Q1587" s="16" t="s">
        <v>973</v>
      </c>
      <c r="R1587" s="16" t="s">
        <v>142</v>
      </c>
      <c r="S1587" s="11"/>
    </row>
    <row r="1588" spans="1:19" s="20" customFormat="1" ht="21.75" hidden="1" customHeight="1" x14ac:dyDescent="0.2">
      <c r="A1588" s="16" t="s">
        <v>2504</v>
      </c>
      <c r="B1588" s="17" t="s">
        <v>2507</v>
      </c>
      <c r="C1588" s="196">
        <v>46147</v>
      </c>
      <c r="D1588" s="21">
        <v>1</v>
      </c>
      <c r="E1588" s="19">
        <v>1</v>
      </c>
      <c r="F1588" s="16" t="s">
        <v>53</v>
      </c>
      <c r="G1588" s="16" t="s">
        <v>121</v>
      </c>
      <c r="H1588" s="16" t="s">
        <v>99</v>
      </c>
      <c r="I1588" s="16" t="s">
        <v>2514</v>
      </c>
      <c r="J1588" s="17">
        <v>2160366</v>
      </c>
      <c r="K1588" s="17">
        <v>51940597756</v>
      </c>
      <c r="L1588" s="16" t="s">
        <v>2517</v>
      </c>
      <c r="M1588" s="16" t="s">
        <v>312</v>
      </c>
      <c r="N1588" s="11"/>
      <c r="O1588" s="11"/>
      <c r="P1588" s="16" t="s">
        <v>1673</v>
      </c>
      <c r="Q1588" s="16" t="s">
        <v>73</v>
      </c>
      <c r="R1588" s="16" t="s">
        <v>442</v>
      </c>
      <c r="S1588" s="11"/>
    </row>
    <row r="1589" spans="1:19" s="20" customFormat="1" ht="21.75" hidden="1" customHeight="1" x14ac:dyDescent="0.2">
      <c r="A1589" s="16" t="s">
        <v>2505</v>
      </c>
      <c r="B1589" s="17" t="s">
        <v>73</v>
      </c>
      <c r="C1589" s="196">
        <v>46146</v>
      </c>
      <c r="D1589" s="21">
        <v>120</v>
      </c>
      <c r="E1589" s="19">
        <f>120/24</f>
        <v>5</v>
      </c>
      <c r="F1589" s="16" t="s">
        <v>1071</v>
      </c>
      <c r="G1589" s="16" t="s">
        <v>1075</v>
      </c>
      <c r="H1589" s="16" t="s">
        <v>1650</v>
      </c>
      <c r="I1589" s="16" t="s">
        <v>997</v>
      </c>
      <c r="J1589" s="17">
        <v>20100632480</v>
      </c>
      <c r="K1589" s="17">
        <v>946250141</v>
      </c>
      <c r="L1589" s="16" t="s">
        <v>998</v>
      </c>
      <c r="M1589" s="16" t="s">
        <v>347</v>
      </c>
      <c r="N1589" s="11"/>
      <c r="O1589" s="11"/>
      <c r="P1589" s="16" t="s">
        <v>2516</v>
      </c>
      <c r="Q1589" s="16" t="s">
        <v>73</v>
      </c>
      <c r="R1589" s="16" t="s">
        <v>396</v>
      </c>
      <c r="S1589" s="11"/>
    </row>
    <row r="1590" spans="1:19" s="20" customFormat="1" ht="21.75" hidden="1" customHeight="1" x14ac:dyDescent="0.2">
      <c r="A1590" s="16" t="s">
        <v>2505</v>
      </c>
      <c r="B1590" s="17" t="s">
        <v>73</v>
      </c>
      <c r="C1590" s="196">
        <v>46146</v>
      </c>
      <c r="D1590" s="21">
        <v>60</v>
      </c>
      <c r="E1590" s="19">
        <v>5</v>
      </c>
      <c r="F1590" s="16" t="s">
        <v>46</v>
      </c>
      <c r="G1590" s="16" t="s">
        <v>104</v>
      </c>
      <c r="H1590" s="16" t="s">
        <v>1650</v>
      </c>
      <c r="I1590" s="16" t="s">
        <v>997</v>
      </c>
      <c r="J1590" s="17">
        <v>20100632480</v>
      </c>
      <c r="K1590" s="17">
        <v>946250141</v>
      </c>
      <c r="L1590" s="16" t="s">
        <v>998</v>
      </c>
      <c r="M1590" s="16" t="s">
        <v>347</v>
      </c>
      <c r="N1590" s="11"/>
      <c r="O1590" s="11"/>
      <c r="P1590" s="16" t="s">
        <v>2516</v>
      </c>
      <c r="Q1590" s="16" t="s">
        <v>73</v>
      </c>
      <c r="R1590" s="16" t="s">
        <v>396</v>
      </c>
      <c r="S1590" s="11"/>
    </row>
    <row r="1591" spans="1:19" s="20" customFormat="1" ht="21.75" hidden="1" customHeight="1" x14ac:dyDescent="0.2">
      <c r="A1591" s="16" t="s">
        <v>2505</v>
      </c>
      <c r="B1591" s="17" t="s">
        <v>73</v>
      </c>
      <c r="C1591" s="196">
        <v>46146</v>
      </c>
      <c r="D1591" s="21">
        <v>600</v>
      </c>
      <c r="E1591" s="19">
        <f>600/48</f>
        <v>12.5</v>
      </c>
      <c r="F1591" s="16" t="s">
        <v>22</v>
      </c>
      <c r="G1591" s="16" t="s">
        <v>108</v>
      </c>
      <c r="H1591" s="16" t="s">
        <v>1650</v>
      </c>
      <c r="I1591" s="16" t="s">
        <v>997</v>
      </c>
      <c r="J1591" s="17">
        <v>20100632480</v>
      </c>
      <c r="K1591" s="17">
        <v>946250141</v>
      </c>
      <c r="L1591" s="16" t="s">
        <v>998</v>
      </c>
      <c r="M1591" s="16" t="s">
        <v>347</v>
      </c>
      <c r="N1591" s="11"/>
      <c r="O1591" s="11"/>
      <c r="P1591" s="16" t="s">
        <v>2516</v>
      </c>
      <c r="Q1591" s="16" t="s">
        <v>73</v>
      </c>
      <c r="R1591" s="16" t="s">
        <v>396</v>
      </c>
      <c r="S1591" s="11"/>
    </row>
    <row r="1592" spans="1:19" s="20" customFormat="1" ht="21.75" hidden="1" customHeight="1" x14ac:dyDescent="0.2">
      <c r="A1592" s="16" t="s">
        <v>2505</v>
      </c>
      <c r="B1592" s="17" t="s">
        <v>73</v>
      </c>
      <c r="C1592" s="196">
        <v>46146</v>
      </c>
      <c r="D1592" s="21">
        <v>360</v>
      </c>
      <c r="E1592" s="19">
        <f>360/48</f>
        <v>7.5</v>
      </c>
      <c r="F1592" s="16" t="s">
        <v>48</v>
      </c>
      <c r="G1592" s="16" t="s">
        <v>160</v>
      </c>
      <c r="H1592" s="16" t="s">
        <v>1650</v>
      </c>
      <c r="I1592" s="16" t="s">
        <v>997</v>
      </c>
      <c r="J1592" s="17">
        <v>20100632480</v>
      </c>
      <c r="K1592" s="17">
        <v>946250141</v>
      </c>
      <c r="L1592" s="16" t="s">
        <v>998</v>
      </c>
      <c r="M1592" s="16" t="s">
        <v>347</v>
      </c>
      <c r="N1592" s="11"/>
      <c r="O1592" s="11"/>
      <c r="P1592" s="16" t="s">
        <v>2516</v>
      </c>
      <c r="Q1592" s="16" t="s">
        <v>73</v>
      </c>
      <c r="R1592" s="16" t="s">
        <v>396</v>
      </c>
      <c r="S1592" s="11"/>
    </row>
    <row r="1593" spans="1:19" s="20" customFormat="1" ht="21.75" hidden="1" customHeight="1" x14ac:dyDescent="0.2">
      <c r="A1593" s="16" t="s">
        <v>2505</v>
      </c>
      <c r="B1593" s="17" t="s">
        <v>73</v>
      </c>
      <c r="C1593" s="196">
        <v>46146</v>
      </c>
      <c r="D1593" s="21">
        <v>15</v>
      </c>
      <c r="E1593" s="19">
        <f>15/6</f>
        <v>2.5</v>
      </c>
      <c r="F1593" s="16" t="s">
        <v>26</v>
      </c>
      <c r="G1593" s="16" t="s">
        <v>111</v>
      </c>
      <c r="H1593" s="16" t="s">
        <v>1650</v>
      </c>
      <c r="I1593" s="16" t="s">
        <v>997</v>
      </c>
      <c r="J1593" s="17">
        <v>20100632480</v>
      </c>
      <c r="K1593" s="17">
        <v>946250141</v>
      </c>
      <c r="L1593" s="16" t="s">
        <v>998</v>
      </c>
      <c r="M1593" s="16" t="s">
        <v>347</v>
      </c>
      <c r="N1593" s="11"/>
      <c r="O1593" s="11"/>
      <c r="P1593" s="16" t="s">
        <v>2516</v>
      </c>
      <c r="Q1593" s="16" t="s">
        <v>73</v>
      </c>
      <c r="R1593" s="16" t="s">
        <v>396</v>
      </c>
      <c r="S1593" s="11"/>
    </row>
    <row r="1594" spans="1:19" s="20" customFormat="1" ht="21.75" hidden="1" customHeight="1" x14ac:dyDescent="0.2">
      <c r="A1594" s="16" t="s">
        <v>2505</v>
      </c>
      <c r="B1594" s="17" t="s">
        <v>73</v>
      </c>
      <c r="C1594" s="196">
        <v>46146</v>
      </c>
      <c r="D1594" s="21">
        <v>15</v>
      </c>
      <c r="E1594" s="19">
        <f>15/6</f>
        <v>2.5</v>
      </c>
      <c r="F1594" s="16" t="s">
        <v>822</v>
      </c>
      <c r="G1594" s="16" t="s">
        <v>824</v>
      </c>
      <c r="H1594" s="16" t="s">
        <v>1650</v>
      </c>
      <c r="I1594" s="16" t="s">
        <v>997</v>
      </c>
      <c r="J1594" s="17">
        <v>20100632480</v>
      </c>
      <c r="K1594" s="17">
        <v>946250141</v>
      </c>
      <c r="L1594" s="16" t="s">
        <v>998</v>
      </c>
      <c r="M1594" s="16" t="s">
        <v>347</v>
      </c>
      <c r="N1594" s="11"/>
      <c r="O1594" s="11"/>
      <c r="P1594" s="16" t="s">
        <v>2516</v>
      </c>
      <c r="Q1594" s="16" t="s">
        <v>73</v>
      </c>
      <c r="R1594" s="16" t="s">
        <v>396</v>
      </c>
      <c r="S1594" s="11"/>
    </row>
    <row r="1595" spans="1:19" s="20" customFormat="1" ht="21.75" hidden="1" customHeight="1" x14ac:dyDescent="0.2">
      <c r="A1595" s="16" t="s">
        <v>2505</v>
      </c>
      <c r="B1595" s="17" t="s">
        <v>73</v>
      </c>
      <c r="C1595" s="196">
        <v>46146</v>
      </c>
      <c r="D1595" s="21">
        <v>20</v>
      </c>
      <c r="E1595" s="19">
        <v>5</v>
      </c>
      <c r="F1595" s="16" t="s">
        <v>357</v>
      </c>
      <c r="G1595" s="16" t="s">
        <v>369</v>
      </c>
      <c r="H1595" s="16" t="s">
        <v>1650</v>
      </c>
      <c r="I1595" s="16" t="s">
        <v>997</v>
      </c>
      <c r="J1595" s="17">
        <v>20100632480</v>
      </c>
      <c r="K1595" s="17">
        <v>946250141</v>
      </c>
      <c r="L1595" s="16" t="s">
        <v>998</v>
      </c>
      <c r="M1595" s="16" t="s">
        <v>347</v>
      </c>
      <c r="N1595" s="11"/>
      <c r="O1595" s="11"/>
      <c r="P1595" s="16" t="s">
        <v>2516</v>
      </c>
      <c r="Q1595" s="16" t="s">
        <v>73</v>
      </c>
      <c r="R1595" s="16" t="s">
        <v>396</v>
      </c>
      <c r="S1595" s="11"/>
    </row>
    <row r="1596" spans="1:19" s="20" customFormat="1" ht="21.75" hidden="1" customHeight="1" x14ac:dyDescent="0.2">
      <c r="A1596" s="16" t="s">
        <v>2505</v>
      </c>
      <c r="B1596" s="17" t="s">
        <v>73</v>
      </c>
      <c r="C1596" s="196">
        <v>46146</v>
      </c>
      <c r="D1596" s="21">
        <v>12</v>
      </c>
      <c r="E1596" s="19">
        <v>1</v>
      </c>
      <c r="F1596" s="16" t="s">
        <v>2510</v>
      </c>
      <c r="G1596" s="16" t="s">
        <v>371</v>
      </c>
      <c r="H1596" s="16" t="s">
        <v>1650</v>
      </c>
      <c r="I1596" s="16" t="s">
        <v>997</v>
      </c>
      <c r="J1596" s="17">
        <v>20100632480</v>
      </c>
      <c r="K1596" s="17">
        <v>946250141</v>
      </c>
      <c r="L1596" s="16" t="s">
        <v>998</v>
      </c>
      <c r="M1596" s="16" t="s">
        <v>347</v>
      </c>
      <c r="N1596" s="11"/>
      <c r="O1596" s="11"/>
      <c r="P1596" s="16" t="s">
        <v>2516</v>
      </c>
      <c r="Q1596" s="16" t="s">
        <v>73</v>
      </c>
      <c r="R1596" s="16" t="s">
        <v>396</v>
      </c>
      <c r="S1596" s="11"/>
    </row>
    <row r="1597" spans="1:19" s="20" customFormat="1" ht="21.75" hidden="1" customHeight="1" x14ac:dyDescent="0.2">
      <c r="A1597" s="16" t="s">
        <v>2506</v>
      </c>
      <c r="B1597" s="17" t="s">
        <v>73</v>
      </c>
      <c r="C1597" s="196">
        <v>46146</v>
      </c>
      <c r="D1597" s="21">
        <v>120</v>
      </c>
      <c r="E1597" s="19">
        <v>5</v>
      </c>
      <c r="F1597" s="16" t="s">
        <v>1071</v>
      </c>
      <c r="G1597" s="16" t="s">
        <v>1075</v>
      </c>
      <c r="H1597" s="16" t="s">
        <v>1650</v>
      </c>
      <c r="I1597" s="16" t="s">
        <v>2232</v>
      </c>
      <c r="J1597" s="17">
        <v>20549606891</v>
      </c>
      <c r="K1597" s="17">
        <v>946250141</v>
      </c>
      <c r="L1597" s="16" t="s">
        <v>2236</v>
      </c>
      <c r="M1597" s="16" t="s">
        <v>347</v>
      </c>
      <c r="N1597" s="11"/>
      <c r="O1597" s="11"/>
      <c r="P1597" s="16" t="s">
        <v>2516</v>
      </c>
      <c r="Q1597" s="16" t="s">
        <v>73</v>
      </c>
      <c r="R1597" s="16" t="s">
        <v>396</v>
      </c>
      <c r="S1597" s="11"/>
    </row>
    <row r="1598" spans="1:19" s="20" customFormat="1" ht="21.75" hidden="1" customHeight="1" x14ac:dyDescent="0.2">
      <c r="A1598" s="16" t="s">
        <v>2506</v>
      </c>
      <c r="B1598" s="17" t="s">
        <v>73</v>
      </c>
      <c r="C1598" s="196">
        <v>46146</v>
      </c>
      <c r="D1598" s="21">
        <v>60</v>
      </c>
      <c r="E1598" s="19">
        <v>5</v>
      </c>
      <c r="F1598" s="16" t="s">
        <v>46</v>
      </c>
      <c r="G1598" s="16" t="s">
        <v>104</v>
      </c>
      <c r="H1598" s="16" t="s">
        <v>1650</v>
      </c>
      <c r="I1598" s="16" t="s">
        <v>2232</v>
      </c>
      <c r="J1598" s="17">
        <v>20549606891</v>
      </c>
      <c r="K1598" s="17">
        <v>946250141</v>
      </c>
      <c r="L1598" s="16" t="s">
        <v>2236</v>
      </c>
      <c r="M1598" s="16" t="s">
        <v>347</v>
      </c>
      <c r="N1598" s="11"/>
      <c r="O1598" s="11"/>
      <c r="P1598" s="16" t="s">
        <v>2516</v>
      </c>
      <c r="Q1598" s="16" t="s">
        <v>73</v>
      </c>
      <c r="R1598" s="16" t="s">
        <v>396</v>
      </c>
      <c r="S1598" s="11"/>
    </row>
    <row r="1599" spans="1:19" s="20" customFormat="1" ht="21.75" hidden="1" customHeight="1" x14ac:dyDescent="0.2">
      <c r="A1599" s="16" t="s">
        <v>2506</v>
      </c>
      <c r="B1599" s="17" t="s">
        <v>73</v>
      </c>
      <c r="C1599" s="196">
        <v>46146</v>
      </c>
      <c r="D1599" s="21">
        <v>600</v>
      </c>
      <c r="E1599" s="19">
        <f>600/48</f>
        <v>12.5</v>
      </c>
      <c r="F1599" s="16" t="s">
        <v>22</v>
      </c>
      <c r="G1599" s="16" t="s">
        <v>108</v>
      </c>
      <c r="H1599" s="16" t="s">
        <v>1650</v>
      </c>
      <c r="I1599" s="16" t="s">
        <v>2232</v>
      </c>
      <c r="J1599" s="17">
        <v>20549606891</v>
      </c>
      <c r="K1599" s="17">
        <v>946250141</v>
      </c>
      <c r="L1599" s="16" t="s">
        <v>2236</v>
      </c>
      <c r="M1599" s="16" t="s">
        <v>347</v>
      </c>
      <c r="N1599" s="11"/>
      <c r="O1599" s="11"/>
      <c r="P1599" s="16" t="s">
        <v>2516</v>
      </c>
      <c r="Q1599" s="16" t="s">
        <v>73</v>
      </c>
      <c r="R1599" s="16" t="s">
        <v>396</v>
      </c>
      <c r="S1599" s="11"/>
    </row>
    <row r="1600" spans="1:19" s="20" customFormat="1" ht="21.75" hidden="1" customHeight="1" x14ac:dyDescent="0.2">
      <c r="A1600" s="16" t="s">
        <v>2506</v>
      </c>
      <c r="B1600" s="17" t="s">
        <v>73</v>
      </c>
      <c r="C1600" s="196">
        <v>46146</v>
      </c>
      <c r="D1600" s="21">
        <v>360</v>
      </c>
      <c r="E1600" s="19">
        <f>360/48</f>
        <v>7.5</v>
      </c>
      <c r="F1600" s="16" t="s">
        <v>48</v>
      </c>
      <c r="G1600" s="16" t="s">
        <v>160</v>
      </c>
      <c r="H1600" s="16" t="s">
        <v>1650</v>
      </c>
      <c r="I1600" s="16" t="s">
        <v>2232</v>
      </c>
      <c r="J1600" s="17">
        <v>20549606891</v>
      </c>
      <c r="K1600" s="17">
        <v>946250141</v>
      </c>
      <c r="L1600" s="16" t="s">
        <v>2236</v>
      </c>
      <c r="M1600" s="16" t="s">
        <v>347</v>
      </c>
      <c r="N1600" s="11"/>
      <c r="O1600" s="11"/>
      <c r="P1600" s="16" t="s">
        <v>2516</v>
      </c>
      <c r="Q1600" s="16" t="s">
        <v>73</v>
      </c>
      <c r="R1600" s="16" t="s">
        <v>396</v>
      </c>
      <c r="S1600" s="11"/>
    </row>
    <row r="1601" spans="1:19" s="20" customFormat="1" ht="21.75" hidden="1" customHeight="1" x14ac:dyDescent="0.2">
      <c r="A1601" s="16" t="s">
        <v>2506</v>
      </c>
      <c r="B1601" s="17" t="s">
        <v>73</v>
      </c>
      <c r="C1601" s="196">
        <v>46146</v>
      </c>
      <c r="D1601" s="21">
        <v>15</v>
      </c>
      <c r="E1601" s="19">
        <f>15/6</f>
        <v>2.5</v>
      </c>
      <c r="F1601" s="16" t="s">
        <v>26</v>
      </c>
      <c r="G1601" s="16" t="s">
        <v>111</v>
      </c>
      <c r="H1601" s="16" t="s">
        <v>1650</v>
      </c>
      <c r="I1601" s="16" t="s">
        <v>2232</v>
      </c>
      <c r="J1601" s="17">
        <v>20549606891</v>
      </c>
      <c r="K1601" s="17">
        <v>946250141</v>
      </c>
      <c r="L1601" s="16" t="s">
        <v>2236</v>
      </c>
      <c r="M1601" s="16" t="s">
        <v>347</v>
      </c>
      <c r="N1601" s="11"/>
      <c r="O1601" s="11"/>
      <c r="P1601" s="16" t="s">
        <v>2516</v>
      </c>
      <c r="Q1601" s="16" t="s">
        <v>73</v>
      </c>
      <c r="R1601" s="16" t="s">
        <v>396</v>
      </c>
      <c r="S1601" s="11"/>
    </row>
    <row r="1602" spans="1:19" s="20" customFormat="1" ht="21.75" hidden="1" customHeight="1" x14ac:dyDescent="0.2">
      <c r="A1602" s="16" t="s">
        <v>2506</v>
      </c>
      <c r="B1602" s="17" t="s">
        <v>73</v>
      </c>
      <c r="C1602" s="196">
        <v>46146</v>
      </c>
      <c r="D1602" s="21">
        <v>15</v>
      </c>
      <c r="E1602" s="19">
        <f>15/6</f>
        <v>2.5</v>
      </c>
      <c r="F1602" s="16" t="s">
        <v>822</v>
      </c>
      <c r="G1602" s="16" t="s">
        <v>824</v>
      </c>
      <c r="H1602" s="16" t="s">
        <v>1650</v>
      </c>
      <c r="I1602" s="16" t="s">
        <v>2232</v>
      </c>
      <c r="J1602" s="17">
        <v>20549606891</v>
      </c>
      <c r="K1602" s="17">
        <v>946250141</v>
      </c>
      <c r="L1602" s="16" t="s">
        <v>2236</v>
      </c>
      <c r="M1602" s="16" t="s">
        <v>347</v>
      </c>
      <c r="N1602" s="11"/>
      <c r="O1602" s="11"/>
      <c r="P1602" s="16" t="s">
        <v>2516</v>
      </c>
      <c r="Q1602" s="16" t="s">
        <v>73</v>
      </c>
      <c r="R1602" s="16" t="s">
        <v>396</v>
      </c>
      <c r="S1602" s="11"/>
    </row>
    <row r="1603" spans="1:19" s="20" customFormat="1" ht="21.75" hidden="1" customHeight="1" x14ac:dyDescent="0.2">
      <c r="A1603" s="16" t="s">
        <v>2506</v>
      </c>
      <c r="B1603" s="17" t="s">
        <v>73</v>
      </c>
      <c r="C1603" s="196">
        <v>46146</v>
      </c>
      <c r="D1603" s="21">
        <v>20</v>
      </c>
      <c r="E1603" s="19">
        <v>5</v>
      </c>
      <c r="F1603" s="16" t="s">
        <v>357</v>
      </c>
      <c r="G1603" s="16" t="s">
        <v>369</v>
      </c>
      <c r="H1603" s="16" t="s">
        <v>1650</v>
      </c>
      <c r="I1603" s="16" t="s">
        <v>2232</v>
      </c>
      <c r="J1603" s="17">
        <v>20549606891</v>
      </c>
      <c r="K1603" s="17">
        <v>946250141</v>
      </c>
      <c r="L1603" s="16" t="s">
        <v>2236</v>
      </c>
      <c r="M1603" s="16" t="s">
        <v>347</v>
      </c>
      <c r="N1603" s="11"/>
      <c r="O1603" s="11"/>
      <c r="P1603" s="16" t="s">
        <v>2516</v>
      </c>
      <c r="Q1603" s="16" t="s">
        <v>73</v>
      </c>
      <c r="R1603" s="16" t="s">
        <v>396</v>
      </c>
      <c r="S1603" s="11"/>
    </row>
    <row r="1604" spans="1:19" s="20" customFormat="1" ht="21.75" hidden="1" customHeight="1" x14ac:dyDescent="0.2">
      <c r="A1604" s="16" t="s">
        <v>2506</v>
      </c>
      <c r="B1604" s="17" t="s">
        <v>73</v>
      </c>
      <c r="C1604" s="196">
        <v>46146</v>
      </c>
      <c r="D1604" s="21">
        <v>12</v>
      </c>
      <c r="E1604" s="19">
        <v>1</v>
      </c>
      <c r="F1604" s="16" t="s">
        <v>2510</v>
      </c>
      <c r="G1604" s="16" t="s">
        <v>371</v>
      </c>
      <c r="H1604" s="16" t="s">
        <v>1650</v>
      </c>
      <c r="I1604" s="16" t="s">
        <v>2232</v>
      </c>
      <c r="J1604" s="17">
        <v>20549606891</v>
      </c>
      <c r="K1604" s="17">
        <v>946250141</v>
      </c>
      <c r="L1604" s="16" t="s">
        <v>2236</v>
      </c>
      <c r="M1604" s="16" t="s">
        <v>347</v>
      </c>
      <c r="N1604" s="11"/>
      <c r="O1604" s="11"/>
      <c r="P1604" s="16" t="s">
        <v>2516</v>
      </c>
      <c r="Q1604" s="16" t="s">
        <v>73</v>
      </c>
      <c r="R1604" s="16" t="s">
        <v>396</v>
      </c>
      <c r="S1604" s="11"/>
    </row>
    <row r="1605" spans="1:19" ht="20.25" hidden="1" customHeight="1" x14ac:dyDescent="0.25">
      <c r="A1605" s="16" t="s">
        <v>2520</v>
      </c>
      <c r="B1605" s="189" t="s">
        <v>73</v>
      </c>
      <c r="C1605" s="196">
        <v>46147</v>
      </c>
      <c r="D1605" s="21">
        <v>1</v>
      </c>
      <c r="E1605" s="19">
        <v>1</v>
      </c>
      <c r="F1605" s="16" t="s">
        <v>53</v>
      </c>
      <c r="G1605" s="16" t="s">
        <v>121</v>
      </c>
      <c r="H1605" s="16" t="s">
        <v>99</v>
      </c>
      <c r="I1605" s="17" t="s">
        <v>2521</v>
      </c>
      <c r="J1605" s="14" t="s">
        <v>2522</v>
      </c>
      <c r="K1605" s="14">
        <v>51948893143</v>
      </c>
      <c r="L1605" s="11" t="s">
        <v>2523</v>
      </c>
      <c r="M1605" s="11" t="s">
        <v>474</v>
      </c>
      <c r="N1605" s="127"/>
      <c r="O1605" s="127"/>
      <c r="P1605" s="16" t="s">
        <v>1673</v>
      </c>
      <c r="Q1605" s="16" t="s">
        <v>73</v>
      </c>
      <c r="R1605" s="16" t="s">
        <v>142</v>
      </c>
      <c r="S1605" s="11"/>
    </row>
    <row r="1606" spans="1:19" ht="20.25" hidden="1" customHeight="1" x14ac:dyDescent="0.25">
      <c r="A1606" s="16" t="s">
        <v>2526</v>
      </c>
      <c r="B1606" s="189" t="s">
        <v>73</v>
      </c>
      <c r="C1606" s="196">
        <v>46147</v>
      </c>
      <c r="D1606" s="6">
        <v>180</v>
      </c>
      <c r="E1606" s="6">
        <v>30</v>
      </c>
      <c r="F1606" s="125" t="s">
        <v>822</v>
      </c>
      <c r="G1606" s="124" t="s">
        <v>824</v>
      </c>
      <c r="H1606" s="17" t="s">
        <v>1650</v>
      </c>
      <c r="I1606" s="125" t="s">
        <v>2524</v>
      </c>
      <c r="J1606" s="124">
        <v>20601793475</v>
      </c>
      <c r="K1606" s="124">
        <v>51997870547</v>
      </c>
      <c r="L1606" s="125" t="s">
        <v>2527</v>
      </c>
      <c r="M1606" s="125" t="s">
        <v>2528</v>
      </c>
      <c r="N1606" s="125"/>
      <c r="O1606" s="125"/>
      <c r="P1606" s="16" t="s">
        <v>2529</v>
      </c>
      <c r="Q1606" s="16" t="s">
        <v>2530</v>
      </c>
      <c r="R1606" s="16" t="s">
        <v>396</v>
      </c>
      <c r="S1606" s="125"/>
    </row>
    <row r="1607" spans="1:19" ht="20.25" hidden="1" customHeight="1" x14ac:dyDescent="0.25">
      <c r="A1607" s="16" t="s">
        <v>2526</v>
      </c>
      <c r="B1607" s="189" t="s">
        <v>73</v>
      </c>
      <c r="C1607" s="196">
        <v>46147</v>
      </c>
      <c r="D1607" s="6">
        <v>36</v>
      </c>
      <c r="E1607" s="6">
        <v>3</v>
      </c>
      <c r="F1607" s="125" t="s">
        <v>27</v>
      </c>
      <c r="G1607" s="124" t="s">
        <v>2525</v>
      </c>
      <c r="H1607" s="17" t="s">
        <v>1650</v>
      </c>
      <c r="I1607" s="125" t="s">
        <v>2524</v>
      </c>
      <c r="J1607" s="124">
        <v>20601793475</v>
      </c>
      <c r="K1607" s="124">
        <v>51997870547</v>
      </c>
      <c r="L1607" s="125" t="s">
        <v>2527</v>
      </c>
      <c r="M1607" s="125" t="s">
        <v>2528</v>
      </c>
      <c r="N1607" s="125"/>
      <c r="O1607" s="125"/>
      <c r="P1607" s="16" t="s">
        <v>2529</v>
      </c>
      <c r="Q1607" s="16" t="s">
        <v>2530</v>
      </c>
      <c r="R1607" s="16" t="s">
        <v>396</v>
      </c>
      <c r="S1607" s="125"/>
    </row>
    <row r="1608" spans="1:19" ht="20.25" hidden="1" customHeight="1" x14ac:dyDescent="0.25">
      <c r="A1608" s="16" t="s">
        <v>2526</v>
      </c>
      <c r="B1608" s="189" t="s">
        <v>73</v>
      </c>
      <c r="C1608" s="196">
        <v>46147</v>
      </c>
      <c r="D1608" s="6">
        <v>120</v>
      </c>
      <c r="E1608" s="6">
        <v>10</v>
      </c>
      <c r="F1608" s="125" t="s">
        <v>62</v>
      </c>
      <c r="G1608" s="125" t="s">
        <v>83</v>
      </c>
      <c r="H1608" s="17" t="s">
        <v>1650</v>
      </c>
      <c r="I1608" s="125" t="s">
        <v>2524</v>
      </c>
      <c r="J1608" s="124">
        <v>20601793475</v>
      </c>
      <c r="K1608" s="124">
        <v>51997870547</v>
      </c>
      <c r="L1608" s="125" t="s">
        <v>2527</v>
      </c>
      <c r="M1608" s="125" t="s">
        <v>2528</v>
      </c>
      <c r="N1608" s="125"/>
      <c r="O1608" s="125"/>
      <c r="P1608" s="16" t="s">
        <v>2529</v>
      </c>
      <c r="Q1608" s="16" t="s">
        <v>2530</v>
      </c>
      <c r="R1608" s="16" t="s">
        <v>396</v>
      </c>
      <c r="S1608" s="125"/>
    </row>
    <row r="1609" spans="1:19" s="20" customFormat="1" ht="21.75" hidden="1" customHeight="1" x14ac:dyDescent="0.2">
      <c r="A1609" s="16" t="s">
        <v>2531</v>
      </c>
      <c r="B1609" s="14" t="s">
        <v>73</v>
      </c>
      <c r="C1609" s="196">
        <v>46148</v>
      </c>
      <c r="D1609" s="21">
        <v>218</v>
      </c>
      <c r="E1609" s="19">
        <v>19</v>
      </c>
      <c r="F1609" s="16" t="s">
        <v>2398</v>
      </c>
      <c r="G1609" s="16" t="s">
        <v>2532</v>
      </c>
      <c r="H1609" s="16" t="s">
        <v>1650</v>
      </c>
      <c r="I1609" s="16" t="s">
        <v>997</v>
      </c>
      <c r="J1609" s="17">
        <v>20100632480</v>
      </c>
      <c r="K1609" s="17" t="s">
        <v>2535</v>
      </c>
      <c r="L1609" s="16" t="s">
        <v>1705</v>
      </c>
      <c r="M1609" s="16" t="s">
        <v>347</v>
      </c>
      <c r="N1609" s="11"/>
      <c r="O1609" s="11"/>
      <c r="P1609" s="16" t="s">
        <v>2534</v>
      </c>
      <c r="Q1609" s="16" t="s">
        <v>2533</v>
      </c>
      <c r="R1609" s="16" t="s">
        <v>396</v>
      </c>
      <c r="S1609" s="11"/>
    </row>
    <row r="1610" spans="1:19" s="20" customFormat="1" ht="21.75" hidden="1" customHeight="1" x14ac:dyDescent="0.2">
      <c r="A1610" s="11" t="s">
        <v>2536</v>
      </c>
      <c r="B1610" s="17" t="s">
        <v>73</v>
      </c>
      <c r="C1610" s="196">
        <v>46148</v>
      </c>
      <c r="D1610" s="21">
        <v>1</v>
      </c>
      <c r="E1610" s="19">
        <v>1</v>
      </c>
      <c r="F1610" s="11" t="s">
        <v>17</v>
      </c>
      <c r="G1610" s="14" t="s">
        <v>91</v>
      </c>
      <c r="H1610" s="11" t="s">
        <v>99</v>
      </c>
      <c r="I1610" s="11" t="s">
        <v>2537</v>
      </c>
      <c r="J1610" s="14">
        <v>20608529862</v>
      </c>
      <c r="K1610" s="11">
        <v>930181114</v>
      </c>
      <c r="L1610" s="11" t="s">
        <v>2258</v>
      </c>
      <c r="M1610" s="11" t="s">
        <v>960</v>
      </c>
      <c r="N1610" s="11"/>
      <c r="O1610" s="11"/>
      <c r="P1610" s="11" t="s">
        <v>2539</v>
      </c>
      <c r="Q1610" s="11" t="s">
        <v>2538</v>
      </c>
      <c r="R1610" s="11" t="s">
        <v>933</v>
      </c>
      <c r="S1610" s="11"/>
    </row>
    <row r="1611" spans="1:19" ht="21.75" hidden="1" customHeight="1" x14ac:dyDescent="0.25">
      <c r="A1611" s="84" t="s">
        <v>2540</v>
      </c>
      <c r="B1611" s="84" t="s">
        <v>2541</v>
      </c>
      <c r="C1611" s="18">
        <v>46149</v>
      </c>
      <c r="D1611" s="21">
        <v>60</v>
      </c>
      <c r="E1611" s="19">
        <v>5</v>
      </c>
      <c r="F1611" s="16" t="s">
        <v>85</v>
      </c>
      <c r="G1611" s="16" t="s">
        <v>90</v>
      </c>
      <c r="H1611" s="11" t="s">
        <v>99</v>
      </c>
      <c r="I1611" s="16" t="s">
        <v>553</v>
      </c>
      <c r="J1611" s="80">
        <v>20101904874</v>
      </c>
      <c r="K1611" s="84" t="s">
        <v>73</v>
      </c>
      <c r="L1611" s="16" t="s">
        <v>534</v>
      </c>
      <c r="M1611" s="16" t="s">
        <v>474</v>
      </c>
      <c r="N1611" s="11"/>
      <c r="O1611" s="11"/>
      <c r="P1611" s="16" t="s">
        <v>513</v>
      </c>
      <c r="Q1611" s="16" t="s">
        <v>516</v>
      </c>
      <c r="R1611" s="16" t="s">
        <v>505</v>
      </c>
      <c r="S1611" s="11"/>
    </row>
    <row r="1612" spans="1:19" ht="21.75" hidden="1" customHeight="1" x14ac:dyDescent="0.25">
      <c r="A1612" s="84" t="s">
        <v>2540</v>
      </c>
      <c r="B1612" s="84" t="s">
        <v>2541</v>
      </c>
      <c r="C1612" s="18">
        <v>46149</v>
      </c>
      <c r="D1612" s="21">
        <v>24</v>
      </c>
      <c r="E1612" s="19">
        <v>2</v>
      </c>
      <c r="F1612" s="16" t="s">
        <v>85</v>
      </c>
      <c r="G1612" s="16" t="s">
        <v>90</v>
      </c>
      <c r="H1612" s="11" t="s">
        <v>99</v>
      </c>
      <c r="I1612" s="16" t="s">
        <v>575</v>
      </c>
      <c r="J1612" s="17">
        <v>20101904874</v>
      </c>
      <c r="K1612" s="84" t="s">
        <v>73</v>
      </c>
      <c r="L1612" s="16" t="s">
        <v>535</v>
      </c>
      <c r="M1612" s="16" t="s">
        <v>299</v>
      </c>
      <c r="N1612" s="11"/>
      <c r="O1612" s="11"/>
      <c r="P1612" s="16" t="s">
        <v>513</v>
      </c>
      <c r="Q1612" s="16" t="s">
        <v>517</v>
      </c>
      <c r="R1612" s="16" t="s">
        <v>505</v>
      </c>
      <c r="S1612" s="125"/>
    </row>
    <row r="1613" spans="1:19" ht="21.75" hidden="1" customHeight="1" x14ac:dyDescent="0.25">
      <c r="A1613" s="84" t="s">
        <v>2540</v>
      </c>
      <c r="B1613" s="84" t="s">
        <v>2541</v>
      </c>
      <c r="C1613" s="18">
        <v>46149</v>
      </c>
      <c r="D1613" s="21">
        <v>36</v>
      </c>
      <c r="E1613" s="19">
        <v>3</v>
      </c>
      <c r="F1613" s="16" t="s">
        <v>85</v>
      </c>
      <c r="G1613" s="16" t="s">
        <v>90</v>
      </c>
      <c r="H1613" s="11" t="s">
        <v>99</v>
      </c>
      <c r="I1613" s="16" t="s">
        <v>184</v>
      </c>
      <c r="J1613" s="17">
        <v>20101904874</v>
      </c>
      <c r="K1613" s="84" t="s">
        <v>73</v>
      </c>
      <c r="L1613" s="16" t="s">
        <v>536</v>
      </c>
      <c r="M1613" s="16" t="s">
        <v>312</v>
      </c>
      <c r="N1613" s="11"/>
      <c r="O1613" s="11"/>
      <c r="P1613" s="16" t="s">
        <v>514</v>
      </c>
      <c r="Q1613" s="16" t="s">
        <v>518</v>
      </c>
      <c r="R1613" s="16" t="s">
        <v>505</v>
      </c>
      <c r="S1613" s="11"/>
    </row>
    <row r="1614" spans="1:19" ht="21.75" hidden="1" customHeight="1" x14ac:dyDescent="0.25">
      <c r="A1614" s="84" t="s">
        <v>2540</v>
      </c>
      <c r="B1614" s="84" t="s">
        <v>2541</v>
      </c>
      <c r="C1614" s="18">
        <v>46149</v>
      </c>
      <c r="D1614" s="21">
        <v>24</v>
      </c>
      <c r="E1614" s="19">
        <v>2</v>
      </c>
      <c r="F1614" s="16" t="s">
        <v>85</v>
      </c>
      <c r="G1614" s="16" t="s">
        <v>90</v>
      </c>
      <c r="H1614" s="11" t="s">
        <v>99</v>
      </c>
      <c r="I1614" s="190" t="s">
        <v>576</v>
      </c>
      <c r="J1614" s="17">
        <v>20101904874</v>
      </c>
      <c r="K1614" s="84" t="s">
        <v>73</v>
      </c>
      <c r="L1614" s="16" t="s">
        <v>537</v>
      </c>
      <c r="M1614" s="16" t="s">
        <v>299</v>
      </c>
      <c r="N1614" s="11"/>
      <c r="O1614" s="11"/>
      <c r="P1614" s="16" t="s">
        <v>514</v>
      </c>
      <c r="Q1614" s="16" t="s">
        <v>519</v>
      </c>
      <c r="R1614" s="16" t="s">
        <v>505</v>
      </c>
      <c r="S1614" s="11"/>
    </row>
    <row r="1615" spans="1:19" ht="21.75" hidden="1" customHeight="1" x14ac:dyDescent="0.25">
      <c r="A1615" s="84" t="s">
        <v>2540</v>
      </c>
      <c r="B1615" s="84" t="s">
        <v>2541</v>
      </c>
      <c r="C1615" s="18">
        <v>46149</v>
      </c>
      <c r="D1615" s="21">
        <v>36</v>
      </c>
      <c r="E1615" s="19">
        <v>3</v>
      </c>
      <c r="F1615" s="16" t="s">
        <v>85</v>
      </c>
      <c r="G1615" s="16" t="s">
        <v>90</v>
      </c>
      <c r="H1615" s="11" t="s">
        <v>99</v>
      </c>
      <c r="I1615" s="16" t="s">
        <v>554</v>
      </c>
      <c r="J1615" s="80">
        <v>20101904874</v>
      </c>
      <c r="K1615" s="84" t="s">
        <v>73</v>
      </c>
      <c r="L1615" s="16" t="s">
        <v>538</v>
      </c>
      <c r="M1615" s="16" t="s">
        <v>474</v>
      </c>
      <c r="N1615" s="11"/>
      <c r="O1615" s="11"/>
      <c r="P1615" s="16" t="s">
        <v>513</v>
      </c>
      <c r="Q1615" s="16" t="s">
        <v>520</v>
      </c>
      <c r="R1615" s="16" t="s">
        <v>505</v>
      </c>
      <c r="S1615" s="11"/>
    </row>
    <row r="1616" spans="1:19" ht="21.75" hidden="1" customHeight="1" x14ac:dyDescent="0.25">
      <c r="A1616" s="84" t="s">
        <v>2540</v>
      </c>
      <c r="B1616" s="84" t="s">
        <v>2541</v>
      </c>
      <c r="C1616" s="18">
        <v>46149</v>
      </c>
      <c r="D1616" s="21">
        <v>36</v>
      </c>
      <c r="E1616" s="19">
        <v>3</v>
      </c>
      <c r="F1616" s="16" t="s">
        <v>85</v>
      </c>
      <c r="G1616" s="16" t="s">
        <v>90</v>
      </c>
      <c r="H1616" s="11" t="s">
        <v>99</v>
      </c>
      <c r="I1616" s="16" t="s">
        <v>577</v>
      </c>
      <c r="J1616" s="17">
        <v>20101904874</v>
      </c>
      <c r="K1616" s="84" t="s">
        <v>73</v>
      </c>
      <c r="L1616" s="16" t="s">
        <v>539</v>
      </c>
      <c r="M1616" s="16" t="s">
        <v>306</v>
      </c>
      <c r="N1616" s="11"/>
      <c r="O1616" s="11"/>
      <c r="P1616" s="16" t="s">
        <v>513</v>
      </c>
      <c r="Q1616" s="16" t="s">
        <v>521</v>
      </c>
      <c r="R1616" s="16" t="s">
        <v>505</v>
      </c>
      <c r="S1616" s="11"/>
    </row>
    <row r="1617" spans="1:19" ht="21.75" hidden="1" customHeight="1" x14ac:dyDescent="0.25">
      <c r="A1617" s="84" t="s">
        <v>2540</v>
      </c>
      <c r="B1617" s="84" t="s">
        <v>2541</v>
      </c>
      <c r="C1617" s="18">
        <v>46149</v>
      </c>
      <c r="D1617" s="21">
        <v>18</v>
      </c>
      <c r="E1617" s="19">
        <v>2</v>
      </c>
      <c r="F1617" s="16" t="s">
        <v>85</v>
      </c>
      <c r="G1617" s="16" t="s">
        <v>90</v>
      </c>
      <c r="H1617" s="11" t="s">
        <v>99</v>
      </c>
      <c r="I1617" s="16" t="s">
        <v>578</v>
      </c>
      <c r="J1617" s="17">
        <v>20101904874</v>
      </c>
      <c r="K1617" s="84" t="s">
        <v>73</v>
      </c>
      <c r="L1617" s="16" t="s">
        <v>540</v>
      </c>
      <c r="M1617" s="16" t="s">
        <v>299</v>
      </c>
      <c r="N1617" s="11"/>
      <c r="O1617" s="11"/>
      <c r="P1617" s="16" t="s">
        <v>513</v>
      </c>
      <c r="Q1617" s="16" t="s">
        <v>522</v>
      </c>
      <c r="R1617" s="16" t="s">
        <v>505</v>
      </c>
      <c r="S1617" s="11"/>
    </row>
    <row r="1618" spans="1:19" ht="21.75" hidden="1" customHeight="1" x14ac:dyDescent="0.25">
      <c r="A1618" s="84" t="s">
        <v>2540</v>
      </c>
      <c r="B1618" s="84" t="s">
        <v>2541</v>
      </c>
      <c r="C1618" s="18">
        <v>46149</v>
      </c>
      <c r="D1618" s="21">
        <v>12</v>
      </c>
      <c r="E1618" s="19">
        <v>1</v>
      </c>
      <c r="F1618" s="16" t="s">
        <v>85</v>
      </c>
      <c r="G1618" s="16" t="s">
        <v>90</v>
      </c>
      <c r="H1618" s="11" t="s">
        <v>99</v>
      </c>
      <c r="I1618" s="16" t="s">
        <v>579</v>
      </c>
      <c r="J1618" s="17">
        <v>20101904874</v>
      </c>
      <c r="K1618" s="84" t="s">
        <v>73</v>
      </c>
      <c r="L1618" s="16" t="s">
        <v>541</v>
      </c>
      <c r="M1618" s="16" t="s">
        <v>347</v>
      </c>
      <c r="N1618" s="11"/>
      <c r="O1618" s="11"/>
      <c r="P1618" s="16" t="s">
        <v>514</v>
      </c>
      <c r="Q1618" s="16" t="s">
        <v>523</v>
      </c>
      <c r="R1618" s="16" t="s">
        <v>505</v>
      </c>
      <c r="S1618" s="11"/>
    </row>
    <row r="1619" spans="1:19" ht="21.75" hidden="1" customHeight="1" x14ac:dyDescent="0.25">
      <c r="A1619" s="84" t="s">
        <v>2540</v>
      </c>
      <c r="B1619" s="84" t="s">
        <v>2541</v>
      </c>
      <c r="C1619" s="18">
        <v>46149</v>
      </c>
      <c r="D1619" s="21">
        <v>20</v>
      </c>
      <c r="E1619" s="19">
        <v>2</v>
      </c>
      <c r="F1619" s="16" t="s">
        <v>85</v>
      </c>
      <c r="G1619" s="16" t="s">
        <v>90</v>
      </c>
      <c r="H1619" s="16" t="s">
        <v>76</v>
      </c>
      <c r="I1619" s="16" t="s">
        <v>580</v>
      </c>
      <c r="J1619" s="17">
        <v>20101904874</v>
      </c>
      <c r="K1619" s="84" t="s">
        <v>73</v>
      </c>
      <c r="L1619" s="16" t="s">
        <v>542</v>
      </c>
      <c r="M1619" s="16" t="s">
        <v>299</v>
      </c>
      <c r="N1619" s="11"/>
      <c r="O1619" s="11"/>
      <c r="P1619" s="16" t="s">
        <v>513</v>
      </c>
      <c r="Q1619" s="16" t="s">
        <v>524</v>
      </c>
      <c r="R1619" s="16" t="s">
        <v>505</v>
      </c>
      <c r="S1619" s="11"/>
    </row>
    <row r="1620" spans="1:19" ht="21.75" hidden="1" customHeight="1" x14ac:dyDescent="0.25">
      <c r="A1620" s="84" t="s">
        <v>2540</v>
      </c>
      <c r="B1620" s="84" t="s">
        <v>2541</v>
      </c>
      <c r="C1620" s="18">
        <v>46149</v>
      </c>
      <c r="D1620" s="21">
        <v>24</v>
      </c>
      <c r="E1620" s="19">
        <v>2</v>
      </c>
      <c r="F1620" s="16" t="s">
        <v>85</v>
      </c>
      <c r="G1620" s="16" t="s">
        <v>90</v>
      </c>
      <c r="H1620" s="11" t="s">
        <v>99</v>
      </c>
      <c r="I1620" s="16" t="s">
        <v>555</v>
      </c>
      <c r="J1620" s="80">
        <v>20101904874</v>
      </c>
      <c r="K1620" s="84" t="s">
        <v>73</v>
      </c>
      <c r="L1620" s="16" t="s">
        <v>543</v>
      </c>
      <c r="M1620" s="16" t="s">
        <v>474</v>
      </c>
      <c r="N1620" s="11"/>
      <c r="O1620" s="11"/>
      <c r="P1620" s="16" t="s">
        <v>513</v>
      </c>
      <c r="Q1620" s="16" t="s">
        <v>525</v>
      </c>
      <c r="R1620" s="16" t="s">
        <v>505</v>
      </c>
      <c r="S1620" s="11"/>
    </row>
    <row r="1621" spans="1:19" ht="21.75" hidden="1" customHeight="1" x14ac:dyDescent="0.25">
      <c r="A1621" s="84" t="s">
        <v>2542</v>
      </c>
      <c r="B1621" s="84" t="s">
        <v>2543</v>
      </c>
      <c r="C1621" s="18">
        <v>46149</v>
      </c>
      <c r="D1621" s="21">
        <v>12</v>
      </c>
      <c r="E1621" s="19">
        <v>1</v>
      </c>
      <c r="F1621" s="16" t="s">
        <v>85</v>
      </c>
      <c r="G1621" s="16" t="s">
        <v>90</v>
      </c>
      <c r="H1621" s="16" t="s">
        <v>99</v>
      </c>
      <c r="I1621" s="16" t="s">
        <v>2222</v>
      </c>
      <c r="J1621" s="17">
        <v>20101904874</v>
      </c>
      <c r="K1621" s="84" t="s">
        <v>73</v>
      </c>
      <c r="L1621" s="16" t="s">
        <v>1373</v>
      </c>
      <c r="M1621" s="16" t="s">
        <v>299</v>
      </c>
      <c r="N1621" s="11"/>
      <c r="O1621" s="11"/>
      <c r="P1621" s="16" t="s">
        <v>513</v>
      </c>
      <c r="Q1621" s="16" t="s">
        <v>1369</v>
      </c>
      <c r="R1621" s="16" t="s">
        <v>505</v>
      </c>
      <c r="S1621" s="11"/>
    </row>
    <row r="1622" spans="1:19" ht="21.75" hidden="1" customHeight="1" x14ac:dyDescent="0.25">
      <c r="A1622" s="84" t="s">
        <v>2542</v>
      </c>
      <c r="B1622" s="84" t="s">
        <v>2543</v>
      </c>
      <c r="C1622" s="18">
        <v>46149</v>
      </c>
      <c r="D1622" s="21">
        <v>24</v>
      </c>
      <c r="E1622" s="19">
        <v>2</v>
      </c>
      <c r="F1622" s="16" t="s">
        <v>507</v>
      </c>
      <c r="G1622" s="16" t="s">
        <v>510</v>
      </c>
      <c r="H1622" s="16" t="s">
        <v>99</v>
      </c>
      <c r="I1622" s="16" t="s">
        <v>2222</v>
      </c>
      <c r="J1622" s="17">
        <v>20101904874</v>
      </c>
      <c r="K1622" s="84" t="s">
        <v>73</v>
      </c>
      <c r="L1622" s="16" t="s">
        <v>1373</v>
      </c>
      <c r="M1622" s="16" t="s">
        <v>299</v>
      </c>
      <c r="N1622" s="11"/>
      <c r="O1622" s="11"/>
      <c r="P1622" s="16" t="s">
        <v>513</v>
      </c>
      <c r="Q1622" s="16" t="s">
        <v>1369</v>
      </c>
      <c r="R1622" s="16" t="s">
        <v>505</v>
      </c>
      <c r="S1622" s="11"/>
    </row>
    <row r="1623" spans="1:19" s="20" customFormat="1" ht="21.75" hidden="1" customHeight="1" x14ac:dyDescent="0.2">
      <c r="A1623" s="84" t="s">
        <v>2542</v>
      </c>
      <c r="B1623" s="84" t="s">
        <v>2543</v>
      </c>
      <c r="C1623" s="18">
        <v>46149</v>
      </c>
      <c r="D1623" s="21">
        <v>24</v>
      </c>
      <c r="E1623" s="19">
        <v>2</v>
      </c>
      <c r="F1623" s="16" t="s">
        <v>85</v>
      </c>
      <c r="G1623" s="16" t="s">
        <v>90</v>
      </c>
      <c r="H1623" s="11" t="s">
        <v>99</v>
      </c>
      <c r="I1623" s="16" t="s">
        <v>556</v>
      </c>
      <c r="J1623" s="80">
        <v>20101904874</v>
      </c>
      <c r="K1623" s="84" t="s">
        <v>73</v>
      </c>
      <c r="L1623" s="16" t="s">
        <v>544</v>
      </c>
      <c r="M1623" s="16" t="s">
        <v>474</v>
      </c>
      <c r="N1623" s="11"/>
      <c r="O1623" s="11"/>
      <c r="P1623" s="16" t="s">
        <v>513</v>
      </c>
      <c r="Q1623" s="16" t="s">
        <v>526</v>
      </c>
      <c r="R1623" s="16" t="s">
        <v>505</v>
      </c>
      <c r="S1623" s="11"/>
    </row>
    <row r="1624" spans="1:19" s="20" customFormat="1" ht="21.75" hidden="1" customHeight="1" x14ac:dyDescent="0.2">
      <c r="A1624" s="84" t="s">
        <v>2542</v>
      </c>
      <c r="B1624" s="84" t="s">
        <v>2543</v>
      </c>
      <c r="C1624" s="18">
        <v>46149</v>
      </c>
      <c r="D1624" s="21">
        <v>24</v>
      </c>
      <c r="E1624" s="19">
        <v>2</v>
      </c>
      <c r="F1624" s="16" t="s">
        <v>507</v>
      </c>
      <c r="G1624" s="16" t="s">
        <v>510</v>
      </c>
      <c r="H1624" s="11" t="s">
        <v>99</v>
      </c>
      <c r="I1624" s="16" t="s">
        <v>556</v>
      </c>
      <c r="J1624" s="80">
        <v>20101904874</v>
      </c>
      <c r="K1624" s="84" t="s">
        <v>73</v>
      </c>
      <c r="L1624" s="16" t="s">
        <v>544</v>
      </c>
      <c r="M1624" s="16" t="s">
        <v>474</v>
      </c>
      <c r="N1624" s="11"/>
      <c r="O1624" s="11"/>
      <c r="P1624" s="16" t="s">
        <v>513</v>
      </c>
      <c r="Q1624" s="16" t="s">
        <v>526</v>
      </c>
      <c r="R1624" s="16" t="s">
        <v>505</v>
      </c>
      <c r="S1624" s="11"/>
    </row>
    <row r="1625" spans="1:19" ht="21.75" hidden="1" customHeight="1" x14ac:dyDescent="0.25">
      <c r="A1625" s="84" t="s">
        <v>2542</v>
      </c>
      <c r="B1625" s="84" t="s">
        <v>2543</v>
      </c>
      <c r="C1625" s="18">
        <v>46149</v>
      </c>
      <c r="D1625" s="21">
        <v>22</v>
      </c>
      <c r="E1625" s="19">
        <v>2</v>
      </c>
      <c r="F1625" s="16" t="s">
        <v>85</v>
      </c>
      <c r="G1625" s="16" t="s">
        <v>90</v>
      </c>
      <c r="H1625" s="11" t="s">
        <v>99</v>
      </c>
      <c r="I1625" s="16" t="s">
        <v>581</v>
      </c>
      <c r="J1625" s="17">
        <v>20101904874</v>
      </c>
      <c r="K1625" s="84" t="s">
        <v>73</v>
      </c>
      <c r="L1625" s="16" t="s">
        <v>545</v>
      </c>
      <c r="M1625" s="16" t="s">
        <v>299</v>
      </c>
      <c r="N1625" s="11"/>
      <c r="O1625" s="11"/>
      <c r="P1625" s="16" t="s">
        <v>513</v>
      </c>
      <c r="Q1625" s="16" t="s">
        <v>527</v>
      </c>
      <c r="R1625" s="16" t="s">
        <v>505</v>
      </c>
      <c r="S1625" s="11"/>
    </row>
    <row r="1626" spans="1:19" s="20" customFormat="1" ht="21.75" hidden="1" customHeight="1" x14ac:dyDescent="0.2">
      <c r="A1626" s="84" t="s">
        <v>2542</v>
      </c>
      <c r="B1626" s="84" t="s">
        <v>2543</v>
      </c>
      <c r="C1626" s="18">
        <v>46149</v>
      </c>
      <c r="D1626" s="21">
        <v>36</v>
      </c>
      <c r="E1626" s="19">
        <v>3</v>
      </c>
      <c r="F1626" s="16" t="s">
        <v>85</v>
      </c>
      <c r="G1626" s="16" t="s">
        <v>90</v>
      </c>
      <c r="H1626" s="11" t="s">
        <v>99</v>
      </c>
      <c r="I1626" s="16" t="s">
        <v>582</v>
      </c>
      <c r="J1626" s="17">
        <v>20101904874</v>
      </c>
      <c r="K1626" s="84" t="s">
        <v>73</v>
      </c>
      <c r="L1626" s="16" t="s">
        <v>546</v>
      </c>
      <c r="M1626" s="16" t="s">
        <v>306</v>
      </c>
      <c r="N1626" s="11"/>
      <c r="O1626" s="11"/>
      <c r="P1626" s="16" t="s">
        <v>513</v>
      </c>
      <c r="Q1626" s="16" t="s">
        <v>528</v>
      </c>
      <c r="R1626" s="16" t="s">
        <v>505</v>
      </c>
      <c r="S1626" s="11"/>
    </row>
    <row r="1627" spans="1:19" s="20" customFormat="1" ht="21.75" hidden="1" customHeight="1" x14ac:dyDescent="0.2">
      <c r="A1627" s="84" t="s">
        <v>2542</v>
      </c>
      <c r="B1627" s="84" t="s">
        <v>2543</v>
      </c>
      <c r="C1627" s="18">
        <v>46149</v>
      </c>
      <c r="D1627" s="21">
        <v>48</v>
      </c>
      <c r="E1627" s="19">
        <v>4</v>
      </c>
      <c r="F1627" s="16" t="s">
        <v>507</v>
      </c>
      <c r="G1627" s="16" t="s">
        <v>510</v>
      </c>
      <c r="H1627" s="11" t="s">
        <v>99</v>
      </c>
      <c r="I1627" s="16" t="s">
        <v>557</v>
      </c>
      <c r="J1627" s="80">
        <v>20101904874</v>
      </c>
      <c r="K1627" s="84" t="s">
        <v>73</v>
      </c>
      <c r="L1627" s="16" t="s">
        <v>547</v>
      </c>
      <c r="M1627" s="16" t="s">
        <v>474</v>
      </c>
      <c r="N1627" s="11"/>
      <c r="O1627" s="11"/>
      <c r="P1627" s="16" t="s">
        <v>513</v>
      </c>
      <c r="Q1627" s="16" t="s">
        <v>529</v>
      </c>
      <c r="R1627" s="16" t="s">
        <v>505</v>
      </c>
      <c r="S1627" s="11"/>
    </row>
    <row r="1628" spans="1:19" s="20" customFormat="1" ht="21.75" hidden="1" customHeight="1" x14ac:dyDescent="0.2">
      <c r="A1628" s="84" t="s">
        <v>2542</v>
      </c>
      <c r="B1628" s="84" t="s">
        <v>2543</v>
      </c>
      <c r="C1628" s="18">
        <v>46149</v>
      </c>
      <c r="D1628" s="21">
        <v>12</v>
      </c>
      <c r="E1628" s="19">
        <v>1</v>
      </c>
      <c r="F1628" s="16" t="s">
        <v>2544</v>
      </c>
      <c r="G1628" s="16" t="s">
        <v>2545</v>
      </c>
      <c r="H1628" s="11" t="s">
        <v>99</v>
      </c>
      <c r="I1628" s="16" t="s">
        <v>583</v>
      </c>
      <c r="J1628" s="17">
        <v>20101904874</v>
      </c>
      <c r="K1628" s="84" t="s">
        <v>73</v>
      </c>
      <c r="L1628" s="16" t="s">
        <v>548</v>
      </c>
      <c r="M1628" s="16" t="s">
        <v>312</v>
      </c>
      <c r="N1628" s="11"/>
      <c r="O1628" s="11"/>
      <c r="P1628" s="16" t="s">
        <v>514</v>
      </c>
      <c r="Q1628" s="16" t="s">
        <v>530</v>
      </c>
      <c r="R1628" s="16" t="s">
        <v>505</v>
      </c>
      <c r="S1628" s="11"/>
    </row>
    <row r="1629" spans="1:19" s="20" customFormat="1" ht="21.75" hidden="1" customHeight="1" x14ac:dyDescent="0.2">
      <c r="A1629" s="84" t="s">
        <v>2542</v>
      </c>
      <c r="B1629" s="84" t="s">
        <v>2543</v>
      </c>
      <c r="C1629" s="18">
        <v>46149</v>
      </c>
      <c r="D1629" s="21">
        <v>36</v>
      </c>
      <c r="E1629" s="19">
        <v>3</v>
      </c>
      <c r="F1629" s="16" t="s">
        <v>85</v>
      </c>
      <c r="G1629" s="16" t="s">
        <v>90</v>
      </c>
      <c r="H1629" s="11" t="s">
        <v>99</v>
      </c>
      <c r="I1629" s="16" t="s">
        <v>583</v>
      </c>
      <c r="J1629" s="17">
        <v>20101904874</v>
      </c>
      <c r="K1629" s="84" t="s">
        <v>73</v>
      </c>
      <c r="L1629" s="16" t="s">
        <v>548</v>
      </c>
      <c r="M1629" s="16" t="s">
        <v>312</v>
      </c>
      <c r="N1629" s="11"/>
      <c r="O1629" s="11"/>
      <c r="P1629" s="16" t="s">
        <v>514</v>
      </c>
      <c r="Q1629" s="16" t="s">
        <v>530</v>
      </c>
      <c r="R1629" s="16" t="s">
        <v>505</v>
      </c>
      <c r="S1629" s="11"/>
    </row>
    <row r="1630" spans="1:19" s="20" customFormat="1" ht="21.75" hidden="1" customHeight="1" x14ac:dyDescent="0.2">
      <c r="A1630" s="84" t="s">
        <v>2542</v>
      </c>
      <c r="B1630" s="84" t="s">
        <v>2543</v>
      </c>
      <c r="C1630" s="18">
        <v>46149</v>
      </c>
      <c r="D1630" s="21">
        <v>24</v>
      </c>
      <c r="E1630" s="19">
        <v>2</v>
      </c>
      <c r="F1630" s="16" t="s">
        <v>507</v>
      </c>
      <c r="G1630" s="16" t="s">
        <v>510</v>
      </c>
      <c r="H1630" s="11" t="s">
        <v>99</v>
      </c>
      <c r="I1630" s="16" t="s">
        <v>583</v>
      </c>
      <c r="J1630" s="17">
        <v>20101904874</v>
      </c>
      <c r="K1630" s="84" t="s">
        <v>73</v>
      </c>
      <c r="L1630" s="16" t="s">
        <v>548</v>
      </c>
      <c r="M1630" s="16" t="s">
        <v>312</v>
      </c>
      <c r="N1630" s="11"/>
      <c r="O1630" s="11"/>
      <c r="P1630" s="16" t="s">
        <v>514</v>
      </c>
      <c r="Q1630" s="16" t="s">
        <v>530</v>
      </c>
      <c r="R1630" s="16" t="s">
        <v>505</v>
      </c>
      <c r="S1630" s="11"/>
    </row>
    <row r="1631" spans="1:19" s="20" customFormat="1" ht="21.75" hidden="1" customHeight="1" x14ac:dyDescent="0.2">
      <c r="A1631" s="84" t="s">
        <v>2542</v>
      </c>
      <c r="B1631" s="84" t="s">
        <v>2543</v>
      </c>
      <c r="C1631" s="18">
        <v>46149</v>
      </c>
      <c r="D1631" s="21">
        <v>12</v>
      </c>
      <c r="E1631" s="19">
        <v>1</v>
      </c>
      <c r="F1631" s="16" t="s">
        <v>507</v>
      </c>
      <c r="G1631" s="16" t="s">
        <v>510</v>
      </c>
      <c r="H1631" s="16" t="s">
        <v>99</v>
      </c>
      <c r="I1631" s="16" t="s">
        <v>1897</v>
      </c>
      <c r="J1631" s="17">
        <v>20101904874</v>
      </c>
      <c r="K1631" s="84" t="s">
        <v>73</v>
      </c>
      <c r="L1631" s="16" t="s">
        <v>1374</v>
      </c>
      <c r="M1631" s="16" t="s">
        <v>286</v>
      </c>
      <c r="N1631" s="11"/>
      <c r="O1631" s="11"/>
      <c r="P1631" s="16" t="s">
        <v>514</v>
      </c>
      <c r="Q1631" s="16" t="s">
        <v>1370</v>
      </c>
      <c r="R1631" s="16" t="s">
        <v>505</v>
      </c>
      <c r="S1631" s="11"/>
    </row>
    <row r="1632" spans="1:19" s="20" customFormat="1" ht="21.75" hidden="1" customHeight="1" x14ac:dyDescent="0.2">
      <c r="A1632" s="84" t="s">
        <v>2542</v>
      </c>
      <c r="B1632" s="84" t="s">
        <v>2543</v>
      </c>
      <c r="C1632" s="18">
        <v>46149</v>
      </c>
      <c r="D1632" s="21">
        <v>24</v>
      </c>
      <c r="E1632" s="19">
        <v>2</v>
      </c>
      <c r="F1632" s="16" t="s">
        <v>85</v>
      </c>
      <c r="G1632" s="16" t="s">
        <v>90</v>
      </c>
      <c r="H1632" s="11" t="s">
        <v>99</v>
      </c>
      <c r="I1632" s="16" t="s">
        <v>558</v>
      </c>
      <c r="J1632" s="80">
        <v>20101904874</v>
      </c>
      <c r="K1632" s="84" t="s">
        <v>73</v>
      </c>
      <c r="L1632" s="16" t="s">
        <v>549</v>
      </c>
      <c r="M1632" s="16" t="s">
        <v>533</v>
      </c>
      <c r="N1632" s="11"/>
      <c r="O1632" s="11"/>
      <c r="P1632" s="16" t="s">
        <v>515</v>
      </c>
      <c r="Q1632" s="16" t="s">
        <v>531</v>
      </c>
      <c r="R1632" s="16" t="s">
        <v>505</v>
      </c>
      <c r="S1632" s="11"/>
    </row>
    <row r="1633" spans="1:19" s="20" customFormat="1" ht="21.75" hidden="1" customHeight="1" x14ac:dyDescent="0.2">
      <c r="A1633" s="84" t="s">
        <v>2542</v>
      </c>
      <c r="B1633" s="84" t="s">
        <v>2543</v>
      </c>
      <c r="C1633" s="18">
        <v>46149</v>
      </c>
      <c r="D1633" s="21">
        <v>12</v>
      </c>
      <c r="E1633" s="19">
        <v>1</v>
      </c>
      <c r="F1633" s="16" t="s">
        <v>507</v>
      </c>
      <c r="G1633" s="16" t="s">
        <v>510</v>
      </c>
      <c r="H1633" s="11" t="s">
        <v>99</v>
      </c>
      <c r="I1633" s="16" t="s">
        <v>558</v>
      </c>
      <c r="J1633" s="80">
        <v>20101904874</v>
      </c>
      <c r="K1633" s="84" t="s">
        <v>73</v>
      </c>
      <c r="L1633" s="16" t="s">
        <v>549</v>
      </c>
      <c r="M1633" s="16" t="s">
        <v>533</v>
      </c>
      <c r="N1633" s="11"/>
      <c r="O1633" s="11"/>
      <c r="P1633" s="16" t="s">
        <v>515</v>
      </c>
      <c r="Q1633" s="16" t="s">
        <v>531</v>
      </c>
      <c r="R1633" s="16" t="s">
        <v>505</v>
      </c>
      <c r="S1633" s="11"/>
    </row>
    <row r="1634" spans="1:19" s="20" customFormat="1" ht="21.75" hidden="1" customHeight="1" x14ac:dyDescent="0.2">
      <c r="A1634" s="84" t="s">
        <v>2542</v>
      </c>
      <c r="B1634" s="84" t="s">
        <v>2543</v>
      </c>
      <c r="C1634" s="18">
        <v>46149</v>
      </c>
      <c r="D1634" s="21">
        <v>20</v>
      </c>
      <c r="E1634" s="19">
        <v>2</v>
      </c>
      <c r="F1634" s="16" t="s">
        <v>85</v>
      </c>
      <c r="G1634" s="16" t="s">
        <v>90</v>
      </c>
      <c r="H1634" s="11" t="s">
        <v>99</v>
      </c>
      <c r="I1634" s="16" t="s">
        <v>559</v>
      </c>
      <c r="J1634" s="80">
        <v>20101904874</v>
      </c>
      <c r="K1634" s="84" t="s">
        <v>73</v>
      </c>
      <c r="L1634" s="16" t="s">
        <v>550</v>
      </c>
      <c r="M1634" s="16" t="s">
        <v>533</v>
      </c>
      <c r="N1634" s="11"/>
      <c r="O1634" s="11"/>
      <c r="P1634" s="16" t="s">
        <v>515</v>
      </c>
      <c r="Q1634" s="16" t="s">
        <v>532</v>
      </c>
      <c r="R1634" s="16" t="s">
        <v>505</v>
      </c>
      <c r="S1634" s="11"/>
    </row>
    <row r="1635" spans="1:19" ht="21.75" hidden="1" customHeight="1" x14ac:dyDescent="0.25">
      <c r="A1635" s="16" t="s">
        <v>2551</v>
      </c>
      <c r="B1635" s="17"/>
      <c r="C1635" s="18">
        <v>46149</v>
      </c>
      <c r="D1635" s="21">
        <v>120</v>
      </c>
      <c r="E1635" s="19">
        <v>5</v>
      </c>
      <c r="F1635" s="16" t="s">
        <v>2302</v>
      </c>
      <c r="G1635" s="16" t="s">
        <v>2314</v>
      </c>
      <c r="H1635" s="11" t="s">
        <v>99</v>
      </c>
      <c r="I1635" s="16" t="s">
        <v>2546</v>
      </c>
      <c r="J1635" s="17">
        <v>20518738314</v>
      </c>
      <c r="K1635" s="17" t="s">
        <v>2556</v>
      </c>
      <c r="L1635" s="16" t="s">
        <v>2547</v>
      </c>
      <c r="M1635" s="16" t="s">
        <v>299</v>
      </c>
      <c r="N1635" s="16"/>
      <c r="O1635" s="16"/>
      <c r="P1635" s="16" t="s">
        <v>2548</v>
      </c>
      <c r="Q1635" s="16" t="s">
        <v>2555</v>
      </c>
      <c r="R1635" s="16" t="s">
        <v>395</v>
      </c>
      <c r="S1635" s="11"/>
    </row>
    <row r="1636" spans="1:19" ht="21.75" hidden="1" customHeight="1" x14ac:dyDescent="0.25">
      <c r="A1636" s="16" t="s">
        <v>2550</v>
      </c>
      <c r="B1636" s="16"/>
      <c r="C1636" s="18">
        <v>46149</v>
      </c>
      <c r="D1636" s="71">
        <v>240</v>
      </c>
      <c r="E1636" s="19">
        <v>5</v>
      </c>
      <c r="F1636" s="72" t="s">
        <v>48</v>
      </c>
      <c r="G1636" s="72" t="s">
        <v>2549</v>
      </c>
      <c r="H1636" s="16" t="s">
        <v>1650</v>
      </c>
      <c r="I1636" s="72" t="s">
        <v>846</v>
      </c>
      <c r="J1636" s="72" t="s">
        <v>850</v>
      </c>
      <c r="K1636" s="14">
        <v>967715640</v>
      </c>
      <c r="L1636" s="11" t="s">
        <v>879</v>
      </c>
      <c r="M1636" s="11" t="s">
        <v>476</v>
      </c>
      <c r="N1636" s="11"/>
      <c r="O1636" s="11"/>
      <c r="P1636" s="11" t="s">
        <v>889</v>
      </c>
      <c r="Q1636" s="11" t="s">
        <v>888</v>
      </c>
      <c r="R1636" s="11" t="s">
        <v>933</v>
      </c>
      <c r="S1636" s="11"/>
    </row>
    <row r="1637" spans="1:19" ht="21.75" hidden="1" customHeight="1" x14ac:dyDescent="0.25">
      <c r="A1637" s="16" t="s">
        <v>2552</v>
      </c>
      <c r="B1637" s="16" t="s">
        <v>73</v>
      </c>
      <c r="C1637" s="18">
        <v>46149</v>
      </c>
      <c r="D1637" s="21">
        <v>12</v>
      </c>
      <c r="E1637" s="19">
        <v>1</v>
      </c>
      <c r="F1637" s="16" t="s">
        <v>567</v>
      </c>
      <c r="G1637" s="16" t="s">
        <v>568</v>
      </c>
      <c r="H1637" s="16" t="s">
        <v>76</v>
      </c>
      <c r="I1637" s="16" t="s">
        <v>569</v>
      </c>
      <c r="J1637" s="17">
        <v>20509076945</v>
      </c>
      <c r="K1637" s="17">
        <v>987311326</v>
      </c>
      <c r="L1637" s="16" t="s">
        <v>1580</v>
      </c>
      <c r="M1637" s="16" t="s">
        <v>474</v>
      </c>
      <c r="N1637" s="11"/>
      <c r="O1637" s="11"/>
      <c r="P1637" s="16" t="s">
        <v>572</v>
      </c>
      <c r="Q1637" s="11" t="s">
        <v>2554</v>
      </c>
      <c r="R1637" s="16" t="s">
        <v>144</v>
      </c>
      <c r="S1637" s="11"/>
    </row>
    <row r="1638" spans="1:19" ht="21.75" hidden="1" customHeight="1" x14ac:dyDescent="0.25">
      <c r="A1638" s="16" t="s">
        <v>2552</v>
      </c>
      <c r="B1638" s="16" t="s">
        <v>73</v>
      </c>
      <c r="C1638" s="18">
        <v>46149</v>
      </c>
      <c r="D1638" s="21">
        <v>18</v>
      </c>
      <c r="E1638" s="19">
        <v>2</v>
      </c>
      <c r="F1638" s="16" t="s">
        <v>2553</v>
      </c>
      <c r="G1638" s="16" t="s">
        <v>128</v>
      </c>
      <c r="H1638" s="16" t="s">
        <v>76</v>
      </c>
      <c r="I1638" s="16" t="s">
        <v>569</v>
      </c>
      <c r="J1638" s="17">
        <v>20509076945</v>
      </c>
      <c r="K1638" s="17">
        <v>987311326</v>
      </c>
      <c r="L1638" s="16" t="s">
        <v>1580</v>
      </c>
      <c r="M1638" s="16" t="s">
        <v>474</v>
      </c>
      <c r="N1638" s="11"/>
      <c r="O1638" s="11"/>
      <c r="P1638" s="16" t="s">
        <v>572</v>
      </c>
      <c r="Q1638" s="11" t="s">
        <v>2554</v>
      </c>
      <c r="R1638" s="16" t="s">
        <v>144</v>
      </c>
      <c r="S1638" s="11"/>
    </row>
    <row r="1639" spans="1:19" ht="21.75" hidden="1" customHeight="1" x14ac:dyDescent="0.25">
      <c r="A1639" s="56" t="s">
        <v>2557</v>
      </c>
      <c r="B1639" s="75">
        <v>4512773763</v>
      </c>
      <c r="C1639" s="52">
        <v>46150</v>
      </c>
      <c r="D1639" s="54">
        <v>4</v>
      </c>
      <c r="E1639" s="54">
        <v>1</v>
      </c>
      <c r="F1639" s="56" t="s">
        <v>30</v>
      </c>
      <c r="G1639" s="56" t="s">
        <v>122</v>
      </c>
      <c r="H1639" s="84" t="s">
        <v>76</v>
      </c>
      <c r="I1639" s="56" t="s">
        <v>284</v>
      </c>
      <c r="J1639" s="75">
        <v>20109072177</v>
      </c>
      <c r="K1639" s="56"/>
      <c r="L1639" s="56" t="s">
        <v>2356</v>
      </c>
      <c r="M1639" s="56" t="s">
        <v>2364</v>
      </c>
      <c r="N1639" s="56"/>
      <c r="O1639" s="56"/>
      <c r="P1639" s="56" t="s">
        <v>631</v>
      </c>
      <c r="Q1639" s="56" t="s">
        <v>638</v>
      </c>
      <c r="R1639" s="84" t="s">
        <v>289</v>
      </c>
      <c r="S1639" s="56"/>
    </row>
    <row r="1640" spans="1:19" ht="21.75" hidden="1" customHeight="1" x14ac:dyDescent="0.25">
      <c r="A1640" s="56" t="s">
        <v>2558</v>
      </c>
      <c r="B1640" s="75">
        <v>4512773777</v>
      </c>
      <c r="C1640" s="52">
        <v>46150</v>
      </c>
      <c r="D1640" s="54">
        <v>4</v>
      </c>
      <c r="E1640" s="54">
        <v>1</v>
      </c>
      <c r="F1640" s="56" t="s">
        <v>16</v>
      </c>
      <c r="G1640" s="56" t="s">
        <v>89</v>
      </c>
      <c r="H1640" s="84" t="s">
        <v>76</v>
      </c>
      <c r="I1640" s="56" t="s">
        <v>284</v>
      </c>
      <c r="J1640" s="75">
        <v>20109072177</v>
      </c>
      <c r="K1640" s="56"/>
      <c r="L1640" s="56" t="s">
        <v>2357</v>
      </c>
      <c r="M1640" s="56" t="s">
        <v>2364</v>
      </c>
      <c r="N1640" s="56"/>
      <c r="O1640" s="56"/>
      <c r="P1640" s="137" t="s">
        <v>632</v>
      </c>
      <c r="Q1640" s="56" t="s">
        <v>639</v>
      </c>
      <c r="R1640" s="84" t="s">
        <v>289</v>
      </c>
      <c r="S1640" s="56"/>
    </row>
    <row r="1641" spans="1:19" ht="21.75" hidden="1" customHeight="1" x14ac:dyDescent="0.25">
      <c r="A1641" s="56" t="s">
        <v>2559</v>
      </c>
      <c r="B1641" s="75">
        <v>4512773947</v>
      </c>
      <c r="C1641" s="52">
        <v>46150</v>
      </c>
      <c r="D1641" s="54">
        <v>6</v>
      </c>
      <c r="E1641" s="54">
        <v>3</v>
      </c>
      <c r="F1641" s="56" t="s">
        <v>2370</v>
      </c>
      <c r="G1641" s="56" t="s">
        <v>78</v>
      </c>
      <c r="H1641" s="84" t="s">
        <v>76</v>
      </c>
      <c r="I1641" s="56" t="s">
        <v>284</v>
      </c>
      <c r="J1641" s="75">
        <v>20109072177</v>
      </c>
      <c r="K1641" s="56"/>
      <c r="L1641" s="56" t="s">
        <v>2347</v>
      </c>
      <c r="M1641" s="56" t="s">
        <v>2362</v>
      </c>
      <c r="N1641" s="56"/>
      <c r="O1641" s="56"/>
      <c r="P1641" s="56" t="s">
        <v>631</v>
      </c>
      <c r="Q1641" s="56" t="s">
        <v>644</v>
      </c>
      <c r="R1641" s="84" t="s">
        <v>289</v>
      </c>
      <c r="S1641" s="56"/>
    </row>
    <row r="1642" spans="1:19" ht="21.75" hidden="1" customHeight="1" x14ac:dyDescent="0.25">
      <c r="A1642" s="56" t="s">
        <v>2560</v>
      </c>
      <c r="B1642" s="75">
        <v>4512773869</v>
      </c>
      <c r="C1642" s="52">
        <v>46150</v>
      </c>
      <c r="D1642" s="54">
        <v>4</v>
      </c>
      <c r="E1642" s="54">
        <v>1</v>
      </c>
      <c r="F1642" s="56" t="s">
        <v>602</v>
      </c>
      <c r="G1642" s="56" t="s">
        <v>606</v>
      </c>
      <c r="H1642" s="84" t="s">
        <v>76</v>
      </c>
      <c r="I1642" s="56" t="s">
        <v>284</v>
      </c>
      <c r="J1642" s="75">
        <v>20109072177</v>
      </c>
      <c r="K1642" s="56"/>
      <c r="L1642" s="56" t="s">
        <v>2360</v>
      </c>
      <c r="M1642" s="56" t="s">
        <v>2362</v>
      </c>
      <c r="N1642" s="56"/>
      <c r="O1642" s="56"/>
      <c r="P1642" s="56" t="s">
        <v>256</v>
      </c>
      <c r="Q1642" s="56" t="s">
        <v>1048</v>
      </c>
      <c r="R1642" s="84" t="s">
        <v>289</v>
      </c>
      <c r="S1642" s="56"/>
    </row>
    <row r="1643" spans="1:19" ht="21.75" hidden="1" customHeight="1" x14ac:dyDescent="0.25">
      <c r="A1643" s="56" t="s">
        <v>2560</v>
      </c>
      <c r="B1643" s="75">
        <v>4512773869</v>
      </c>
      <c r="C1643" s="52">
        <v>46150</v>
      </c>
      <c r="D1643" s="54">
        <v>4</v>
      </c>
      <c r="E1643" s="54">
        <v>1</v>
      </c>
      <c r="F1643" s="56" t="s">
        <v>15</v>
      </c>
      <c r="G1643" s="56" t="s">
        <v>96</v>
      </c>
      <c r="H1643" s="84" t="s">
        <v>76</v>
      </c>
      <c r="I1643" s="56" t="s">
        <v>284</v>
      </c>
      <c r="J1643" s="75">
        <v>20109072177</v>
      </c>
      <c r="K1643" s="56"/>
      <c r="L1643" s="56" t="s">
        <v>2360</v>
      </c>
      <c r="M1643" s="56" t="s">
        <v>2362</v>
      </c>
      <c r="N1643" s="56"/>
      <c r="O1643" s="56"/>
      <c r="P1643" s="56" t="s">
        <v>256</v>
      </c>
      <c r="Q1643" s="56" t="s">
        <v>1048</v>
      </c>
      <c r="R1643" s="84" t="s">
        <v>289</v>
      </c>
      <c r="S1643" s="56"/>
    </row>
    <row r="1644" spans="1:19" ht="21.75" hidden="1" customHeight="1" x14ac:dyDescent="0.25">
      <c r="A1644" s="56" t="s">
        <v>2561</v>
      </c>
      <c r="B1644" s="75">
        <v>4512773814</v>
      </c>
      <c r="C1644" s="52">
        <v>46150</v>
      </c>
      <c r="D1644" s="54">
        <v>8</v>
      </c>
      <c r="E1644" s="54">
        <v>2</v>
      </c>
      <c r="F1644" s="56" t="s">
        <v>15</v>
      </c>
      <c r="G1644" s="56" t="s">
        <v>96</v>
      </c>
      <c r="H1644" s="84" t="s">
        <v>76</v>
      </c>
      <c r="I1644" s="56" t="s">
        <v>284</v>
      </c>
      <c r="J1644" s="75">
        <v>20109072177</v>
      </c>
      <c r="K1644" s="56"/>
      <c r="L1644" s="56" t="s">
        <v>1015</v>
      </c>
      <c r="M1644" s="56" t="s">
        <v>474</v>
      </c>
      <c r="N1644" s="56"/>
      <c r="O1644" s="56"/>
      <c r="P1644" s="181" t="s">
        <v>635</v>
      </c>
      <c r="Q1644" s="56" t="s">
        <v>641</v>
      </c>
      <c r="R1644" s="84" t="s">
        <v>289</v>
      </c>
      <c r="S1644" s="56"/>
    </row>
    <row r="1645" spans="1:19" ht="21.75" hidden="1" customHeight="1" x14ac:dyDescent="0.25">
      <c r="A1645" s="56" t="s">
        <v>2562</v>
      </c>
      <c r="B1645" s="75">
        <v>4512773960</v>
      </c>
      <c r="C1645" s="52">
        <v>46150</v>
      </c>
      <c r="D1645" s="54">
        <v>2</v>
      </c>
      <c r="E1645" s="54">
        <v>1</v>
      </c>
      <c r="F1645" s="56" t="s">
        <v>327</v>
      </c>
      <c r="G1645" s="56" t="s">
        <v>340</v>
      </c>
      <c r="H1645" s="84" t="s">
        <v>76</v>
      </c>
      <c r="I1645" s="56" t="s">
        <v>284</v>
      </c>
      <c r="J1645" s="75">
        <v>20109072177</v>
      </c>
      <c r="K1645" s="56"/>
      <c r="L1645" s="56" t="s">
        <v>2351</v>
      </c>
      <c r="M1645" s="56" t="s">
        <v>2361</v>
      </c>
      <c r="N1645" s="56"/>
      <c r="O1645" s="56"/>
      <c r="P1645" s="56" t="s">
        <v>255</v>
      </c>
      <c r="Q1645" s="56" t="s">
        <v>1032</v>
      </c>
      <c r="R1645" s="84" t="s">
        <v>289</v>
      </c>
      <c r="S1645" s="56"/>
    </row>
    <row r="1646" spans="1:19" ht="21.75" hidden="1" customHeight="1" x14ac:dyDescent="0.25">
      <c r="A1646" s="56" t="s">
        <v>2563</v>
      </c>
      <c r="B1646" s="124">
        <v>13989871</v>
      </c>
      <c r="C1646" s="199">
        <v>46151</v>
      </c>
      <c r="D1646" s="6">
        <v>36</v>
      </c>
      <c r="E1646" s="6">
        <v>3</v>
      </c>
      <c r="F1646" s="125" t="s">
        <v>19</v>
      </c>
      <c r="G1646" s="124" t="s">
        <v>120</v>
      </c>
      <c r="H1646" s="84" t="s">
        <v>76</v>
      </c>
      <c r="I1646" s="56" t="s">
        <v>134</v>
      </c>
      <c r="J1646" s="17">
        <v>20100070970</v>
      </c>
      <c r="K1646" s="125"/>
      <c r="L1646" s="17" t="s">
        <v>1632</v>
      </c>
      <c r="M1646" s="17" t="s">
        <v>77</v>
      </c>
      <c r="N1646" s="14"/>
      <c r="O1646" s="14"/>
      <c r="P1646" s="17" t="s">
        <v>1912</v>
      </c>
      <c r="Q1646" s="14"/>
      <c r="R1646" s="17" t="s">
        <v>143</v>
      </c>
      <c r="S1646" s="14"/>
    </row>
    <row r="1647" spans="1:19" ht="21.75" hidden="1" customHeight="1" x14ac:dyDescent="0.25">
      <c r="A1647" s="56" t="s">
        <v>2563</v>
      </c>
      <c r="B1647" s="124">
        <v>13989871</v>
      </c>
      <c r="C1647" s="199">
        <v>46151</v>
      </c>
      <c r="D1647" s="6">
        <v>12</v>
      </c>
      <c r="E1647" s="6">
        <v>1</v>
      </c>
      <c r="F1647" s="125" t="s">
        <v>21</v>
      </c>
      <c r="G1647" s="124" t="s">
        <v>115</v>
      </c>
      <c r="H1647" s="84" t="s">
        <v>76</v>
      </c>
      <c r="I1647" s="56" t="s">
        <v>134</v>
      </c>
      <c r="J1647" s="17">
        <v>20100070970</v>
      </c>
      <c r="K1647" s="125"/>
      <c r="L1647" s="17" t="s">
        <v>1632</v>
      </c>
      <c r="M1647" s="17" t="s">
        <v>77</v>
      </c>
      <c r="N1647" s="14"/>
      <c r="O1647" s="14"/>
      <c r="P1647" s="17" t="s">
        <v>1912</v>
      </c>
      <c r="Q1647" s="14"/>
      <c r="R1647" s="17" t="s">
        <v>143</v>
      </c>
      <c r="S1647" s="14"/>
    </row>
    <row r="1648" spans="1:19" ht="21.75" hidden="1" customHeight="1" x14ac:dyDescent="0.25">
      <c r="A1648" s="56" t="s">
        <v>2563</v>
      </c>
      <c r="B1648" s="124">
        <v>13989871</v>
      </c>
      <c r="C1648" s="199">
        <v>46151</v>
      </c>
      <c r="D1648" s="6">
        <v>432</v>
      </c>
      <c r="E1648" s="6">
        <v>9</v>
      </c>
      <c r="F1648" s="125" t="s">
        <v>22</v>
      </c>
      <c r="G1648" s="124" t="s">
        <v>108</v>
      </c>
      <c r="H1648" s="84" t="s">
        <v>76</v>
      </c>
      <c r="I1648" s="56" t="s">
        <v>134</v>
      </c>
      <c r="J1648" s="17">
        <v>20100070970</v>
      </c>
      <c r="K1648" s="125"/>
      <c r="L1648" s="17" t="s">
        <v>1632</v>
      </c>
      <c r="M1648" s="17" t="s">
        <v>77</v>
      </c>
      <c r="N1648" s="14"/>
      <c r="O1648" s="14"/>
      <c r="P1648" s="17" t="s">
        <v>1912</v>
      </c>
      <c r="Q1648" s="14"/>
      <c r="R1648" s="17" t="s">
        <v>143</v>
      </c>
      <c r="S1648" s="14"/>
    </row>
    <row r="1649" spans="1:19" ht="21.75" hidden="1" customHeight="1" x14ac:dyDescent="0.25">
      <c r="A1649" s="56" t="s">
        <v>2563</v>
      </c>
      <c r="B1649" s="124">
        <v>13989871</v>
      </c>
      <c r="C1649" s="199">
        <v>46151</v>
      </c>
      <c r="D1649" s="6">
        <v>228</v>
      </c>
      <c r="E1649" s="6">
        <v>19</v>
      </c>
      <c r="F1649" s="125" t="s">
        <v>23</v>
      </c>
      <c r="G1649" s="124" t="s">
        <v>119</v>
      </c>
      <c r="H1649" s="84" t="s">
        <v>76</v>
      </c>
      <c r="I1649" s="56" t="s">
        <v>134</v>
      </c>
      <c r="J1649" s="17">
        <v>20100070970</v>
      </c>
      <c r="K1649" s="125"/>
      <c r="L1649" s="17" t="s">
        <v>1632</v>
      </c>
      <c r="M1649" s="17" t="s">
        <v>77</v>
      </c>
      <c r="N1649" s="14"/>
      <c r="O1649" s="14"/>
      <c r="P1649" s="17" t="s">
        <v>1912</v>
      </c>
      <c r="Q1649" s="14"/>
      <c r="R1649" s="17" t="s">
        <v>143</v>
      </c>
      <c r="S1649" s="14"/>
    </row>
    <row r="1650" spans="1:19" ht="21.75" hidden="1" customHeight="1" x14ac:dyDescent="0.25">
      <c r="A1650" s="56" t="s">
        <v>2563</v>
      </c>
      <c r="B1650" s="124">
        <v>13989871</v>
      </c>
      <c r="C1650" s="199">
        <v>46151</v>
      </c>
      <c r="D1650" s="6">
        <v>12</v>
      </c>
      <c r="E1650" s="6">
        <v>1</v>
      </c>
      <c r="F1650" s="125" t="s">
        <v>24</v>
      </c>
      <c r="G1650" s="124" t="s">
        <v>112</v>
      </c>
      <c r="H1650" s="84" t="s">
        <v>76</v>
      </c>
      <c r="I1650" s="56" t="s">
        <v>134</v>
      </c>
      <c r="J1650" s="17">
        <v>20100070970</v>
      </c>
      <c r="K1650" s="125"/>
      <c r="L1650" s="17" t="s">
        <v>1632</v>
      </c>
      <c r="M1650" s="17" t="s">
        <v>77</v>
      </c>
      <c r="N1650" s="14"/>
      <c r="O1650" s="14"/>
      <c r="P1650" s="17" t="s">
        <v>1912</v>
      </c>
      <c r="Q1650" s="14"/>
      <c r="R1650" s="17" t="s">
        <v>143</v>
      </c>
      <c r="S1650" s="14"/>
    </row>
    <row r="1651" spans="1:19" ht="21.75" hidden="1" customHeight="1" x14ac:dyDescent="0.25">
      <c r="A1651" s="56" t="s">
        <v>2563</v>
      </c>
      <c r="B1651" s="124">
        <v>13989871</v>
      </c>
      <c r="C1651" s="199">
        <v>46151</v>
      </c>
      <c r="D1651" s="6">
        <v>36</v>
      </c>
      <c r="E1651" s="6">
        <v>3</v>
      </c>
      <c r="F1651" s="125" t="s">
        <v>25</v>
      </c>
      <c r="G1651" s="124" t="s">
        <v>136</v>
      </c>
      <c r="H1651" s="84" t="s">
        <v>76</v>
      </c>
      <c r="I1651" s="56" t="s">
        <v>134</v>
      </c>
      <c r="J1651" s="17">
        <v>20100070970</v>
      </c>
      <c r="K1651" s="125"/>
      <c r="L1651" s="17" t="s">
        <v>1632</v>
      </c>
      <c r="M1651" s="17" t="s">
        <v>77</v>
      </c>
      <c r="N1651" s="14"/>
      <c r="O1651" s="14"/>
      <c r="P1651" s="17" t="s">
        <v>1912</v>
      </c>
      <c r="Q1651" s="14"/>
      <c r="R1651" s="17" t="s">
        <v>143</v>
      </c>
      <c r="S1651" s="14"/>
    </row>
    <row r="1652" spans="1:19" s="20" customFormat="1" ht="21.75" hidden="1" customHeight="1" x14ac:dyDescent="0.2">
      <c r="A1652" s="56" t="s">
        <v>2563</v>
      </c>
      <c r="B1652" s="14">
        <v>13989871</v>
      </c>
      <c r="C1652" s="18">
        <v>46151</v>
      </c>
      <c r="D1652" s="19">
        <v>60</v>
      </c>
      <c r="E1652" s="19">
        <v>10</v>
      </c>
      <c r="F1652" s="11" t="s">
        <v>26</v>
      </c>
      <c r="G1652" s="14" t="s">
        <v>111</v>
      </c>
      <c r="H1652" s="84" t="s">
        <v>76</v>
      </c>
      <c r="I1652" s="56" t="s">
        <v>134</v>
      </c>
      <c r="J1652" s="17">
        <v>20100070970</v>
      </c>
      <c r="K1652" s="11"/>
      <c r="L1652" s="17" t="s">
        <v>1632</v>
      </c>
      <c r="M1652" s="17" t="s">
        <v>77</v>
      </c>
      <c r="N1652" s="14"/>
      <c r="O1652" s="14"/>
      <c r="P1652" s="17" t="s">
        <v>1912</v>
      </c>
      <c r="Q1652" s="14"/>
      <c r="R1652" s="17" t="s">
        <v>143</v>
      </c>
      <c r="S1652" s="14"/>
    </row>
    <row r="1653" spans="1:19" s="20" customFormat="1" ht="21.75" hidden="1" customHeight="1" x14ac:dyDescent="0.2">
      <c r="A1653" s="56" t="s">
        <v>2563</v>
      </c>
      <c r="B1653" s="14">
        <v>13989871</v>
      </c>
      <c r="C1653" s="18">
        <v>46151</v>
      </c>
      <c r="D1653" s="19">
        <v>36</v>
      </c>
      <c r="E1653" s="19">
        <v>3</v>
      </c>
      <c r="F1653" s="11" t="s">
        <v>27</v>
      </c>
      <c r="G1653" s="14" t="s">
        <v>103</v>
      </c>
      <c r="H1653" s="84" t="s">
        <v>76</v>
      </c>
      <c r="I1653" s="56" t="s">
        <v>134</v>
      </c>
      <c r="J1653" s="17">
        <v>20100070970</v>
      </c>
      <c r="K1653" s="11"/>
      <c r="L1653" s="17" t="s">
        <v>1632</v>
      </c>
      <c r="M1653" s="17" t="s">
        <v>77</v>
      </c>
      <c r="N1653" s="14"/>
      <c r="O1653" s="14"/>
      <c r="P1653" s="17" t="s">
        <v>1912</v>
      </c>
      <c r="Q1653" s="14"/>
      <c r="R1653" s="17" t="s">
        <v>143</v>
      </c>
      <c r="S1653" s="14"/>
    </row>
    <row r="1654" spans="1:19" s="20" customFormat="1" ht="21.75" hidden="1" customHeight="1" x14ac:dyDescent="0.2">
      <c r="A1654" s="56" t="s">
        <v>2563</v>
      </c>
      <c r="B1654" s="14">
        <v>13989871</v>
      </c>
      <c r="C1654" s="18">
        <v>46151</v>
      </c>
      <c r="D1654" s="19">
        <v>72</v>
      </c>
      <c r="E1654" s="19">
        <v>3</v>
      </c>
      <c r="F1654" s="11" t="s">
        <v>18</v>
      </c>
      <c r="G1654" s="14" t="s">
        <v>109</v>
      </c>
      <c r="H1654" s="84" t="s">
        <v>76</v>
      </c>
      <c r="I1654" s="56" t="s">
        <v>134</v>
      </c>
      <c r="J1654" s="17">
        <v>20100070970</v>
      </c>
      <c r="K1654" s="11"/>
      <c r="L1654" s="17" t="s">
        <v>1632</v>
      </c>
      <c r="M1654" s="17" t="s">
        <v>77</v>
      </c>
      <c r="N1654" s="14"/>
      <c r="O1654" s="14"/>
      <c r="P1654" s="17" t="s">
        <v>1912</v>
      </c>
      <c r="Q1654" s="14"/>
      <c r="R1654" s="17" t="s">
        <v>143</v>
      </c>
      <c r="S1654" s="14"/>
    </row>
    <row r="1655" spans="1:19" s="20" customFormat="1" ht="21.75" hidden="1" customHeight="1" x14ac:dyDescent="0.2">
      <c r="A1655" s="56" t="s">
        <v>2564</v>
      </c>
      <c r="B1655" s="191"/>
      <c r="C1655" s="18">
        <v>46154</v>
      </c>
      <c r="D1655" s="19">
        <v>2</v>
      </c>
      <c r="E1655" s="205">
        <v>3</v>
      </c>
      <c r="F1655" s="192" t="s">
        <v>910</v>
      </c>
      <c r="G1655" s="192" t="s">
        <v>2421</v>
      </c>
      <c r="H1655" s="11" t="s">
        <v>129</v>
      </c>
      <c r="I1655" s="11" t="s">
        <v>2464</v>
      </c>
      <c r="J1655" s="193">
        <v>20564098826</v>
      </c>
      <c r="K1655" s="14">
        <v>942424234</v>
      </c>
      <c r="L1655" s="11" t="s">
        <v>2471</v>
      </c>
      <c r="M1655" s="11" t="s">
        <v>75</v>
      </c>
      <c r="N1655" s="11"/>
      <c r="O1655" s="11"/>
      <c r="P1655" s="11" t="s">
        <v>2565</v>
      </c>
      <c r="Q1655" s="11" t="s">
        <v>2566</v>
      </c>
      <c r="R1655" s="11" t="s">
        <v>142</v>
      </c>
      <c r="S1655" s="11"/>
    </row>
    <row r="1656" spans="1:19" s="20" customFormat="1" ht="21.75" hidden="1" customHeight="1" x14ac:dyDescent="0.2">
      <c r="A1656" s="56" t="s">
        <v>2564</v>
      </c>
      <c r="B1656" s="191"/>
      <c r="C1656" s="18">
        <v>46154</v>
      </c>
      <c r="D1656" s="19">
        <v>2</v>
      </c>
      <c r="E1656" s="206"/>
      <c r="F1656" s="192" t="s">
        <v>1771</v>
      </c>
      <c r="G1656" s="192" t="s">
        <v>2423</v>
      </c>
      <c r="H1656" s="11" t="s">
        <v>129</v>
      </c>
      <c r="I1656" s="11" t="s">
        <v>2464</v>
      </c>
      <c r="J1656" s="193">
        <v>20564098826</v>
      </c>
      <c r="K1656" s="14">
        <v>942424234</v>
      </c>
      <c r="L1656" s="11" t="s">
        <v>2471</v>
      </c>
      <c r="M1656" s="11" t="s">
        <v>75</v>
      </c>
      <c r="N1656" s="11"/>
      <c r="O1656" s="11"/>
      <c r="P1656" s="11" t="s">
        <v>2565</v>
      </c>
      <c r="Q1656" s="11" t="s">
        <v>2566</v>
      </c>
      <c r="R1656" s="11" t="s">
        <v>142</v>
      </c>
      <c r="S1656" s="11"/>
    </row>
    <row r="1657" spans="1:19" s="20" customFormat="1" ht="21.75" hidden="1" customHeight="1" x14ac:dyDescent="0.2">
      <c r="A1657" s="56" t="s">
        <v>2564</v>
      </c>
      <c r="B1657" s="191"/>
      <c r="C1657" s="18">
        <v>46154</v>
      </c>
      <c r="D1657" s="19">
        <v>2</v>
      </c>
      <c r="E1657" s="206"/>
      <c r="F1657" s="192" t="s">
        <v>1769</v>
      </c>
      <c r="G1657" s="192" t="s">
        <v>2422</v>
      </c>
      <c r="H1657" s="11" t="s">
        <v>129</v>
      </c>
      <c r="I1657" s="11" t="s">
        <v>2464</v>
      </c>
      <c r="J1657" s="193">
        <v>20564098826</v>
      </c>
      <c r="K1657" s="14">
        <v>942424234</v>
      </c>
      <c r="L1657" s="11" t="s">
        <v>2471</v>
      </c>
      <c r="M1657" s="11" t="s">
        <v>75</v>
      </c>
      <c r="N1657" s="11"/>
      <c r="O1657" s="11"/>
      <c r="P1657" s="11" t="s">
        <v>2565</v>
      </c>
      <c r="Q1657" s="11" t="s">
        <v>2566</v>
      </c>
      <c r="R1657" s="11" t="s">
        <v>142</v>
      </c>
      <c r="S1657" s="11"/>
    </row>
    <row r="1658" spans="1:19" s="20" customFormat="1" ht="21.75" hidden="1" customHeight="1" x14ac:dyDescent="0.2">
      <c r="A1658" s="56" t="s">
        <v>2564</v>
      </c>
      <c r="B1658" s="191"/>
      <c r="C1658" s="18">
        <v>46154</v>
      </c>
      <c r="D1658" s="19">
        <v>2</v>
      </c>
      <c r="E1658" s="206"/>
      <c r="F1658" s="192" t="s">
        <v>1770</v>
      </c>
      <c r="G1658" s="192" t="s">
        <v>2424</v>
      </c>
      <c r="H1658" s="11" t="s">
        <v>129</v>
      </c>
      <c r="I1658" s="11" t="s">
        <v>2464</v>
      </c>
      <c r="J1658" s="193">
        <v>20564098826</v>
      </c>
      <c r="K1658" s="14">
        <v>942424234</v>
      </c>
      <c r="L1658" s="11" t="s">
        <v>2471</v>
      </c>
      <c r="M1658" s="11" t="s">
        <v>75</v>
      </c>
      <c r="N1658" s="11"/>
      <c r="O1658" s="11"/>
      <c r="P1658" s="11" t="s">
        <v>2565</v>
      </c>
      <c r="Q1658" s="11" t="s">
        <v>2566</v>
      </c>
      <c r="R1658" s="11" t="s">
        <v>142</v>
      </c>
      <c r="S1658" s="11"/>
    </row>
    <row r="1659" spans="1:19" s="20" customFormat="1" ht="21.75" hidden="1" customHeight="1" x14ac:dyDescent="0.2">
      <c r="A1659" s="56" t="s">
        <v>2564</v>
      </c>
      <c r="B1659" s="191"/>
      <c r="C1659" s="18">
        <v>46154</v>
      </c>
      <c r="D1659" s="19">
        <v>6</v>
      </c>
      <c r="E1659" s="207"/>
      <c r="F1659" s="192" t="s">
        <v>1301</v>
      </c>
      <c r="G1659" s="192" t="s">
        <v>2455</v>
      </c>
      <c r="H1659" s="11" t="s">
        <v>129</v>
      </c>
      <c r="I1659" s="11" t="s">
        <v>2464</v>
      </c>
      <c r="J1659" s="193">
        <v>20564098826</v>
      </c>
      <c r="K1659" s="14">
        <v>942424234</v>
      </c>
      <c r="L1659" s="11" t="s">
        <v>2471</v>
      </c>
      <c r="M1659" s="11" t="s">
        <v>75</v>
      </c>
      <c r="N1659" s="11"/>
      <c r="O1659" s="11"/>
      <c r="P1659" s="11" t="s">
        <v>2565</v>
      </c>
      <c r="Q1659" s="11" t="s">
        <v>2566</v>
      </c>
      <c r="R1659" s="11" t="s">
        <v>142</v>
      </c>
      <c r="S1659" s="11"/>
    </row>
    <row r="1660" spans="1:19" s="20" customFormat="1" ht="21.75" hidden="1" customHeight="1" x14ac:dyDescent="0.2">
      <c r="A1660" s="56" t="s">
        <v>2570</v>
      </c>
      <c r="B1660" s="191"/>
      <c r="C1660" s="18">
        <v>46155</v>
      </c>
      <c r="D1660" s="19">
        <v>1</v>
      </c>
      <c r="E1660" s="205">
        <v>5</v>
      </c>
      <c r="F1660" s="192" t="s">
        <v>29</v>
      </c>
      <c r="G1660" s="192" t="s">
        <v>94</v>
      </c>
      <c r="H1660" s="11" t="s">
        <v>99</v>
      </c>
      <c r="I1660" s="11" t="s">
        <v>2571</v>
      </c>
      <c r="J1660" s="193" t="s">
        <v>2585</v>
      </c>
      <c r="K1660" s="14"/>
      <c r="L1660" s="11" t="s">
        <v>2584</v>
      </c>
      <c r="M1660" s="11" t="s">
        <v>393</v>
      </c>
      <c r="N1660" s="11"/>
      <c r="O1660" s="11"/>
      <c r="P1660" s="16" t="s">
        <v>1673</v>
      </c>
      <c r="Q1660" s="11"/>
      <c r="R1660" s="11" t="s">
        <v>933</v>
      </c>
      <c r="S1660" s="11"/>
    </row>
    <row r="1661" spans="1:19" s="20" customFormat="1" ht="21.75" hidden="1" customHeight="1" x14ac:dyDescent="0.2">
      <c r="A1661" s="56" t="s">
        <v>2570</v>
      </c>
      <c r="B1661" s="191"/>
      <c r="C1661" s="18">
        <v>46155</v>
      </c>
      <c r="D1661" s="19">
        <v>1</v>
      </c>
      <c r="E1661" s="206"/>
      <c r="F1661" s="192" t="s">
        <v>326</v>
      </c>
      <c r="G1661" s="192" t="s">
        <v>339</v>
      </c>
      <c r="H1661" s="11" t="s">
        <v>99</v>
      </c>
      <c r="I1661" s="11" t="s">
        <v>2571</v>
      </c>
      <c r="J1661" s="193" t="s">
        <v>2585</v>
      </c>
      <c r="K1661" s="14"/>
      <c r="L1661" s="11" t="s">
        <v>2584</v>
      </c>
      <c r="M1661" s="11" t="s">
        <v>393</v>
      </c>
      <c r="N1661" s="11"/>
      <c r="O1661" s="11"/>
      <c r="P1661" s="16" t="s">
        <v>1673</v>
      </c>
      <c r="Q1661" s="11"/>
      <c r="R1661" s="11" t="s">
        <v>933</v>
      </c>
      <c r="S1661" s="11"/>
    </row>
    <row r="1662" spans="1:19" s="20" customFormat="1" ht="21.75" hidden="1" customHeight="1" x14ac:dyDescent="0.2">
      <c r="A1662" s="56" t="s">
        <v>2570</v>
      </c>
      <c r="B1662" s="191"/>
      <c r="C1662" s="18">
        <v>46155</v>
      </c>
      <c r="D1662" s="19">
        <v>1</v>
      </c>
      <c r="E1662" s="206"/>
      <c r="F1662" s="192" t="s">
        <v>323</v>
      </c>
      <c r="G1662" s="192" t="s">
        <v>336</v>
      </c>
      <c r="H1662" s="11" t="s">
        <v>99</v>
      </c>
      <c r="I1662" s="11" t="s">
        <v>2571</v>
      </c>
      <c r="J1662" s="193" t="s">
        <v>2585</v>
      </c>
      <c r="K1662" s="14"/>
      <c r="L1662" s="11" t="s">
        <v>2584</v>
      </c>
      <c r="M1662" s="11" t="s">
        <v>393</v>
      </c>
      <c r="N1662" s="11"/>
      <c r="O1662" s="11"/>
      <c r="P1662" s="16" t="s">
        <v>1673</v>
      </c>
      <c r="Q1662" s="11"/>
      <c r="R1662" s="11" t="s">
        <v>933</v>
      </c>
      <c r="S1662" s="11"/>
    </row>
    <row r="1663" spans="1:19" s="20" customFormat="1" ht="21.75" hidden="1" customHeight="1" x14ac:dyDescent="0.2">
      <c r="A1663" s="56" t="s">
        <v>2570</v>
      </c>
      <c r="B1663" s="191"/>
      <c r="C1663" s="18">
        <v>46155</v>
      </c>
      <c r="D1663" s="19">
        <v>1</v>
      </c>
      <c r="E1663" s="206"/>
      <c r="F1663" s="192" t="s">
        <v>327</v>
      </c>
      <c r="G1663" s="192" t="s">
        <v>340</v>
      </c>
      <c r="H1663" s="11" t="s">
        <v>99</v>
      </c>
      <c r="I1663" s="11" t="s">
        <v>2571</v>
      </c>
      <c r="J1663" s="193" t="s">
        <v>2585</v>
      </c>
      <c r="K1663" s="14"/>
      <c r="L1663" s="11" t="s">
        <v>2584</v>
      </c>
      <c r="M1663" s="11" t="s">
        <v>393</v>
      </c>
      <c r="N1663" s="11"/>
      <c r="O1663" s="11"/>
      <c r="P1663" s="16" t="s">
        <v>1673</v>
      </c>
      <c r="Q1663" s="11"/>
      <c r="R1663" s="11" t="s">
        <v>933</v>
      </c>
      <c r="S1663" s="11"/>
    </row>
    <row r="1664" spans="1:19" s="20" customFormat="1" ht="21.75" hidden="1" customHeight="1" x14ac:dyDescent="0.2">
      <c r="A1664" s="56" t="s">
        <v>2570</v>
      </c>
      <c r="B1664" s="191"/>
      <c r="C1664" s="18">
        <v>46155</v>
      </c>
      <c r="D1664" s="19">
        <v>1</v>
      </c>
      <c r="E1664" s="206"/>
      <c r="F1664" s="192" t="s">
        <v>27</v>
      </c>
      <c r="G1664" s="192" t="s">
        <v>103</v>
      </c>
      <c r="H1664" s="11" t="s">
        <v>99</v>
      </c>
      <c r="I1664" s="11" t="s">
        <v>2571</v>
      </c>
      <c r="J1664" s="193" t="s">
        <v>2585</v>
      </c>
      <c r="K1664" s="14"/>
      <c r="L1664" s="11" t="s">
        <v>2591</v>
      </c>
      <c r="M1664" s="11" t="s">
        <v>393</v>
      </c>
      <c r="N1664" s="11"/>
      <c r="O1664" s="11"/>
      <c r="P1664" s="16" t="s">
        <v>1673</v>
      </c>
      <c r="Q1664" s="11"/>
      <c r="R1664" s="11" t="s">
        <v>933</v>
      </c>
      <c r="S1664" s="11"/>
    </row>
    <row r="1665" spans="1:19" s="20" customFormat="1" ht="21.75" hidden="1" customHeight="1" x14ac:dyDescent="0.2">
      <c r="A1665" s="56" t="s">
        <v>2570</v>
      </c>
      <c r="B1665" s="191"/>
      <c r="C1665" s="18">
        <v>46155</v>
      </c>
      <c r="D1665" s="19">
        <v>1</v>
      </c>
      <c r="E1665" s="206"/>
      <c r="F1665" s="192" t="s">
        <v>34</v>
      </c>
      <c r="G1665" s="192" t="s">
        <v>93</v>
      </c>
      <c r="H1665" s="11" t="s">
        <v>99</v>
      </c>
      <c r="I1665" s="11" t="s">
        <v>2571</v>
      </c>
      <c r="J1665" s="193" t="s">
        <v>2585</v>
      </c>
      <c r="K1665" s="14"/>
      <c r="L1665" s="11" t="s">
        <v>2591</v>
      </c>
      <c r="M1665" s="11" t="s">
        <v>393</v>
      </c>
      <c r="N1665" s="11"/>
      <c r="O1665" s="11"/>
      <c r="P1665" s="16" t="s">
        <v>1673</v>
      </c>
      <c r="Q1665" s="11"/>
      <c r="R1665" s="11" t="s">
        <v>933</v>
      </c>
      <c r="S1665" s="11"/>
    </row>
    <row r="1666" spans="1:19" s="20" customFormat="1" ht="21.75" hidden="1" customHeight="1" x14ac:dyDescent="0.2">
      <c r="A1666" s="56" t="s">
        <v>2570</v>
      </c>
      <c r="B1666" s="191"/>
      <c r="C1666" s="18">
        <v>46155</v>
      </c>
      <c r="D1666" s="19">
        <v>1</v>
      </c>
      <c r="E1666" s="206"/>
      <c r="F1666" s="192" t="s">
        <v>822</v>
      </c>
      <c r="G1666" s="192" t="s">
        <v>824</v>
      </c>
      <c r="H1666" s="11" t="s">
        <v>99</v>
      </c>
      <c r="I1666" s="11" t="s">
        <v>2571</v>
      </c>
      <c r="J1666" s="193" t="s">
        <v>2585</v>
      </c>
      <c r="K1666" s="14"/>
      <c r="L1666" s="11" t="s">
        <v>2591</v>
      </c>
      <c r="M1666" s="11" t="s">
        <v>393</v>
      </c>
      <c r="N1666" s="11"/>
      <c r="O1666" s="11"/>
      <c r="P1666" s="16" t="s">
        <v>1673</v>
      </c>
      <c r="Q1666" s="11"/>
      <c r="R1666" s="11" t="s">
        <v>933</v>
      </c>
      <c r="S1666" s="11"/>
    </row>
    <row r="1667" spans="1:19" s="20" customFormat="1" ht="21.75" hidden="1" customHeight="1" x14ac:dyDescent="0.2">
      <c r="A1667" s="56" t="s">
        <v>2570</v>
      </c>
      <c r="B1667" s="191"/>
      <c r="C1667" s="18">
        <v>46155</v>
      </c>
      <c r="D1667" s="19">
        <v>1</v>
      </c>
      <c r="E1667" s="206"/>
      <c r="F1667" s="192" t="s">
        <v>26</v>
      </c>
      <c r="G1667" s="192" t="s">
        <v>111</v>
      </c>
      <c r="H1667" s="11" t="s">
        <v>99</v>
      </c>
      <c r="I1667" s="11" t="s">
        <v>2571</v>
      </c>
      <c r="J1667" s="193" t="s">
        <v>2585</v>
      </c>
      <c r="K1667" s="14"/>
      <c r="L1667" s="11" t="s">
        <v>2591</v>
      </c>
      <c r="M1667" s="11" t="s">
        <v>393</v>
      </c>
      <c r="N1667" s="11"/>
      <c r="O1667" s="11"/>
      <c r="P1667" s="16" t="s">
        <v>1673</v>
      </c>
      <c r="Q1667" s="11"/>
      <c r="R1667" s="11" t="s">
        <v>933</v>
      </c>
      <c r="S1667" s="11"/>
    </row>
    <row r="1668" spans="1:19" s="20" customFormat="1" ht="21.75" hidden="1" customHeight="1" x14ac:dyDescent="0.2">
      <c r="A1668" s="56" t="s">
        <v>2570</v>
      </c>
      <c r="B1668" s="191"/>
      <c r="C1668" s="18">
        <v>46155</v>
      </c>
      <c r="D1668" s="19">
        <v>1</v>
      </c>
      <c r="E1668" s="206"/>
      <c r="F1668" s="192" t="s">
        <v>913</v>
      </c>
      <c r="G1668" s="192" t="s">
        <v>930</v>
      </c>
      <c r="H1668" s="11" t="s">
        <v>99</v>
      </c>
      <c r="I1668" s="11" t="s">
        <v>2571</v>
      </c>
      <c r="J1668" s="193" t="s">
        <v>2585</v>
      </c>
      <c r="K1668" s="14"/>
      <c r="L1668" s="11" t="s">
        <v>2591</v>
      </c>
      <c r="M1668" s="11" t="s">
        <v>393</v>
      </c>
      <c r="N1668" s="11"/>
      <c r="O1668" s="11"/>
      <c r="P1668" s="16" t="s">
        <v>1673</v>
      </c>
      <c r="Q1668" s="11"/>
      <c r="R1668" s="11" t="s">
        <v>933</v>
      </c>
      <c r="S1668" s="11"/>
    </row>
    <row r="1669" spans="1:19" s="20" customFormat="1" ht="21.75" hidden="1" customHeight="1" x14ac:dyDescent="0.2">
      <c r="A1669" s="56" t="s">
        <v>2570</v>
      </c>
      <c r="B1669" s="191"/>
      <c r="C1669" s="18">
        <v>46155</v>
      </c>
      <c r="D1669" s="19">
        <v>6</v>
      </c>
      <c r="E1669" s="207"/>
      <c r="F1669" s="192" t="s">
        <v>1205</v>
      </c>
      <c r="G1669" s="192" t="s">
        <v>1221</v>
      </c>
      <c r="H1669" s="11" t="s">
        <v>99</v>
      </c>
      <c r="I1669" s="11" t="s">
        <v>2571</v>
      </c>
      <c r="J1669" s="193" t="s">
        <v>2585</v>
      </c>
      <c r="K1669" s="14"/>
      <c r="L1669" s="11" t="s">
        <v>2591</v>
      </c>
      <c r="M1669" s="11" t="s">
        <v>393</v>
      </c>
      <c r="N1669" s="11"/>
      <c r="O1669" s="11"/>
      <c r="P1669" s="16" t="s">
        <v>1673</v>
      </c>
      <c r="Q1669" s="11"/>
      <c r="R1669" s="11" t="s">
        <v>933</v>
      </c>
      <c r="S1669" s="11"/>
    </row>
    <row r="1670" spans="1:19" s="20" customFormat="1" ht="21.75" hidden="1" customHeight="1" x14ac:dyDescent="0.2">
      <c r="A1670" s="84" t="s">
        <v>2567</v>
      </c>
      <c r="B1670" s="16" t="s">
        <v>2568</v>
      </c>
      <c r="C1670" s="196">
        <v>46154</v>
      </c>
      <c r="D1670" s="21">
        <v>4</v>
      </c>
      <c r="E1670" s="19">
        <v>2</v>
      </c>
      <c r="F1670" s="16" t="s">
        <v>356</v>
      </c>
      <c r="G1670" s="16" t="s">
        <v>2569</v>
      </c>
      <c r="H1670" s="11" t="s">
        <v>76</v>
      </c>
      <c r="I1670" s="16" t="s">
        <v>457</v>
      </c>
      <c r="J1670" s="17">
        <v>20536876953</v>
      </c>
      <c r="K1670" s="16" t="s">
        <v>73</v>
      </c>
      <c r="L1670" s="16" t="s">
        <v>464</v>
      </c>
      <c r="M1670" s="16" t="s">
        <v>472</v>
      </c>
      <c r="N1670" s="11"/>
      <c r="O1670" s="11"/>
      <c r="P1670" s="11" t="s">
        <v>2091</v>
      </c>
      <c r="Q1670" s="11"/>
      <c r="R1670" s="16" t="s">
        <v>439</v>
      </c>
      <c r="S1670" s="11"/>
    </row>
    <row r="1671" spans="1:19" s="20" customFormat="1" ht="21.75" hidden="1" customHeight="1" x14ac:dyDescent="0.25">
      <c r="A1671" s="16" t="s">
        <v>2572</v>
      </c>
      <c r="B1671" s="16" t="s">
        <v>73</v>
      </c>
      <c r="C1671" s="18">
        <v>46154</v>
      </c>
      <c r="D1671" s="21">
        <v>12</v>
      </c>
      <c r="E1671" s="6">
        <v>1</v>
      </c>
      <c r="F1671" s="16" t="s">
        <v>2573</v>
      </c>
      <c r="G1671" s="16" t="s">
        <v>2574</v>
      </c>
      <c r="H1671" s="16" t="s">
        <v>99</v>
      </c>
      <c r="I1671" s="16" t="s">
        <v>1390</v>
      </c>
      <c r="J1671" s="17">
        <v>20536563823</v>
      </c>
      <c r="K1671" s="17">
        <v>947903949</v>
      </c>
      <c r="L1671" s="17" t="s">
        <v>2576</v>
      </c>
      <c r="M1671" s="16" t="s">
        <v>533</v>
      </c>
      <c r="N1671" s="11"/>
      <c r="O1671" s="11"/>
      <c r="P1671" s="16" t="s">
        <v>1396</v>
      </c>
      <c r="Q1671" s="16" t="s">
        <v>73</v>
      </c>
      <c r="R1671" s="16" t="s">
        <v>144</v>
      </c>
      <c r="S1671" s="11"/>
    </row>
    <row r="1672" spans="1:19" s="20" customFormat="1" ht="21.75" hidden="1" customHeight="1" x14ac:dyDescent="0.25">
      <c r="A1672" s="16" t="s">
        <v>2572</v>
      </c>
      <c r="B1672" s="16" t="s">
        <v>73</v>
      </c>
      <c r="C1672" s="18">
        <v>46154</v>
      </c>
      <c r="D1672" s="21">
        <v>24</v>
      </c>
      <c r="E1672" s="6">
        <v>2</v>
      </c>
      <c r="F1672" s="16" t="s">
        <v>2575</v>
      </c>
      <c r="G1672" s="16" t="s">
        <v>1391</v>
      </c>
      <c r="H1672" s="16" t="s">
        <v>99</v>
      </c>
      <c r="I1672" s="16" t="s">
        <v>1390</v>
      </c>
      <c r="J1672" s="17">
        <v>20536563823</v>
      </c>
      <c r="K1672" s="17">
        <v>947903949</v>
      </c>
      <c r="L1672" s="17" t="s">
        <v>2576</v>
      </c>
      <c r="M1672" s="16" t="s">
        <v>533</v>
      </c>
      <c r="N1672" s="11"/>
      <c r="O1672" s="11"/>
      <c r="P1672" s="16" t="s">
        <v>1396</v>
      </c>
      <c r="Q1672" s="16" t="s">
        <v>73</v>
      </c>
      <c r="R1672" s="16" t="s">
        <v>144</v>
      </c>
      <c r="S1672" s="11"/>
    </row>
    <row r="1673" spans="1:19" ht="21.75" hidden="1" customHeight="1" x14ac:dyDescent="0.25">
      <c r="A1673" s="16" t="s">
        <v>2577</v>
      </c>
      <c r="B1673" s="17" t="s">
        <v>2578</v>
      </c>
      <c r="C1673" s="18">
        <v>46155</v>
      </c>
      <c r="D1673" s="19">
        <v>1</v>
      </c>
      <c r="E1673" s="19">
        <v>1</v>
      </c>
      <c r="F1673" s="16" t="s">
        <v>2579</v>
      </c>
      <c r="G1673" s="16" t="s">
        <v>2580</v>
      </c>
      <c r="H1673" s="16" t="s">
        <v>99</v>
      </c>
      <c r="I1673" s="16" t="s">
        <v>2581</v>
      </c>
      <c r="J1673" s="17">
        <v>46249302</v>
      </c>
      <c r="K1673" s="11" t="s">
        <v>2583</v>
      </c>
      <c r="L1673" s="16" t="s">
        <v>2582</v>
      </c>
      <c r="M1673" s="16" t="s">
        <v>795</v>
      </c>
      <c r="N1673" s="11"/>
      <c r="O1673" s="11"/>
      <c r="P1673" s="16" t="s">
        <v>1673</v>
      </c>
      <c r="Q1673" s="11"/>
      <c r="R1673" s="16" t="s">
        <v>441</v>
      </c>
      <c r="S1673" s="11"/>
    </row>
    <row r="1674" spans="1:19" s="20" customFormat="1" ht="21.75" hidden="1" customHeight="1" x14ac:dyDescent="0.2">
      <c r="A1674" s="85" t="s">
        <v>2586</v>
      </c>
      <c r="B1674" s="85" t="s">
        <v>73</v>
      </c>
      <c r="C1674" s="63">
        <v>46155</v>
      </c>
      <c r="D1674" s="132">
        <v>120</v>
      </c>
      <c r="E1674" s="133">
        <v>10</v>
      </c>
      <c r="F1674" s="16" t="s">
        <v>19</v>
      </c>
      <c r="G1674" s="16" t="s">
        <v>120</v>
      </c>
      <c r="H1674" s="85" t="s">
        <v>76</v>
      </c>
      <c r="I1674" s="85" t="s">
        <v>827</v>
      </c>
      <c r="J1674" s="169">
        <v>20455996806</v>
      </c>
      <c r="K1674" s="169">
        <v>14248709</v>
      </c>
      <c r="L1674" s="85" t="s">
        <v>278</v>
      </c>
      <c r="M1674" s="85" t="s">
        <v>75</v>
      </c>
      <c r="N1674" s="65"/>
      <c r="O1674" s="65"/>
      <c r="P1674" s="85" t="s">
        <v>829</v>
      </c>
      <c r="Q1674" s="85" t="s">
        <v>830</v>
      </c>
      <c r="R1674" s="85" t="s">
        <v>142</v>
      </c>
      <c r="S1674" s="65"/>
    </row>
    <row r="1675" spans="1:19" s="20" customFormat="1" ht="21.75" hidden="1" customHeight="1" x14ac:dyDescent="0.2">
      <c r="A1675" s="85" t="s">
        <v>2586</v>
      </c>
      <c r="B1675" s="84" t="s">
        <v>73</v>
      </c>
      <c r="C1675" s="63">
        <v>46155</v>
      </c>
      <c r="D1675" s="55">
        <v>24</v>
      </c>
      <c r="E1675" s="54">
        <v>2</v>
      </c>
      <c r="F1675" s="16" t="s">
        <v>23</v>
      </c>
      <c r="G1675" s="16" t="s">
        <v>119</v>
      </c>
      <c r="H1675" s="84" t="s">
        <v>76</v>
      </c>
      <c r="I1675" s="84" t="s">
        <v>827</v>
      </c>
      <c r="J1675" s="80">
        <v>20455996806</v>
      </c>
      <c r="K1675" s="80">
        <v>14248709</v>
      </c>
      <c r="L1675" s="84" t="s">
        <v>278</v>
      </c>
      <c r="M1675" s="84" t="s">
        <v>75</v>
      </c>
      <c r="N1675" s="56"/>
      <c r="O1675" s="56"/>
      <c r="P1675" s="84" t="s">
        <v>829</v>
      </c>
      <c r="Q1675" s="84" t="s">
        <v>830</v>
      </c>
      <c r="R1675" s="84" t="s">
        <v>142</v>
      </c>
      <c r="S1675" s="56"/>
    </row>
    <row r="1676" spans="1:19" s="20" customFormat="1" ht="21.75" hidden="1" customHeight="1" x14ac:dyDescent="0.2">
      <c r="A1676" s="85" t="s">
        <v>2586</v>
      </c>
      <c r="B1676" s="84" t="s">
        <v>73</v>
      </c>
      <c r="C1676" s="63">
        <v>46155</v>
      </c>
      <c r="D1676" s="55">
        <v>96</v>
      </c>
      <c r="E1676" s="54">
        <f>96/12</f>
        <v>8</v>
      </c>
      <c r="F1676" s="84" t="s">
        <v>46</v>
      </c>
      <c r="G1676" s="84" t="s">
        <v>104</v>
      </c>
      <c r="H1676" s="84" t="s">
        <v>76</v>
      </c>
      <c r="I1676" s="84" t="s">
        <v>827</v>
      </c>
      <c r="J1676" s="80">
        <v>20455996806</v>
      </c>
      <c r="K1676" s="80">
        <v>14248709</v>
      </c>
      <c r="L1676" s="84" t="s">
        <v>278</v>
      </c>
      <c r="M1676" s="84" t="s">
        <v>75</v>
      </c>
      <c r="N1676" s="56"/>
      <c r="O1676" s="56"/>
      <c r="P1676" s="84" t="s">
        <v>829</v>
      </c>
      <c r="Q1676" s="84" t="s">
        <v>830</v>
      </c>
      <c r="R1676" s="84" t="s">
        <v>142</v>
      </c>
      <c r="S1676" s="56"/>
    </row>
    <row r="1677" spans="1:19" s="20" customFormat="1" ht="22.5" hidden="1" customHeight="1" x14ac:dyDescent="0.2">
      <c r="A1677" s="85" t="s">
        <v>2587</v>
      </c>
      <c r="B1677" s="17">
        <v>335</v>
      </c>
      <c r="C1677" s="63">
        <v>46155</v>
      </c>
      <c r="D1677" s="21">
        <v>800</v>
      </c>
      <c r="E1677" s="19">
        <v>4</v>
      </c>
      <c r="F1677" s="16" t="s">
        <v>2588</v>
      </c>
      <c r="G1677" s="16" t="s">
        <v>2589</v>
      </c>
      <c r="H1677" s="11" t="s">
        <v>99</v>
      </c>
      <c r="I1677" s="16" t="s">
        <v>2546</v>
      </c>
      <c r="J1677" s="17">
        <v>20518738314</v>
      </c>
      <c r="K1677" s="17"/>
      <c r="L1677" s="16" t="s">
        <v>2592</v>
      </c>
      <c r="M1677" s="16" t="s">
        <v>347</v>
      </c>
      <c r="N1677" s="16"/>
      <c r="O1677" s="16"/>
      <c r="P1677" s="16" t="s">
        <v>2548</v>
      </c>
      <c r="Q1677" s="16" t="s">
        <v>73</v>
      </c>
      <c r="R1677" s="16" t="s">
        <v>395</v>
      </c>
      <c r="S1677" s="11"/>
    </row>
    <row r="1678" spans="1:19" s="20" customFormat="1" ht="21.75" hidden="1" customHeight="1" x14ac:dyDescent="0.2">
      <c r="A1678" s="16" t="s">
        <v>2590</v>
      </c>
      <c r="B1678" s="17">
        <v>562</v>
      </c>
      <c r="C1678" s="18">
        <v>46155</v>
      </c>
      <c r="D1678" s="21">
        <v>24</v>
      </c>
      <c r="E1678" s="19">
        <v>2</v>
      </c>
      <c r="F1678" s="16" t="s">
        <v>766</v>
      </c>
      <c r="G1678" s="16" t="s">
        <v>780</v>
      </c>
      <c r="H1678" s="11" t="s">
        <v>1650</v>
      </c>
      <c r="I1678" s="16" t="s">
        <v>41</v>
      </c>
      <c r="J1678" s="17">
        <v>20513229080</v>
      </c>
      <c r="K1678" s="17" t="s">
        <v>2287</v>
      </c>
      <c r="L1678" s="16" t="s">
        <v>1693</v>
      </c>
      <c r="M1678" s="16" t="s">
        <v>420</v>
      </c>
      <c r="N1678" s="11"/>
      <c r="O1678" s="11"/>
      <c r="P1678" s="16" t="s">
        <v>2285</v>
      </c>
      <c r="Q1678" s="11"/>
      <c r="R1678" s="16" t="s">
        <v>396</v>
      </c>
      <c r="S1678" s="11"/>
    </row>
    <row r="1679" spans="1:19" s="20" customFormat="1" ht="21.75" hidden="1" customHeight="1" x14ac:dyDescent="0.2">
      <c r="A1679" s="16" t="s">
        <v>2590</v>
      </c>
      <c r="B1679" s="17">
        <v>562</v>
      </c>
      <c r="C1679" s="18">
        <v>46155</v>
      </c>
      <c r="D1679" s="21">
        <v>120</v>
      </c>
      <c r="E1679" s="19">
        <v>5</v>
      </c>
      <c r="F1679" s="16" t="s">
        <v>56</v>
      </c>
      <c r="G1679" s="16" t="s">
        <v>86</v>
      </c>
      <c r="H1679" s="11" t="s">
        <v>1650</v>
      </c>
      <c r="I1679" s="16" t="s">
        <v>41</v>
      </c>
      <c r="J1679" s="17">
        <v>20513229080</v>
      </c>
      <c r="K1679" s="17" t="s">
        <v>2287</v>
      </c>
      <c r="L1679" s="16" t="s">
        <v>1693</v>
      </c>
      <c r="M1679" s="16" t="s">
        <v>420</v>
      </c>
      <c r="N1679" s="11"/>
      <c r="O1679" s="11"/>
      <c r="P1679" s="16" t="s">
        <v>2285</v>
      </c>
      <c r="Q1679" s="11"/>
      <c r="R1679" s="16" t="s">
        <v>396</v>
      </c>
      <c r="S1679" s="11"/>
    </row>
    <row r="1680" spans="1:19" s="20" customFormat="1" ht="21.75" hidden="1" customHeight="1" x14ac:dyDescent="0.2">
      <c r="A1680" s="16" t="s">
        <v>2590</v>
      </c>
      <c r="B1680" s="17">
        <v>562</v>
      </c>
      <c r="C1680" s="18">
        <v>46155</v>
      </c>
      <c r="D1680" s="21">
        <v>60</v>
      </c>
      <c r="E1680" s="19">
        <v>5</v>
      </c>
      <c r="F1680" s="16" t="s">
        <v>1690</v>
      </c>
      <c r="G1680" s="16" t="s">
        <v>1691</v>
      </c>
      <c r="H1680" s="16" t="s">
        <v>1650</v>
      </c>
      <c r="I1680" s="16" t="s">
        <v>41</v>
      </c>
      <c r="J1680" s="17">
        <v>20513229080</v>
      </c>
      <c r="K1680" s="17" t="s">
        <v>663</v>
      </c>
      <c r="L1680" s="16" t="s">
        <v>648</v>
      </c>
      <c r="M1680" s="16" t="s">
        <v>420</v>
      </c>
      <c r="N1680" s="11"/>
      <c r="O1680" s="11"/>
      <c r="P1680" s="16" t="s">
        <v>137</v>
      </c>
      <c r="Q1680" s="16" t="s">
        <v>73</v>
      </c>
      <c r="R1680" s="16" t="s">
        <v>396</v>
      </c>
      <c r="S1680" s="11"/>
    </row>
    <row r="1681" spans="1:19" s="20" customFormat="1" ht="21.75" hidden="1" customHeight="1" x14ac:dyDescent="0.2">
      <c r="A1681" s="16" t="s">
        <v>2590</v>
      </c>
      <c r="B1681" s="17">
        <v>562</v>
      </c>
      <c r="C1681" s="18">
        <v>46155</v>
      </c>
      <c r="D1681" s="21">
        <v>240</v>
      </c>
      <c r="E1681" s="19">
        <f>240/48</f>
        <v>5</v>
      </c>
      <c r="F1681" s="159" t="s">
        <v>1070</v>
      </c>
      <c r="G1681" s="94" t="s">
        <v>1074</v>
      </c>
      <c r="H1681" s="16" t="s">
        <v>1650</v>
      </c>
      <c r="I1681" s="16" t="s">
        <v>41</v>
      </c>
      <c r="J1681" s="17">
        <v>20513229080</v>
      </c>
      <c r="K1681" s="17" t="s">
        <v>663</v>
      </c>
      <c r="L1681" s="16" t="s">
        <v>648</v>
      </c>
      <c r="M1681" s="16" t="s">
        <v>420</v>
      </c>
      <c r="N1681" s="11"/>
      <c r="O1681" s="11"/>
      <c r="P1681" s="16" t="s">
        <v>137</v>
      </c>
      <c r="Q1681" s="16" t="s">
        <v>73</v>
      </c>
      <c r="R1681" s="16" t="s">
        <v>396</v>
      </c>
      <c r="S1681" s="11"/>
    </row>
    <row r="1682" spans="1:19" s="20" customFormat="1" ht="22.5" hidden="1" customHeight="1" x14ac:dyDescent="0.2">
      <c r="A1682" s="138" t="s">
        <v>2593</v>
      </c>
      <c r="B1682" s="34" t="s">
        <v>2607</v>
      </c>
      <c r="C1682" s="18">
        <v>46156</v>
      </c>
      <c r="D1682" s="19">
        <v>3</v>
      </c>
      <c r="E1682" s="19">
        <v>1</v>
      </c>
      <c r="F1682" s="138" t="s">
        <v>2601</v>
      </c>
      <c r="G1682" s="138" t="s">
        <v>2594</v>
      </c>
      <c r="H1682" s="138" t="s">
        <v>2595</v>
      </c>
      <c r="I1682" s="138" t="s">
        <v>2596</v>
      </c>
      <c r="J1682" s="138">
        <v>20603180306</v>
      </c>
      <c r="K1682" s="14" t="s">
        <v>2599</v>
      </c>
      <c r="L1682" s="11" t="s">
        <v>2597</v>
      </c>
      <c r="M1682" s="11" t="s">
        <v>286</v>
      </c>
      <c r="N1682" s="11"/>
      <c r="O1682" s="11"/>
      <c r="P1682" s="11" t="s">
        <v>2598</v>
      </c>
      <c r="Q1682" s="194" t="s">
        <v>2600</v>
      </c>
      <c r="R1682" s="195" t="s">
        <v>933</v>
      </c>
      <c r="S1682" s="11"/>
    </row>
    <row r="1683" spans="1:19" s="20" customFormat="1" ht="21.75" hidden="1" customHeight="1" x14ac:dyDescent="0.2">
      <c r="A1683" s="11" t="s">
        <v>2604</v>
      </c>
      <c r="B1683" s="191"/>
      <c r="C1683" s="18">
        <v>46156</v>
      </c>
      <c r="D1683" s="175">
        <v>12</v>
      </c>
      <c r="E1683" s="205">
        <v>17</v>
      </c>
      <c r="F1683" s="192" t="s">
        <v>1301</v>
      </c>
      <c r="G1683" s="192" t="s">
        <v>2455</v>
      </c>
      <c r="H1683" s="11" t="s">
        <v>129</v>
      </c>
      <c r="I1683" s="192" t="s">
        <v>1237</v>
      </c>
      <c r="J1683" s="193">
        <v>20536876953</v>
      </c>
      <c r="K1683" s="11"/>
      <c r="L1683" s="11" t="s">
        <v>2605</v>
      </c>
      <c r="M1683" s="11" t="s">
        <v>75</v>
      </c>
      <c r="N1683" s="11"/>
      <c r="O1683" s="11"/>
      <c r="P1683" s="11" t="s">
        <v>2169</v>
      </c>
      <c r="Q1683" s="11" t="s">
        <v>2606</v>
      </c>
      <c r="R1683" s="11" t="s">
        <v>142</v>
      </c>
      <c r="S1683" s="11"/>
    </row>
    <row r="1684" spans="1:19" s="20" customFormat="1" ht="21.75" hidden="1" customHeight="1" x14ac:dyDescent="0.2">
      <c r="A1684" s="11" t="s">
        <v>2604</v>
      </c>
      <c r="B1684" s="191"/>
      <c r="C1684" s="18">
        <v>46156</v>
      </c>
      <c r="D1684" s="175">
        <v>3</v>
      </c>
      <c r="E1684" s="206"/>
      <c r="F1684" s="192" t="s">
        <v>910</v>
      </c>
      <c r="G1684" s="192" t="s">
        <v>2421</v>
      </c>
      <c r="H1684" s="11" t="s">
        <v>129</v>
      </c>
      <c r="I1684" s="192" t="s">
        <v>1237</v>
      </c>
      <c r="J1684" s="193">
        <v>20536876953</v>
      </c>
      <c r="K1684" s="11"/>
      <c r="L1684" s="11" t="s">
        <v>2605</v>
      </c>
      <c r="M1684" s="11" t="s">
        <v>75</v>
      </c>
      <c r="N1684" s="11"/>
      <c r="O1684" s="11"/>
      <c r="P1684" s="11" t="s">
        <v>2169</v>
      </c>
      <c r="Q1684" s="11" t="s">
        <v>2606</v>
      </c>
      <c r="R1684" s="11" t="s">
        <v>142</v>
      </c>
      <c r="S1684" s="11"/>
    </row>
    <row r="1685" spans="1:19" s="20" customFormat="1" ht="21.75" hidden="1" customHeight="1" x14ac:dyDescent="0.2">
      <c r="A1685" s="11" t="s">
        <v>2604</v>
      </c>
      <c r="B1685" s="191"/>
      <c r="C1685" s="18">
        <v>46156</v>
      </c>
      <c r="D1685" s="175">
        <v>3</v>
      </c>
      <c r="E1685" s="206"/>
      <c r="F1685" s="192" t="s">
        <v>1771</v>
      </c>
      <c r="G1685" s="192" t="s">
        <v>2423</v>
      </c>
      <c r="H1685" s="11" t="s">
        <v>129</v>
      </c>
      <c r="I1685" s="192" t="s">
        <v>1237</v>
      </c>
      <c r="J1685" s="193">
        <v>20536876953</v>
      </c>
      <c r="K1685" s="11"/>
      <c r="L1685" s="11" t="s">
        <v>2605</v>
      </c>
      <c r="M1685" s="11" t="s">
        <v>75</v>
      </c>
      <c r="N1685" s="11"/>
      <c r="O1685" s="11"/>
      <c r="P1685" s="11" t="s">
        <v>2169</v>
      </c>
      <c r="Q1685" s="11" t="s">
        <v>2606</v>
      </c>
      <c r="R1685" s="11" t="s">
        <v>142</v>
      </c>
      <c r="S1685" s="11"/>
    </row>
    <row r="1686" spans="1:19" s="20" customFormat="1" ht="21.75" hidden="1" customHeight="1" x14ac:dyDescent="0.2">
      <c r="A1686" s="11" t="s">
        <v>2604</v>
      </c>
      <c r="B1686" s="191"/>
      <c r="C1686" s="18">
        <v>46156</v>
      </c>
      <c r="D1686" s="175">
        <v>3</v>
      </c>
      <c r="E1686" s="206"/>
      <c r="F1686" s="192" t="s">
        <v>1769</v>
      </c>
      <c r="G1686" s="192" t="s">
        <v>2422</v>
      </c>
      <c r="H1686" s="11" t="s">
        <v>129</v>
      </c>
      <c r="I1686" s="192" t="s">
        <v>1237</v>
      </c>
      <c r="J1686" s="193">
        <v>20536876953</v>
      </c>
      <c r="K1686" s="11"/>
      <c r="L1686" s="11" t="s">
        <v>2605</v>
      </c>
      <c r="M1686" s="11" t="s">
        <v>75</v>
      </c>
      <c r="N1686" s="11"/>
      <c r="O1686" s="11"/>
      <c r="P1686" s="11" t="s">
        <v>2169</v>
      </c>
      <c r="Q1686" s="11" t="s">
        <v>2606</v>
      </c>
      <c r="R1686" s="11" t="s">
        <v>142</v>
      </c>
      <c r="S1686" s="11"/>
    </row>
    <row r="1687" spans="1:19" s="20" customFormat="1" ht="21.75" hidden="1" customHeight="1" x14ac:dyDescent="0.2">
      <c r="A1687" s="11" t="s">
        <v>2604</v>
      </c>
      <c r="B1687" s="191"/>
      <c r="C1687" s="18">
        <v>46156</v>
      </c>
      <c r="D1687" s="175">
        <v>3</v>
      </c>
      <c r="E1687" s="206"/>
      <c r="F1687" s="192" t="s">
        <v>1770</v>
      </c>
      <c r="G1687" s="192" t="s">
        <v>2424</v>
      </c>
      <c r="H1687" s="11" t="s">
        <v>129</v>
      </c>
      <c r="I1687" s="192" t="s">
        <v>1237</v>
      </c>
      <c r="J1687" s="193">
        <v>20536876953</v>
      </c>
      <c r="K1687" s="11"/>
      <c r="L1687" s="11" t="s">
        <v>2605</v>
      </c>
      <c r="M1687" s="11" t="s">
        <v>75</v>
      </c>
      <c r="N1687" s="11"/>
      <c r="O1687" s="11"/>
      <c r="P1687" s="11" t="s">
        <v>2169</v>
      </c>
      <c r="Q1687" s="11" t="s">
        <v>2606</v>
      </c>
      <c r="R1687" s="11" t="s">
        <v>142</v>
      </c>
      <c r="S1687" s="11"/>
    </row>
    <row r="1688" spans="1:19" s="20" customFormat="1" ht="21.75" hidden="1" customHeight="1" x14ac:dyDescent="0.2">
      <c r="A1688" s="11" t="s">
        <v>2604</v>
      </c>
      <c r="B1688" s="191"/>
      <c r="C1688" s="18">
        <v>46156</v>
      </c>
      <c r="D1688" s="175">
        <v>2</v>
      </c>
      <c r="E1688" s="206"/>
      <c r="F1688" s="192" t="s">
        <v>906</v>
      </c>
      <c r="G1688" s="192" t="s">
        <v>2032</v>
      </c>
      <c r="H1688" s="11" t="s">
        <v>129</v>
      </c>
      <c r="I1688" s="192" t="s">
        <v>1237</v>
      </c>
      <c r="J1688" s="193">
        <v>20536876953</v>
      </c>
      <c r="K1688" s="11"/>
      <c r="L1688" s="11" t="s">
        <v>2605</v>
      </c>
      <c r="M1688" s="11" t="s">
        <v>75</v>
      </c>
      <c r="N1688" s="11"/>
      <c r="O1688" s="11"/>
      <c r="P1688" s="11" t="s">
        <v>2169</v>
      </c>
      <c r="Q1688" s="11" t="s">
        <v>2606</v>
      </c>
      <c r="R1688" s="11" t="s">
        <v>142</v>
      </c>
      <c r="S1688" s="11"/>
    </row>
    <row r="1689" spans="1:19" s="20" customFormat="1" ht="21.75" hidden="1" customHeight="1" x14ac:dyDescent="0.2">
      <c r="A1689" s="11" t="s">
        <v>2604</v>
      </c>
      <c r="B1689" s="191"/>
      <c r="C1689" s="18">
        <v>46156</v>
      </c>
      <c r="D1689" s="175">
        <v>2</v>
      </c>
      <c r="E1689" s="206"/>
      <c r="F1689" s="192" t="s">
        <v>907</v>
      </c>
      <c r="G1689" s="192" t="s">
        <v>2033</v>
      </c>
      <c r="H1689" s="11" t="s">
        <v>129</v>
      </c>
      <c r="I1689" s="192" t="s">
        <v>1237</v>
      </c>
      <c r="J1689" s="193">
        <v>20536876953</v>
      </c>
      <c r="K1689" s="11"/>
      <c r="L1689" s="11" t="s">
        <v>2605</v>
      </c>
      <c r="M1689" s="11" t="s">
        <v>75</v>
      </c>
      <c r="N1689" s="11"/>
      <c r="O1689" s="11"/>
      <c r="P1689" s="11" t="s">
        <v>2169</v>
      </c>
      <c r="Q1689" s="11" t="s">
        <v>2606</v>
      </c>
      <c r="R1689" s="11" t="s">
        <v>142</v>
      </c>
      <c r="S1689" s="11"/>
    </row>
    <row r="1690" spans="1:19" s="20" customFormat="1" ht="21.75" hidden="1" customHeight="1" x14ac:dyDescent="0.2">
      <c r="A1690" s="11" t="s">
        <v>2604</v>
      </c>
      <c r="B1690" s="191"/>
      <c r="C1690" s="18">
        <v>46156</v>
      </c>
      <c r="D1690" s="175">
        <v>2</v>
      </c>
      <c r="E1690" s="206"/>
      <c r="F1690" s="192" t="s">
        <v>1132</v>
      </c>
      <c r="G1690" s="192" t="s">
        <v>2034</v>
      </c>
      <c r="H1690" s="11" t="s">
        <v>129</v>
      </c>
      <c r="I1690" s="192" t="s">
        <v>1237</v>
      </c>
      <c r="J1690" s="193">
        <v>20536876953</v>
      </c>
      <c r="K1690" s="11"/>
      <c r="L1690" s="11" t="s">
        <v>2605</v>
      </c>
      <c r="M1690" s="11" t="s">
        <v>75</v>
      </c>
      <c r="N1690" s="11"/>
      <c r="O1690" s="11"/>
      <c r="P1690" s="11" t="s">
        <v>2169</v>
      </c>
      <c r="Q1690" s="11" t="s">
        <v>2606</v>
      </c>
      <c r="R1690" s="11" t="s">
        <v>142</v>
      </c>
      <c r="S1690" s="11"/>
    </row>
    <row r="1691" spans="1:19" s="20" customFormat="1" ht="21.75" hidden="1" customHeight="1" x14ac:dyDescent="0.2">
      <c r="A1691" s="11" t="s">
        <v>2604</v>
      </c>
      <c r="B1691" s="191"/>
      <c r="C1691" s="18">
        <v>46156</v>
      </c>
      <c r="D1691" s="175">
        <v>1</v>
      </c>
      <c r="E1691" s="206"/>
      <c r="F1691" s="192" t="s">
        <v>1134</v>
      </c>
      <c r="G1691" s="192" t="s">
        <v>2035</v>
      </c>
      <c r="H1691" s="11" t="s">
        <v>129</v>
      </c>
      <c r="I1691" s="192" t="s">
        <v>1237</v>
      </c>
      <c r="J1691" s="193">
        <v>20536876953</v>
      </c>
      <c r="K1691" s="11"/>
      <c r="L1691" s="11" t="s">
        <v>2605</v>
      </c>
      <c r="M1691" s="11" t="s">
        <v>75</v>
      </c>
      <c r="N1691" s="11"/>
      <c r="O1691" s="11"/>
      <c r="P1691" s="11" t="s">
        <v>2169</v>
      </c>
      <c r="Q1691" s="11" t="s">
        <v>2606</v>
      </c>
      <c r="R1691" s="11" t="s">
        <v>142</v>
      </c>
      <c r="S1691" s="11"/>
    </row>
    <row r="1692" spans="1:19" s="20" customFormat="1" ht="21.75" hidden="1" customHeight="1" x14ac:dyDescent="0.2">
      <c r="A1692" s="11" t="s">
        <v>2604</v>
      </c>
      <c r="B1692" s="191"/>
      <c r="C1692" s="18">
        <v>46156</v>
      </c>
      <c r="D1692" s="175">
        <v>1</v>
      </c>
      <c r="E1692" s="206"/>
      <c r="F1692" s="192" t="s">
        <v>1133</v>
      </c>
      <c r="G1692" s="192" t="s">
        <v>2036</v>
      </c>
      <c r="H1692" s="11" t="s">
        <v>129</v>
      </c>
      <c r="I1692" s="192" t="s">
        <v>1237</v>
      </c>
      <c r="J1692" s="193">
        <v>20536876953</v>
      </c>
      <c r="K1692" s="11"/>
      <c r="L1692" s="11" t="s">
        <v>2605</v>
      </c>
      <c r="M1692" s="11" t="s">
        <v>75</v>
      </c>
      <c r="N1692" s="11"/>
      <c r="O1692" s="11"/>
      <c r="P1692" s="11" t="s">
        <v>2169</v>
      </c>
      <c r="Q1692" s="11" t="s">
        <v>2606</v>
      </c>
      <c r="R1692" s="11" t="s">
        <v>142</v>
      </c>
      <c r="S1692" s="11"/>
    </row>
    <row r="1693" spans="1:19" s="20" customFormat="1" ht="21.75" hidden="1" customHeight="1" x14ac:dyDescent="0.2">
      <c r="A1693" s="11" t="s">
        <v>2604</v>
      </c>
      <c r="B1693" s="191"/>
      <c r="C1693" s="18">
        <v>46156</v>
      </c>
      <c r="D1693" s="175">
        <v>2</v>
      </c>
      <c r="E1693" s="206"/>
      <c r="F1693" s="192" t="s">
        <v>908</v>
      </c>
      <c r="G1693" s="192" t="s">
        <v>2037</v>
      </c>
      <c r="H1693" s="11" t="s">
        <v>129</v>
      </c>
      <c r="I1693" s="192" t="s">
        <v>1237</v>
      </c>
      <c r="J1693" s="193">
        <v>20536876953</v>
      </c>
      <c r="K1693" s="11"/>
      <c r="L1693" s="11" t="s">
        <v>2605</v>
      </c>
      <c r="M1693" s="11" t="s">
        <v>75</v>
      </c>
      <c r="N1693" s="11"/>
      <c r="O1693" s="11"/>
      <c r="P1693" s="11" t="s">
        <v>2169</v>
      </c>
      <c r="Q1693" s="11" t="s">
        <v>2606</v>
      </c>
      <c r="R1693" s="11" t="s">
        <v>142</v>
      </c>
      <c r="S1693" s="11"/>
    </row>
    <row r="1694" spans="1:19" s="20" customFormat="1" ht="21.75" hidden="1" customHeight="1" x14ac:dyDescent="0.2">
      <c r="A1694" s="11" t="s">
        <v>2604</v>
      </c>
      <c r="B1694" s="191"/>
      <c r="C1694" s="18">
        <v>46156</v>
      </c>
      <c r="D1694" s="175">
        <v>2</v>
      </c>
      <c r="E1694" s="206"/>
      <c r="F1694" s="192" t="s">
        <v>909</v>
      </c>
      <c r="G1694" s="192" t="s">
        <v>2038</v>
      </c>
      <c r="H1694" s="11" t="s">
        <v>129</v>
      </c>
      <c r="I1694" s="192" t="s">
        <v>1237</v>
      </c>
      <c r="J1694" s="193">
        <v>20536876953</v>
      </c>
      <c r="K1694" s="11"/>
      <c r="L1694" s="11" t="s">
        <v>2605</v>
      </c>
      <c r="M1694" s="11" t="s">
        <v>75</v>
      </c>
      <c r="N1694" s="11"/>
      <c r="O1694" s="11"/>
      <c r="P1694" s="11" t="s">
        <v>2169</v>
      </c>
      <c r="Q1694" s="11" t="s">
        <v>2606</v>
      </c>
      <c r="R1694" s="11" t="s">
        <v>142</v>
      </c>
      <c r="S1694" s="11"/>
    </row>
    <row r="1695" spans="1:19" s="20" customFormat="1" ht="21.75" hidden="1" customHeight="1" x14ac:dyDescent="0.2">
      <c r="A1695" s="11" t="s">
        <v>2604</v>
      </c>
      <c r="B1695" s="191"/>
      <c r="C1695" s="18">
        <v>46156</v>
      </c>
      <c r="D1695" s="175">
        <v>6</v>
      </c>
      <c r="E1695" s="206"/>
      <c r="F1695" s="192" t="s">
        <v>1302</v>
      </c>
      <c r="G1695" s="192" t="s">
        <v>2054</v>
      </c>
      <c r="H1695" s="11" t="s">
        <v>129</v>
      </c>
      <c r="I1695" s="192" t="s">
        <v>1237</v>
      </c>
      <c r="J1695" s="193">
        <v>20536876953</v>
      </c>
      <c r="K1695" s="11"/>
      <c r="L1695" s="11" t="s">
        <v>2605</v>
      </c>
      <c r="M1695" s="11" t="s">
        <v>75</v>
      </c>
      <c r="N1695" s="11"/>
      <c r="O1695" s="11"/>
      <c r="P1695" s="11" t="s">
        <v>2169</v>
      </c>
      <c r="Q1695" s="11" t="s">
        <v>2606</v>
      </c>
      <c r="R1695" s="11" t="s">
        <v>142</v>
      </c>
      <c r="S1695" s="11"/>
    </row>
    <row r="1696" spans="1:19" s="20" customFormat="1" ht="21.75" hidden="1" customHeight="1" x14ac:dyDescent="0.2">
      <c r="A1696" s="11" t="s">
        <v>2604</v>
      </c>
      <c r="B1696" s="191"/>
      <c r="C1696" s="18">
        <v>46156</v>
      </c>
      <c r="D1696" s="175">
        <v>6</v>
      </c>
      <c r="E1696" s="206"/>
      <c r="F1696" s="192" t="s">
        <v>1303</v>
      </c>
      <c r="G1696" s="192" t="s">
        <v>2055</v>
      </c>
      <c r="H1696" s="11" t="s">
        <v>129</v>
      </c>
      <c r="I1696" s="192" t="s">
        <v>1237</v>
      </c>
      <c r="J1696" s="193">
        <v>20536876953</v>
      </c>
      <c r="K1696" s="11"/>
      <c r="L1696" s="11" t="s">
        <v>2605</v>
      </c>
      <c r="M1696" s="11" t="s">
        <v>75</v>
      </c>
      <c r="N1696" s="11"/>
      <c r="O1696" s="11"/>
      <c r="P1696" s="11" t="s">
        <v>2169</v>
      </c>
      <c r="Q1696" s="11" t="s">
        <v>2606</v>
      </c>
      <c r="R1696" s="11" t="s">
        <v>142</v>
      </c>
      <c r="S1696" s="11"/>
    </row>
    <row r="1697" spans="1:19" s="20" customFormat="1" ht="21.75" hidden="1" customHeight="1" x14ac:dyDescent="0.2">
      <c r="A1697" s="11" t="s">
        <v>2604</v>
      </c>
      <c r="B1697" s="191"/>
      <c r="C1697" s="18">
        <v>46156</v>
      </c>
      <c r="D1697" s="175">
        <v>3</v>
      </c>
      <c r="E1697" s="206"/>
      <c r="F1697" s="192" t="s">
        <v>904</v>
      </c>
      <c r="G1697" s="192" t="s">
        <v>2030</v>
      </c>
      <c r="H1697" s="11" t="s">
        <v>129</v>
      </c>
      <c r="I1697" s="192" t="s">
        <v>1237</v>
      </c>
      <c r="J1697" s="193">
        <v>20536876953</v>
      </c>
      <c r="K1697" s="11"/>
      <c r="L1697" s="11" t="s">
        <v>2605</v>
      </c>
      <c r="M1697" s="11" t="s">
        <v>75</v>
      </c>
      <c r="N1697" s="11"/>
      <c r="O1697" s="11"/>
      <c r="P1697" s="11" t="s">
        <v>2169</v>
      </c>
      <c r="Q1697" s="11" t="s">
        <v>2606</v>
      </c>
      <c r="R1697" s="11" t="s">
        <v>142</v>
      </c>
      <c r="S1697" s="11"/>
    </row>
    <row r="1698" spans="1:19" s="20" customFormat="1" ht="21.75" hidden="1" customHeight="1" x14ac:dyDescent="0.2">
      <c r="A1698" s="11" t="s">
        <v>2604</v>
      </c>
      <c r="B1698" s="191"/>
      <c r="C1698" s="18">
        <v>46156</v>
      </c>
      <c r="D1698" s="175">
        <v>3</v>
      </c>
      <c r="E1698" s="206"/>
      <c r="F1698" s="192" t="s">
        <v>905</v>
      </c>
      <c r="G1698" s="192" t="s">
        <v>2031</v>
      </c>
      <c r="H1698" s="11" t="s">
        <v>129</v>
      </c>
      <c r="I1698" s="192" t="s">
        <v>1237</v>
      </c>
      <c r="J1698" s="193">
        <v>20536876953</v>
      </c>
      <c r="K1698" s="11"/>
      <c r="L1698" s="11" t="s">
        <v>2605</v>
      </c>
      <c r="M1698" s="11" t="s">
        <v>75</v>
      </c>
      <c r="N1698" s="11"/>
      <c r="O1698" s="11"/>
      <c r="P1698" s="11" t="s">
        <v>2169</v>
      </c>
      <c r="Q1698" s="11" t="s">
        <v>2606</v>
      </c>
      <c r="R1698" s="11" t="s">
        <v>142</v>
      </c>
      <c r="S1698" s="11"/>
    </row>
    <row r="1699" spans="1:19" s="20" customFormat="1" ht="21.75" hidden="1" customHeight="1" x14ac:dyDescent="0.2">
      <c r="A1699" s="11" t="s">
        <v>2604</v>
      </c>
      <c r="B1699" s="191"/>
      <c r="C1699" s="18">
        <v>46156</v>
      </c>
      <c r="D1699" s="175">
        <v>12</v>
      </c>
      <c r="E1699" s="206"/>
      <c r="F1699" s="192" t="s">
        <v>2602</v>
      </c>
      <c r="G1699" s="192" t="s">
        <v>2603</v>
      </c>
      <c r="H1699" s="11" t="s">
        <v>129</v>
      </c>
      <c r="I1699" s="192" t="s">
        <v>1237</v>
      </c>
      <c r="J1699" s="193">
        <v>20536876953</v>
      </c>
      <c r="K1699" s="11"/>
      <c r="L1699" s="11" t="s">
        <v>2605</v>
      </c>
      <c r="M1699" s="11" t="s">
        <v>75</v>
      </c>
      <c r="N1699" s="11"/>
      <c r="O1699" s="11"/>
      <c r="P1699" s="11" t="s">
        <v>2169</v>
      </c>
      <c r="Q1699" s="11" t="s">
        <v>2606</v>
      </c>
      <c r="R1699" s="11" t="s">
        <v>142</v>
      </c>
      <c r="S1699" s="11"/>
    </row>
    <row r="1700" spans="1:19" s="20" customFormat="1" ht="21.75" hidden="1" customHeight="1" x14ac:dyDescent="0.2">
      <c r="A1700" s="11" t="s">
        <v>2604</v>
      </c>
      <c r="B1700" s="191"/>
      <c r="C1700" s="18">
        <v>46156</v>
      </c>
      <c r="D1700" s="175">
        <v>120</v>
      </c>
      <c r="E1700" s="206"/>
      <c r="F1700" s="192" t="s">
        <v>2413</v>
      </c>
      <c r="G1700" s="192" t="s">
        <v>2399</v>
      </c>
      <c r="H1700" s="11" t="s">
        <v>129</v>
      </c>
      <c r="I1700" s="192" t="s">
        <v>1237</v>
      </c>
      <c r="J1700" s="193">
        <v>20536876953</v>
      </c>
      <c r="K1700" s="11"/>
      <c r="L1700" s="11" t="s">
        <v>2605</v>
      </c>
      <c r="M1700" s="11" t="s">
        <v>75</v>
      </c>
      <c r="N1700" s="11"/>
      <c r="O1700" s="11"/>
      <c r="P1700" s="11" t="s">
        <v>2169</v>
      </c>
      <c r="Q1700" s="11" t="s">
        <v>2606</v>
      </c>
      <c r="R1700" s="11" t="s">
        <v>142</v>
      </c>
      <c r="S1700" s="11"/>
    </row>
    <row r="1701" spans="1:19" s="20" customFormat="1" ht="22.5" hidden="1" customHeight="1" x14ac:dyDescent="0.2">
      <c r="A1701" s="11" t="s">
        <v>2604</v>
      </c>
      <c r="B1701" s="191"/>
      <c r="C1701" s="18">
        <v>46156</v>
      </c>
      <c r="D1701" s="175">
        <v>96</v>
      </c>
      <c r="E1701" s="207"/>
      <c r="F1701" s="192" t="s">
        <v>766</v>
      </c>
      <c r="G1701" s="192" t="s">
        <v>780</v>
      </c>
      <c r="H1701" s="11" t="s">
        <v>129</v>
      </c>
      <c r="I1701" s="192" t="s">
        <v>1237</v>
      </c>
      <c r="J1701" s="193">
        <v>20536876953</v>
      </c>
      <c r="K1701" s="11"/>
      <c r="L1701" s="11" t="s">
        <v>2605</v>
      </c>
      <c r="M1701" s="11" t="s">
        <v>75</v>
      </c>
      <c r="N1701" s="11"/>
      <c r="O1701" s="11"/>
      <c r="P1701" s="11" t="s">
        <v>2169</v>
      </c>
      <c r="Q1701" s="11" t="s">
        <v>2606</v>
      </c>
      <c r="R1701" s="11" t="s">
        <v>142</v>
      </c>
      <c r="S1701" s="11"/>
    </row>
    <row r="1702" spans="1:19" s="33" customFormat="1" ht="21.75" hidden="1" customHeight="1" x14ac:dyDescent="0.2">
      <c r="A1702" s="11" t="s">
        <v>2608</v>
      </c>
      <c r="B1702" s="189" t="s">
        <v>73</v>
      </c>
      <c r="C1702" s="18">
        <v>46157</v>
      </c>
      <c r="D1702" s="19">
        <v>180</v>
      </c>
      <c r="E1702" s="19">
        <v>15</v>
      </c>
      <c r="F1702" s="11" t="s">
        <v>1701</v>
      </c>
      <c r="G1702" s="14" t="s">
        <v>1702</v>
      </c>
      <c r="H1702" s="16" t="s">
        <v>1650</v>
      </c>
      <c r="I1702" s="16" t="s">
        <v>997</v>
      </c>
      <c r="J1702" s="17">
        <v>20100632480</v>
      </c>
      <c r="K1702" s="17" t="s">
        <v>2535</v>
      </c>
      <c r="L1702" s="16" t="s">
        <v>1705</v>
      </c>
      <c r="M1702" s="16" t="s">
        <v>347</v>
      </c>
      <c r="N1702" s="11"/>
      <c r="O1702" s="11"/>
      <c r="P1702" s="16" t="s">
        <v>2534</v>
      </c>
      <c r="Q1702" s="16"/>
      <c r="R1702" s="16" t="s">
        <v>396</v>
      </c>
      <c r="S1702" s="11"/>
    </row>
    <row r="1703" spans="1:19" s="33" customFormat="1" ht="21.75" hidden="1" customHeight="1" x14ac:dyDescent="0.2">
      <c r="A1703" s="11" t="s">
        <v>2608</v>
      </c>
      <c r="B1703" s="189" t="s">
        <v>73</v>
      </c>
      <c r="C1703" s="18">
        <v>46157</v>
      </c>
      <c r="D1703" s="19">
        <v>480</v>
      </c>
      <c r="E1703" s="19">
        <v>10</v>
      </c>
      <c r="F1703" s="11" t="s">
        <v>1070</v>
      </c>
      <c r="G1703" s="14" t="s">
        <v>1074</v>
      </c>
      <c r="H1703" s="16" t="s">
        <v>1650</v>
      </c>
      <c r="I1703" s="16" t="s">
        <v>997</v>
      </c>
      <c r="J1703" s="17">
        <v>20100632480</v>
      </c>
      <c r="K1703" s="17" t="s">
        <v>2535</v>
      </c>
      <c r="L1703" s="16" t="s">
        <v>1705</v>
      </c>
      <c r="M1703" s="16" t="s">
        <v>347</v>
      </c>
      <c r="N1703" s="11"/>
      <c r="O1703" s="11"/>
      <c r="P1703" s="16" t="s">
        <v>2534</v>
      </c>
      <c r="Q1703" s="16"/>
      <c r="R1703" s="16" t="s">
        <v>396</v>
      </c>
      <c r="S1703" s="11"/>
    </row>
    <row r="1704" spans="1:19" s="33" customFormat="1" ht="21.75" hidden="1" customHeight="1" x14ac:dyDescent="0.2">
      <c r="A1704" s="11" t="s">
        <v>2608</v>
      </c>
      <c r="B1704" s="189" t="s">
        <v>73</v>
      </c>
      <c r="C1704" s="18">
        <v>46157</v>
      </c>
      <c r="D1704" s="19">
        <v>120</v>
      </c>
      <c r="E1704" s="19">
        <v>10</v>
      </c>
      <c r="F1704" s="11" t="s">
        <v>35</v>
      </c>
      <c r="G1704" s="14" t="s">
        <v>106</v>
      </c>
      <c r="H1704" s="16" t="s">
        <v>1650</v>
      </c>
      <c r="I1704" s="16" t="s">
        <v>997</v>
      </c>
      <c r="J1704" s="17">
        <v>20100632480</v>
      </c>
      <c r="K1704" s="17" t="s">
        <v>2535</v>
      </c>
      <c r="L1704" s="16" t="s">
        <v>1705</v>
      </c>
      <c r="M1704" s="16" t="s">
        <v>347</v>
      </c>
      <c r="N1704" s="11"/>
      <c r="O1704" s="11"/>
      <c r="P1704" s="16" t="s">
        <v>2534</v>
      </c>
      <c r="Q1704" s="16"/>
      <c r="R1704" s="16" t="s">
        <v>396</v>
      </c>
      <c r="S1704" s="11"/>
    </row>
    <row r="1705" spans="1:19" s="20" customFormat="1" ht="21.75" hidden="1" customHeight="1" x14ac:dyDescent="0.2">
      <c r="A1705" s="56" t="s">
        <v>2609</v>
      </c>
      <c r="B1705" s="14">
        <v>14022429</v>
      </c>
      <c r="C1705" s="18">
        <v>46158</v>
      </c>
      <c r="D1705" s="19">
        <v>48</v>
      </c>
      <c r="E1705" s="19">
        <v>4</v>
      </c>
      <c r="F1705" s="11" t="s">
        <v>19</v>
      </c>
      <c r="G1705" s="14" t="s">
        <v>120</v>
      </c>
      <c r="H1705" s="84" t="s">
        <v>76</v>
      </c>
      <c r="I1705" s="56" t="s">
        <v>134</v>
      </c>
      <c r="J1705" s="17">
        <v>20100070970</v>
      </c>
      <c r="K1705" s="11"/>
      <c r="L1705" s="17" t="s">
        <v>1632</v>
      </c>
      <c r="M1705" s="17" t="s">
        <v>77</v>
      </c>
      <c r="N1705" s="14"/>
      <c r="O1705" s="14"/>
      <c r="P1705" s="17" t="s">
        <v>1912</v>
      </c>
      <c r="Q1705" s="14"/>
      <c r="R1705" s="17" t="s">
        <v>143</v>
      </c>
      <c r="S1705" s="14"/>
    </row>
    <row r="1706" spans="1:19" s="20" customFormat="1" ht="21.75" hidden="1" customHeight="1" x14ac:dyDescent="0.2">
      <c r="A1706" s="56" t="s">
        <v>2609</v>
      </c>
      <c r="B1706" s="14">
        <v>14022429</v>
      </c>
      <c r="C1706" s="18">
        <v>46158</v>
      </c>
      <c r="D1706" s="19">
        <v>36</v>
      </c>
      <c r="E1706" s="19">
        <v>3</v>
      </c>
      <c r="F1706" s="11" t="s">
        <v>21</v>
      </c>
      <c r="G1706" s="14" t="s">
        <v>115</v>
      </c>
      <c r="H1706" s="84" t="s">
        <v>76</v>
      </c>
      <c r="I1706" s="56" t="s">
        <v>134</v>
      </c>
      <c r="J1706" s="17">
        <v>20100070970</v>
      </c>
      <c r="K1706" s="11"/>
      <c r="L1706" s="17" t="s">
        <v>1632</v>
      </c>
      <c r="M1706" s="17" t="s">
        <v>77</v>
      </c>
      <c r="N1706" s="14"/>
      <c r="O1706" s="14"/>
      <c r="P1706" s="17" t="s">
        <v>1912</v>
      </c>
      <c r="Q1706" s="14"/>
      <c r="R1706" s="17" t="s">
        <v>143</v>
      </c>
      <c r="S1706" s="14"/>
    </row>
    <row r="1707" spans="1:19" s="20" customFormat="1" ht="21.75" hidden="1" customHeight="1" x14ac:dyDescent="0.2">
      <c r="A1707" s="56" t="s">
        <v>2609</v>
      </c>
      <c r="B1707" s="14">
        <v>14022429</v>
      </c>
      <c r="C1707" s="18">
        <v>46158</v>
      </c>
      <c r="D1707" s="19">
        <v>192</v>
      </c>
      <c r="E1707" s="19">
        <f>192/48</f>
        <v>4</v>
      </c>
      <c r="F1707" s="11" t="s">
        <v>22</v>
      </c>
      <c r="G1707" s="14" t="s">
        <v>108</v>
      </c>
      <c r="H1707" s="84" t="s">
        <v>76</v>
      </c>
      <c r="I1707" s="56" t="s">
        <v>134</v>
      </c>
      <c r="J1707" s="17">
        <v>20100070970</v>
      </c>
      <c r="K1707" s="11"/>
      <c r="L1707" s="17" t="s">
        <v>1632</v>
      </c>
      <c r="M1707" s="17" t="s">
        <v>77</v>
      </c>
      <c r="N1707" s="14"/>
      <c r="O1707" s="14"/>
      <c r="P1707" s="17" t="s">
        <v>1912</v>
      </c>
      <c r="Q1707" s="14"/>
      <c r="R1707" s="17" t="s">
        <v>143</v>
      </c>
      <c r="S1707" s="14"/>
    </row>
    <row r="1708" spans="1:19" s="20" customFormat="1" ht="21.75" hidden="1" customHeight="1" x14ac:dyDescent="0.2">
      <c r="A1708" s="56" t="s">
        <v>2609</v>
      </c>
      <c r="B1708" s="14">
        <v>14022429</v>
      </c>
      <c r="C1708" s="18">
        <v>46158</v>
      </c>
      <c r="D1708" s="19">
        <v>300</v>
      </c>
      <c r="E1708" s="19">
        <f>300/12</f>
        <v>25</v>
      </c>
      <c r="F1708" s="11" t="s">
        <v>23</v>
      </c>
      <c r="G1708" s="14" t="s">
        <v>119</v>
      </c>
      <c r="H1708" s="84" t="s">
        <v>76</v>
      </c>
      <c r="I1708" s="56" t="s">
        <v>134</v>
      </c>
      <c r="J1708" s="17">
        <v>20100070970</v>
      </c>
      <c r="K1708" s="11"/>
      <c r="L1708" s="17" t="s">
        <v>1632</v>
      </c>
      <c r="M1708" s="17" t="s">
        <v>77</v>
      </c>
      <c r="N1708" s="14"/>
      <c r="O1708" s="14"/>
      <c r="P1708" s="17" t="s">
        <v>1912</v>
      </c>
      <c r="Q1708" s="14"/>
      <c r="R1708" s="17" t="s">
        <v>143</v>
      </c>
      <c r="S1708" s="14"/>
    </row>
    <row r="1709" spans="1:19" s="20" customFormat="1" ht="21.75" hidden="1" customHeight="1" x14ac:dyDescent="0.2">
      <c r="A1709" s="56" t="s">
        <v>2609</v>
      </c>
      <c r="B1709" s="14">
        <v>14022429</v>
      </c>
      <c r="C1709" s="18">
        <v>46158</v>
      </c>
      <c r="D1709" s="19">
        <v>84</v>
      </c>
      <c r="E1709" s="19">
        <f>84/12</f>
        <v>7</v>
      </c>
      <c r="F1709" s="11" t="s">
        <v>24</v>
      </c>
      <c r="G1709" s="14" t="s">
        <v>112</v>
      </c>
      <c r="H1709" s="84" t="s">
        <v>76</v>
      </c>
      <c r="I1709" s="56" t="s">
        <v>134</v>
      </c>
      <c r="J1709" s="17">
        <v>20100070970</v>
      </c>
      <c r="K1709" s="11"/>
      <c r="L1709" s="17" t="s">
        <v>1632</v>
      </c>
      <c r="M1709" s="17" t="s">
        <v>77</v>
      </c>
      <c r="N1709" s="14"/>
      <c r="O1709" s="14"/>
      <c r="P1709" s="17" t="s">
        <v>1912</v>
      </c>
      <c r="Q1709" s="14"/>
      <c r="R1709" s="17" t="s">
        <v>143</v>
      </c>
      <c r="S1709" s="14"/>
    </row>
    <row r="1710" spans="1:19" s="20" customFormat="1" ht="21.75" hidden="1" customHeight="1" x14ac:dyDescent="0.2">
      <c r="A1710" s="56" t="s">
        <v>2609</v>
      </c>
      <c r="B1710" s="14">
        <v>14022429</v>
      </c>
      <c r="C1710" s="18">
        <v>46158</v>
      </c>
      <c r="D1710" s="19">
        <v>24</v>
      </c>
      <c r="E1710" s="19">
        <v>2</v>
      </c>
      <c r="F1710" s="11" t="s">
        <v>25</v>
      </c>
      <c r="G1710" s="14" t="s">
        <v>136</v>
      </c>
      <c r="H1710" s="84" t="s">
        <v>76</v>
      </c>
      <c r="I1710" s="56" t="s">
        <v>134</v>
      </c>
      <c r="J1710" s="17">
        <v>20100070970</v>
      </c>
      <c r="K1710" s="11"/>
      <c r="L1710" s="17" t="s">
        <v>1632</v>
      </c>
      <c r="M1710" s="17" t="s">
        <v>77</v>
      </c>
      <c r="N1710" s="14"/>
      <c r="O1710" s="14"/>
      <c r="P1710" s="17" t="s">
        <v>1912</v>
      </c>
      <c r="Q1710" s="14"/>
      <c r="R1710" s="17" t="s">
        <v>143</v>
      </c>
      <c r="S1710" s="14"/>
    </row>
    <row r="1711" spans="1:19" s="20" customFormat="1" ht="21.75" hidden="1" customHeight="1" x14ac:dyDescent="0.2">
      <c r="A1711" s="56" t="s">
        <v>2609</v>
      </c>
      <c r="B1711" s="14">
        <v>14022429</v>
      </c>
      <c r="C1711" s="18">
        <v>46158</v>
      </c>
      <c r="D1711" s="19">
        <v>48</v>
      </c>
      <c r="E1711" s="19">
        <v>8</v>
      </c>
      <c r="F1711" s="11" t="s">
        <v>26</v>
      </c>
      <c r="G1711" s="14" t="s">
        <v>111</v>
      </c>
      <c r="H1711" s="84" t="s">
        <v>76</v>
      </c>
      <c r="I1711" s="56" t="s">
        <v>134</v>
      </c>
      <c r="J1711" s="17">
        <v>20100070970</v>
      </c>
      <c r="K1711" s="11"/>
      <c r="L1711" s="17" t="s">
        <v>1632</v>
      </c>
      <c r="M1711" s="17" t="s">
        <v>77</v>
      </c>
      <c r="N1711" s="14"/>
      <c r="O1711" s="14"/>
      <c r="P1711" s="17" t="s">
        <v>1912</v>
      </c>
      <c r="Q1711" s="14"/>
      <c r="R1711" s="17" t="s">
        <v>143</v>
      </c>
      <c r="S1711" s="14"/>
    </row>
    <row r="1712" spans="1:19" s="20" customFormat="1" ht="21.75" hidden="1" customHeight="1" x14ac:dyDescent="0.2">
      <c r="A1712" s="56" t="s">
        <v>2609</v>
      </c>
      <c r="B1712" s="14">
        <v>14022429</v>
      </c>
      <c r="C1712" s="18">
        <v>46158</v>
      </c>
      <c r="D1712" s="19">
        <v>48</v>
      </c>
      <c r="E1712" s="19">
        <v>4</v>
      </c>
      <c r="F1712" s="11" t="s">
        <v>27</v>
      </c>
      <c r="G1712" s="14" t="s">
        <v>103</v>
      </c>
      <c r="H1712" s="84" t="s">
        <v>76</v>
      </c>
      <c r="I1712" s="56" t="s">
        <v>134</v>
      </c>
      <c r="J1712" s="17">
        <v>20100070970</v>
      </c>
      <c r="K1712" s="11"/>
      <c r="L1712" s="17" t="s">
        <v>1632</v>
      </c>
      <c r="M1712" s="17" t="s">
        <v>77</v>
      </c>
      <c r="N1712" s="14"/>
      <c r="O1712" s="14"/>
      <c r="P1712" s="17" t="s">
        <v>1912</v>
      </c>
      <c r="Q1712" s="14"/>
      <c r="R1712" s="17" t="s">
        <v>143</v>
      </c>
      <c r="S1712" s="14"/>
    </row>
    <row r="1713" spans="1:19" s="20" customFormat="1" ht="21.75" hidden="1" customHeight="1" x14ac:dyDescent="0.2">
      <c r="A1713" s="56" t="s">
        <v>2609</v>
      </c>
      <c r="B1713" s="14">
        <v>14022429</v>
      </c>
      <c r="C1713" s="18">
        <v>46158</v>
      </c>
      <c r="D1713" s="19">
        <v>96</v>
      </c>
      <c r="E1713" s="19">
        <v>4</v>
      </c>
      <c r="F1713" s="11" t="s">
        <v>18</v>
      </c>
      <c r="G1713" s="14" t="s">
        <v>109</v>
      </c>
      <c r="H1713" s="84" t="s">
        <v>76</v>
      </c>
      <c r="I1713" s="56" t="s">
        <v>134</v>
      </c>
      <c r="J1713" s="17">
        <v>20100070970</v>
      </c>
      <c r="K1713" s="11"/>
      <c r="L1713" s="17" t="s">
        <v>1632</v>
      </c>
      <c r="M1713" s="17" t="s">
        <v>77</v>
      </c>
      <c r="N1713" s="14"/>
      <c r="O1713" s="14"/>
      <c r="P1713" s="17" t="s">
        <v>1912</v>
      </c>
      <c r="Q1713" s="14"/>
      <c r="R1713" s="17" t="s">
        <v>143</v>
      </c>
      <c r="S1713" s="14"/>
    </row>
    <row r="1714" spans="1:19" ht="21.75" hidden="1" customHeight="1" x14ac:dyDescent="0.25">
      <c r="A1714" s="16" t="s">
        <v>2624</v>
      </c>
      <c r="B1714" s="17" t="s">
        <v>2610</v>
      </c>
      <c r="C1714" s="196">
        <v>46162</v>
      </c>
      <c r="D1714" s="21">
        <v>120</v>
      </c>
      <c r="E1714" s="19">
        <v>10</v>
      </c>
      <c r="F1714" s="16" t="s">
        <v>1323</v>
      </c>
      <c r="G1714" s="16" t="s">
        <v>1324</v>
      </c>
      <c r="H1714" s="16" t="s">
        <v>76</v>
      </c>
      <c r="I1714" s="16" t="s">
        <v>1322</v>
      </c>
      <c r="J1714" s="17">
        <v>20298674611</v>
      </c>
      <c r="K1714" s="17" t="s">
        <v>73</v>
      </c>
      <c r="L1714" s="16" t="s">
        <v>1755</v>
      </c>
      <c r="M1714" s="16" t="s">
        <v>347</v>
      </c>
      <c r="N1714" s="11"/>
      <c r="O1714" s="11"/>
      <c r="P1714" s="16" t="s">
        <v>2644</v>
      </c>
      <c r="Q1714" s="16" t="s">
        <v>1692</v>
      </c>
      <c r="R1714" s="16" t="s">
        <v>1511</v>
      </c>
      <c r="S1714" s="11" t="s">
        <v>2659</v>
      </c>
    </row>
    <row r="1715" spans="1:19" s="20" customFormat="1" ht="22.5" hidden="1" customHeight="1" x14ac:dyDescent="0.2">
      <c r="A1715" s="138" t="s">
        <v>2612</v>
      </c>
      <c r="B1715" s="34" t="s">
        <v>260</v>
      </c>
      <c r="C1715" s="196">
        <v>46161</v>
      </c>
      <c r="D1715" s="19">
        <v>1</v>
      </c>
      <c r="E1715" s="19">
        <v>1</v>
      </c>
      <c r="F1715" s="138" t="s">
        <v>2601</v>
      </c>
      <c r="G1715" s="138" t="s">
        <v>2594</v>
      </c>
      <c r="H1715" s="138" t="s">
        <v>2595</v>
      </c>
      <c r="I1715" s="138" t="s">
        <v>2596</v>
      </c>
      <c r="J1715" s="138">
        <v>20603180306</v>
      </c>
      <c r="K1715" s="14" t="s">
        <v>2599</v>
      </c>
      <c r="L1715" s="11" t="s">
        <v>2597</v>
      </c>
      <c r="M1715" s="11" t="s">
        <v>286</v>
      </c>
      <c r="N1715" s="11"/>
      <c r="O1715" s="11"/>
      <c r="P1715" s="11" t="s">
        <v>2598</v>
      </c>
      <c r="Q1715" s="194" t="s">
        <v>2613</v>
      </c>
      <c r="R1715" s="195" t="s">
        <v>933</v>
      </c>
      <c r="S1715" s="11"/>
    </row>
    <row r="1716" spans="1:19" s="20" customFormat="1" ht="22.5" hidden="1" customHeight="1" x14ac:dyDescent="0.2">
      <c r="A1716" s="138" t="s">
        <v>2611</v>
      </c>
      <c r="B1716" s="34" t="s">
        <v>2607</v>
      </c>
      <c r="C1716" s="196">
        <v>46161</v>
      </c>
      <c r="D1716" s="19">
        <v>3</v>
      </c>
      <c r="E1716" s="19">
        <v>1</v>
      </c>
      <c r="F1716" s="138" t="s">
        <v>2601</v>
      </c>
      <c r="G1716" s="138" t="s">
        <v>2594</v>
      </c>
      <c r="H1716" s="138" t="s">
        <v>2595</v>
      </c>
      <c r="I1716" s="138" t="s">
        <v>2596</v>
      </c>
      <c r="J1716" s="138">
        <v>20603180306</v>
      </c>
      <c r="K1716" s="14" t="s">
        <v>2599</v>
      </c>
      <c r="L1716" s="11" t="s">
        <v>2597</v>
      </c>
      <c r="M1716" s="11" t="s">
        <v>286</v>
      </c>
      <c r="N1716" s="11"/>
      <c r="O1716" s="11"/>
      <c r="P1716" s="11" t="s">
        <v>2598</v>
      </c>
      <c r="Q1716" s="194" t="s">
        <v>2600</v>
      </c>
      <c r="R1716" s="195" t="s">
        <v>933</v>
      </c>
      <c r="S1716" s="11"/>
    </row>
    <row r="1717" spans="1:19" s="20" customFormat="1" ht="21.75" hidden="1" customHeight="1" x14ac:dyDescent="0.2">
      <c r="A1717" s="16" t="s">
        <v>2616</v>
      </c>
      <c r="B1717" s="17" t="s">
        <v>2617</v>
      </c>
      <c r="C1717" s="196">
        <v>46161</v>
      </c>
      <c r="D1717" s="19">
        <v>1</v>
      </c>
      <c r="E1717" s="19">
        <v>1</v>
      </c>
      <c r="F1717" s="16" t="s">
        <v>53</v>
      </c>
      <c r="G1717" s="16" t="s">
        <v>121</v>
      </c>
      <c r="H1717" s="11" t="s">
        <v>99</v>
      </c>
      <c r="I1717" s="16" t="s">
        <v>2618</v>
      </c>
      <c r="J1717" s="17">
        <v>44313370</v>
      </c>
      <c r="K1717" s="17">
        <v>904282387</v>
      </c>
      <c r="L1717" s="16" t="s">
        <v>2619</v>
      </c>
      <c r="M1717" s="16" t="s">
        <v>2620</v>
      </c>
      <c r="N1717" s="11"/>
      <c r="O1717" s="11"/>
      <c r="P1717" s="11"/>
      <c r="Q1717" s="11"/>
      <c r="R1717" s="16" t="s">
        <v>820</v>
      </c>
      <c r="S1717" s="11"/>
    </row>
    <row r="1718" spans="1:19" s="20" customFormat="1" ht="21.75" hidden="1" customHeight="1" x14ac:dyDescent="0.2">
      <c r="A1718" s="16" t="s">
        <v>2621</v>
      </c>
      <c r="B1718" s="14" t="s">
        <v>2622</v>
      </c>
      <c r="C1718" s="18">
        <v>46162</v>
      </c>
      <c r="D1718" s="88">
        <v>20</v>
      </c>
      <c r="E1718" s="19">
        <v>4</v>
      </c>
      <c r="F1718" s="72" t="s">
        <v>2643</v>
      </c>
      <c r="G1718" s="72" t="s">
        <v>1077</v>
      </c>
      <c r="H1718" s="11" t="s">
        <v>99</v>
      </c>
      <c r="I1718" s="72" t="s">
        <v>66</v>
      </c>
      <c r="J1718" s="14">
        <v>20334539149</v>
      </c>
      <c r="K1718" s="11" t="s">
        <v>1085</v>
      </c>
      <c r="L1718" s="11" t="s">
        <v>1253</v>
      </c>
      <c r="M1718" s="11" t="s">
        <v>299</v>
      </c>
      <c r="N1718" s="11"/>
      <c r="O1718" s="11"/>
      <c r="P1718" s="11" t="s">
        <v>1255</v>
      </c>
      <c r="Q1718" s="11" t="s">
        <v>725</v>
      </c>
      <c r="R1718" s="11" t="s">
        <v>395</v>
      </c>
      <c r="S1718" s="11"/>
    </row>
    <row r="1719" spans="1:19" s="20" customFormat="1" ht="21.75" hidden="1" customHeight="1" x14ac:dyDescent="0.2">
      <c r="A1719" s="16" t="s">
        <v>2623</v>
      </c>
      <c r="B1719" s="16" t="s">
        <v>73</v>
      </c>
      <c r="C1719" s="18">
        <v>46162</v>
      </c>
      <c r="D1719" s="21">
        <v>24</v>
      </c>
      <c r="E1719" s="19">
        <v>1</v>
      </c>
      <c r="F1719" s="197" t="s">
        <v>2625</v>
      </c>
      <c r="G1719" s="197" t="s">
        <v>2627</v>
      </c>
      <c r="H1719" s="16" t="s">
        <v>1650</v>
      </c>
      <c r="I1719" s="16" t="s">
        <v>733</v>
      </c>
      <c r="J1719" s="17">
        <v>20610373608</v>
      </c>
      <c r="K1719" s="17">
        <v>981468403</v>
      </c>
      <c r="L1719" s="16" t="s">
        <v>736</v>
      </c>
      <c r="M1719" s="16" t="s">
        <v>299</v>
      </c>
      <c r="N1719" s="11"/>
      <c r="O1719" s="11"/>
      <c r="P1719" s="16" t="s">
        <v>2628</v>
      </c>
      <c r="Q1719" s="16" t="s">
        <v>2629</v>
      </c>
      <c r="R1719" s="11" t="s">
        <v>144</v>
      </c>
      <c r="S1719" s="11"/>
    </row>
    <row r="1720" spans="1:19" s="20" customFormat="1" ht="21.75" hidden="1" customHeight="1" x14ac:dyDescent="0.2">
      <c r="A1720" s="16" t="s">
        <v>2623</v>
      </c>
      <c r="B1720" s="16" t="s">
        <v>73</v>
      </c>
      <c r="C1720" s="18">
        <v>46162</v>
      </c>
      <c r="D1720" s="21">
        <v>24</v>
      </c>
      <c r="E1720" s="19">
        <v>1</v>
      </c>
      <c r="F1720" s="197" t="s">
        <v>2626</v>
      </c>
      <c r="G1720" s="197" t="s">
        <v>862</v>
      </c>
      <c r="H1720" s="16" t="s">
        <v>1650</v>
      </c>
      <c r="I1720" s="16" t="s">
        <v>733</v>
      </c>
      <c r="J1720" s="17">
        <v>20610373608</v>
      </c>
      <c r="K1720" s="17">
        <v>981468403</v>
      </c>
      <c r="L1720" s="16" t="s">
        <v>736</v>
      </c>
      <c r="M1720" s="16" t="s">
        <v>299</v>
      </c>
      <c r="N1720" s="11"/>
      <c r="O1720" s="11"/>
      <c r="P1720" s="16" t="s">
        <v>2628</v>
      </c>
      <c r="Q1720" s="16" t="s">
        <v>2629</v>
      </c>
      <c r="R1720" s="11" t="s">
        <v>144</v>
      </c>
      <c r="S1720" s="11"/>
    </row>
    <row r="1721" spans="1:19" s="20" customFormat="1" ht="21.75" hidden="1" customHeight="1" x14ac:dyDescent="0.2">
      <c r="A1721" s="16" t="s">
        <v>2630</v>
      </c>
      <c r="B1721" s="17">
        <v>114055</v>
      </c>
      <c r="C1721" s="18">
        <v>46162</v>
      </c>
      <c r="D1721" s="21">
        <v>12</v>
      </c>
      <c r="E1721" s="19">
        <v>1</v>
      </c>
      <c r="F1721" s="16" t="s">
        <v>1298</v>
      </c>
      <c r="G1721" s="16" t="s">
        <v>1304</v>
      </c>
      <c r="H1721" s="11" t="s">
        <v>76</v>
      </c>
      <c r="I1721" s="16" t="s">
        <v>844</v>
      </c>
      <c r="J1721" s="17">
        <v>20136847237</v>
      </c>
      <c r="K1721" s="17">
        <v>962673399</v>
      </c>
      <c r="L1721" s="16" t="s">
        <v>2639</v>
      </c>
      <c r="M1721" s="16" t="s">
        <v>306</v>
      </c>
      <c r="N1721" s="11"/>
      <c r="O1721" s="11"/>
      <c r="P1721" s="16" t="s">
        <v>2638</v>
      </c>
      <c r="Q1721" s="11" t="s">
        <v>2642</v>
      </c>
      <c r="R1721" s="16" t="s">
        <v>395</v>
      </c>
      <c r="S1721" s="11"/>
    </row>
    <row r="1722" spans="1:19" s="20" customFormat="1" ht="21.75" hidden="1" customHeight="1" x14ac:dyDescent="0.2">
      <c r="A1722" s="16" t="s">
        <v>2630</v>
      </c>
      <c r="B1722" s="17">
        <v>114055</v>
      </c>
      <c r="C1722" s="18">
        <v>46162</v>
      </c>
      <c r="D1722" s="21">
        <v>12</v>
      </c>
      <c r="E1722" s="19">
        <v>1</v>
      </c>
      <c r="F1722" s="16" t="s">
        <v>2005</v>
      </c>
      <c r="G1722" s="16" t="s">
        <v>2007</v>
      </c>
      <c r="H1722" s="11" t="s">
        <v>76</v>
      </c>
      <c r="I1722" s="16" t="s">
        <v>844</v>
      </c>
      <c r="J1722" s="17">
        <v>20136847237</v>
      </c>
      <c r="K1722" s="17">
        <v>962673399</v>
      </c>
      <c r="L1722" s="16" t="s">
        <v>2639</v>
      </c>
      <c r="M1722" s="16" t="s">
        <v>306</v>
      </c>
      <c r="N1722" s="11"/>
      <c r="O1722" s="11"/>
      <c r="P1722" s="16" t="s">
        <v>2638</v>
      </c>
      <c r="Q1722" s="11" t="s">
        <v>2642</v>
      </c>
      <c r="R1722" s="16" t="s">
        <v>395</v>
      </c>
      <c r="S1722" s="11"/>
    </row>
    <row r="1723" spans="1:19" s="20" customFormat="1" ht="21.75" hidden="1" customHeight="1" x14ac:dyDescent="0.2">
      <c r="A1723" s="16" t="s">
        <v>2630</v>
      </c>
      <c r="B1723" s="17">
        <v>114055</v>
      </c>
      <c r="C1723" s="18">
        <v>46162</v>
      </c>
      <c r="D1723" s="21">
        <v>6</v>
      </c>
      <c r="E1723" s="19">
        <v>1</v>
      </c>
      <c r="F1723" s="16" t="s">
        <v>46</v>
      </c>
      <c r="G1723" s="16" t="s">
        <v>104</v>
      </c>
      <c r="H1723" s="11" t="s">
        <v>76</v>
      </c>
      <c r="I1723" s="16" t="s">
        <v>844</v>
      </c>
      <c r="J1723" s="17">
        <v>20136847237</v>
      </c>
      <c r="K1723" s="17">
        <v>962673399</v>
      </c>
      <c r="L1723" s="16" t="s">
        <v>2639</v>
      </c>
      <c r="M1723" s="16" t="s">
        <v>306</v>
      </c>
      <c r="N1723" s="11"/>
      <c r="O1723" s="11"/>
      <c r="P1723" s="16" t="s">
        <v>2638</v>
      </c>
      <c r="Q1723" s="11" t="s">
        <v>2642</v>
      </c>
      <c r="R1723" s="16" t="s">
        <v>395</v>
      </c>
      <c r="S1723" s="11"/>
    </row>
    <row r="1724" spans="1:19" s="20" customFormat="1" ht="21.75" hidden="1" customHeight="1" x14ac:dyDescent="0.2">
      <c r="A1724" s="16" t="s">
        <v>2630</v>
      </c>
      <c r="B1724" s="17">
        <v>114055</v>
      </c>
      <c r="C1724" s="18">
        <v>46162</v>
      </c>
      <c r="D1724" s="21">
        <v>12</v>
      </c>
      <c r="E1724" s="19">
        <v>1</v>
      </c>
      <c r="F1724" s="16" t="s">
        <v>2634</v>
      </c>
      <c r="G1724" s="16" t="s">
        <v>2636</v>
      </c>
      <c r="H1724" s="11" t="s">
        <v>76</v>
      </c>
      <c r="I1724" s="16" t="s">
        <v>844</v>
      </c>
      <c r="J1724" s="17">
        <v>20136847237</v>
      </c>
      <c r="K1724" s="17">
        <v>962673399</v>
      </c>
      <c r="L1724" s="16" t="s">
        <v>2639</v>
      </c>
      <c r="M1724" s="16" t="s">
        <v>306</v>
      </c>
      <c r="N1724" s="11"/>
      <c r="O1724" s="11"/>
      <c r="P1724" s="16" t="s">
        <v>2638</v>
      </c>
      <c r="Q1724" s="11" t="s">
        <v>2642</v>
      </c>
      <c r="R1724" s="16" t="s">
        <v>395</v>
      </c>
      <c r="S1724" s="11"/>
    </row>
    <row r="1725" spans="1:19" s="20" customFormat="1" ht="21.75" hidden="1" customHeight="1" x14ac:dyDescent="0.2">
      <c r="A1725" s="16" t="s">
        <v>2630</v>
      </c>
      <c r="B1725" s="17">
        <v>114055</v>
      </c>
      <c r="C1725" s="18">
        <v>46162</v>
      </c>
      <c r="D1725" s="21">
        <v>24</v>
      </c>
      <c r="E1725" s="19">
        <v>1</v>
      </c>
      <c r="F1725" s="16" t="s">
        <v>2635</v>
      </c>
      <c r="G1725" s="16" t="s">
        <v>2637</v>
      </c>
      <c r="H1725" s="11" t="s">
        <v>76</v>
      </c>
      <c r="I1725" s="16" t="s">
        <v>844</v>
      </c>
      <c r="J1725" s="17">
        <v>20136847237</v>
      </c>
      <c r="K1725" s="17">
        <v>962673399</v>
      </c>
      <c r="L1725" s="16" t="s">
        <v>2639</v>
      </c>
      <c r="M1725" s="16" t="s">
        <v>306</v>
      </c>
      <c r="N1725" s="11"/>
      <c r="O1725" s="11"/>
      <c r="P1725" s="16" t="s">
        <v>2638</v>
      </c>
      <c r="Q1725" s="11" t="s">
        <v>2642</v>
      </c>
      <c r="R1725" s="16" t="s">
        <v>395</v>
      </c>
      <c r="S1725" s="11"/>
    </row>
    <row r="1726" spans="1:19" s="20" customFormat="1" ht="21.75" hidden="1" customHeight="1" x14ac:dyDescent="0.2">
      <c r="A1726" s="16" t="s">
        <v>2631</v>
      </c>
      <c r="B1726" s="17" t="s">
        <v>2632</v>
      </c>
      <c r="C1726" s="18">
        <v>46162</v>
      </c>
      <c r="D1726" s="21">
        <v>1</v>
      </c>
      <c r="E1726" s="19">
        <v>1</v>
      </c>
      <c r="F1726" s="16" t="s">
        <v>53</v>
      </c>
      <c r="G1726" s="16" t="s">
        <v>121</v>
      </c>
      <c r="H1726" s="11" t="s">
        <v>99</v>
      </c>
      <c r="I1726" s="16" t="s">
        <v>2633</v>
      </c>
      <c r="J1726" s="17">
        <v>43059289</v>
      </c>
      <c r="K1726" s="17" t="s">
        <v>2641</v>
      </c>
      <c r="L1726" s="16" t="s">
        <v>2640</v>
      </c>
      <c r="M1726" s="16" t="s">
        <v>474</v>
      </c>
      <c r="N1726" s="11"/>
      <c r="O1726" s="11"/>
      <c r="P1726" s="16" t="s">
        <v>1673</v>
      </c>
      <c r="Q1726" s="11"/>
      <c r="R1726" s="16" t="s">
        <v>440</v>
      </c>
      <c r="S1726" s="11"/>
    </row>
    <row r="1727" spans="1:19" ht="21.75" hidden="1" customHeight="1" x14ac:dyDescent="0.25">
      <c r="A1727" s="56" t="s">
        <v>2645</v>
      </c>
      <c r="B1727" s="75">
        <v>4512830586</v>
      </c>
      <c r="C1727" s="52">
        <v>46163</v>
      </c>
      <c r="D1727" s="54">
        <v>4</v>
      </c>
      <c r="E1727" s="54">
        <v>1</v>
      </c>
      <c r="F1727" s="56" t="s">
        <v>602</v>
      </c>
      <c r="G1727" s="56" t="s">
        <v>606</v>
      </c>
      <c r="H1727" s="84" t="s">
        <v>76</v>
      </c>
      <c r="I1727" s="56" t="s">
        <v>284</v>
      </c>
      <c r="J1727" s="75">
        <v>20109072177</v>
      </c>
      <c r="K1727" s="56"/>
      <c r="L1727" s="11" t="s">
        <v>2658</v>
      </c>
      <c r="M1727" s="56" t="s">
        <v>474</v>
      </c>
      <c r="N1727" s="56"/>
      <c r="O1727" s="56"/>
      <c r="P1727" s="56" t="s">
        <v>256</v>
      </c>
      <c r="Q1727" s="11" t="s">
        <v>646</v>
      </c>
      <c r="R1727" s="84" t="s">
        <v>289</v>
      </c>
      <c r="S1727" s="56"/>
    </row>
    <row r="1728" spans="1:19" s="20" customFormat="1" ht="21.75" hidden="1" customHeight="1" x14ac:dyDescent="0.2">
      <c r="A1728" s="56" t="s">
        <v>2646</v>
      </c>
      <c r="B1728" s="75">
        <v>4512826669</v>
      </c>
      <c r="C1728" s="52">
        <v>46163</v>
      </c>
      <c r="D1728" s="54">
        <v>4</v>
      </c>
      <c r="E1728" s="54">
        <v>1</v>
      </c>
      <c r="F1728" s="56" t="s">
        <v>15</v>
      </c>
      <c r="G1728" s="56" t="s">
        <v>96</v>
      </c>
      <c r="H1728" s="84" t="s">
        <v>76</v>
      </c>
      <c r="I1728" s="56" t="s">
        <v>284</v>
      </c>
      <c r="J1728" s="75">
        <v>20109072177</v>
      </c>
      <c r="K1728" s="56"/>
      <c r="L1728" s="56" t="s">
        <v>2657</v>
      </c>
      <c r="M1728" s="56" t="s">
        <v>2366</v>
      </c>
      <c r="N1728" s="56"/>
      <c r="O1728" s="56"/>
      <c r="P1728" s="56" t="s">
        <v>1036</v>
      </c>
      <c r="Q1728" s="56" t="s">
        <v>1489</v>
      </c>
      <c r="R1728" s="84" t="s">
        <v>289</v>
      </c>
      <c r="S1728" s="56"/>
    </row>
    <row r="1729" spans="1:19" s="20" customFormat="1" ht="21.75" hidden="1" customHeight="1" x14ac:dyDescent="0.2">
      <c r="A1729" s="56" t="s">
        <v>2646</v>
      </c>
      <c r="B1729" s="75">
        <v>4512826669</v>
      </c>
      <c r="C1729" s="52">
        <v>46163</v>
      </c>
      <c r="D1729" s="54">
        <v>4</v>
      </c>
      <c r="E1729" s="54">
        <v>1</v>
      </c>
      <c r="F1729" s="56" t="s">
        <v>302</v>
      </c>
      <c r="G1729" s="56" t="s">
        <v>303</v>
      </c>
      <c r="H1729" s="84" t="s">
        <v>76</v>
      </c>
      <c r="I1729" s="56" t="s">
        <v>284</v>
      </c>
      <c r="J1729" s="75">
        <v>20109072177</v>
      </c>
      <c r="K1729" s="56"/>
      <c r="L1729" s="56" t="s">
        <v>2657</v>
      </c>
      <c r="M1729" s="56" t="s">
        <v>2366</v>
      </c>
      <c r="N1729" s="56"/>
      <c r="O1729" s="56"/>
      <c r="P1729" s="56" t="s">
        <v>1036</v>
      </c>
      <c r="Q1729" s="56" t="s">
        <v>1489</v>
      </c>
      <c r="R1729" s="84" t="s">
        <v>289</v>
      </c>
      <c r="S1729" s="56"/>
    </row>
    <row r="1730" spans="1:19" ht="21.75" hidden="1" customHeight="1" x14ac:dyDescent="0.25">
      <c r="A1730" s="56" t="s">
        <v>2647</v>
      </c>
      <c r="B1730" s="75">
        <v>4512826690</v>
      </c>
      <c r="C1730" s="52">
        <v>46163</v>
      </c>
      <c r="D1730" s="180">
        <v>4</v>
      </c>
      <c r="E1730" s="54">
        <v>1</v>
      </c>
      <c r="F1730" s="56" t="s">
        <v>602</v>
      </c>
      <c r="G1730" s="56" t="s">
        <v>606</v>
      </c>
      <c r="H1730" s="84" t="s">
        <v>76</v>
      </c>
      <c r="I1730" s="56" t="s">
        <v>284</v>
      </c>
      <c r="J1730" s="75">
        <v>20109072177</v>
      </c>
      <c r="K1730" s="56"/>
      <c r="L1730" s="56" t="s">
        <v>650</v>
      </c>
      <c r="M1730" s="56" t="s">
        <v>299</v>
      </c>
      <c r="N1730" s="56"/>
      <c r="O1730" s="56"/>
      <c r="P1730" s="137" t="s">
        <v>630</v>
      </c>
      <c r="Q1730" s="56" t="s">
        <v>637</v>
      </c>
      <c r="R1730" s="84" t="s">
        <v>289</v>
      </c>
      <c r="S1730" s="56"/>
    </row>
    <row r="1731" spans="1:19" ht="21.75" hidden="1" customHeight="1" x14ac:dyDescent="0.25">
      <c r="A1731" s="56" t="s">
        <v>2647</v>
      </c>
      <c r="B1731" s="75">
        <v>4512826690</v>
      </c>
      <c r="C1731" s="52">
        <v>46163</v>
      </c>
      <c r="D1731" s="180">
        <v>4</v>
      </c>
      <c r="E1731" s="54">
        <v>1</v>
      </c>
      <c r="F1731" s="56" t="s">
        <v>28</v>
      </c>
      <c r="G1731" s="56" t="s">
        <v>95</v>
      </c>
      <c r="H1731" s="84" t="s">
        <v>76</v>
      </c>
      <c r="I1731" s="56" t="s">
        <v>284</v>
      </c>
      <c r="J1731" s="75">
        <v>20109072177</v>
      </c>
      <c r="K1731" s="56"/>
      <c r="L1731" s="56" t="s">
        <v>650</v>
      </c>
      <c r="M1731" s="56" t="s">
        <v>299</v>
      </c>
      <c r="N1731" s="56"/>
      <c r="O1731" s="56"/>
      <c r="P1731" s="137" t="s">
        <v>630</v>
      </c>
      <c r="Q1731" s="56" t="s">
        <v>637</v>
      </c>
      <c r="R1731" s="84" t="s">
        <v>289</v>
      </c>
      <c r="S1731" s="56"/>
    </row>
    <row r="1732" spans="1:19" ht="21.75" hidden="1" customHeight="1" x14ac:dyDescent="0.25">
      <c r="A1732" s="56" t="s">
        <v>2648</v>
      </c>
      <c r="B1732" s="75">
        <v>451286700</v>
      </c>
      <c r="C1732" s="52">
        <v>46163</v>
      </c>
      <c r="D1732" s="54">
        <v>4</v>
      </c>
      <c r="E1732" s="54">
        <v>1</v>
      </c>
      <c r="F1732" s="56" t="s">
        <v>28</v>
      </c>
      <c r="G1732" s="56" t="s">
        <v>95</v>
      </c>
      <c r="H1732" s="84" t="s">
        <v>76</v>
      </c>
      <c r="I1732" s="56" t="s">
        <v>284</v>
      </c>
      <c r="J1732" s="75">
        <v>20109072177</v>
      </c>
      <c r="K1732" s="56"/>
      <c r="L1732" s="56" t="s">
        <v>2356</v>
      </c>
      <c r="M1732" s="56" t="s">
        <v>2364</v>
      </c>
      <c r="N1732" s="56"/>
      <c r="O1732" s="56"/>
      <c r="P1732" s="56" t="s">
        <v>631</v>
      </c>
      <c r="Q1732" s="56" t="s">
        <v>638</v>
      </c>
      <c r="R1732" s="84" t="s">
        <v>289</v>
      </c>
      <c r="S1732" s="56"/>
    </row>
    <row r="1733" spans="1:19" ht="21.75" hidden="1" customHeight="1" x14ac:dyDescent="0.25">
      <c r="A1733" s="56" t="s">
        <v>2649</v>
      </c>
      <c r="B1733" s="75">
        <v>4512826735</v>
      </c>
      <c r="C1733" s="52">
        <v>46163</v>
      </c>
      <c r="D1733" s="54">
        <v>4</v>
      </c>
      <c r="E1733" s="54">
        <v>1</v>
      </c>
      <c r="F1733" s="56" t="s">
        <v>28</v>
      </c>
      <c r="G1733" s="56" t="s">
        <v>95</v>
      </c>
      <c r="H1733" s="84" t="s">
        <v>76</v>
      </c>
      <c r="I1733" s="56" t="s">
        <v>284</v>
      </c>
      <c r="J1733" s="75">
        <v>20109072177</v>
      </c>
      <c r="K1733" s="56"/>
      <c r="L1733" s="56" t="s">
        <v>2357</v>
      </c>
      <c r="M1733" s="56" t="s">
        <v>2364</v>
      </c>
      <c r="N1733" s="56"/>
      <c r="O1733" s="56"/>
      <c r="P1733" s="137" t="s">
        <v>632</v>
      </c>
      <c r="Q1733" s="56" t="s">
        <v>639</v>
      </c>
      <c r="R1733" s="84" t="s">
        <v>289</v>
      </c>
      <c r="S1733" s="56"/>
    </row>
    <row r="1734" spans="1:19" ht="21.75" hidden="1" customHeight="1" x14ac:dyDescent="0.25">
      <c r="A1734" s="56" t="s">
        <v>2649</v>
      </c>
      <c r="B1734" s="75">
        <v>4512826735</v>
      </c>
      <c r="C1734" s="52">
        <v>46163</v>
      </c>
      <c r="D1734" s="54">
        <v>4</v>
      </c>
      <c r="E1734" s="54">
        <v>1</v>
      </c>
      <c r="F1734" s="56" t="s">
        <v>302</v>
      </c>
      <c r="G1734" s="56" t="s">
        <v>303</v>
      </c>
      <c r="H1734" s="84" t="s">
        <v>76</v>
      </c>
      <c r="I1734" s="56" t="s">
        <v>284</v>
      </c>
      <c r="J1734" s="75">
        <v>20109072177</v>
      </c>
      <c r="K1734" s="56"/>
      <c r="L1734" s="56" t="s">
        <v>2357</v>
      </c>
      <c r="M1734" s="56" t="s">
        <v>2364</v>
      </c>
      <c r="N1734" s="56"/>
      <c r="O1734" s="56"/>
      <c r="P1734" s="137" t="s">
        <v>632</v>
      </c>
      <c r="Q1734" s="56" t="s">
        <v>639</v>
      </c>
      <c r="R1734" s="84" t="s">
        <v>289</v>
      </c>
      <c r="S1734" s="56"/>
    </row>
    <row r="1735" spans="1:19" ht="21.75" hidden="1" customHeight="1" x14ac:dyDescent="0.25">
      <c r="A1735" s="56" t="s">
        <v>2649</v>
      </c>
      <c r="B1735" s="75">
        <v>4512826735</v>
      </c>
      <c r="C1735" s="52">
        <v>46163</v>
      </c>
      <c r="D1735" s="54">
        <v>4</v>
      </c>
      <c r="E1735" s="54">
        <v>1</v>
      </c>
      <c r="F1735" s="16" t="s">
        <v>38</v>
      </c>
      <c r="G1735" s="16" t="s">
        <v>97</v>
      </c>
      <c r="H1735" s="84" t="s">
        <v>76</v>
      </c>
      <c r="I1735" s="56" t="s">
        <v>284</v>
      </c>
      <c r="J1735" s="75">
        <v>20109072177</v>
      </c>
      <c r="K1735" s="56"/>
      <c r="L1735" s="56" t="s">
        <v>2357</v>
      </c>
      <c r="M1735" s="56" t="s">
        <v>2364</v>
      </c>
      <c r="N1735" s="56"/>
      <c r="O1735" s="56"/>
      <c r="P1735" s="137" t="s">
        <v>632</v>
      </c>
      <c r="Q1735" s="56" t="s">
        <v>639</v>
      </c>
      <c r="R1735" s="84" t="s">
        <v>289</v>
      </c>
      <c r="S1735" s="56"/>
    </row>
    <row r="1736" spans="1:19" ht="21.75" hidden="1" customHeight="1" x14ac:dyDescent="0.25">
      <c r="A1736" s="56" t="s">
        <v>2650</v>
      </c>
      <c r="B1736" s="75">
        <v>4512830377</v>
      </c>
      <c r="C1736" s="52">
        <v>46163</v>
      </c>
      <c r="D1736" s="54">
        <v>4</v>
      </c>
      <c r="E1736" s="54">
        <v>1</v>
      </c>
      <c r="F1736" s="56" t="s">
        <v>602</v>
      </c>
      <c r="G1736" s="56" t="s">
        <v>606</v>
      </c>
      <c r="H1736" s="84" t="s">
        <v>76</v>
      </c>
      <c r="I1736" s="56" t="s">
        <v>284</v>
      </c>
      <c r="J1736" s="75">
        <v>20109072177</v>
      </c>
      <c r="K1736" s="56"/>
      <c r="L1736" s="56" t="s">
        <v>1015</v>
      </c>
      <c r="M1736" s="56" t="s">
        <v>474</v>
      </c>
      <c r="N1736" s="56"/>
      <c r="O1736" s="56"/>
      <c r="P1736" s="181" t="s">
        <v>635</v>
      </c>
      <c r="Q1736" s="56" t="s">
        <v>641</v>
      </c>
      <c r="R1736" s="84" t="s">
        <v>289</v>
      </c>
      <c r="S1736" s="56"/>
    </row>
    <row r="1737" spans="1:19" ht="21.75" hidden="1" customHeight="1" x14ac:dyDescent="0.25">
      <c r="A1737" s="56" t="s">
        <v>2650</v>
      </c>
      <c r="B1737" s="75">
        <v>4512830377</v>
      </c>
      <c r="C1737" s="52">
        <v>46163</v>
      </c>
      <c r="D1737" s="54">
        <v>4</v>
      </c>
      <c r="E1737" s="54">
        <v>1</v>
      </c>
      <c r="F1737" s="56" t="s">
        <v>28</v>
      </c>
      <c r="G1737" s="56" t="s">
        <v>95</v>
      </c>
      <c r="H1737" s="84" t="s">
        <v>76</v>
      </c>
      <c r="I1737" s="56" t="s">
        <v>284</v>
      </c>
      <c r="J1737" s="75">
        <v>20109072177</v>
      </c>
      <c r="K1737" s="56"/>
      <c r="L1737" s="56" t="s">
        <v>1015</v>
      </c>
      <c r="M1737" s="56" t="s">
        <v>474</v>
      </c>
      <c r="N1737" s="56"/>
      <c r="O1737" s="56"/>
      <c r="P1737" s="181" t="s">
        <v>635</v>
      </c>
      <c r="Q1737" s="56" t="s">
        <v>641</v>
      </c>
      <c r="R1737" s="84" t="s">
        <v>289</v>
      </c>
      <c r="S1737" s="56"/>
    </row>
    <row r="1738" spans="1:19" ht="21.75" hidden="1" customHeight="1" x14ac:dyDescent="0.25">
      <c r="A1738" s="56" t="s">
        <v>2651</v>
      </c>
      <c r="B1738" s="75">
        <v>4512830444</v>
      </c>
      <c r="C1738" s="52">
        <v>46163</v>
      </c>
      <c r="D1738" s="54">
        <v>4</v>
      </c>
      <c r="E1738" s="54">
        <v>1</v>
      </c>
      <c r="F1738" s="16" t="s">
        <v>38</v>
      </c>
      <c r="G1738" s="16" t="s">
        <v>97</v>
      </c>
      <c r="H1738" s="84" t="s">
        <v>76</v>
      </c>
      <c r="I1738" s="56" t="s">
        <v>284</v>
      </c>
      <c r="J1738" s="75">
        <v>20109072177</v>
      </c>
      <c r="K1738" s="56"/>
      <c r="L1738" s="56" t="s">
        <v>2360</v>
      </c>
      <c r="M1738" s="56" t="s">
        <v>2362</v>
      </c>
      <c r="N1738" s="56"/>
      <c r="O1738" s="56"/>
      <c r="P1738" s="56" t="s">
        <v>256</v>
      </c>
      <c r="Q1738" s="56" t="s">
        <v>1048</v>
      </c>
      <c r="R1738" s="84" t="s">
        <v>289</v>
      </c>
      <c r="S1738" s="56"/>
    </row>
    <row r="1739" spans="1:19" ht="21.75" hidden="1" customHeight="1" x14ac:dyDescent="0.25">
      <c r="A1739" s="56" t="s">
        <v>2652</v>
      </c>
      <c r="B1739" s="75">
        <v>4512830493</v>
      </c>
      <c r="C1739" s="52">
        <v>46163</v>
      </c>
      <c r="D1739" s="54">
        <v>4</v>
      </c>
      <c r="E1739" s="54">
        <v>1</v>
      </c>
      <c r="F1739" s="56" t="s">
        <v>30</v>
      </c>
      <c r="G1739" s="56" t="s">
        <v>122</v>
      </c>
      <c r="H1739" s="84" t="s">
        <v>76</v>
      </c>
      <c r="I1739" s="56" t="s">
        <v>284</v>
      </c>
      <c r="J1739" s="75">
        <v>20109072177</v>
      </c>
      <c r="K1739" s="56"/>
      <c r="L1739" s="56" t="s">
        <v>2349</v>
      </c>
      <c r="M1739" s="56" t="s">
        <v>2363</v>
      </c>
      <c r="N1739" s="56"/>
      <c r="O1739" s="56"/>
      <c r="P1739" s="56" t="s">
        <v>2373</v>
      </c>
      <c r="Q1739" s="56" t="s">
        <v>313</v>
      </c>
      <c r="R1739" s="84" t="s">
        <v>289</v>
      </c>
      <c r="S1739" s="56"/>
    </row>
    <row r="1740" spans="1:19" ht="21.75" hidden="1" customHeight="1" x14ac:dyDescent="0.25">
      <c r="A1740" s="56" t="s">
        <v>2653</v>
      </c>
      <c r="B1740" s="75">
        <v>4512830518</v>
      </c>
      <c r="C1740" s="52">
        <v>46163</v>
      </c>
      <c r="D1740" s="54">
        <v>4</v>
      </c>
      <c r="E1740" s="54">
        <v>1</v>
      </c>
      <c r="F1740" s="56" t="s">
        <v>602</v>
      </c>
      <c r="G1740" s="56" t="s">
        <v>606</v>
      </c>
      <c r="H1740" s="84" t="s">
        <v>76</v>
      </c>
      <c r="I1740" s="56" t="s">
        <v>284</v>
      </c>
      <c r="J1740" s="75">
        <v>20109072177</v>
      </c>
      <c r="K1740" s="56"/>
      <c r="L1740" s="56" t="s">
        <v>2350</v>
      </c>
      <c r="M1740" s="56" t="s">
        <v>2362</v>
      </c>
      <c r="N1740" s="56"/>
      <c r="O1740" s="56"/>
      <c r="P1740" s="56" t="s">
        <v>2374</v>
      </c>
      <c r="Q1740" s="56" t="s">
        <v>643</v>
      </c>
      <c r="R1740" s="84" t="s">
        <v>289</v>
      </c>
      <c r="S1740" s="56"/>
    </row>
    <row r="1741" spans="1:19" ht="21.75" hidden="1" customHeight="1" x14ac:dyDescent="0.25">
      <c r="A1741" s="56" t="s">
        <v>2653</v>
      </c>
      <c r="B1741" s="75">
        <v>4512830518</v>
      </c>
      <c r="C1741" s="52">
        <v>46163</v>
      </c>
      <c r="D1741" s="54">
        <v>4</v>
      </c>
      <c r="E1741" s="54">
        <v>1</v>
      </c>
      <c r="F1741" s="56" t="s">
        <v>15</v>
      </c>
      <c r="G1741" s="56" t="s">
        <v>96</v>
      </c>
      <c r="H1741" s="84" t="s">
        <v>76</v>
      </c>
      <c r="I1741" s="56" t="s">
        <v>284</v>
      </c>
      <c r="J1741" s="75">
        <v>20109072177</v>
      </c>
      <c r="K1741" s="56"/>
      <c r="L1741" s="56" t="s">
        <v>2350</v>
      </c>
      <c r="M1741" s="56" t="s">
        <v>2362</v>
      </c>
      <c r="N1741" s="56"/>
      <c r="O1741" s="56"/>
      <c r="P1741" s="56" t="s">
        <v>2374</v>
      </c>
      <c r="Q1741" s="56" t="s">
        <v>643</v>
      </c>
      <c r="R1741" s="84" t="s">
        <v>289</v>
      </c>
      <c r="S1741" s="56"/>
    </row>
    <row r="1742" spans="1:19" ht="21.75" hidden="1" customHeight="1" x14ac:dyDescent="0.25">
      <c r="A1742" s="56" t="s">
        <v>2654</v>
      </c>
      <c r="B1742" s="75">
        <v>4512830531</v>
      </c>
      <c r="C1742" s="52">
        <v>46163</v>
      </c>
      <c r="D1742" s="54">
        <v>4</v>
      </c>
      <c r="E1742" s="54">
        <v>1</v>
      </c>
      <c r="F1742" s="56" t="s">
        <v>29</v>
      </c>
      <c r="G1742" s="56" t="s">
        <v>94</v>
      </c>
      <c r="H1742" s="84" t="s">
        <v>76</v>
      </c>
      <c r="I1742" s="56" t="s">
        <v>284</v>
      </c>
      <c r="J1742" s="75">
        <v>20109072177</v>
      </c>
      <c r="K1742" s="56"/>
      <c r="L1742" s="56" t="s">
        <v>2347</v>
      </c>
      <c r="M1742" s="56" t="s">
        <v>2362</v>
      </c>
      <c r="N1742" s="56"/>
      <c r="O1742" s="56"/>
      <c r="P1742" s="56" t="s">
        <v>631</v>
      </c>
      <c r="Q1742" s="56" t="s">
        <v>644</v>
      </c>
      <c r="R1742" s="84" t="s">
        <v>289</v>
      </c>
      <c r="S1742" s="56"/>
    </row>
    <row r="1743" spans="1:19" ht="21.75" hidden="1" customHeight="1" x14ac:dyDescent="0.25">
      <c r="A1743" s="56" t="s">
        <v>2654</v>
      </c>
      <c r="B1743" s="75">
        <v>4512830531</v>
      </c>
      <c r="C1743" s="52">
        <v>46163</v>
      </c>
      <c r="D1743" s="54">
        <v>4</v>
      </c>
      <c r="E1743" s="54">
        <v>1</v>
      </c>
      <c r="F1743" s="56" t="s">
        <v>28</v>
      </c>
      <c r="G1743" s="56" t="s">
        <v>95</v>
      </c>
      <c r="H1743" s="84" t="s">
        <v>76</v>
      </c>
      <c r="I1743" s="56" t="s">
        <v>284</v>
      </c>
      <c r="J1743" s="75">
        <v>20109072177</v>
      </c>
      <c r="K1743" s="56"/>
      <c r="L1743" s="56" t="s">
        <v>2347</v>
      </c>
      <c r="M1743" s="56" t="s">
        <v>2362</v>
      </c>
      <c r="N1743" s="56"/>
      <c r="O1743" s="56"/>
      <c r="P1743" s="56" t="s">
        <v>631</v>
      </c>
      <c r="Q1743" s="56" t="s">
        <v>644</v>
      </c>
      <c r="R1743" s="84" t="s">
        <v>289</v>
      </c>
      <c r="S1743" s="56"/>
    </row>
    <row r="1744" spans="1:19" ht="21.75" hidden="1" customHeight="1" x14ac:dyDescent="0.25">
      <c r="A1744" s="56" t="s">
        <v>2654</v>
      </c>
      <c r="B1744" s="75">
        <v>4512830531</v>
      </c>
      <c r="C1744" s="52">
        <v>46163</v>
      </c>
      <c r="D1744" s="54">
        <v>4</v>
      </c>
      <c r="E1744" s="54">
        <v>1</v>
      </c>
      <c r="F1744" s="56" t="s">
        <v>326</v>
      </c>
      <c r="G1744" s="56" t="s">
        <v>339</v>
      </c>
      <c r="H1744" s="84" t="s">
        <v>76</v>
      </c>
      <c r="I1744" s="56" t="s">
        <v>284</v>
      </c>
      <c r="J1744" s="75">
        <v>20109072177</v>
      </c>
      <c r="K1744" s="56"/>
      <c r="L1744" s="56" t="s">
        <v>2347</v>
      </c>
      <c r="M1744" s="56" t="s">
        <v>2362</v>
      </c>
      <c r="N1744" s="56"/>
      <c r="O1744" s="56"/>
      <c r="P1744" s="56" t="s">
        <v>631</v>
      </c>
      <c r="Q1744" s="56" t="s">
        <v>644</v>
      </c>
      <c r="R1744" s="84" t="s">
        <v>289</v>
      </c>
      <c r="S1744" s="56"/>
    </row>
    <row r="1745" spans="1:19" ht="21.75" hidden="1" customHeight="1" x14ac:dyDescent="0.25">
      <c r="A1745" s="56" t="s">
        <v>2654</v>
      </c>
      <c r="B1745" s="75">
        <v>4512830531</v>
      </c>
      <c r="C1745" s="52">
        <v>46163</v>
      </c>
      <c r="D1745" s="54">
        <v>4</v>
      </c>
      <c r="E1745" s="54">
        <v>1</v>
      </c>
      <c r="F1745" s="56" t="s">
        <v>16</v>
      </c>
      <c r="G1745" s="56" t="s">
        <v>89</v>
      </c>
      <c r="H1745" s="84" t="s">
        <v>76</v>
      </c>
      <c r="I1745" s="56" t="s">
        <v>284</v>
      </c>
      <c r="J1745" s="75">
        <v>20109072177</v>
      </c>
      <c r="K1745" s="56"/>
      <c r="L1745" s="56" t="s">
        <v>2347</v>
      </c>
      <c r="M1745" s="56" t="s">
        <v>2362</v>
      </c>
      <c r="N1745" s="56"/>
      <c r="O1745" s="56"/>
      <c r="P1745" s="56" t="s">
        <v>631</v>
      </c>
      <c r="Q1745" s="56" t="s">
        <v>644</v>
      </c>
      <c r="R1745" s="84" t="s">
        <v>289</v>
      </c>
      <c r="S1745" s="56"/>
    </row>
    <row r="1746" spans="1:19" ht="21.75" hidden="1" customHeight="1" x14ac:dyDescent="0.25">
      <c r="A1746" s="56" t="s">
        <v>2655</v>
      </c>
      <c r="B1746" s="75">
        <v>4512830548</v>
      </c>
      <c r="C1746" s="52">
        <v>46163</v>
      </c>
      <c r="D1746" s="54">
        <v>4</v>
      </c>
      <c r="E1746" s="54">
        <v>1</v>
      </c>
      <c r="F1746" s="16" t="s">
        <v>38</v>
      </c>
      <c r="G1746" s="16" t="s">
        <v>97</v>
      </c>
      <c r="H1746" s="84" t="s">
        <v>76</v>
      </c>
      <c r="I1746" s="56" t="s">
        <v>284</v>
      </c>
      <c r="J1746" s="75">
        <v>20109072177</v>
      </c>
      <c r="K1746" s="56"/>
      <c r="L1746" s="56" t="s">
        <v>2351</v>
      </c>
      <c r="M1746" s="56" t="s">
        <v>2361</v>
      </c>
      <c r="N1746" s="56"/>
      <c r="O1746" s="56"/>
      <c r="P1746" s="56" t="s">
        <v>255</v>
      </c>
      <c r="Q1746" s="56" t="s">
        <v>1032</v>
      </c>
      <c r="R1746" s="84" t="s">
        <v>289</v>
      </c>
      <c r="S1746" s="56"/>
    </row>
    <row r="1747" spans="1:19" ht="21.75" hidden="1" customHeight="1" x14ac:dyDescent="0.25">
      <c r="A1747" s="56" t="s">
        <v>2655</v>
      </c>
      <c r="B1747" s="75">
        <v>4512830548</v>
      </c>
      <c r="C1747" s="52">
        <v>46163</v>
      </c>
      <c r="D1747" s="54">
        <v>4</v>
      </c>
      <c r="E1747" s="54">
        <v>1</v>
      </c>
      <c r="F1747" s="56" t="s">
        <v>602</v>
      </c>
      <c r="G1747" s="56" t="s">
        <v>606</v>
      </c>
      <c r="H1747" s="84" t="s">
        <v>76</v>
      </c>
      <c r="I1747" s="56" t="s">
        <v>284</v>
      </c>
      <c r="J1747" s="75">
        <v>20109072177</v>
      </c>
      <c r="K1747" s="56"/>
      <c r="L1747" s="56" t="s">
        <v>2351</v>
      </c>
      <c r="M1747" s="56" t="s">
        <v>2361</v>
      </c>
      <c r="N1747" s="56"/>
      <c r="O1747" s="56"/>
      <c r="P1747" s="56" t="s">
        <v>255</v>
      </c>
      <c r="Q1747" s="56" t="s">
        <v>1032</v>
      </c>
      <c r="R1747" s="84" t="s">
        <v>289</v>
      </c>
      <c r="S1747" s="56"/>
    </row>
    <row r="1748" spans="1:19" ht="21.75" hidden="1" customHeight="1" x14ac:dyDescent="0.25">
      <c r="A1748" s="56" t="s">
        <v>2656</v>
      </c>
      <c r="B1748" s="75">
        <v>4512830571</v>
      </c>
      <c r="C1748" s="52">
        <v>46163</v>
      </c>
      <c r="D1748" s="54">
        <v>6</v>
      </c>
      <c r="E1748" s="54">
        <v>3</v>
      </c>
      <c r="F1748" s="56" t="s">
        <v>2369</v>
      </c>
      <c r="G1748" s="56" t="s">
        <v>297</v>
      </c>
      <c r="H1748" s="84" t="s">
        <v>76</v>
      </c>
      <c r="I1748" s="56" t="s">
        <v>284</v>
      </c>
      <c r="J1748" s="75">
        <v>20109072177</v>
      </c>
      <c r="K1748" s="56"/>
      <c r="L1748" s="56" t="s">
        <v>2353</v>
      </c>
      <c r="M1748" s="56" t="s">
        <v>306</v>
      </c>
      <c r="N1748" s="56"/>
      <c r="O1748" s="56"/>
      <c r="P1748" s="56" t="s">
        <v>300</v>
      </c>
      <c r="Q1748" s="56" t="s">
        <v>301</v>
      </c>
      <c r="R1748" s="84" t="s">
        <v>289</v>
      </c>
      <c r="S1748" s="56"/>
    </row>
    <row r="1749" spans="1:19" ht="21.75" hidden="1" customHeight="1" x14ac:dyDescent="0.25">
      <c r="A1749" s="56" t="s">
        <v>2656</v>
      </c>
      <c r="B1749" s="75">
        <v>4512830571</v>
      </c>
      <c r="C1749" s="52">
        <v>46163</v>
      </c>
      <c r="D1749" s="54">
        <v>4</v>
      </c>
      <c r="E1749" s="54">
        <v>1</v>
      </c>
      <c r="F1749" s="56" t="s">
        <v>29</v>
      </c>
      <c r="G1749" s="56" t="s">
        <v>94</v>
      </c>
      <c r="H1749" s="84" t="s">
        <v>76</v>
      </c>
      <c r="I1749" s="56" t="s">
        <v>284</v>
      </c>
      <c r="J1749" s="75">
        <v>20109072177</v>
      </c>
      <c r="K1749" s="56"/>
      <c r="L1749" s="56" t="s">
        <v>2353</v>
      </c>
      <c r="M1749" s="56" t="s">
        <v>306</v>
      </c>
      <c r="N1749" s="56"/>
      <c r="O1749" s="56"/>
      <c r="P1749" s="56" t="s">
        <v>300</v>
      </c>
      <c r="Q1749" s="56" t="s">
        <v>301</v>
      </c>
      <c r="R1749" s="84" t="s">
        <v>289</v>
      </c>
      <c r="S1749" s="56"/>
    </row>
    <row r="1750" spans="1:19" s="20" customFormat="1" ht="21.75" hidden="1" customHeight="1" x14ac:dyDescent="0.2">
      <c r="A1750" s="56" t="s">
        <v>2660</v>
      </c>
      <c r="B1750" s="14">
        <v>14053099</v>
      </c>
      <c r="C1750" s="18">
        <v>46165</v>
      </c>
      <c r="D1750" s="19">
        <v>12</v>
      </c>
      <c r="E1750" s="19">
        <v>1</v>
      </c>
      <c r="F1750" s="11" t="s">
        <v>19</v>
      </c>
      <c r="G1750" s="14" t="s">
        <v>120</v>
      </c>
      <c r="H1750" s="84" t="s">
        <v>76</v>
      </c>
      <c r="I1750" s="56" t="s">
        <v>134</v>
      </c>
      <c r="J1750" s="17">
        <v>20100070970</v>
      </c>
      <c r="K1750" s="11"/>
      <c r="L1750" s="17" t="s">
        <v>1632</v>
      </c>
      <c r="M1750" s="17" t="s">
        <v>77</v>
      </c>
      <c r="N1750" s="14"/>
      <c r="O1750" s="14"/>
      <c r="P1750" s="17" t="s">
        <v>1912</v>
      </c>
      <c r="Q1750" s="14"/>
      <c r="R1750" s="17" t="s">
        <v>143</v>
      </c>
      <c r="S1750" s="14"/>
    </row>
    <row r="1751" spans="1:19" s="20" customFormat="1" ht="21.75" hidden="1" customHeight="1" x14ac:dyDescent="0.2">
      <c r="A1751" s="56" t="s">
        <v>2660</v>
      </c>
      <c r="B1751" s="14">
        <v>14053099</v>
      </c>
      <c r="C1751" s="18">
        <v>46165</v>
      </c>
      <c r="D1751" s="19">
        <v>24</v>
      </c>
      <c r="E1751" s="19">
        <v>2</v>
      </c>
      <c r="F1751" s="11" t="s">
        <v>21</v>
      </c>
      <c r="G1751" s="14" t="s">
        <v>115</v>
      </c>
      <c r="H1751" s="84" t="s">
        <v>76</v>
      </c>
      <c r="I1751" s="56" t="s">
        <v>134</v>
      </c>
      <c r="J1751" s="17">
        <v>20100070970</v>
      </c>
      <c r="K1751" s="11"/>
      <c r="L1751" s="17" t="s">
        <v>1632</v>
      </c>
      <c r="M1751" s="17" t="s">
        <v>77</v>
      </c>
      <c r="N1751" s="14"/>
      <c r="O1751" s="14"/>
      <c r="P1751" s="17" t="s">
        <v>1912</v>
      </c>
      <c r="Q1751" s="14"/>
      <c r="R1751" s="17" t="s">
        <v>143</v>
      </c>
      <c r="S1751" s="14"/>
    </row>
    <row r="1752" spans="1:19" s="20" customFormat="1" ht="21.75" hidden="1" customHeight="1" x14ac:dyDescent="0.2">
      <c r="A1752" s="56" t="s">
        <v>2660</v>
      </c>
      <c r="B1752" s="14">
        <v>14053099</v>
      </c>
      <c r="C1752" s="18">
        <v>46165</v>
      </c>
      <c r="D1752" s="19">
        <v>48</v>
      </c>
      <c r="E1752" s="19">
        <v>1</v>
      </c>
      <c r="F1752" s="11" t="s">
        <v>22</v>
      </c>
      <c r="G1752" s="14" t="s">
        <v>108</v>
      </c>
      <c r="H1752" s="84" t="s">
        <v>76</v>
      </c>
      <c r="I1752" s="56" t="s">
        <v>134</v>
      </c>
      <c r="J1752" s="17">
        <v>20100070970</v>
      </c>
      <c r="K1752" s="11"/>
      <c r="L1752" s="17" t="s">
        <v>1632</v>
      </c>
      <c r="M1752" s="17" t="s">
        <v>77</v>
      </c>
      <c r="N1752" s="14"/>
      <c r="O1752" s="14"/>
      <c r="P1752" s="17" t="s">
        <v>1912</v>
      </c>
      <c r="Q1752" s="14"/>
      <c r="R1752" s="17" t="s">
        <v>143</v>
      </c>
      <c r="S1752" s="14"/>
    </row>
    <row r="1753" spans="1:19" s="20" customFormat="1" ht="21.75" hidden="1" customHeight="1" x14ac:dyDescent="0.2">
      <c r="A1753" s="56" t="s">
        <v>2660</v>
      </c>
      <c r="B1753" s="14">
        <v>14053099</v>
      </c>
      <c r="C1753" s="18">
        <v>46165</v>
      </c>
      <c r="D1753" s="19">
        <v>48</v>
      </c>
      <c r="E1753" s="19">
        <v>4</v>
      </c>
      <c r="F1753" s="11" t="s">
        <v>23</v>
      </c>
      <c r="G1753" s="14" t="s">
        <v>119</v>
      </c>
      <c r="H1753" s="84" t="s">
        <v>76</v>
      </c>
      <c r="I1753" s="56" t="s">
        <v>134</v>
      </c>
      <c r="J1753" s="17">
        <v>20100070970</v>
      </c>
      <c r="K1753" s="11"/>
      <c r="L1753" s="17" t="s">
        <v>1632</v>
      </c>
      <c r="M1753" s="17" t="s">
        <v>77</v>
      </c>
      <c r="N1753" s="14"/>
      <c r="O1753" s="14"/>
      <c r="P1753" s="17" t="s">
        <v>1912</v>
      </c>
      <c r="Q1753" s="14"/>
      <c r="R1753" s="17" t="s">
        <v>143</v>
      </c>
      <c r="S1753" s="14"/>
    </row>
    <row r="1754" spans="1:19" s="20" customFormat="1" ht="21.75" hidden="1" customHeight="1" x14ac:dyDescent="0.2">
      <c r="A1754" s="56" t="s">
        <v>2660</v>
      </c>
      <c r="B1754" s="14">
        <v>14053099</v>
      </c>
      <c r="C1754" s="18">
        <v>46165</v>
      </c>
      <c r="D1754" s="19">
        <v>72</v>
      </c>
      <c r="E1754" s="19">
        <v>6</v>
      </c>
      <c r="F1754" s="11" t="s">
        <v>24</v>
      </c>
      <c r="G1754" s="14" t="s">
        <v>112</v>
      </c>
      <c r="H1754" s="84" t="s">
        <v>76</v>
      </c>
      <c r="I1754" s="56" t="s">
        <v>134</v>
      </c>
      <c r="J1754" s="17">
        <v>20100070970</v>
      </c>
      <c r="K1754" s="11"/>
      <c r="L1754" s="17" t="s">
        <v>1632</v>
      </c>
      <c r="M1754" s="17" t="s">
        <v>77</v>
      </c>
      <c r="N1754" s="14"/>
      <c r="O1754" s="14"/>
      <c r="P1754" s="17" t="s">
        <v>1912</v>
      </c>
      <c r="Q1754" s="14"/>
      <c r="R1754" s="17" t="s">
        <v>143</v>
      </c>
      <c r="S1754" s="14"/>
    </row>
    <row r="1755" spans="1:19" s="20" customFormat="1" ht="21.75" hidden="1" customHeight="1" x14ac:dyDescent="0.2">
      <c r="A1755" s="56" t="s">
        <v>2660</v>
      </c>
      <c r="B1755" s="14">
        <v>14053099</v>
      </c>
      <c r="C1755" s="18">
        <v>46165</v>
      </c>
      <c r="D1755" s="19">
        <v>24</v>
      </c>
      <c r="E1755" s="19">
        <v>2</v>
      </c>
      <c r="F1755" s="11" t="s">
        <v>25</v>
      </c>
      <c r="G1755" s="14" t="s">
        <v>136</v>
      </c>
      <c r="H1755" s="84" t="s">
        <v>76</v>
      </c>
      <c r="I1755" s="56" t="s">
        <v>134</v>
      </c>
      <c r="J1755" s="17">
        <v>20100070970</v>
      </c>
      <c r="K1755" s="11"/>
      <c r="L1755" s="17" t="s">
        <v>1632</v>
      </c>
      <c r="M1755" s="17" t="s">
        <v>77</v>
      </c>
      <c r="N1755" s="14"/>
      <c r="O1755" s="14"/>
      <c r="P1755" s="17" t="s">
        <v>1912</v>
      </c>
      <c r="Q1755" s="14"/>
      <c r="R1755" s="17" t="s">
        <v>143</v>
      </c>
      <c r="S1755" s="14"/>
    </row>
    <row r="1756" spans="1:19" s="20" customFormat="1" ht="21.75" hidden="1" customHeight="1" x14ac:dyDescent="0.2">
      <c r="A1756" s="56" t="s">
        <v>2660</v>
      </c>
      <c r="B1756" s="14">
        <v>14053099</v>
      </c>
      <c r="C1756" s="18">
        <v>46165</v>
      </c>
      <c r="D1756" s="19">
        <v>48</v>
      </c>
      <c r="E1756" s="19">
        <v>8</v>
      </c>
      <c r="F1756" s="11" t="s">
        <v>26</v>
      </c>
      <c r="G1756" s="14" t="s">
        <v>111</v>
      </c>
      <c r="H1756" s="84" t="s">
        <v>76</v>
      </c>
      <c r="I1756" s="56" t="s">
        <v>134</v>
      </c>
      <c r="J1756" s="17">
        <v>20100070970</v>
      </c>
      <c r="K1756" s="11"/>
      <c r="L1756" s="17" t="s">
        <v>1632</v>
      </c>
      <c r="M1756" s="17" t="s">
        <v>77</v>
      </c>
      <c r="N1756" s="14"/>
      <c r="O1756" s="14"/>
      <c r="P1756" s="17" t="s">
        <v>1912</v>
      </c>
      <c r="Q1756" s="14"/>
      <c r="R1756" s="17" t="s">
        <v>143</v>
      </c>
      <c r="S1756" s="14"/>
    </row>
    <row r="1757" spans="1:19" s="20" customFormat="1" ht="21.75" hidden="1" customHeight="1" x14ac:dyDescent="0.2">
      <c r="A1757" s="56" t="s">
        <v>2660</v>
      </c>
      <c r="B1757" s="14">
        <v>14053099</v>
      </c>
      <c r="C1757" s="18">
        <v>46165</v>
      </c>
      <c r="D1757" s="19">
        <v>36</v>
      </c>
      <c r="E1757" s="19">
        <v>3</v>
      </c>
      <c r="F1757" s="11" t="s">
        <v>27</v>
      </c>
      <c r="G1757" s="14" t="s">
        <v>103</v>
      </c>
      <c r="H1757" s="84" t="s">
        <v>76</v>
      </c>
      <c r="I1757" s="56" t="s">
        <v>134</v>
      </c>
      <c r="J1757" s="17">
        <v>20100070970</v>
      </c>
      <c r="K1757" s="11"/>
      <c r="L1757" s="17" t="s">
        <v>1632</v>
      </c>
      <c r="M1757" s="17" t="s">
        <v>77</v>
      </c>
      <c r="N1757" s="14"/>
      <c r="O1757" s="14"/>
      <c r="P1757" s="17" t="s">
        <v>1912</v>
      </c>
      <c r="Q1757" s="14"/>
      <c r="R1757" s="17" t="s">
        <v>143</v>
      </c>
      <c r="S1757" s="14"/>
    </row>
    <row r="1758" spans="1:19" s="20" customFormat="1" ht="21.75" hidden="1" customHeight="1" x14ac:dyDescent="0.2">
      <c r="A1758" s="56" t="s">
        <v>2660</v>
      </c>
      <c r="B1758" s="14">
        <v>14053099</v>
      </c>
      <c r="C1758" s="18">
        <v>46165</v>
      </c>
      <c r="D1758" s="19">
        <v>96</v>
      </c>
      <c r="E1758" s="19">
        <v>4</v>
      </c>
      <c r="F1758" s="11" t="s">
        <v>18</v>
      </c>
      <c r="G1758" s="14" t="s">
        <v>109</v>
      </c>
      <c r="H1758" s="84" t="s">
        <v>76</v>
      </c>
      <c r="I1758" s="56" t="s">
        <v>134</v>
      </c>
      <c r="J1758" s="17">
        <v>20100070970</v>
      </c>
      <c r="K1758" s="11"/>
      <c r="L1758" s="17" t="s">
        <v>1632</v>
      </c>
      <c r="M1758" s="17" t="s">
        <v>77</v>
      </c>
      <c r="N1758" s="14"/>
      <c r="O1758" s="14"/>
      <c r="P1758" s="17" t="s">
        <v>1912</v>
      </c>
      <c r="Q1758" s="14"/>
      <c r="R1758" s="17" t="s">
        <v>143</v>
      </c>
      <c r="S1758" s="14"/>
    </row>
    <row r="1759" spans="1:19" s="20" customFormat="1" ht="21.75" hidden="1" customHeight="1" x14ac:dyDescent="0.2">
      <c r="A1759" s="56" t="s">
        <v>2660</v>
      </c>
      <c r="B1759" s="14">
        <v>14053099</v>
      </c>
      <c r="C1759" s="18">
        <v>46165</v>
      </c>
      <c r="D1759" s="19">
        <v>12</v>
      </c>
      <c r="E1759" s="19">
        <v>1</v>
      </c>
      <c r="F1759" s="11" t="s">
        <v>20</v>
      </c>
      <c r="G1759" s="14" t="s">
        <v>113</v>
      </c>
      <c r="H1759" s="84" t="s">
        <v>76</v>
      </c>
      <c r="I1759" s="56" t="s">
        <v>134</v>
      </c>
      <c r="J1759" s="17">
        <v>20100070970</v>
      </c>
      <c r="K1759" s="11"/>
      <c r="L1759" s="17" t="s">
        <v>1632</v>
      </c>
      <c r="M1759" s="17" t="s">
        <v>77</v>
      </c>
      <c r="N1759" s="14"/>
      <c r="O1759" s="14"/>
      <c r="P1759" s="17" t="s">
        <v>1912</v>
      </c>
      <c r="Q1759" s="14"/>
      <c r="R1759" s="17" t="s">
        <v>143</v>
      </c>
      <c r="S1759" s="14"/>
    </row>
    <row r="1760" spans="1:19" s="20" customFormat="1" ht="21.75" hidden="1" customHeight="1" x14ac:dyDescent="0.2">
      <c r="A1760" s="56" t="s">
        <v>2663</v>
      </c>
      <c r="B1760" s="14"/>
      <c r="C1760" s="18">
        <v>46165</v>
      </c>
      <c r="D1760" s="19">
        <v>24</v>
      </c>
      <c r="E1760" s="19">
        <v>2</v>
      </c>
      <c r="F1760" s="11" t="s">
        <v>1793</v>
      </c>
      <c r="G1760" s="14" t="s">
        <v>1794</v>
      </c>
      <c r="H1760" s="84" t="s">
        <v>99</v>
      </c>
      <c r="I1760" s="56" t="s">
        <v>1792</v>
      </c>
      <c r="J1760" s="17">
        <v>10096432670</v>
      </c>
      <c r="K1760" s="17">
        <v>978615250</v>
      </c>
      <c r="L1760" s="17" t="s">
        <v>2664</v>
      </c>
      <c r="M1760" s="17" t="s">
        <v>1060</v>
      </c>
      <c r="N1760" s="14"/>
      <c r="O1760" s="14"/>
      <c r="P1760" s="16" t="s">
        <v>1673</v>
      </c>
      <c r="Q1760" s="14"/>
      <c r="R1760" s="17" t="s">
        <v>933</v>
      </c>
      <c r="S1760" s="14"/>
    </row>
    <row r="1761" spans="1:19" ht="21.75" hidden="1" customHeight="1" x14ac:dyDescent="0.25">
      <c r="A1761" s="16" t="s">
        <v>2661</v>
      </c>
      <c r="B1761" s="16" t="s">
        <v>73</v>
      </c>
      <c r="C1761" s="18">
        <v>46167</v>
      </c>
      <c r="D1761" s="21">
        <v>2400</v>
      </c>
      <c r="E1761" s="19">
        <v>100</v>
      </c>
      <c r="F1761" s="16" t="s">
        <v>153</v>
      </c>
      <c r="G1761" s="16" t="s">
        <v>2662</v>
      </c>
      <c r="H1761" s="16" t="s">
        <v>1650</v>
      </c>
      <c r="I1761" s="16" t="s">
        <v>1768</v>
      </c>
      <c r="J1761" s="17">
        <v>20600893735</v>
      </c>
      <c r="K1761" s="16" t="s">
        <v>1788</v>
      </c>
      <c r="L1761" s="16" t="s">
        <v>1787</v>
      </c>
      <c r="M1761" s="16" t="s">
        <v>420</v>
      </c>
      <c r="N1761" s="11"/>
      <c r="O1761" s="11"/>
      <c r="P1761" s="16" t="s">
        <v>1784</v>
      </c>
      <c r="Q1761" s="16" t="s">
        <v>1785</v>
      </c>
      <c r="R1761" s="16" t="s">
        <v>396</v>
      </c>
      <c r="S1761" s="11"/>
    </row>
    <row r="1762" spans="1:19" ht="21" hidden="1" customHeight="1" x14ac:dyDescent="0.25">
      <c r="A1762" s="11" t="s">
        <v>2665</v>
      </c>
      <c r="B1762" s="16" t="s">
        <v>73</v>
      </c>
      <c r="C1762" s="18">
        <v>46167</v>
      </c>
      <c r="D1762" s="19">
        <v>36</v>
      </c>
      <c r="E1762" s="19">
        <v>3</v>
      </c>
      <c r="F1762" s="11" t="s">
        <v>2671</v>
      </c>
      <c r="G1762" s="14" t="s">
        <v>2676</v>
      </c>
      <c r="H1762" s="16" t="s">
        <v>1650</v>
      </c>
      <c r="I1762" s="11" t="s">
        <v>733</v>
      </c>
      <c r="J1762" s="14">
        <v>20610373608</v>
      </c>
      <c r="K1762" s="11" t="s">
        <v>73</v>
      </c>
      <c r="L1762" s="11" t="s">
        <v>2686</v>
      </c>
      <c r="M1762" s="11" t="s">
        <v>347</v>
      </c>
      <c r="N1762" s="11" t="s">
        <v>2687</v>
      </c>
      <c r="O1762" s="89">
        <v>46167</v>
      </c>
      <c r="P1762" s="16" t="s">
        <v>1579</v>
      </c>
      <c r="Q1762" s="11" t="s">
        <v>2696</v>
      </c>
      <c r="R1762" s="11" t="s">
        <v>396</v>
      </c>
      <c r="S1762" s="11" t="s">
        <v>2690</v>
      </c>
    </row>
    <row r="1763" spans="1:19" ht="21" hidden="1" customHeight="1" x14ac:dyDescent="0.25">
      <c r="A1763" s="11" t="s">
        <v>2666</v>
      </c>
      <c r="B1763" s="16" t="s">
        <v>73</v>
      </c>
      <c r="C1763" s="18">
        <v>46168</v>
      </c>
      <c r="D1763" s="19">
        <v>384</v>
      </c>
      <c r="E1763" s="19">
        <v>16</v>
      </c>
      <c r="F1763" s="11" t="s">
        <v>153</v>
      </c>
      <c r="G1763" s="14" t="s">
        <v>2662</v>
      </c>
      <c r="H1763" s="16" t="s">
        <v>1650</v>
      </c>
      <c r="I1763" s="11" t="s">
        <v>419</v>
      </c>
      <c r="J1763" s="14">
        <v>10418900682</v>
      </c>
      <c r="K1763" s="11" t="s">
        <v>73</v>
      </c>
      <c r="L1763" s="11" t="s">
        <v>2681</v>
      </c>
      <c r="M1763" s="11" t="s">
        <v>420</v>
      </c>
      <c r="N1763" s="11" t="s">
        <v>2688</v>
      </c>
      <c r="O1763" s="89">
        <v>46168</v>
      </c>
      <c r="P1763" s="16" t="s">
        <v>1801</v>
      </c>
      <c r="Q1763" s="16" t="s">
        <v>1802</v>
      </c>
      <c r="R1763" s="11" t="s">
        <v>396</v>
      </c>
      <c r="S1763" s="11" t="s">
        <v>2691</v>
      </c>
    </row>
    <row r="1764" spans="1:19" ht="21" hidden="1" customHeight="1" x14ac:dyDescent="0.25">
      <c r="A1764" s="11" t="s">
        <v>2667</v>
      </c>
      <c r="B1764" s="16" t="s">
        <v>2672</v>
      </c>
      <c r="C1764" s="18">
        <v>46168</v>
      </c>
      <c r="D1764" s="19">
        <v>1</v>
      </c>
      <c r="E1764" s="19">
        <v>1</v>
      </c>
      <c r="F1764" s="11" t="s">
        <v>2211</v>
      </c>
      <c r="G1764" s="14" t="s">
        <v>2212</v>
      </c>
      <c r="H1764" s="16" t="s">
        <v>99</v>
      </c>
      <c r="I1764" s="11" t="s">
        <v>2677</v>
      </c>
      <c r="J1764" s="14">
        <v>41057063</v>
      </c>
      <c r="K1764" s="14">
        <v>51966318350</v>
      </c>
      <c r="L1764" s="11" t="s">
        <v>2682</v>
      </c>
      <c r="M1764" s="11" t="s">
        <v>299</v>
      </c>
      <c r="N1764" s="11" t="s">
        <v>2689</v>
      </c>
      <c r="O1764" s="89">
        <v>46171</v>
      </c>
      <c r="P1764" s="16" t="s">
        <v>1673</v>
      </c>
      <c r="Q1764" s="11"/>
      <c r="R1764" s="11" t="s">
        <v>442</v>
      </c>
      <c r="S1764" s="11" t="s">
        <v>2692</v>
      </c>
    </row>
    <row r="1765" spans="1:19" ht="21" hidden="1" customHeight="1" x14ac:dyDescent="0.25">
      <c r="A1765" s="11" t="s">
        <v>2668</v>
      </c>
      <c r="B1765" s="16" t="s">
        <v>2673</v>
      </c>
      <c r="C1765" s="18">
        <v>46168</v>
      </c>
      <c r="D1765" s="19">
        <v>1</v>
      </c>
      <c r="E1765" s="19">
        <v>1</v>
      </c>
      <c r="F1765" s="11" t="s">
        <v>445</v>
      </c>
      <c r="G1765" s="14" t="s">
        <v>452</v>
      </c>
      <c r="H1765" s="16" t="s">
        <v>99</v>
      </c>
      <c r="I1765" s="11" t="s">
        <v>2678</v>
      </c>
      <c r="J1765" s="14">
        <v>10474988</v>
      </c>
      <c r="K1765" s="14">
        <v>51946379937</v>
      </c>
      <c r="L1765" s="11" t="s">
        <v>2683</v>
      </c>
      <c r="M1765" s="11" t="s">
        <v>533</v>
      </c>
      <c r="N1765" s="11" t="s">
        <v>2689</v>
      </c>
      <c r="O1765" s="89">
        <v>46171</v>
      </c>
      <c r="P1765" s="16" t="s">
        <v>1673</v>
      </c>
      <c r="Q1765" s="11"/>
      <c r="R1765" s="11" t="s">
        <v>442</v>
      </c>
      <c r="S1765" s="11" t="s">
        <v>2693</v>
      </c>
    </row>
    <row r="1766" spans="1:19" ht="21" hidden="1" customHeight="1" x14ac:dyDescent="0.25">
      <c r="A1766" s="11" t="s">
        <v>2669</v>
      </c>
      <c r="B1766" s="16" t="s">
        <v>2674</v>
      </c>
      <c r="C1766" s="18">
        <v>46168</v>
      </c>
      <c r="D1766" s="19">
        <v>1</v>
      </c>
      <c r="E1766" s="19">
        <v>1</v>
      </c>
      <c r="F1766" s="11" t="s">
        <v>53</v>
      </c>
      <c r="G1766" s="14" t="s">
        <v>121</v>
      </c>
      <c r="H1766" s="16" t="s">
        <v>99</v>
      </c>
      <c r="I1766" s="11" t="s">
        <v>2679</v>
      </c>
      <c r="J1766" s="14">
        <v>23272614</v>
      </c>
      <c r="K1766" s="14">
        <v>51956793388</v>
      </c>
      <c r="L1766" s="11" t="s">
        <v>2684</v>
      </c>
      <c r="M1766" s="11" t="s">
        <v>347</v>
      </c>
      <c r="N1766" s="11" t="s">
        <v>2689</v>
      </c>
      <c r="O1766" s="89">
        <v>46174</v>
      </c>
      <c r="P1766" s="16" t="s">
        <v>1673</v>
      </c>
      <c r="Q1766" s="11"/>
      <c r="R1766" s="11" t="s">
        <v>441</v>
      </c>
      <c r="S1766" s="11" t="s">
        <v>2694</v>
      </c>
    </row>
    <row r="1767" spans="1:19" ht="21" hidden="1" customHeight="1" x14ac:dyDescent="0.25">
      <c r="A1767" s="11" t="s">
        <v>2670</v>
      </c>
      <c r="B1767" s="16" t="s">
        <v>2675</v>
      </c>
      <c r="C1767" s="18">
        <v>46168</v>
      </c>
      <c r="D1767" s="19">
        <v>1</v>
      </c>
      <c r="E1767" s="19">
        <v>1</v>
      </c>
      <c r="F1767" s="11" t="s">
        <v>53</v>
      </c>
      <c r="G1767" s="14" t="s">
        <v>121</v>
      </c>
      <c r="H1767" s="16" t="s">
        <v>99</v>
      </c>
      <c r="I1767" s="11" t="s">
        <v>2680</v>
      </c>
      <c r="J1767" s="14">
        <v>9293381</v>
      </c>
      <c r="K1767" s="14">
        <v>51999412086</v>
      </c>
      <c r="L1767" s="11" t="s">
        <v>2685</v>
      </c>
      <c r="M1767" s="11" t="s">
        <v>286</v>
      </c>
      <c r="N1767" s="11" t="s">
        <v>2689</v>
      </c>
      <c r="O1767" s="89">
        <v>46174</v>
      </c>
      <c r="P1767" s="16" t="s">
        <v>1673</v>
      </c>
      <c r="Q1767" s="11"/>
      <c r="R1767" s="11" t="s">
        <v>442</v>
      </c>
      <c r="S1767" s="11" t="s">
        <v>2695</v>
      </c>
    </row>
    <row r="1768" spans="1:19" s="20" customFormat="1" ht="21" hidden="1" customHeight="1" x14ac:dyDescent="0.2">
      <c r="A1768" s="26" t="s">
        <v>2700</v>
      </c>
      <c r="B1768" s="23">
        <v>14085544</v>
      </c>
      <c r="C1768" s="18">
        <v>46172</v>
      </c>
      <c r="D1768" s="21">
        <v>48</v>
      </c>
      <c r="E1768" s="19">
        <v>4</v>
      </c>
      <c r="F1768" s="16" t="s">
        <v>19</v>
      </c>
      <c r="G1768" s="16" t="s">
        <v>120</v>
      </c>
      <c r="H1768" s="16" t="s">
        <v>76</v>
      </c>
      <c r="I1768" s="26" t="s">
        <v>134</v>
      </c>
      <c r="J1768" s="23">
        <v>20100070970</v>
      </c>
      <c r="K1768" s="14"/>
      <c r="L1768" s="26" t="s">
        <v>1632</v>
      </c>
      <c r="M1768" s="26" t="s">
        <v>77</v>
      </c>
      <c r="N1768" s="11"/>
      <c r="O1768" s="89"/>
      <c r="P1768" s="26"/>
      <c r="Q1768" s="11"/>
      <c r="R1768" s="26" t="s">
        <v>143</v>
      </c>
      <c r="S1768" s="11"/>
    </row>
    <row r="1769" spans="1:19" s="20" customFormat="1" ht="21" hidden="1" customHeight="1" x14ac:dyDescent="0.2">
      <c r="A1769" s="26" t="s">
        <v>2700</v>
      </c>
      <c r="B1769" s="23">
        <v>14085544</v>
      </c>
      <c r="C1769" s="18">
        <v>46172</v>
      </c>
      <c r="D1769" s="21">
        <v>36</v>
      </c>
      <c r="E1769" s="19">
        <v>3</v>
      </c>
      <c r="F1769" s="16" t="s">
        <v>21</v>
      </c>
      <c r="G1769" s="16" t="s">
        <v>115</v>
      </c>
      <c r="H1769" s="16" t="s">
        <v>76</v>
      </c>
      <c r="I1769" s="26" t="s">
        <v>134</v>
      </c>
      <c r="J1769" s="23">
        <v>20100070970</v>
      </c>
      <c r="K1769" s="14"/>
      <c r="L1769" s="26" t="s">
        <v>1632</v>
      </c>
      <c r="M1769" s="26" t="s">
        <v>77</v>
      </c>
      <c r="N1769" s="11"/>
      <c r="O1769" s="89"/>
      <c r="P1769" s="26" t="s">
        <v>1579</v>
      </c>
      <c r="Q1769" s="11"/>
      <c r="R1769" s="26" t="s">
        <v>143</v>
      </c>
      <c r="S1769" s="11"/>
    </row>
    <row r="1770" spans="1:19" s="20" customFormat="1" ht="21" hidden="1" customHeight="1" x14ac:dyDescent="0.2">
      <c r="A1770" s="26" t="s">
        <v>2700</v>
      </c>
      <c r="B1770" s="23">
        <v>14085544</v>
      </c>
      <c r="C1770" s="18">
        <v>46172</v>
      </c>
      <c r="D1770" s="21">
        <v>240</v>
      </c>
      <c r="E1770" s="19">
        <f>240/48</f>
        <v>5</v>
      </c>
      <c r="F1770" s="16" t="s">
        <v>22</v>
      </c>
      <c r="G1770" s="16" t="s">
        <v>108</v>
      </c>
      <c r="H1770" s="16" t="s">
        <v>76</v>
      </c>
      <c r="I1770" s="26" t="s">
        <v>134</v>
      </c>
      <c r="J1770" s="23">
        <v>20100070970</v>
      </c>
      <c r="K1770" s="14"/>
      <c r="L1770" s="26" t="s">
        <v>1632</v>
      </c>
      <c r="M1770" s="26" t="s">
        <v>77</v>
      </c>
      <c r="N1770" s="11"/>
      <c r="O1770" s="89"/>
      <c r="P1770" s="26" t="s">
        <v>1579</v>
      </c>
      <c r="Q1770" s="11"/>
      <c r="R1770" s="26" t="s">
        <v>143</v>
      </c>
      <c r="S1770" s="11"/>
    </row>
    <row r="1771" spans="1:19" s="20" customFormat="1" ht="21" hidden="1" customHeight="1" x14ac:dyDescent="0.2">
      <c r="A1771" s="26" t="s">
        <v>2700</v>
      </c>
      <c r="B1771" s="23">
        <v>14085544</v>
      </c>
      <c r="C1771" s="18">
        <v>46172</v>
      </c>
      <c r="D1771" s="21">
        <v>120</v>
      </c>
      <c r="E1771" s="19">
        <v>10</v>
      </c>
      <c r="F1771" s="16" t="s">
        <v>23</v>
      </c>
      <c r="G1771" s="16" t="s">
        <v>119</v>
      </c>
      <c r="H1771" s="16" t="s">
        <v>76</v>
      </c>
      <c r="I1771" s="26" t="s">
        <v>134</v>
      </c>
      <c r="J1771" s="23">
        <v>20100070970</v>
      </c>
      <c r="K1771" s="14"/>
      <c r="L1771" s="26" t="s">
        <v>1632</v>
      </c>
      <c r="M1771" s="26" t="s">
        <v>77</v>
      </c>
      <c r="N1771" s="11"/>
      <c r="O1771" s="89"/>
      <c r="P1771" s="26" t="s">
        <v>1579</v>
      </c>
      <c r="Q1771" s="11"/>
      <c r="R1771" s="26" t="s">
        <v>143</v>
      </c>
      <c r="S1771" s="11"/>
    </row>
    <row r="1772" spans="1:19" s="20" customFormat="1" ht="21" hidden="1" customHeight="1" x14ac:dyDescent="0.2">
      <c r="A1772" s="26" t="s">
        <v>2700</v>
      </c>
      <c r="B1772" s="23">
        <v>14085544</v>
      </c>
      <c r="C1772" s="18">
        <v>46172</v>
      </c>
      <c r="D1772" s="21">
        <v>36</v>
      </c>
      <c r="E1772" s="19">
        <v>3</v>
      </c>
      <c r="F1772" s="16" t="s">
        <v>24</v>
      </c>
      <c r="G1772" s="16" t="s">
        <v>112</v>
      </c>
      <c r="H1772" s="16" t="s">
        <v>76</v>
      </c>
      <c r="I1772" s="26" t="s">
        <v>134</v>
      </c>
      <c r="J1772" s="23">
        <v>20100070970</v>
      </c>
      <c r="K1772" s="14"/>
      <c r="L1772" s="26" t="s">
        <v>1632</v>
      </c>
      <c r="M1772" s="26" t="s">
        <v>77</v>
      </c>
      <c r="N1772" s="11"/>
      <c r="O1772" s="89"/>
      <c r="P1772" s="26" t="s">
        <v>1579</v>
      </c>
      <c r="Q1772" s="11"/>
      <c r="R1772" s="26" t="s">
        <v>143</v>
      </c>
      <c r="S1772" s="11"/>
    </row>
    <row r="1773" spans="1:19" s="20" customFormat="1" ht="21" hidden="1" customHeight="1" x14ac:dyDescent="0.2">
      <c r="A1773" s="26" t="s">
        <v>2700</v>
      </c>
      <c r="B1773" s="23">
        <v>14085544</v>
      </c>
      <c r="C1773" s="18">
        <v>46172</v>
      </c>
      <c r="D1773" s="21">
        <v>12</v>
      </c>
      <c r="E1773" s="19">
        <v>1</v>
      </c>
      <c r="F1773" s="16" t="s">
        <v>25</v>
      </c>
      <c r="G1773" s="16" t="s">
        <v>136</v>
      </c>
      <c r="H1773" s="16" t="s">
        <v>76</v>
      </c>
      <c r="I1773" s="26" t="s">
        <v>134</v>
      </c>
      <c r="J1773" s="23">
        <v>20100070970</v>
      </c>
      <c r="K1773" s="14"/>
      <c r="L1773" s="26" t="s">
        <v>1632</v>
      </c>
      <c r="M1773" s="26" t="s">
        <v>77</v>
      </c>
      <c r="N1773" s="11"/>
      <c r="O1773" s="89"/>
      <c r="P1773" s="26" t="s">
        <v>1579</v>
      </c>
      <c r="Q1773" s="11"/>
      <c r="R1773" s="26" t="s">
        <v>143</v>
      </c>
      <c r="S1773" s="11"/>
    </row>
    <row r="1774" spans="1:19" s="20" customFormat="1" ht="21" hidden="1" customHeight="1" x14ac:dyDescent="0.2">
      <c r="A1774" s="26" t="s">
        <v>2700</v>
      </c>
      <c r="B1774" s="23">
        <v>14085544</v>
      </c>
      <c r="C1774" s="18">
        <v>46172</v>
      </c>
      <c r="D1774" s="21">
        <v>54</v>
      </c>
      <c r="E1774" s="19">
        <f>54/6</f>
        <v>9</v>
      </c>
      <c r="F1774" s="16" t="s">
        <v>26</v>
      </c>
      <c r="G1774" s="16" t="s">
        <v>111</v>
      </c>
      <c r="H1774" s="16" t="s">
        <v>76</v>
      </c>
      <c r="I1774" s="26" t="s">
        <v>134</v>
      </c>
      <c r="J1774" s="23">
        <v>20100070970</v>
      </c>
      <c r="K1774" s="14"/>
      <c r="L1774" s="26" t="s">
        <v>1632</v>
      </c>
      <c r="M1774" s="26" t="s">
        <v>77</v>
      </c>
      <c r="N1774" s="11"/>
      <c r="O1774" s="89"/>
      <c r="P1774" s="26" t="s">
        <v>1579</v>
      </c>
      <c r="Q1774" s="11"/>
      <c r="R1774" s="26" t="s">
        <v>143</v>
      </c>
      <c r="S1774" s="11"/>
    </row>
    <row r="1775" spans="1:19" s="20" customFormat="1" ht="21" hidden="1" customHeight="1" x14ac:dyDescent="0.2">
      <c r="A1775" s="26" t="s">
        <v>2700</v>
      </c>
      <c r="B1775" s="23">
        <v>14085544</v>
      </c>
      <c r="C1775" s="18">
        <v>46172</v>
      </c>
      <c r="D1775" s="21">
        <v>36</v>
      </c>
      <c r="E1775" s="19">
        <v>3</v>
      </c>
      <c r="F1775" s="16" t="s">
        <v>27</v>
      </c>
      <c r="G1775" s="16" t="s">
        <v>103</v>
      </c>
      <c r="H1775" s="16" t="s">
        <v>76</v>
      </c>
      <c r="I1775" s="26" t="s">
        <v>134</v>
      </c>
      <c r="J1775" s="23">
        <v>20100070970</v>
      </c>
      <c r="K1775" s="14"/>
      <c r="L1775" s="26" t="s">
        <v>1632</v>
      </c>
      <c r="M1775" s="26" t="s">
        <v>77</v>
      </c>
      <c r="N1775" s="11"/>
      <c r="O1775" s="89"/>
      <c r="P1775" s="26" t="s">
        <v>1579</v>
      </c>
      <c r="Q1775" s="11"/>
      <c r="R1775" s="26" t="s">
        <v>143</v>
      </c>
      <c r="S1775" s="11"/>
    </row>
    <row r="1776" spans="1:19" s="20" customFormat="1" ht="21" hidden="1" customHeight="1" x14ac:dyDescent="0.2">
      <c r="A1776" s="26" t="s">
        <v>2700</v>
      </c>
      <c r="B1776" s="23">
        <v>14085544</v>
      </c>
      <c r="C1776" s="18">
        <v>46172</v>
      </c>
      <c r="D1776" s="21">
        <v>24</v>
      </c>
      <c r="E1776" s="19">
        <v>1</v>
      </c>
      <c r="F1776" s="16" t="s">
        <v>18</v>
      </c>
      <c r="G1776" s="16" t="s">
        <v>109</v>
      </c>
      <c r="H1776" s="16" t="s">
        <v>76</v>
      </c>
      <c r="I1776" s="26" t="s">
        <v>134</v>
      </c>
      <c r="J1776" s="23">
        <v>20100070970</v>
      </c>
      <c r="K1776" s="14"/>
      <c r="L1776" s="26" t="s">
        <v>1632</v>
      </c>
      <c r="M1776" s="26" t="s">
        <v>77</v>
      </c>
      <c r="N1776" s="11"/>
      <c r="O1776" s="89"/>
      <c r="P1776" s="26" t="s">
        <v>1579</v>
      </c>
      <c r="Q1776" s="11"/>
      <c r="R1776" s="26" t="s">
        <v>143</v>
      </c>
      <c r="S1776" s="11"/>
    </row>
    <row r="1777" spans="1:19" s="20" customFormat="1" ht="21" hidden="1" customHeight="1" x14ac:dyDescent="0.2">
      <c r="A1777" s="16" t="s">
        <v>2697</v>
      </c>
      <c r="B1777" s="17">
        <v>8198</v>
      </c>
      <c r="C1777" s="18">
        <v>46170</v>
      </c>
      <c r="D1777" s="21">
        <v>480</v>
      </c>
      <c r="E1777" s="19">
        <v>30</v>
      </c>
      <c r="F1777" s="16" t="s">
        <v>354</v>
      </c>
      <c r="G1777" s="16" t="s">
        <v>366</v>
      </c>
      <c r="H1777" s="16" t="s">
        <v>76</v>
      </c>
      <c r="I1777" s="16" t="s">
        <v>378</v>
      </c>
      <c r="J1777" s="17">
        <v>20472915933</v>
      </c>
      <c r="K1777" s="14"/>
      <c r="L1777" s="16" t="s">
        <v>1871</v>
      </c>
      <c r="M1777" s="16" t="s">
        <v>347</v>
      </c>
      <c r="N1777" s="11"/>
      <c r="O1777" s="89"/>
      <c r="P1777" s="198">
        <v>0.45833333333333331</v>
      </c>
      <c r="Q1777" s="11"/>
      <c r="R1777" s="16" t="s">
        <v>395</v>
      </c>
      <c r="S1777" s="11"/>
    </row>
    <row r="1778" spans="1:19" s="20" customFormat="1" ht="24" hidden="1" customHeight="1" x14ac:dyDescent="0.2">
      <c r="A1778" s="16" t="s">
        <v>2698</v>
      </c>
      <c r="B1778" s="17" t="s">
        <v>73</v>
      </c>
      <c r="C1778" s="18">
        <v>46170</v>
      </c>
      <c r="D1778" s="21">
        <v>120</v>
      </c>
      <c r="E1778" s="19">
        <v>10</v>
      </c>
      <c r="F1778" s="16" t="s">
        <v>62</v>
      </c>
      <c r="G1778" s="16" t="s">
        <v>83</v>
      </c>
      <c r="H1778" s="16" t="s">
        <v>129</v>
      </c>
      <c r="I1778" s="16" t="s">
        <v>2699</v>
      </c>
      <c r="J1778" s="17">
        <v>10293100735</v>
      </c>
      <c r="K1778" s="14"/>
      <c r="L1778" s="16" t="s">
        <v>2702</v>
      </c>
      <c r="M1778" s="16" t="s">
        <v>75</v>
      </c>
      <c r="N1778" s="11"/>
      <c r="O1778" s="89"/>
      <c r="P1778" s="16" t="s">
        <v>2701</v>
      </c>
      <c r="Q1778" s="11"/>
      <c r="R1778" s="16" t="s">
        <v>142</v>
      </c>
      <c r="S1778" s="11"/>
    </row>
    <row r="1779" spans="1:19" ht="21.75" hidden="1" customHeight="1" x14ac:dyDescent="0.25">
      <c r="A1779" s="16" t="s">
        <v>2703</v>
      </c>
      <c r="B1779" s="17" t="s">
        <v>2704</v>
      </c>
      <c r="C1779" s="18">
        <v>46172</v>
      </c>
      <c r="D1779" s="21">
        <v>1</v>
      </c>
      <c r="E1779" s="19">
        <v>1</v>
      </c>
      <c r="F1779" s="16" t="s">
        <v>53</v>
      </c>
      <c r="G1779" s="16" t="s">
        <v>121</v>
      </c>
      <c r="H1779" s="20" t="s">
        <v>99</v>
      </c>
      <c r="I1779" s="16" t="s">
        <v>2705</v>
      </c>
      <c r="J1779" s="17">
        <v>47401032</v>
      </c>
      <c r="K1779" s="17" t="s">
        <v>2707</v>
      </c>
      <c r="L1779" s="16" t="s">
        <v>2706</v>
      </c>
      <c r="M1779" s="16" t="s">
        <v>2275</v>
      </c>
      <c r="N1779" s="11"/>
      <c r="O1779" s="11"/>
      <c r="P1779" s="16" t="s">
        <v>1673</v>
      </c>
      <c r="Q1779" s="11"/>
      <c r="R1779" s="16" t="s">
        <v>442</v>
      </c>
      <c r="S1779" s="11"/>
    </row>
    <row r="1780" spans="1:19" s="20" customFormat="1" ht="21.75" hidden="1" customHeight="1" x14ac:dyDescent="0.2">
      <c r="A1780" s="84" t="s">
        <v>2708</v>
      </c>
      <c r="B1780" s="80" t="s">
        <v>2709</v>
      </c>
      <c r="C1780" s="52">
        <v>46172</v>
      </c>
      <c r="D1780" s="55">
        <v>7</v>
      </c>
      <c r="E1780" s="185">
        <v>1</v>
      </c>
      <c r="F1780" s="84" t="s">
        <v>2170</v>
      </c>
      <c r="G1780" s="84" t="s">
        <v>2171</v>
      </c>
      <c r="H1780" s="84" t="s">
        <v>76</v>
      </c>
      <c r="I1780" s="84" t="s">
        <v>1627</v>
      </c>
      <c r="J1780" s="17">
        <v>20205605500</v>
      </c>
      <c r="K1780" s="17" t="s">
        <v>73</v>
      </c>
      <c r="L1780" s="16" t="s">
        <v>1633</v>
      </c>
      <c r="M1780" s="16" t="s">
        <v>299</v>
      </c>
      <c r="N1780" s="11"/>
      <c r="O1780" s="11"/>
      <c r="P1780" s="16" t="s">
        <v>2720</v>
      </c>
      <c r="Q1780" s="11"/>
      <c r="R1780" s="16" t="s">
        <v>395</v>
      </c>
      <c r="S1780" s="11"/>
    </row>
    <row r="1781" spans="1:19" s="20" customFormat="1" ht="21.75" hidden="1" customHeight="1" x14ac:dyDescent="0.2">
      <c r="A1781" s="84" t="s">
        <v>2708</v>
      </c>
      <c r="B1781" s="80" t="s">
        <v>2709</v>
      </c>
      <c r="C1781" s="52">
        <v>46172</v>
      </c>
      <c r="D1781" s="55">
        <v>52</v>
      </c>
      <c r="E1781" s="185">
        <v>5</v>
      </c>
      <c r="F1781" s="84" t="s">
        <v>1629</v>
      </c>
      <c r="G1781" s="84" t="s">
        <v>1630</v>
      </c>
      <c r="H1781" s="84" t="s">
        <v>76</v>
      </c>
      <c r="I1781" s="84" t="s">
        <v>1627</v>
      </c>
      <c r="J1781" s="17">
        <v>20205605500</v>
      </c>
      <c r="K1781" s="17" t="s">
        <v>73</v>
      </c>
      <c r="L1781" s="16" t="s">
        <v>1633</v>
      </c>
      <c r="M1781" s="16" t="s">
        <v>299</v>
      </c>
      <c r="N1781" s="11"/>
      <c r="O1781" s="11"/>
      <c r="P1781" s="16" t="s">
        <v>2720</v>
      </c>
      <c r="Q1781" s="11"/>
      <c r="R1781" s="16" t="s">
        <v>395</v>
      </c>
      <c r="S1781" s="11"/>
    </row>
    <row r="1782" spans="1:19" s="20" customFormat="1" ht="21.75" hidden="1" customHeight="1" x14ac:dyDescent="0.2">
      <c r="A1782" s="84" t="s">
        <v>2708</v>
      </c>
      <c r="B1782" s="80" t="s">
        <v>2709</v>
      </c>
      <c r="C1782" s="52">
        <v>46172</v>
      </c>
      <c r="D1782" s="55">
        <v>12</v>
      </c>
      <c r="E1782" s="185">
        <v>1</v>
      </c>
      <c r="F1782" s="84" t="s">
        <v>2174</v>
      </c>
      <c r="G1782" s="84" t="s">
        <v>2175</v>
      </c>
      <c r="H1782" s="84" t="s">
        <v>76</v>
      </c>
      <c r="I1782" s="84" t="s">
        <v>1627</v>
      </c>
      <c r="J1782" s="17">
        <v>20205605500</v>
      </c>
      <c r="K1782" s="17" t="s">
        <v>73</v>
      </c>
      <c r="L1782" s="16" t="s">
        <v>1633</v>
      </c>
      <c r="M1782" s="16" t="s">
        <v>299</v>
      </c>
      <c r="N1782" s="11"/>
      <c r="O1782" s="11"/>
      <c r="P1782" s="16" t="s">
        <v>2720</v>
      </c>
      <c r="Q1782" s="11"/>
      <c r="R1782" s="16" t="s">
        <v>395</v>
      </c>
      <c r="S1782" s="11"/>
    </row>
    <row r="1783" spans="1:19" s="20" customFormat="1" ht="21.75" hidden="1" customHeight="1" x14ac:dyDescent="0.2">
      <c r="A1783" s="84" t="s">
        <v>2708</v>
      </c>
      <c r="B1783" s="80" t="s">
        <v>2709</v>
      </c>
      <c r="C1783" s="52">
        <v>46172</v>
      </c>
      <c r="D1783" s="55">
        <v>10</v>
      </c>
      <c r="E1783" s="185">
        <v>1</v>
      </c>
      <c r="F1783" s="84" t="s">
        <v>2176</v>
      </c>
      <c r="G1783" s="84" t="s">
        <v>2177</v>
      </c>
      <c r="H1783" s="84" t="s">
        <v>76</v>
      </c>
      <c r="I1783" s="84" t="s">
        <v>1627</v>
      </c>
      <c r="J1783" s="17">
        <v>20205605500</v>
      </c>
      <c r="K1783" s="17" t="s">
        <v>73</v>
      </c>
      <c r="L1783" s="16" t="s">
        <v>1633</v>
      </c>
      <c r="M1783" s="16" t="s">
        <v>299</v>
      </c>
      <c r="N1783" s="11"/>
      <c r="O1783" s="11"/>
      <c r="P1783" s="16" t="s">
        <v>2720</v>
      </c>
      <c r="Q1783" s="11"/>
      <c r="R1783" s="16" t="s">
        <v>395</v>
      </c>
      <c r="S1783" s="11"/>
    </row>
    <row r="1784" spans="1:19" s="20" customFormat="1" ht="21.75" hidden="1" customHeight="1" x14ac:dyDescent="0.2">
      <c r="A1784" s="84" t="s">
        <v>2708</v>
      </c>
      <c r="B1784" s="80" t="s">
        <v>2709</v>
      </c>
      <c r="C1784" s="52">
        <v>46172</v>
      </c>
      <c r="D1784" s="55">
        <v>4</v>
      </c>
      <c r="E1784" s="185">
        <v>1</v>
      </c>
      <c r="F1784" s="84" t="s">
        <v>2172</v>
      </c>
      <c r="G1784" s="84" t="s">
        <v>2173</v>
      </c>
      <c r="H1784" s="84" t="s">
        <v>76</v>
      </c>
      <c r="I1784" s="84" t="s">
        <v>1627</v>
      </c>
      <c r="J1784" s="17">
        <v>20205605500</v>
      </c>
      <c r="K1784" s="17" t="s">
        <v>73</v>
      </c>
      <c r="L1784" s="16" t="s">
        <v>1633</v>
      </c>
      <c r="M1784" s="16" t="s">
        <v>299</v>
      </c>
      <c r="N1784" s="11"/>
      <c r="O1784" s="11"/>
      <c r="P1784" s="16" t="s">
        <v>2720</v>
      </c>
      <c r="Q1784" s="11"/>
      <c r="R1784" s="16" t="s">
        <v>395</v>
      </c>
      <c r="S1784" s="11"/>
    </row>
    <row r="1785" spans="1:19" ht="21.75" hidden="1" customHeight="1" x14ac:dyDescent="0.25">
      <c r="A1785" s="84" t="s">
        <v>2708</v>
      </c>
      <c r="B1785" s="80" t="s">
        <v>2709</v>
      </c>
      <c r="C1785" s="52">
        <v>46172</v>
      </c>
      <c r="D1785" s="165">
        <v>36</v>
      </c>
      <c r="E1785" s="6">
        <v>6</v>
      </c>
      <c r="F1785" s="96" t="s">
        <v>822</v>
      </c>
      <c r="G1785" s="96" t="s">
        <v>824</v>
      </c>
      <c r="H1785" s="125" t="s">
        <v>1650</v>
      </c>
      <c r="I1785" s="96" t="s">
        <v>41</v>
      </c>
      <c r="J1785" s="97">
        <v>20513229080</v>
      </c>
      <c r="K1785" s="97">
        <v>970372592</v>
      </c>
      <c r="L1785" s="96" t="s">
        <v>1693</v>
      </c>
      <c r="M1785" s="96" t="s">
        <v>420</v>
      </c>
      <c r="N1785" s="125"/>
      <c r="O1785" s="125"/>
      <c r="P1785" s="96" t="s">
        <v>2285</v>
      </c>
      <c r="Q1785" s="125"/>
      <c r="R1785" s="96" t="s">
        <v>396</v>
      </c>
      <c r="S1785" s="125"/>
    </row>
    <row r="1786" spans="1:19" s="20" customFormat="1" ht="21.75" hidden="1" customHeight="1" x14ac:dyDescent="0.2">
      <c r="A1786" s="16" t="s">
        <v>2710</v>
      </c>
      <c r="B1786" s="17">
        <v>5492</v>
      </c>
      <c r="C1786" s="52">
        <v>46172</v>
      </c>
      <c r="D1786" s="21">
        <v>120</v>
      </c>
      <c r="E1786" s="19">
        <v>5</v>
      </c>
      <c r="F1786" s="16" t="s">
        <v>56</v>
      </c>
      <c r="G1786" s="16" t="s">
        <v>2716</v>
      </c>
      <c r="H1786" s="11" t="s">
        <v>1650</v>
      </c>
      <c r="I1786" s="16" t="s">
        <v>41</v>
      </c>
      <c r="J1786" s="17">
        <v>20513229080</v>
      </c>
      <c r="K1786" s="17">
        <v>970372592</v>
      </c>
      <c r="L1786" s="16" t="s">
        <v>1693</v>
      </c>
      <c r="M1786" s="16" t="s">
        <v>420</v>
      </c>
      <c r="N1786" s="11"/>
      <c r="O1786" s="11"/>
      <c r="P1786" s="16" t="s">
        <v>2285</v>
      </c>
      <c r="Q1786" s="11"/>
      <c r="R1786" s="16" t="s">
        <v>396</v>
      </c>
      <c r="S1786" s="11"/>
    </row>
    <row r="1787" spans="1:19" s="20" customFormat="1" ht="21.75" hidden="1" customHeight="1" x14ac:dyDescent="0.2">
      <c r="A1787" s="16" t="s">
        <v>2710</v>
      </c>
      <c r="B1787" s="17">
        <v>5492</v>
      </c>
      <c r="C1787" s="52">
        <v>46172</v>
      </c>
      <c r="D1787" s="21">
        <v>48</v>
      </c>
      <c r="E1787" s="19">
        <v>2</v>
      </c>
      <c r="F1787" s="16" t="s">
        <v>2302</v>
      </c>
      <c r="G1787" s="16" t="s">
        <v>2314</v>
      </c>
      <c r="H1787" s="11" t="s">
        <v>1650</v>
      </c>
      <c r="I1787" s="16" t="s">
        <v>41</v>
      </c>
      <c r="J1787" s="17">
        <v>20513229080</v>
      </c>
      <c r="K1787" s="17">
        <v>970372592</v>
      </c>
      <c r="L1787" s="16" t="s">
        <v>1693</v>
      </c>
      <c r="M1787" s="16" t="s">
        <v>420</v>
      </c>
      <c r="N1787" s="11"/>
      <c r="O1787" s="11"/>
      <c r="P1787" s="16" t="s">
        <v>2285</v>
      </c>
      <c r="Q1787" s="11"/>
      <c r="R1787" s="16" t="s">
        <v>396</v>
      </c>
      <c r="S1787" s="11"/>
    </row>
    <row r="1788" spans="1:19" s="20" customFormat="1" ht="21.75" hidden="1" customHeight="1" x14ac:dyDescent="0.2">
      <c r="A1788" s="16" t="s">
        <v>2710</v>
      </c>
      <c r="B1788" s="17">
        <v>5492</v>
      </c>
      <c r="C1788" s="52">
        <v>46172</v>
      </c>
      <c r="D1788" s="21">
        <v>48</v>
      </c>
      <c r="E1788" s="19">
        <v>4</v>
      </c>
      <c r="F1788" s="16" t="s">
        <v>952</v>
      </c>
      <c r="G1788" s="16" t="s">
        <v>954</v>
      </c>
      <c r="H1788" s="11" t="s">
        <v>1650</v>
      </c>
      <c r="I1788" s="16" t="s">
        <v>41</v>
      </c>
      <c r="J1788" s="17">
        <v>20513229080</v>
      </c>
      <c r="K1788" s="17">
        <v>970372592</v>
      </c>
      <c r="L1788" s="16" t="s">
        <v>1693</v>
      </c>
      <c r="M1788" s="16" t="s">
        <v>420</v>
      </c>
      <c r="N1788" s="11"/>
      <c r="O1788" s="11"/>
      <c r="P1788" s="16" t="s">
        <v>2285</v>
      </c>
      <c r="Q1788" s="11"/>
      <c r="R1788" s="16" t="s">
        <v>396</v>
      </c>
      <c r="S1788" s="11"/>
    </row>
    <row r="1789" spans="1:19" s="20" customFormat="1" ht="21.75" hidden="1" customHeight="1" x14ac:dyDescent="0.2">
      <c r="A1789" s="16" t="s">
        <v>2710</v>
      </c>
      <c r="B1789" s="17">
        <v>5492</v>
      </c>
      <c r="C1789" s="52">
        <v>46172</v>
      </c>
      <c r="D1789" s="21">
        <v>2</v>
      </c>
      <c r="E1789" s="19">
        <v>1</v>
      </c>
      <c r="F1789" s="16" t="s">
        <v>2211</v>
      </c>
      <c r="G1789" s="16" t="s">
        <v>2212</v>
      </c>
      <c r="H1789" s="11" t="s">
        <v>1650</v>
      </c>
      <c r="I1789" s="16" t="s">
        <v>41</v>
      </c>
      <c r="J1789" s="17">
        <v>20513229080</v>
      </c>
      <c r="K1789" s="17">
        <v>970372592</v>
      </c>
      <c r="L1789" s="16" t="s">
        <v>1693</v>
      </c>
      <c r="M1789" s="16" t="s">
        <v>420</v>
      </c>
      <c r="N1789" s="11"/>
      <c r="O1789" s="11"/>
      <c r="P1789" s="16" t="s">
        <v>2285</v>
      </c>
      <c r="Q1789" s="11"/>
      <c r="R1789" s="16" t="s">
        <v>396</v>
      </c>
      <c r="S1789" s="11"/>
    </row>
    <row r="1790" spans="1:19" s="20" customFormat="1" ht="21.75" hidden="1" customHeight="1" x14ac:dyDescent="0.2">
      <c r="A1790" s="16" t="s">
        <v>2711</v>
      </c>
      <c r="B1790" s="16" t="s">
        <v>73</v>
      </c>
      <c r="C1790" s="52">
        <v>46174</v>
      </c>
      <c r="D1790" s="21">
        <v>120</v>
      </c>
      <c r="E1790" s="19">
        <v>10</v>
      </c>
      <c r="F1790" s="16" t="s">
        <v>156</v>
      </c>
      <c r="G1790" s="16" t="s">
        <v>2717</v>
      </c>
      <c r="H1790" s="11" t="s">
        <v>1650</v>
      </c>
      <c r="I1790" s="16" t="s">
        <v>379</v>
      </c>
      <c r="J1790" s="17">
        <v>20101596363</v>
      </c>
      <c r="K1790" s="17">
        <v>994088611</v>
      </c>
      <c r="L1790" s="16" t="s">
        <v>1705</v>
      </c>
      <c r="M1790" s="16" t="s">
        <v>347</v>
      </c>
      <c r="N1790" s="11"/>
      <c r="O1790" s="11"/>
      <c r="P1790" s="16" t="s">
        <v>2286</v>
      </c>
      <c r="Q1790" s="11" t="s">
        <v>2721</v>
      </c>
      <c r="R1790" s="16" t="s">
        <v>396</v>
      </c>
      <c r="S1790" s="11"/>
    </row>
    <row r="1791" spans="1:19" s="20" customFormat="1" ht="21.75" hidden="1" customHeight="1" x14ac:dyDescent="0.2">
      <c r="A1791" s="16" t="s">
        <v>2711</v>
      </c>
      <c r="B1791" s="16" t="s">
        <v>73</v>
      </c>
      <c r="C1791" s="52">
        <v>46174</v>
      </c>
      <c r="D1791" s="21">
        <v>72</v>
      </c>
      <c r="E1791" s="19">
        <v>6</v>
      </c>
      <c r="F1791" s="16" t="s">
        <v>2396</v>
      </c>
      <c r="G1791" s="16" t="s">
        <v>2397</v>
      </c>
      <c r="H1791" s="11" t="s">
        <v>1650</v>
      </c>
      <c r="I1791" s="16" t="s">
        <v>379</v>
      </c>
      <c r="J1791" s="17">
        <v>20101596363</v>
      </c>
      <c r="K1791" s="17">
        <v>994088611</v>
      </c>
      <c r="L1791" s="16" t="s">
        <v>1705</v>
      </c>
      <c r="M1791" s="16" t="s">
        <v>347</v>
      </c>
      <c r="N1791" s="11"/>
      <c r="O1791" s="11"/>
      <c r="P1791" s="16" t="s">
        <v>2286</v>
      </c>
      <c r="Q1791" s="11" t="s">
        <v>2721</v>
      </c>
      <c r="R1791" s="16" t="s">
        <v>396</v>
      </c>
      <c r="S1791" s="11"/>
    </row>
    <row r="1792" spans="1:19" s="20" customFormat="1" ht="21.75" hidden="1" customHeight="1" x14ac:dyDescent="0.2">
      <c r="A1792" s="16" t="s">
        <v>2711</v>
      </c>
      <c r="B1792" s="16" t="s">
        <v>73</v>
      </c>
      <c r="C1792" s="52">
        <v>46174</v>
      </c>
      <c r="D1792" s="21">
        <v>60</v>
      </c>
      <c r="E1792" s="19">
        <v>5</v>
      </c>
      <c r="F1792" s="16" t="s">
        <v>157</v>
      </c>
      <c r="G1792" s="16" t="s">
        <v>2718</v>
      </c>
      <c r="H1792" s="11" t="s">
        <v>1650</v>
      </c>
      <c r="I1792" s="16" t="s">
        <v>379</v>
      </c>
      <c r="J1792" s="17">
        <v>20101596363</v>
      </c>
      <c r="K1792" s="17">
        <v>994088611</v>
      </c>
      <c r="L1792" s="16" t="s">
        <v>1705</v>
      </c>
      <c r="M1792" s="16" t="s">
        <v>347</v>
      </c>
      <c r="N1792" s="11"/>
      <c r="O1792" s="11"/>
      <c r="P1792" s="16" t="s">
        <v>2286</v>
      </c>
      <c r="Q1792" s="11" t="s">
        <v>2721</v>
      </c>
      <c r="R1792" s="16" t="s">
        <v>396</v>
      </c>
      <c r="S1792" s="11"/>
    </row>
    <row r="1793" spans="1:19" s="20" customFormat="1" ht="21.75" hidden="1" customHeight="1" x14ac:dyDescent="0.2">
      <c r="A1793" s="16" t="s">
        <v>2711</v>
      </c>
      <c r="B1793" s="16" t="s">
        <v>73</v>
      </c>
      <c r="C1793" s="52">
        <v>46174</v>
      </c>
      <c r="D1793" s="21">
        <v>12</v>
      </c>
      <c r="E1793" s="19">
        <v>1</v>
      </c>
      <c r="F1793" s="16" t="s">
        <v>34</v>
      </c>
      <c r="G1793" s="16" t="s">
        <v>93</v>
      </c>
      <c r="H1793" s="11" t="s">
        <v>1650</v>
      </c>
      <c r="I1793" s="16" t="s">
        <v>379</v>
      </c>
      <c r="J1793" s="17">
        <v>20101596363</v>
      </c>
      <c r="K1793" s="17">
        <v>994088611</v>
      </c>
      <c r="L1793" s="16" t="s">
        <v>1705</v>
      </c>
      <c r="M1793" s="16" t="s">
        <v>347</v>
      </c>
      <c r="N1793" s="11"/>
      <c r="O1793" s="11"/>
      <c r="P1793" s="16" t="s">
        <v>2286</v>
      </c>
      <c r="Q1793" s="11" t="s">
        <v>2721</v>
      </c>
      <c r="R1793" s="16" t="s">
        <v>396</v>
      </c>
      <c r="S1793" s="11"/>
    </row>
    <row r="1794" spans="1:19" s="20" customFormat="1" ht="21.75" hidden="1" customHeight="1" x14ac:dyDescent="0.2">
      <c r="A1794" s="16" t="s">
        <v>2712</v>
      </c>
      <c r="B1794" s="17" t="s">
        <v>2713</v>
      </c>
      <c r="C1794" s="52">
        <v>46172</v>
      </c>
      <c r="D1794" s="21">
        <v>1</v>
      </c>
      <c r="E1794" s="19">
        <v>1</v>
      </c>
      <c r="F1794" s="16" t="s">
        <v>449</v>
      </c>
      <c r="G1794" s="16" t="s">
        <v>456</v>
      </c>
      <c r="H1794" s="11" t="s">
        <v>99</v>
      </c>
      <c r="I1794" s="16" t="s">
        <v>2715</v>
      </c>
      <c r="J1794" s="17" t="s">
        <v>2714</v>
      </c>
      <c r="K1794" s="17" t="s">
        <v>2722</v>
      </c>
      <c r="L1794" s="16" t="s">
        <v>2719</v>
      </c>
      <c r="M1794" s="16" t="s">
        <v>347</v>
      </c>
      <c r="N1794" s="11"/>
      <c r="O1794" s="11"/>
      <c r="P1794" s="16" t="s">
        <v>1673</v>
      </c>
      <c r="Q1794" s="11"/>
      <c r="R1794" s="16" t="s">
        <v>441</v>
      </c>
      <c r="S1794" s="11"/>
    </row>
    <row r="1795" spans="1:19" s="20" customFormat="1" ht="21.75" hidden="1" customHeight="1" x14ac:dyDescent="0.2">
      <c r="A1795" s="11" t="s">
        <v>2730</v>
      </c>
      <c r="B1795" s="29" t="s">
        <v>2726</v>
      </c>
      <c r="C1795" s="52">
        <v>46175</v>
      </c>
      <c r="D1795" s="19">
        <v>2</v>
      </c>
      <c r="E1795" s="19">
        <v>1</v>
      </c>
      <c r="F1795" s="11" t="s">
        <v>2731</v>
      </c>
      <c r="G1795" s="11" t="s">
        <v>2727</v>
      </c>
      <c r="H1795" s="141" t="s">
        <v>99</v>
      </c>
      <c r="I1795" s="11" t="s">
        <v>2723</v>
      </c>
      <c r="J1795" s="14">
        <v>20516625121</v>
      </c>
      <c r="K1795" s="11"/>
      <c r="L1795" s="141" t="s">
        <v>2724</v>
      </c>
      <c r="M1795" s="11" t="s">
        <v>2725</v>
      </c>
      <c r="N1795" s="11"/>
      <c r="O1795" s="11"/>
      <c r="P1795" s="11" t="s">
        <v>2728</v>
      </c>
      <c r="Q1795" s="29" t="s">
        <v>2729</v>
      </c>
      <c r="R1795" s="142" t="s">
        <v>933</v>
      </c>
      <c r="S1795" s="11"/>
    </row>
    <row r="1796" spans="1:19" s="20" customFormat="1" ht="21.75" hidden="1" customHeight="1" x14ac:dyDescent="0.2">
      <c r="A1796" s="16" t="s">
        <v>2732</v>
      </c>
      <c r="B1796" s="14"/>
      <c r="C1796" s="52">
        <v>46179</v>
      </c>
      <c r="D1796" s="19">
        <v>500</v>
      </c>
      <c r="E1796" s="19">
        <v>21</v>
      </c>
      <c r="F1796" s="16" t="s">
        <v>354</v>
      </c>
      <c r="G1796" s="16" t="s">
        <v>366</v>
      </c>
      <c r="H1796" s="11" t="s">
        <v>76</v>
      </c>
      <c r="I1796" s="16" t="s">
        <v>378</v>
      </c>
      <c r="J1796" s="17">
        <v>20472915933</v>
      </c>
      <c r="K1796" s="11"/>
      <c r="L1796" s="16" t="s">
        <v>2736</v>
      </c>
      <c r="M1796" s="16" t="s">
        <v>347</v>
      </c>
      <c r="N1796" s="11"/>
      <c r="O1796" s="11"/>
      <c r="P1796" s="198">
        <v>0.45833333333333331</v>
      </c>
      <c r="Q1796" s="11"/>
      <c r="R1796" s="16" t="s">
        <v>395</v>
      </c>
      <c r="S1796" s="11"/>
    </row>
    <row r="1797" spans="1:19" s="20" customFormat="1" ht="21.75" hidden="1" customHeight="1" x14ac:dyDescent="0.2">
      <c r="A1797" s="16" t="s">
        <v>2733</v>
      </c>
      <c r="B1797" s="14"/>
      <c r="C1797" s="52">
        <v>46176</v>
      </c>
      <c r="D1797" s="19">
        <v>6</v>
      </c>
      <c r="E1797" s="19">
        <v>2</v>
      </c>
      <c r="F1797" s="16" t="s">
        <v>755</v>
      </c>
      <c r="G1797" s="16" t="s">
        <v>769</v>
      </c>
      <c r="H1797" s="141" t="s">
        <v>99</v>
      </c>
      <c r="I1797" s="16" t="s">
        <v>2734</v>
      </c>
      <c r="J1797" s="17">
        <v>20100157315</v>
      </c>
      <c r="K1797" s="11"/>
      <c r="L1797" s="16" t="s">
        <v>2737</v>
      </c>
      <c r="M1797" s="16" t="s">
        <v>2738</v>
      </c>
      <c r="N1797" s="11"/>
      <c r="O1797" s="11"/>
      <c r="P1797" s="16" t="s">
        <v>2735</v>
      </c>
      <c r="Q1797" s="11"/>
      <c r="R1797" s="16" t="s">
        <v>396</v>
      </c>
      <c r="S1797" s="11"/>
    </row>
    <row r="1798" spans="1:19" s="20" customFormat="1" ht="21.75" hidden="1" customHeight="1" x14ac:dyDescent="0.2">
      <c r="A1798" s="16" t="s">
        <v>2739</v>
      </c>
      <c r="B1798" s="16" t="s">
        <v>73</v>
      </c>
      <c r="C1798" s="52">
        <v>46176</v>
      </c>
      <c r="D1798" s="21">
        <v>4</v>
      </c>
      <c r="E1798" s="19">
        <v>1</v>
      </c>
      <c r="F1798" s="16" t="s">
        <v>44</v>
      </c>
      <c r="G1798" s="16" t="s">
        <v>118</v>
      </c>
      <c r="H1798" s="11" t="s">
        <v>1650</v>
      </c>
      <c r="I1798" s="16" t="s">
        <v>379</v>
      </c>
      <c r="J1798" s="17">
        <v>20101596363</v>
      </c>
      <c r="K1798" s="17">
        <v>994088611</v>
      </c>
      <c r="L1798" s="16" t="s">
        <v>1705</v>
      </c>
      <c r="M1798" s="16" t="s">
        <v>347</v>
      </c>
      <c r="N1798" s="11"/>
      <c r="O1798" s="11"/>
      <c r="P1798" s="16" t="s">
        <v>2286</v>
      </c>
      <c r="Q1798" s="11" t="s">
        <v>2721</v>
      </c>
      <c r="R1798" s="16" t="s">
        <v>396</v>
      </c>
      <c r="S1798" s="11"/>
    </row>
    <row r="1799" spans="1:19" s="20" customFormat="1" ht="21.75" hidden="1" customHeight="1" x14ac:dyDescent="0.2">
      <c r="A1799" s="16" t="s">
        <v>2740</v>
      </c>
      <c r="B1799" s="17">
        <v>14115529</v>
      </c>
      <c r="C1799" s="52">
        <v>46179</v>
      </c>
      <c r="D1799" s="21">
        <v>24</v>
      </c>
      <c r="E1799" s="19">
        <v>2</v>
      </c>
      <c r="F1799" s="16" t="s">
        <v>19</v>
      </c>
      <c r="G1799" s="16" t="s">
        <v>120</v>
      </c>
      <c r="H1799" s="16" t="s">
        <v>76</v>
      </c>
      <c r="I1799" s="16" t="s">
        <v>134</v>
      </c>
      <c r="J1799" s="17">
        <v>20100070970</v>
      </c>
      <c r="K1799" s="11"/>
      <c r="L1799" s="16" t="s">
        <v>1632</v>
      </c>
      <c r="M1799" s="16" t="s">
        <v>77</v>
      </c>
      <c r="N1799" s="11"/>
      <c r="O1799" s="11"/>
      <c r="P1799" s="11" t="s">
        <v>1912</v>
      </c>
      <c r="Q1799" s="16" t="s">
        <v>1795</v>
      </c>
      <c r="R1799" s="81" t="s">
        <v>143</v>
      </c>
      <c r="S1799" s="11"/>
    </row>
    <row r="1800" spans="1:19" s="20" customFormat="1" ht="21.75" hidden="1" customHeight="1" x14ac:dyDescent="0.2">
      <c r="A1800" s="16" t="s">
        <v>2740</v>
      </c>
      <c r="B1800" s="17">
        <v>14115529</v>
      </c>
      <c r="C1800" s="52">
        <v>46179</v>
      </c>
      <c r="D1800" s="21">
        <v>36</v>
      </c>
      <c r="E1800" s="19">
        <v>3</v>
      </c>
      <c r="F1800" s="16" t="s">
        <v>21</v>
      </c>
      <c r="G1800" s="16" t="s">
        <v>115</v>
      </c>
      <c r="H1800" s="16" t="s">
        <v>76</v>
      </c>
      <c r="I1800" s="16" t="s">
        <v>134</v>
      </c>
      <c r="J1800" s="17">
        <v>20100070970</v>
      </c>
      <c r="K1800" s="11"/>
      <c r="L1800" s="16" t="s">
        <v>1632</v>
      </c>
      <c r="M1800" s="16" t="s">
        <v>77</v>
      </c>
      <c r="N1800" s="11"/>
      <c r="O1800" s="11"/>
      <c r="P1800" s="11" t="s">
        <v>1912</v>
      </c>
      <c r="Q1800" s="16" t="s">
        <v>1795</v>
      </c>
      <c r="R1800" s="81" t="s">
        <v>143</v>
      </c>
      <c r="S1800" s="11"/>
    </row>
    <row r="1801" spans="1:19" s="20" customFormat="1" ht="21.75" hidden="1" customHeight="1" x14ac:dyDescent="0.2">
      <c r="A1801" s="16" t="s">
        <v>2740</v>
      </c>
      <c r="B1801" s="17">
        <v>14115529</v>
      </c>
      <c r="C1801" s="52">
        <v>46179</v>
      </c>
      <c r="D1801" s="21">
        <v>144</v>
      </c>
      <c r="E1801" s="19">
        <f>144/48</f>
        <v>3</v>
      </c>
      <c r="F1801" s="16" t="s">
        <v>22</v>
      </c>
      <c r="G1801" s="16" t="s">
        <v>108</v>
      </c>
      <c r="H1801" s="16" t="s">
        <v>76</v>
      </c>
      <c r="I1801" s="16" t="s">
        <v>134</v>
      </c>
      <c r="J1801" s="17">
        <v>20100070970</v>
      </c>
      <c r="K1801" s="11"/>
      <c r="L1801" s="16" t="s">
        <v>1632</v>
      </c>
      <c r="M1801" s="16" t="s">
        <v>77</v>
      </c>
      <c r="N1801" s="11"/>
      <c r="O1801" s="11"/>
      <c r="P1801" s="11" t="s">
        <v>1912</v>
      </c>
      <c r="Q1801" s="16" t="s">
        <v>1795</v>
      </c>
      <c r="R1801" s="81" t="s">
        <v>143</v>
      </c>
      <c r="S1801" s="11"/>
    </row>
    <row r="1802" spans="1:19" s="20" customFormat="1" ht="21.75" hidden="1" customHeight="1" x14ac:dyDescent="0.2">
      <c r="A1802" s="16" t="s">
        <v>2740</v>
      </c>
      <c r="B1802" s="17">
        <v>14115529</v>
      </c>
      <c r="C1802" s="52">
        <v>46179</v>
      </c>
      <c r="D1802" s="21">
        <v>96</v>
      </c>
      <c r="E1802" s="19">
        <f>96/12</f>
        <v>8</v>
      </c>
      <c r="F1802" s="16" t="s">
        <v>24</v>
      </c>
      <c r="G1802" s="16" t="s">
        <v>112</v>
      </c>
      <c r="H1802" s="16" t="s">
        <v>76</v>
      </c>
      <c r="I1802" s="16" t="s">
        <v>134</v>
      </c>
      <c r="J1802" s="17">
        <v>20100070970</v>
      </c>
      <c r="K1802" s="11"/>
      <c r="L1802" s="16" t="s">
        <v>1632</v>
      </c>
      <c r="M1802" s="16" t="s">
        <v>77</v>
      </c>
      <c r="N1802" s="11"/>
      <c r="O1802" s="11"/>
      <c r="P1802" s="11" t="s">
        <v>1912</v>
      </c>
      <c r="Q1802" s="16" t="s">
        <v>1795</v>
      </c>
      <c r="R1802" s="81" t="s">
        <v>143</v>
      </c>
      <c r="S1802" s="11"/>
    </row>
    <row r="1803" spans="1:19" s="20" customFormat="1" ht="21.75" hidden="1" customHeight="1" x14ac:dyDescent="0.2">
      <c r="A1803" s="16" t="s">
        <v>2740</v>
      </c>
      <c r="B1803" s="17">
        <v>14115529</v>
      </c>
      <c r="C1803" s="52">
        <v>46179</v>
      </c>
      <c r="D1803" s="21">
        <v>12</v>
      </c>
      <c r="E1803" s="19">
        <v>1</v>
      </c>
      <c r="F1803" s="16" t="s">
        <v>25</v>
      </c>
      <c r="G1803" s="16" t="s">
        <v>136</v>
      </c>
      <c r="H1803" s="16" t="s">
        <v>76</v>
      </c>
      <c r="I1803" s="16" t="s">
        <v>134</v>
      </c>
      <c r="J1803" s="17">
        <v>20100070970</v>
      </c>
      <c r="K1803" s="11"/>
      <c r="L1803" s="16" t="s">
        <v>1632</v>
      </c>
      <c r="M1803" s="16" t="s">
        <v>77</v>
      </c>
      <c r="N1803" s="11"/>
      <c r="O1803" s="11"/>
      <c r="P1803" s="11" t="s">
        <v>1912</v>
      </c>
      <c r="Q1803" s="16" t="s">
        <v>1795</v>
      </c>
      <c r="R1803" s="81" t="s">
        <v>143</v>
      </c>
      <c r="S1803" s="11"/>
    </row>
    <row r="1804" spans="1:19" s="20" customFormat="1" ht="21.75" hidden="1" customHeight="1" x14ac:dyDescent="0.2">
      <c r="A1804" s="16" t="s">
        <v>2740</v>
      </c>
      <c r="B1804" s="17">
        <v>14115529</v>
      </c>
      <c r="C1804" s="52">
        <v>46179</v>
      </c>
      <c r="D1804" s="21">
        <v>54</v>
      </c>
      <c r="E1804" s="19">
        <f>54/6</f>
        <v>9</v>
      </c>
      <c r="F1804" s="16" t="s">
        <v>26</v>
      </c>
      <c r="G1804" s="16" t="s">
        <v>111</v>
      </c>
      <c r="H1804" s="16" t="s">
        <v>76</v>
      </c>
      <c r="I1804" s="16" t="s">
        <v>134</v>
      </c>
      <c r="J1804" s="17">
        <v>20100070970</v>
      </c>
      <c r="K1804" s="11"/>
      <c r="L1804" s="16" t="s">
        <v>1632</v>
      </c>
      <c r="M1804" s="16" t="s">
        <v>77</v>
      </c>
      <c r="N1804" s="11"/>
      <c r="O1804" s="11"/>
      <c r="P1804" s="11" t="s">
        <v>1912</v>
      </c>
      <c r="Q1804" s="16" t="s">
        <v>1795</v>
      </c>
      <c r="R1804" s="81" t="s">
        <v>143</v>
      </c>
      <c r="S1804" s="11"/>
    </row>
    <row r="1805" spans="1:19" s="20" customFormat="1" ht="21.75" hidden="1" customHeight="1" x14ac:dyDescent="0.2">
      <c r="A1805" s="16" t="s">
        <v>2740</v>
      </c>
      <c r="B1805" s="17">
        <v>14115529</v>
      </c>
      <c r="C1805" s="52">
        <v>46179</v>
      </c>
      <c r="D1805" s="21">
        <v>36</v>
      </c>
      <c r="E1805" s="19">
        <v>3</v>
      </c>
      <c r="F1805" s="16" t="s">
        <v>27</v>
      </c>
      <c r="G1805" s="16" t="s">
        <v>103</v>
      </c>
      <c r="H1805" s="16" t="s">
        <v>76</v>
      </c>
      <c r="I1805" s="16" t="s">
        <v>134</v>
      </c>
      <c r="J1805" s="17">
        <v>20100070970</v>
      </c>
      <c r="K1805" s="11"/>
      <c r="L1805" s="16" t="s">
        <v>1632</v>
      </c>
      <c r="M1805" s="16" t="s">
        <v>77</v>
      </c>
      <c r="N1805" s="11"/>
      <c r="O1805" s="11"/>
      <c r="P1805" s="11" t="s">
        <v>1912</v>
      </c>
      <c r="Q1805" s="16" t="s">
        <v>1795</v>
      </c>
      <c r="R1805" s="81" t="s">
        <v>143</v>
      </c>
      <c r="S1805" s="11"/>
    </row>
    <row r="1806" spans="1:19" s="20" customFormat="1" ht="21.75" hidden="1" customHeight="1" x14ac:dyDescent="0.2">
      <c r="A1806" s="16" t="s">
        <v>2740</v>
      </c>
      <c r="B1806" s="17">
        <v>14115529</v>
      </c>
      <c r="C1806" s="52">
        <v>46179</v>
      </c>
      <c r="D1806" s="21">
        <v>48</v>
      </c>
      <c r="E1806" s="19">
        <v>2</v>
      </c>
      <c r="F1806" s="16" t="s">
        <v>18</v>
      </c>
      <c r="G1806" s="16" t="s">
        <v>109</v>
      </c>
      <c r="H1806" s="16" t="s">
        <v>76</v>
      </c>
      <c r="I1806" s="16" t="s">
        <v>134</v>
      </c>
      <c r="J1806" s="17">
        <v>20100070970</v>
      </c>
      <c r="K1806" s="11"/>
      <c r="L1806" s="16" t="s">
        <v>1632</v>
      </c>
      <c r="M1806" s="16" t="s">
        <v>77</v>
      </c>
      <c r="N1806" s="11"/>
      <c r="O1806" s="11"/>
      <c r="P1806" s="11" t="s">
        <v>1912</v>
      </c>
      <c r="Q1806" s="16" t="s">
        <v>1795</v>
      </c>
      <c r="R1806" s="81" t="s">
        <v>143</v>
      </c>
      <c r="S1806" s="11"/>
    </row>
    <row r="1807" spans="1:19" s="20" customFormat="1" ht="21.75" hidden="1" customHeight="1" x14ac:dyDescent="0.2">
      <c r="A1807" s="16" t="s">
        <v>2740</v>
      </c>
      <c r="B1807" s="17">
        <v>14115529</v>
      </c>
      <c r="C1807" s="52">
        <v>46179</v>
      </c>
      <c r="D1807" s="21">
        <v>24</v>
      </c>
      <c r="E1807" s="19">
        <v>2</v>
      </c>
      <c r="F1807" s="16" t="s">
        <v>20</v>
      </c>
      <c r="G1807" s="16" t="s">
        <v>2756</v>
      </c>
      <c r="H1807" s="16" t="s">
        <v>76</v>
      </c>
      <c r="I1807" s="16" t="s">
        <v>134</v>
      </c>
      <c r="J1807" s="17">
        <v>20100070970</v>
      </c>
      <c r="K1807" s="11"/>
      <c r="L1807" s="16" t="s">
        <v>1632</v>
      </c>
      <c r="M1807" s="16" t="s">
        <v>77</v>
      </c>
      <c r="N1807" s="11"/>
      <c r="O1807" s="11"/>
      <c r="P1807" s="11" t="s">
        <v>1912</v>
      </c>
      <c r="Q1807" s="16" t="s">
        <v>1795</v>
      </c>
      <c r="R1807" s="81" t="s">
        <v>143</v>
      </c>
      <c r="S1807" s="11"/>
    </row>
    <row r="1808" spans="1:19" s="20" customFormat="1" ht="21.75" hidden="1" customHeight="1" x14ac:dyDescent="0.2">
      <c r="A1808" s="16" t="s">
        <v>2740</v>
      </c>
      <c r="B1808" s="17">
        <v>14115529</v>
      </c>
      <c r="C1808" s="52">
        <v>46179</v>
      </c>
      <c r="D1808" s="21">
        <v>156</v>
      </c>
      <c r="E1808" s="19">
        <f>156/12</f>
        <v>13</v>
      </c>
      <c r="F1808" s="16" t="s">
        <v>23</v>
      </c>
      <c r="G1808" s="16" t="s">
        <v>2757</v>
      </c>
      <c r="H1808" s="16" t="s">
        <v>76</v>
      </c>
      <c r="I1808" s="16" t="s">
        <v>134</v>
      </c>
      <c r="J1808" s="17">
        <v>20100070970</v>
      </c>
      <c r="K1808" s="11"/>
      <c r="L1808" s="16" t="s">
        <v>1632</v>
      </c>
      <c r="M1808" s="16" t="s">
        <v>77</v>
      </c>
      <c r="N1808" s="11"/>
      <c r="O1808" s="11"/>
      <c r="P1808" s="11" t="s">
        <v>1912</v>
      </c>
      <c r="Q1808" s="16" t="s">
        <v>1795</v>
      </c>
      <c r="R1808" s="81" t="s">
        <v>143</v>
      </c>
      <c r="S1808" s="11"/>
    </row>
    <row r="1809" spans="1:19" s="20" customFormat="1" ht="21.75" hidden="1" customHeight="1" x14ac:dyDescent="0.2">
      <c r="A1809" s="16" t="s">
        <v>2741</v>
      </c>
      <c r="B1809" s="17" t="s">
        <v>73</v>
      </c>
      <c r="C1809" s="52">
        <v>46177</v>
      </c>
      <c r="D1809" s="21">
        <v>60</v>
      </c>
      <c r="E1809" s="19">
        <v>5</v>
      </c>
      <c r="F1809" s="16" t="s">
        <v>33</v>
      </c>
      <c r="G1809" s="16" t="s">
        <v>2758</v>
      </c>
      <c r="H1809" s="16" t="s">
        <v>1650</v>
      </c>
      <c r="I1809" s="16" t="s">
        <v>1239</v>
      </c>
      <c r="J1809" s="17">
        <v>10106005376</v>
      </c>
      <c r="K1809" s="11" t="s">
        <v>2779</v>
      </c>
      <c r="L1809" s="16" t="s">
        <v>1254</v>
      </c>
      <c r="M1809" s="16" t="s">
        <v>347</v>
      </c>
      <c r="N1809" s="11"/>
      <c r="O1809" s="11"/>
      <c r="P1809" s="11" t="s">
        <v>2777</v>
      </c>
      <c r="Q1809" s="16" t="s">
        <v>2778</v>
      </c>
      <c r="R1809" s="16" t="s">
        <v>396</v>
      </c>
      <c r="S1809" s="11"/>
    </row>
    <row r="1810" spans="1:19" s="20" customFormat="1" ht="21.75" hidden="1" customHeight="1" x14ac:dyDescent="0.2">
      <c r="A1810" s="16" t="s">
        <v>2742</v>
      </c>
      <c r="B1810" s="17" t="s">
        <v>73</v>
      </c>
      <c r="C1810" s="52">
        <v>46178</v>
      </c>
      <c r="D1810" s="21">
        <v>1200</v>
      </c>
      <c r="E1810" s="19">
        <v>100</v>
      </c>
      <c r="F1810" s="16" t="s">
        <v>2755</v>
      </c>
      <c r="G1810" s="16" t="s">
        <v>2759</v>
      </c>
      <c r="H1810" s="16" t="s">
        <v>1650</v>
      </c>
      <c r="I1810" s="16" t="s">
        <v>1434</v>
      </c>
      <c r="J1810" s="17">
        <v>20609429659</v>
      </c>
      <c r="K1810" s="11">
        <v>989372072</v>
      </c>
      <c r="L1810" s="16" t="s">
        <v>2781</v>
      </c>
      <c r="M1810" s="16" t="s">
        <v>2782</v>
      </c>
      <c r="N1810" s="11"/>
      <c r="O1810" s="11"/>
      <c r="P1810" s="11"/>
      <c r="Q1810" s="16" t="s">
        <v>2783</v>
      </c>
      <c r="R1810" s="16" t="s">
        <v>396</v>
      </c>
      <c r="S1810" s="11"/>
    </row>
    <row r="1811" spans="1:19" s="20" customFormat="1" ht="21.75" hidden="1" customHeight="1" x14ac:dyDescent="0.2">
      <c r="A1811" s="16" t="s">
        <v>2743</v>
      </c>
      <c r="B1811" s="17">
        <v>4512886748</v>
      </c>
      <c r="C1811" s="52">
        <v>46177</v>
      </c>
      <c r="D1811" s="21">
        <v>4</v>
      </c>
      <c r="E1811" s="19">
        <v>1</v>
      </c>
      <c r="F1811" s="16" t="s">
        <v>602</v>
      </c>
      <c r="G1811" s="16" t="s">
        <v>606</v>
      </c>
      <c r="H1811" s="16" t="s">
        <v>76</v>
      </c>
      <c r="I1811" s="16" t="s">
        <v>284</v>
      </c>
      <c r="J1811" s="17">
        <v>20109072177</v>
      </c>
      <c r="K1811" s="11"/>
      <c r="L1811" s="16" t="s">
        <v>2352</v>
      </c>
      <c r="M1811" s="16" t="s">
        <v>662</v>
      </c>
      <c r="N1811" s="11"/>
      <c r="O1811" s="11"/>
      <c r="P1811" s="11" t="s">
        <v>636</v>
      </c>
      <c r="Q1811" s="16" t="s">
        <v>2765</v>
      </c>
      <c r="R1811" s="16" t="s">
        <v>289</v>
      </c>
      <c r="S1811" s="11"/>
    </row>
    <row r="1812" spans="1:19" s="20" customFormat="1" ht="21.75" hidden="1" customHeight="1" x14ac:dyDescent="0.2">
      <c r="A1812" s="16" t="s">
        <v>2744</v>
      </c>
      <c r="B1812" s="17">
        <v>4512886710</v>
      </c>
      <c r="C1812" s="52">
        <v>46177</v>
      </c>
      <c r="D1812" s="21">
        <v>4</v>
      </c>
      <c r="E1812" s="19">
        <v>1</v>
      </c>
      <c r="F1812" s="16" t="s">
        <v>28</v>
      </c>
      <c r="G1812" s="16" t="s">
        <v>95</v>
      </c>
      <c r="H1812" s="16" t="s">
        <v>76</v>
      </c>
      <c r="I1812" s="16" t="s">
        <v>284</v>
      </c>
      <c r="J1812" s="17">
        <v>20109072177</v>
      </c>
      <c r="K1812" s="11"/>
      <c r="L1812" s="16" t="s">
        <v>2350</v>
      </c>
      <c r="M1812" s="16" t="s">
        <v>392</v>
      </c>
      <c r="N1812" s="11"/>
      <c r="O1812" s="11"/>
      <c r="P1812" s="56" t="s">
        <v>2374</v>
      </c>
      <c r="Q1812" s="16" t="s">
        <v>2766</v>
      </c>
      <c r="R1812" s="16" t="s">
        <v>289</v>
      </c>
      <c r="S1812" s="11"/>
    </row>
    <row r="1813" spans="1:19" s="20" customFormat="1" ht="21.75" hidden="1" customHeight="1" x14ac:dyDescent="0.2">
      <c r="A1813" s="16" t="s">
        <v>2745</v>
      </c>
      <c r="B1813" s="17">
        <v>4512886709</v>
      </c>
      <c r="C1813" s="52">
        <v>46177</v>
      </c>
      <c r="D1813" s="21">
        <v>4</v>
      </c>
      <c r="E1813" s="19">
        <v>1</v>
      </c>
      <c r="F1813" s="16" t="s">
        <v>302</v>
      </c>
      <c r="G1813" s="16" t="s">
        <v>303</v>
      </c>
      <c r="H1813" s="16" t="s">
        <v>76</v>
      </c>
      <c r="I1813" s="16" t="s">
        <v>284</v>
      </c>
      <c r="J1813" s="17">
        <v>20109072177</v>
      </c>
      <c r="K1813" s="11"/>
      <c r="L1813" s="16" t="s">
        <v>2358</v>
      </c>
      <c r="M1813" s="16" t="s">
        <v>286</v>
      </c>
      <c r="N1813" s="11"/>
      <c r="O1813" s="11"/>
      <c r="P1813" s="56" t="s">
        <v>1036</v>
      </c>
      <c r="Q1813" s="16" t="s">
        <v>2767</v>
      </c>
      <c r="R1813" s="16" t="s">
        <v>289</v>
      </c>
      <c r="S1813" s="11"/>
    </row>
    <row r="1814" spans="1:19" s="20" customFormat="1" ht="21.75" hidden="1" customHeight="1" x14ac:dyDescent="0.2">
      <c r="A1814" s="16" t="s">
        <v>2746</v>
      </c>
      <c r="B1814" s="17">
        <v>4512886696</v>
      </c>
      <c r="C1814" s="52">
        <v>46177</v>
      </c>
      <c r="D1814" s="21">
        <v>4</v>
      </c>
      <c r="E1814" s="19">
        <v>1</v>
      </c>
      <c r="F1814" s="16" t="s">
        <v>15</v>
      </c>
      <c r="G1814" s="16" t="s">
        <v>96</v>
      </c>
      <c r="H1814" s="16" t="s">
        <v>76</v>
      </c>
      <c r="I1814" s="16" t="s">
        <v>284</v>
      </c>
      <c r="J1814" s="17">
        <v>20109072177</v>
      </c>
      <c r="K1814" s="11"/>
      <c r="L1814" s="16" t="s">
        <v>2349</v>
      </c>
      <c r="M1814" s="16" t="s">
        <v>312</v>
      </c>
      <c r="N1814" s="11"/>
      <c r="O1814" s="11"/>
      <c r="P1814" s="11" t="s">
        <v>2373</v>
      </c>
      <c r="Q1814" s="16" t="s">
        <v>2768</v>
      </c>
      <c r="R1814" s="16" t="s">
        <v>289</v>
      </c>
      <c r="S1814" s="11"/>
    </row>
    <row r="1815" spans="1:19" s="20" customFormat="1" ht="21.75" hidden="1" customHeight="1" x14ac:dyDescent="0.2">
      <c r="A1815" s="16" t="s">
        <v>2747</v>
      </c>
      <c r="B1815" s="17">
        <v>4512886680</v>
      </c>
      <c r="C1815" s="52">
        <v>46177</v>
      </c>
      <c r="D1815" s="21">
        <v>4</v>
      </c>
      <c r="E1815" s="19">
        <v>1</v>
      </c>
      <c r="F1815" s="16" t="s">
        <v>29</v>
      </c>
      <c r="G1815" s="16" t="s">
        <v>94</v>
      </c>
      <c r="H1815" s="16" t="s">
        <v>76</v>
      </c>
      <c r="I1815" s="16" t="s">
        <v>284</v>
      </c>
      <c r="J1815" s="17">
        <v>20109072177</v>
      </c>
      <c r="K1815" s="11"/>
      <c r="L1815" s="16" t="s">
        <v>2360</v>
      </c>
      <c r="M1815" s="16" t="s">
        <v>392</v>
      </c>
      <c r="N1815" s="11"/>
      <c r="O1815" s="11"/>
      <c r="P1815" s="11" t="s">
        <v>256</v>
      </c>
      <c r="Q1815" s="16" t="s">
        <v>2769</v>
      </c>
      <c r="R1815" s="16" t="s">
        <v>289</v>
      </c>
      <c r="S1815" s="11"/>
    </row>
    <row r="1816" spans="1:19" s="20" customFormat="1" ht="21.75" hidden="1" customHeight="1" x14ac:dyDescent="0.2">
      <c r="A1816" s="16" t="s">
        <v>2747</v>
      </c>
      <c r="B1816" s="17">
        <v>4512886680</v>
      </c>
      <c r="C1816" s="52">
        <v>46177</v>
      </c>
      <c r="D1816" s="21">
        <v>4</v>
      </c>
      <c r="E1816" s="19">
        <v>1</v>
      </c>
      <c r="F1816" s="16" t="s">
        <v>28</v>
      </c>
      <c r="G1816" s="16" t="s">
        <v>95</v>
      </c>
      <c r="H1816" s="16" t="s">
        <v>76</v>
      </c>
      <c r="I1816" s="16" t="s">
        <v>284</v>
      </c>
      <c r="J1816" s="17">
        <v>20109072177</v>
      </c>
      <c r="K1816" s="11"/>
      <c r="L1816" s="16" t="s">
        <v>2360</v>
      </c>
      <c r="M1816" s="16" t="s">
        <v>392</v>
      </c>
      <c r="N1816" s="11"/>
      <c r="O1816" s="11"/>
      <c r="P1816" s="11" t="s">
        <v>256</v>
      </c>
      <c r="Q1816" s="16" t="s">
        <v>2769</v>
      </c>
      <c r="R1816" s="16" t="s">
        <v>289</v>
      </c>
      <c r="S1816" s="11"/>
    </row>
    <row r="1817" spans="1:19" s="20" customFormat="1" ht="21.75" hidden="1" customHeight="1" x14ac:dyDescent="0.2">
      <c r="A1817" s="16" t="s">
        <v>2748</v>
      </c>
      <c r="B1817" s="17">
        <v>4512886667</v>
      </c>
      <c r="C1817" s="52">
        <v>46177</v>
      </c>
      <c r="D1817" s="21">
        <v>4</v>
      </c>
      <c r="E1817" s="19">
        <v>1</v>
      </c>
      <c r="F1817" s="16" t="s">
        <v>302</v>
      </c>
      <c r="G1817" s="16" t="s">
        <v>303</v>
      </c>
      <c r="H1817" s="16" t="s">
        <v>76</v>
      </c>
      <c r="I1817" s="16" t="s">
        <v>284</v>
      </c>
      <c r="J1817" s="17">
        <v>20109072177</v>
      </c>
      <c r="K1817" s="11"/>
      <c r="L1817" s="16" t="s">
        <v>2348</v>
      </c>
      <c r="M1817" s="16" t="s">
        <v>533</v>
      </c>
      <c r="N1817" s="11"/>
      <c r="O1817" s="11"/>
      <c r="P1817" s="11" t="s">
        <v>2372</v>
      </c>
      <c r="Q1817" s="16" t="s">
        <v>2770</v>
      </c>
      <c r="R1817" s="16" t="s">
        <v>289</v>
      </c>
      <c r="S1817" s="11"/>
    </row>
    <row r="1818" spans="1:19" s="20" customFormat="1" ht="21.75" hidden="1" customHeight="1" x14ac:dyDescent="0.2">
      <c r="A1818" s="16" t="s">
        <v>2749</v>
      </c>
      <c r="B1818" s="17">
        <v>4512886655</v>
      </c>
      <c r="C1818" s="52">
        <v>46177</v>
      </c>
      <c r="D1818" s="21">
        <v>4</v>
      </c>
      <c r="E1818" s="19">
        <v>1</v>
      </c>
      <c r="F1818" s="16" t="s">
        <v>602</v>
      </c>
      <c r="G1818" s="16" t="s">
        <v>2760</v>
      </c>
      <c r="H1818" s="16" t="s">
        <v>76</v>
      </c>
      <c r="I1818" s="16" t="s">
        <v>284</v>
      </c>
      <c r="J1818" s="17">
        <v>20109072177</v>
      </c>
      <c r="K1818" s="11"/>
      <c r="L1818" s="16" t="s">
        <v>1015</v>
      </c>
      <c r="M1818" s="16" t="s">
        <v>474</v>
      </c>
      <c r="N1818" s="11"/>
      <c r="O1818" s="11"/>
      <c r="P1818" s="11" t="s">
        <v>635</v>
      </c>
      <c r="Q1818" s="16" t="s">
        <v>2771</v>
      </c>
      <c r="R1818" s="16" t="s">
        <v>289</v>
      </c>
      <c r="S1818" s="11"/>
    </row>
    <row r="1819" spans="1:19" s="20" customFormat="1" ht="21.75" hidden="1" customHeight="1" x14ac:dyDescent="0.2">
      <c r="A1819" s="16" t="s">
        <v>2749</v>
      </c>
      <c r="B1819" s="17">
        <v>4512886655</v>
      </c>
      <c r="C1819" s="52">
        <v>46177</v>
      </c>
      <c r="D1819" s="21">
        <v>8</v>
      </c>
      <c r="E1819" s="19">
        <v>2</v>
      </c>
      <c r="F1819" s="16" t="s">
        <v>302</v>
      </c>
      <c r="G1819" s="16" t="s">
        <v>303</v>
      </c>
      <c r="H1819" s="16" t="s">
        <v>76</v>
      </c>
      <c r="I1819" s="16"/>
      <c r="J1819" s="17"/>
      <c r="K1819" s="11"/>
      <c r="L1819" s="16" t="s">
        <v>1015</v>
      </c>
      <c r="M1819" s="16" t="s">
        <v>474</v>
      </c>
      <c r="N1819" s="11"/>
      <c r="O1819" s="11"/>
      <c r="P1819" s="11" t="s">
        <v>635</v>
      </c>
      <c r="Q1819" s="16" t="s">
        <v>2771</v>
      </c>
      <c r="R1819" s="16"/>
      <c r="S1819" s="11"/>
    </row>
    <row r="1820" spans="1:19" s="20" customFormat="1" ht="21.75" hidden="1" customHeight="1" x14ac:dyDescent="0.2">
      <c r="A1820" s="16" t="s">
        <v>2749</v>
      </c>
      <c r="B1820" s="17">
        <v>4512886655</v>
      </c>
      <c r="C1820" s="52">
        <v>46177</v>
      </c>
      <c r="D1820" s="21">
        <v>8</v>
      </c>
      <c r="E1820" s="19">
        <v>2</v>
      </c>
      <c r="F1820" s="16" t="s">
        <v>29</v>
      </c>
      <c r="G1820" s="16" t="s">
        <v>2761</v>
      </c>
      <c r="H1820" s="16" t="s">
        <v>76</v>
      </c>
      <c r="I1820" s="16"/>
      <c r="J1820" s="17"/>
      <c r="K1820" s="11"/>
      <c r="L1820" s="16" t="s">
        <v>1015</v>
      </c>
      <c r="M1820" s="16" t="s">
        <v>474</v>
      </c>
      <c r="N1820" s="11"/>
      <c r="O1820" s="11"/>
      <c r="P1820" s="11" t="s">
        <v>635</v>
      </c>
      <c r="Q1820" s="16" t="s">
        <v>2771</v>
      </c>
      <c r="R1820" s="16"/>
      <c r="S1820" s="11"/>
    </row>
    <row r="1821" spans="1:19" s="20" customFormat="1" ht="21.75" hidden="1" customHeight="1" x14ac:dyDescent="0.2">
      <c r="A1821" s="16" t="s">
        <v>2749</v>
      </c>
      <c r="B1821" s="17">
        <v>4512886655</v>
      </c>
      <c r="C1821" s="52">
        <v>46177</v>
      </c>
      <c r="D1821" s="21">
        <v>4</v>
      </c>
      <c r="E1821" s="19">
        <v>1</v>
      </c>
      <c r="F1821" s="16" t="s">
        <v>28</v>
      </c>
      <c r="G1821" s="16" t="s">
        <v>2762</v>
      </c>
      <c r="H1821" s="16" t="s">
        <v>76</v>
      </c>
      <c r="I1821" s="16"/>
      <c r="J1821" s="17"/>
      <c r="K1821" s="11"/>
      <c r="L1821" s="16" t="s">
        <v>1015</v>
      </c>
      <c r="M1821" s="16" t="s">
        <v>474</v>
      </c>
      <c r="N1821" s="11"/>
      <c r="O1821" s="11"/>
      <c r="P1821" s="11" t="s">
        <v>635</v>
      </c>
      <c r="Q1821" s="16" t="s">
        <v>2771</v>
      </c>
      <c r="R1821" s="16"/>
      <c r="S1821" s="11"/>
    </row>
    <row r="1822" spans="1:19" s="20" customFormat="1" ht="21.75" hidden="1" customHeight="1" x14ac:dyDescent="0.2">
      <c r="A1822" s="16" t="s">
        <v>2749</v>
      </c>
      <c r="B1822" s="17">
        <v>4512886655</v>
      </c>
      <c r="C1822" s="52">
        <v>46177</v>
      </c>
      <c r="D1822" s="21">
        <v>4</v>
      </c>
      <c r="E1822" s="19">
        <v>1</v>
      </c>
      <c r="F1822" s="16" t="s">
        <v>30</v>
      </c>
      <c r="G1822" s="16" t="s">
        <v>2763</v>
      </c>
      <c r="H1822" s="16" t="s">
        <v>76</v>
      </c>
      <c r="I1822" s="16"/>
      <c r="J1822" s="17"/>
      <c r="K1822" s="11"/>
      <c r="L1822" s="16" t="s">
        <v>1015</v>
      </c>
      <c r="M1822" s="16" t="s">
        <v>474</v>
      </c>
      <c r="N1822" s="11"/>
      <c r="O1822" s="11"/>
      <c r="P1822" s="11" t="s">
        <v>635</v>
      </c>
      <c r="Q1822" s="16" t="s">
        <v>2771</v>
      </c>
      <c r="R1822" s="16"/>
      <c r="S1822" s="11"/>
    </row>
    <row r="1823" spans="1:19" s="20" customFormat="1" ht="21.75" hidden="1" customHeight="1" x14ac:dyDescent="0.2">
      <c r="A1823" s="16" t="s">
        <v>2750</v>
      </c>
      <c r="B1823" s="17">
        <v>4512886636</v>
      </c>
      <c r="C1823" s="52">
        <v>46177</v>
      </c>
      <c r="D1823" s="21">
        <v>4</v>
      </c>
      <c r="E1823" s="19">
        <v>1</v>
      </c>
      <c r="F1823" s="16" t="s">
        <v>29</v>
      </c>
      <c r="G1823" s="16" t="s">
        <v>2761</v>
      </c>
      <c r="H1823" s="16" t="s">
        <v>76</v>
      </c>
      <c r="I1823" s="16" t="s">
        <v>284</v>
      </c>
      <c r="J1823" s="17">
        <v>20109072177</v>
      </c>
      <c r="K1823" s="11"/>
      <c r="L1823" s="16" t="s">
        <v>2357</v>
      </c>
      <c r="M1823" s="16" t="s">
        <v>299</v>
      </c>
      <c r="N1823" s="11"/>
      <c r="O1823" s="11"/>
      <c r="P1823" s="11" t="s">
        <v>632</v>
      </c>
      <c r="Q1823" s="16" t="s">
        <v>2772</v>
      </c>
      <c r="R1823" s="16" t="s">
        <v>289</v>
      </c>
      <c r="S1823" s="11"/>
    </row>
    <row r="1824" spans="1:19" s="20" customFormat="1" ht="21.75" hidden="1" customHeight="1" x14ac:dyDescent="0.2">
      <c r="A1824" s="16" t="s">
        <v>2751</v>
      </c>
      <c r="B1824" s="17">
        <v>4512886619</v>
      </c>
      <c r="C1824" s="52">
        <v>46177</v>
      </c>
      <c r="D1824" s="21">
        <v>8</v>
      </c>
      <c r="E1824" s="19">
        <v>2</v>
      </c>
      <c r="F1824" s="16" t="s">
        <v>29</v>
      </c>
      <c r="G1824" s="16" t="s">
        <v>2761</v>
      </c>
      <c r="H1824" s="16" t="s">
        <v>76</v>
      </c>
      <c r="I1824" s="16" t="s">
        <v>284</v>
      </c>
      <c r="J1824" s="17">
        <v>20109072177</v>
      </c>
      <c r="K1824" s="11"/>
      <c r="L1824" s="16" t="s">
        <v>2356</v>
      </c>
      <c r="M1824" s="16" t="s">
        <v>299</v>
      </c>
      <c r="N1824" s="11"/>
      <c r="O1824" s="11"/>
      <c r="P1824" s="11" t="s">
        <v>631</v>
      </c>
      <c r="Q1824" s="16" t="s">
        <v>2773</v>
      </c>
      <c r="R1824" s="16" t="s">
        <v>289</v>
      </c>
      <c r="S1824" s="11"/>
    </row>
    <row r="1825" spans="1:19" s="20" customFormat="1" ht="21.75" hidden="1" customHeight="1" x14ac:dyDescent="0.2">
      <c r="A1825" s="16" t="s">
        <v>2752</v>
      </c>
      <c r="B1825" s="17">
        <v>4512886613</v>
      </c>
      <c r="C1825" s="52">
        <v>46177</v>
      </c>
      <c r="D1825" s="21">
        <v>4</v>
      </c>
      <c r="E1825" s="19">
        <v>1</v>
      </c>
      <c r="F1825" s="16" t="s">
        <v>29</v>
      </c>
      <c r="G1825" s="16" t="s">
        <v>2761</v>
      </c>
      <c r="H1825" s="16" t="s">
        <v>76</v>
      </c>
      <c r="I1825" s="16" t="s">
        <v>284</v>
      </c>
      <c r="J1825" s="17">
        <v>20109072177</v>
      </c>
      <c r="K1825" s="11"/>
      <c r="L1825" s="16" t="s">
        <v>650</v>
      </c>
      <c r="M1825" s="16" t="s">
        <v>299</v>
      </c>
      <c r="N1825" s="11"/>
      <c r="O1825" s="11"/>
      <c r="P1825" s="11" t="s">
        <v>630</v>
      </c>
      <c r="Q1825" s="16" t="s">
        <v>2774</v>
      </c>
      <c r="R1825" s="16" t="s">
        <v>289</v>
      </c>
      <c r="S1825" s="11"/>
    </row>
    <row r="1826" spans="1:19" s="20" customFormat="1" ht="21.75" hidden="1" customHeight="1" x14ac:dyDescent="0.2">
      <c r="A1826" s="16" t="s">
        <v>2753</v>
      </c>
      <c r="B1826" s="17">
        <v>4512886604</v>
      </c>
      <c r="C1826" s="52">
        <v>46177</v>
      </c>
      <c r="D1826" s="21">
        <v>4</v>
      </c>
      <c r="E1826" s="19">
        <v>1</v>
      </c>
      <c r="F1826" s="16" t="s">
        <v>29</v>
      </c>
      <c r="G1826" s="16" t="s">
        <v>2761</v>
      </c>
      <c r="H1826" s="16" t="s">
        <v>76</v>
      </c>
      <c r="I1826" s="16" t="s">
        <v>284</v>
      </c>
      <c r="J1826" s="17">
        <v>20109072177</v>
      </c>
      <c r="K1826" s="11"/>
      <c r="L1826" s="16" t="s">
        <v>2354</v>
      </c>
      <c r="M1826" s="16" t="s">
        <v>306</v>
      </c>
      <c r="N1826" s="11"/>
      <c r="O1826" s="11"/>
      <c r="P1826" s="11" t="s">
        <v>60</v>
      </c>
      <c r="Q1826" s="16" t="s">
        <v>2775</v>
      </c>
      <c r="R1826" s="16" t="s">
        <v>289</v>
      </c>
      <c r="S1826" s="11"/>
    </row>
    <row r="1827" spans="1:19" s="20" customFormat="1" ht="21.75" hidden="1" customHeight="1" x14ac:dyDescent="0.2">
      <c r="A1827" s="16" t="s">
        <v>2753</v>
      </c>
      <c r="B1827" s="17">
        <v>4512886604</v>
      </c>
      <c r="C1827" s="52">
        <v>46177</v>
      </c>
      <c r="D1827" s="21">
        <v>4</v>
      </c>
      <c r="E1827" s="19">
        <v>1</v>
      </c>
      <c r="F1827" s="16" t="s">
        <v>28</v>
      </c>
      <c r="G1827" s="16" t="s">
        <v>2762</v>
      </c>
      <c r="H1827" s="16" t="s">
        <v>76</v>
      </c>
      <c r="I1827" s="16"/>
      <c r="J1827" s="17"/>
      <c r="K1827" s="11"/>
      <c r="L1827" s="16" t="s">
        <v>2354</v>
      </c>
      <c r="M1827" s="16" t="s">
        <v>306</v>
      </c>
      <c r="N1827" s="11"/>
      <c r="O1827" s="11"/>
      <c r="P1827" s="11" t="s">
        <v>60</v>
      </c>
      <c r="Q1827" s="16" t="s">
        <v>2775</v>
      </c>
      <c r="R1827" s="16"/>
      <c r="S1827" s="11"/>
    </row>
    <row r="1828" spans="1:19" s="20" customFormat="1" ht="21.75" hidden="1" customHeight="1" x14ac:dyDescent="0.2">
      <c r="A1828" s="16" t="s">
        <v>2753</v>
      </c>
      <c r="B1828" s="17">
        <v>4512886604</v>
      </c>
      <c r="C1828" s="52">
        <v>46177</v>
      </c>
      <c r="D1828" s="21">
        <v>4</v>
      </c>
      <c r="E1828" s="19">
        <v>1</v>
      </c>
      <c r="F1828" s="16" t="s">
        <v>15</v>
      </c>
      <c r="G1828" s="16" t="s">
        <v>96</v>
      </c>
      <c r="H1828" s="16" t="s">
        <v>76</v>
      </c>
      <c r="I1828" s="16"/>
      <c r="J1828" s="17"/>
      <c r="K1828" s="11"/>
      <c r="L1828" s="16" t="s">
        <v>2354</v>
      </c>
      <c r="M1828" s="16" t="s">
        <v>306</v>
      </c>
      <c r="N1828" s="11"/>
      <c r="O1828" s="11"/>
      <c r="P1828" s="11" t="s">
        <v>60</v>
      </c>
      <c r="Q1828" s="16" t="s">
        <v>2775</v>
      </c>
      <c r="R1828" s="16"/>
      <c r="S1828" s="11"/>
    </row>
    <row r="1829" spans="1:19" s="20" customFormat="1" ht="21.75" hidden="1" customHeight="1" x14ac:dyDescent="0.2">
      <c r="A1829" s="16" t="s">
        <v>2754</v>
      </c>
      <c r="B1829" s="17">
        <v>4512886601</v>
      </c>
      <c r="C1829" s="52">
        <v>46177</v>
      </c>
      <c r="D1829" s="21">
        <v>4</v>
      </c>
      <c r="E1829" s="19">
        <v>1</v>
      </c>
      <c r="F1829" s="16" t="s">
        <v>326</v>
      </c>
      <c r="G1829" s="16" t="s">
        <v>2764</v>
      </c>
      <c r="H1829" s="16" t="s">
        <v>76</v>
      </c>
      <c r="I1829" s="16" t="s">
        <v>284</v>
      </c>
      <c r="J1829" s="17">
        <v>20109072177</v>
      </c>
      <c r="K1829" s="11"/>
      <c r="L1829" s="16" t="s">
        <v>2359</v>
      </c>
      <c r="M1829" s="16" t="s">
        <v>1060</v>
      </c>
      <c r="N1829" s="11"/>
      <c r="O1829" s="11"/>
      <c r="P1829" s="11" t="s">
        <v>1036</v>
      </c>
      <c r="Q1829" s="16" t="s">
        <v>2776</v>
      </c>
      <c r="R1829" s="16" t="s">
        <v>289</v>
      </c>
      <c r="S1829" s="11"/>
    </row>
    <row r="1830" spans="1:19" ht="21.75" hidden="1" customHeight="1" x14ac:dyDescent="0.25">
      <c r="A1830" s="16" t="s">
        <v>2780</v>
      </c>
      <c r="B1830" s="16" t="s">
        <v>73</v>
      </c>
      <c r="C1830" s="18">
        <v>46178</v>
      </c>
      <c r="D1830" s="21">
        <v>24</v>
      </c>
      <c r="E1830" s="19">
        <v>2</v>
      </c>
      <c r="F1830" s="16" t="s">
        <v>2553</v>
      </c>
      <c r="G1830" s="16" t="s">
        <v>128</v>
      </c>
      <c r="H1830" s="16" t="s">
        <v>76</v>
      </c>
      <c r="I1830" s="16" t="s">
        <v>569</v>
      </c>
      <c r="J1830" s="17">
        <v>20509076945</v>
      </c>
      <c r="K1830" s="17">
        <v>987311326</v>
      </c>
      <c r="L1830" s="16" t="s">
        <v>1580</v>
      </c>
      <c r="M1830" s="16" t="s">
        <v>474</v>
      </c>
      <c r="N1830" s="11"/>
      <c r="O1830" s="11"/>
      <c r="P1830" s="16" t="s">
        <v>572</v>
      </c>
      <c r="Q1830" s="11" t="s">
        <v>2554</v>
      </c>
      <c r="R1830" s="16" t="s">
        <v>144</v>
      </c>
      <c r="S1830" s="11"/>
    </row>
    <row r="1831" spans="1:19" ht="21.75" hidden="1" customHeight="1" x14ac:dyDescent="0.25">
      <c r="A1831" s="84" t="s">
        <v>2784</v>
      </c>
      <c r="B1831" s="84" t="s">
        <v>2785</v>
      </c>
      <c r="C1831" s="18">
        <v>46179</v>
      </c>
      <c r="D1831" s="21">
        <v>9</v>
      </c>
      <c r="E1831" s="19">
        <v>1</v>
      </c>
      <c r="F1831" s="84" t="s">
        <v>506</v>
      </c>
      <c r="G1831" s="84" t="s">
        <v>509</v>
      </c>
      <c r="H1831" s="11" t="s">
        <v>99</v>
      </c>
      <c r="I1831" s="16" t="s">
        <v>553</v>
      </c>
      <c r="J1831" s="80">
        <v>20101904874</v>
      </c>
      <c r="K1831" s="84" t="s">
        <v>73</v>
      </c>
      <c r="L1831" s="16" t="s">
        <v>534</v>
      </c>
      <c r="M1831" s="16" t="s">
        <v>474</v>
      </c>
      <c r="N1831" s="11"/>
      <c r="O1831" s="11"/>
      <c r="P1831" s="16" t="s">
        <v>513</v>
      </c>
      <c r="Q1831" s="16" t="s">
        <v>516</v>
      </c>
      <c r="R1831" s="16" t="s">
        <v>505</v>
      </c>
      <c r="S1831" s="11"/>
    </row>
    <row r="1832" spans="1:19" ht="21.75" hidden="1" customHeight="1" x14ac:dyDescent="0.25">
      <c r="A1832" s="84" t="s">
        <v>2784</v>
      </c>
      <c r="B1832" s="84" t="s">
        <v>2785</v>
      </c>
      <c r="C1832" s="18">
        <v>46179</v>
      </c>
      <c r="D1832" s="21">
        <v>24</v>
      </c>
      <c r="E1832" s="19">
        <v>2</v>
      </c>
      <c r="F1832" s="16" t="s">
        <v>85</v>
      </c>
      <c r="G1832" s="16" t="s">
        <v>90</v>
      </c>
      <c r="H1832" s="11" t="s">
        <v>99</v>
      </c>
      <c r="I1832" s="16" t="s">
        <v>553</v>
      </c>
      <c r="J1832" s="80">
        <v>20101904874</v>
      </c>
      <c r="K1832" s="84" t="s">
        <v>73</v>
      </c>
      <c r="L1832" s="16" t="s">
        <v>534</v>
      </c>
      <c r="M1832" s="16" t="s">
        <v>474</v>
      </c>
      <c r="N1832" s="11"/>
      <c r="O1832" s="11"/>
      <c r="P1832" s="16" t="s">
        <v>513</v>
      </c>
      <c r="Q1832" s="16" t="s">
        <v>516</v>
      </c>
      <c r="R1832" s="16" t="s">
        <v>505</v>
      </c>
      <c r="S1832" s="11"/>
    </row>
    <row r="1833" spans="1:19" ht="21.75" hidden="1" customHeight="1" x14ac:dyDescent="0.25">
      <c r="A1833" s="84" t="s">
        <v>2784</v>
      </c>
      <c r="B1833" s="84" t="s">
        <v>2785</v>
      </c>
      <c r="C1833" s="18">
        <v>46179</v>
      </c>
      <c r="D1833" s="21">
        <v>6</v>
      </c>
      <c r="E1833" s="19">
        <v>1</v>
      </c>
      <c r="F1833" s="16" t="s">
        <v>507</v>
      </c>
      <c r="G1833" s="16" t="s">
        <v>510</v>
      </c>
      <c r="H1833" s="11" t="s">
        <v>99</v>
      </c>
      <c r="I1833" s="16" t="s">
        <v>553</v>
      </c>
      <c r="J1833" s="80">
        <v>20101904874</v>
      </c>
      <c r="K1833" s="84" t="s">
        <v>73</v>
      </c>
      <c r="L1833" s="16" t="s">
        <v>534</v>
      </c>
      <c r="M1833" s="16" t="s">
        <v>474</v>
      </c>
      <c r="N1833" s="11"/>
      <c r="O1833" s="11"/>
      <c r="P1833" s="16" t="s">
        <v>513</v>
      </c>
      <c r="Q1833" s="16" t="s">
        <v>516</v>
      </c>
      <c r="R1833" s="16" t="s">
        <v>505</v>
      </c>
      <c r="S1833" s="11"/>
    </row>
    <row r="1834" spans="1:19" ht="21.75" hidden="1" customHeight="1" x14ac:dyDescent="0.25">
      <c r="A1834" s="84" t="s">
        <v>2784</v>
      </c>
      <c r="B1834" s="84" t="s">
        <v>2785</v>
      </c>
      <c r="C1834" s="18">
        <v>46179</v>
      </c>
      <c r="D1834" s="21">
        <v>24</v>
      </c>
      <c r="E1834" s="19">
        <v>2</v>
      </c>
      <c r="F1834" s="16" t="s">
        <v>85</v>
      </c>
      <c r="G1834" s="16" t="s">
        <v>90</v>
      </c>
      <c r="H1834" s="11" t="s">
        <v>99</v>
      </c>
      <c r="I1834" s="16" t="s">
        <v>575</v>
      </c>
      <c r="J1834" s="17">
        <v>20101904874</v>
      </c>
      <c r="K1834" s="84" t="s">
        <v>73</v>
      </c>
      <c r="L1834" s="16" t="s">
        <v>535</v>
      </c>
      <c r="M1834" s="16" t="s">
        <v>299</v>
      </c>
      <c r="N1834" s="11"/>
      <c r="O1834" s="11"/>
      <c r="P1834" s="16" t="s">
        <v>513</v>
      </c>
      <c r="Q1834" s="16" t="s">
        <v>517</v>
      </c>
      <c r="R1834" s="16" t="s">
        <v>505</v>
      </c>
      <c r="S1834" s="125"/>
    </row>
    <row r="1835" spans="1:19" ht="21.75" hidden="1" customHeight="1" x14ac:dyDescent="0.25">
      <c r="A1835" s="84" t="s">
        <v>2784</v>
      </c>
      <c r="B1835" s="84" t="s">
        <v>2785</v>
      </c>
      <c r="C1835" s="18">
        <v>46179</v>
      </c>
      <c r="D1835" s="21">
        <v>12</v>
      </c>
      <c r="E1835" s="19">
        <v>1</v>
      </c>
      <c r="F1835" s="16" t="s">
        <v>85</v>
      </c>
      <c r="G1835" s="16" t="s">
        <v>90</v>
      </c>
      <c r="H1835" s="11" t="s">
        <v>99</v>
      </c>
      <c r="I1835" s="16" t="s">
        <v>184</v>
      </c>
      <c r="J1835" s="17">
        <v>20101904874</v>
      </c>
      <c r="K1835" s="84" t="s">
        <v>73</v>
      </c>
      <c r="L1835" s="16" t="s">
        <v>536</v>
      </c>
      <c r="M1835" s="16" t="s">
        <v>312</v>
      </c>
      <c r="N1835" s="11"/>
      <c r="O1835" s="11"/>
      <c r="P1835" s="16" t="s">
        <v>514</v>
      </c>
      <c r="Q1835" s="16" t="s">
        <v>518</v>
      </c>
      <c r="R1835" s="16" t="s">
        <v>505</v>
      </c>
      <c r="S1835" s="11"/>
    </row>
    <row r="1836" spans="1:19" ht="21.75" hidden="1" customHeight="1" x14ac:dyDescent="0.25">
      <c r="A1836" s="84" t="s">
        <v>2784</v>
      </c>
      <c r="B1836" s="84" t="s">
        <v>2785</v>
      </c>
      <c r="C1836" s="18">
        <v>46179</v>
      </c>
      <c r="D1836" s="21">
        <v>12</v>
      </c>
      <c r="E1836" s="19">
        <v>1</v>
      </c>
      <c r="F1836" s="16" t="s">
        <v>85</v>
      </c>
      <c r="G1836" s="16" t="s">
        <v>90</v>
      </c>
      <c r="H1836" s="11" t="s">
        <v>99</v>
      </c>
      <c r="I1836" s="190" t="s">
        <v>576</v>
      </c>
      <c r="J1836" s="17">
        <v>20101904874</v>
      </c>
      <c r="K1836" s="84" t="s">
        <v>73</v>
      </c>
      <c r="L1836" s="16" t="s">
        <v>537</v>
      </c>
      <c r="M1836" s="16" t="s">
        <v>299</v>
      </c>
      <c r="N1836" s="11"/>
      <c r="O1836" s="11"/>
      <c r="P1836" s="16" t="s">
        <v>514</v>
      </c>
      <c r="Q1836" s="16" t="s">
        <v>519</v>
      </c>
      <c r="R1836" s="16" t="s">
        <v>505</v>
      </c>
      <c r="S1836" s="11"/>
    </row>
    <row r="1837" spans="1:19" ht="21.75" hidden="1" customHeight="1" x14ac:dyDescent="0.25">
      <c r="A1837" s="84" t="s">
        <v>2784</v>
      </c>
      <c r="B1837" s="84" t="s">
        <v>2785</v>
      </c>
      <c r="C1837" s="18">
        <v>46179</v>
      </c>
      <c r="D1837" s="21">
        <v>18</v>
      </c>
      <c r="E1837" s="19">
        <v>2</v>
      </c>
      <c r="F1837" s="16" t="s">
        <v>85</v>
      </c>
      <c r="G1837" s="16" t="s">
        <v>90</v>
      </c>
      <c r="H1837" s="11" t="s">
        <v>99</v>
      </c>
      <c r="I1837" s="16" t="s">
        <v>577</v>
      </c>
      <c r="J1837" s="17">
        <v>20101904874</v>
      </c>
      <c r="K1837" s="84" t="s">
        <v>73</v>
      </c>
      <c r="L1837" s="16" t="s">
        <v>539</v>
      </c>
      <c r="M1837" s="16" t="s">
        <v>306</v>
      </c>
      <c r="N1837" s="11"/>
      <c r="O1837" s="11"/>
      <c r="P1837" s="16" t="s">
        <v>513</v>
      </c>
      <c r="Q1837" s="16" t="s">
        <v>521</v>
      </c>
      <c r="R1837" s="16" t="s">
        <v>505</v>
      </c>
      <c r="S1837" s="11"/>
    </row>
    <row r="1838" spans="1:19" ht="21.75" hidden="1" customHeight="1" x14ac:dyDescent="0.25">
      <c r="A1838" s="84" t="s">
        <v>2784</v>
      </c>
      <c r="B1838" s="84" t="s">
        <v>2785</v>
      </c>
      <c r="C1838" s="18">
        <v>46179</v>
      </c>
      <c r="D1838" s="21">
        <v>12</v>
      </c>
      <c r="E1838" s="19">
        <v>1</v>
      </c>
      <c r="F1838" s="16" t="s">
        <v>85</v>
      </c>
      <c r="G1838" s="16" t="s">
        <v>90</v>
      </c>
      <c r="H1838" s="11" t="s">
        <v>99</v>
      </c>
      <c r="I1838" s="16" t="s">
        <v>578</v>
      </c>
      <c r="J1838" s="17">
        <v>20101904874</v>
      </c>
      <c r="K1838" s="84" t="s">
        <v>73</v>
      </c>
      <c r="L1838" s="16" t="s">
        <v>540</v>
      </c>
      <c r="M1838" s="16" t="s">
        <v>299</v>
      </c>
      <c r="N1838" s="11"/>
      <c r="O1838" s="11"/>
      <c r="P1838" s="16" t="s">
        <v>513</v>
      </c>
      <c r="Q1838" s="16" t="s">
        <v>522</v>
      </c>
      <c r="R1838" s="16" t="s">
        <v>505</v>
      </c>
      <c r="S1838" s="11"/>
    </row>
    <row r="1839" spans="1:19" ht="21.75" hidden="1" customHeight="1" x14ac:dyDescent="0.25">
      <c r="A1839" s="84" t="s">
        <v>2784</v>
      </c>
      <c r="B1839" s="84" t="s">
        <v>2785</v>
      </c>
      <c r="C1839" s="18">
        <v>46179</v>
      </c>
      <c r="D1839" s="21">
        <v>16</v>
      </c>
      <c r="E1839" s="19">
        <v>2</v>
      </c>
      <c r="F1839" s="16" t="s">
        <v>85</v>
      </c>
      <c r="G1839" s="16" t="s">
        <v>90</v>
      </c>
      <c r="H1839" s="11" t="s">
        <v>99</v>
      </c>
      <c r="I1839" s="16" t="s">
        <v>579</v>
      </c>
      <c r="J1839" s="17">
        <v>20101904874</v>
      </c>
      <c r="K1839" s="84" t="s">
        <v>73</v>
      </c>
      <c r="L1839" s="16" t="s">
        <v>541</v>
      </c>
      <c r="M1839" s="16" t="s">
        <v>347</v>
      </c>
      <c r="N1839" s="11"/>
      <c r="O1839" s="11"/>
      <c r="P1839" s="16" t="s">
        <v>514</v>
      </c>
      <c r="Q1839" s="16" t="s">
        <v>523</v>
      </c>
      <c r="R1839" s="16" t="s">
        <v>505</v>
      </c>
      <c r="S1839" s="11"/>
    </row>
    <row r="1840" spans="1:19" ht="21.75" hidden="1" customHeight="1" x14ac:dyDescent="0.25">
      <c r="A1840" s="84" t="s">
        <v>2784</v>
      </c>
      <c r="B1840" s="84" t="s">
        <v>2785</v>
      </c>
      <c r="C1840" s="18">
        <v>46179</v>
      </c>
      <c r="D1840" s="21">
        <v>6</v>
      </c>
      <c r="E1840" s="19">
        <v>1</v>
      </c>
      <c r="F1840" s="16" t="s">
        <v>507</v>
      </c>
      <c r="G1840" s="16" t="s">
        <v>510</v>
      </c>
      <c r="H1840" s="11" t="s">
        <v>99</v>
      </c>
      <c r="I1840" s="16" t="s">
        <v>579</v>
      </c>
      <c r="J1840" s="17">
        <v>20101904874</v>
      </c>
      <c r="K1840" s="84" t="s">
        <v>73</v>
      </c>
      <c r="L1840" s="16" t="s">
        <v>541</v>
      </c>
      <c r="M1840" s="16" t="s">
        <v>347</v>
      </c>
      <c r="N1840" s="11"/>
      <c r="O1840" s="11"/>
      <c r="P1840" s="16" t="s">
        <v>514</v>
      </c>
      <c r="Q1840" s="16" t="s">
        <v>523</v>
      </c>
      <c r="R1840" s="16" t="s">
        <v>505</v>
      </c>
      <c r="S1840" s="11"/>
    </row>
    <row r="1841" spans="1:19" ht="21.75" hidden="1" customHeight="1" x14ac:dyDescent="0.25">
      <c r="A1841" s="84" t="s">
        <v>2784</v>
      </c>
      <c r="B1841" s="84" t="s">
        <v>2785</v>
      </c>
      <c r="C1841" s="18">
        <v>46179</v>
      </c>
      <c r="D1841" s="21">
        <v>6</v>
      </c>
      <c r="E1841" s="19">
        <v>1</v>
      </c>
      <c r="F1841" s="84" t="s">
        <v>506</v>
      </c>
      <c r="G1841" s="84" t="s">
        <v>509</v>
      </c>
      <c r="H1841" s="16" t="s">
        <v>76</v>
      </c>
      <c r="I1841" s="16" t="s">
        <v>580</v>
      </c>
      <c r="J1841" s="17">
        <v>20101904874</v>
      </c>
      <c r="K1841" s="84" t="s">
        <v>73</v>
      </c>
      <c r="L1841" s="16" t="s">
        <v>542</v>
      </c>
      <c r="M1841" s="16" t="s">
        <v>299</v>
      </c>
      <c r="N1841" s="11"/>
      <c r="O1841" s="11"/>
      <c r="P1841" s="16" t="s">
        <v>513</v>
      </c>
      <c r="Q1841" s="16" t="s">
        <v>524</v>
      </c>
      <c r="R1841" s="16" t="s">
        <v>505</v>
      </c>
      <c r="S1841" s="11"/>
    </row>
    <row r="1842" spans="1:19" ht="21.75" hidden="1" customHeight="1" x14ac:dyDescent="0.25">
      <c r="A1842" s="84" t="s">
        <v>2784</v>
      </c>
      <c r="B1842" s="84" t="s">
        <v>2785</v>
      </c>
      <c r="C1842" s="18">
        <v>46179</v>
      </c>
      <c r="D1842" s="21">
        <v>12</v>
      </c>
      <c r="E1842" s="19">
        <v>1</v>
      </c>
      <c r="F1842" s="16" t="s">
        <v>85</v>
      </c>
      <c r="G1842" s="16" t="s">
        <v>90</v>
      </c>
      <c r="H1842" s="16" t="s">
        <v>76</v>
      </c>
      <c r="I1842" s="16" t="s">
        <v>580</v>
      </c>
      <c r="J1842" s="17">
        <v>20101904874</v>
      </c>
      <c r="K1842" s="84" t="s">
        <v>73</v>
      </c>
      <c r="L1842" s="16" t="s">
        <v>542</v>
      </c>
      <c r="M1842" s="16" t="s">
        <v>299</v>
      </c>
      <c r="N1842" s="11"/>
      <c r="O1842" s="11"/>
      <c r="P1842" s="16" t="s">
        <v>513</v>
      </c>
      <c r="Q1842" s="16" t="s">
        <v>524</v>
      </c>
      <c r="R1842" s="16" t="s">
        <v>505</v>
      </c>
      <c r="S1842" s="11"/>
    </row>
    <row r="1843" spans="1:19" ht="21.75" hidden="1" customHeight="1" x14ac:dyDescent="0.25">
      <c r="A1843" s="84" t="s">
        <v>2784</v>
      </c>
      <c r="B1843" s="84" t="s">
        <v>2785</v>
      </c>
      <c r="C1843" s="18">
        <v>46179</v>
      </c>
      <c r="D1843" s="21">
        <v>24</v>
      </c>
      <c r="E1843" s="19">
        <v>2</v>
      </c>
      <c r="F1843" s="16" t="s">
        <v>85</v>
      </c>
      <c r="G1843" s="16" t="s">
        <v>90</v>
      </c>
      <c r="H1843" s="11" t="s">
        <v>99</v>
      </c>
      <c r="I1843" s="16" t="s">
        <v>555</v>
      </c>
      <c r="J1843" s="80">
        <v>20101904874</v>
      </c>
      <c r="K1843" s="84" t="s">
        <v>73</v>
      </c>
      <c r="L1843" s="16" t="s">
        <v>543</v>
      </c>
      <c r="M1843" s="16" t="s">
        <v>474</v>
      </c>
      <c r="N1843" s="11"/>
      <c r="O1843" s="11"/>
      <c r="P1843" s="16" t="s">
        <v>513</v>
      </c>
      <c r="Q1843" s="16" t="s">
        <v>525</v>
      </c>
      <c r="R1843" s="16" t="s">
        <v>505</v>
      </c>
      <c r="S1843" s="11"/>
    </row>
    <row r="1844" spans="1:19" s="20" customFormat="1" ht="21.75" hidden="1" customHeight="1" x14ac:dyDescent="0.2">
      <c r="A1844" s="84" t="s">
        <v>2786</v>
      </c>
      <c r="B1844" s="84" t="s">
        <v>2787</v>
      </c>
      <c r="C1844" s="18">
        <v>46179</v>
      </c>
      <c r="D1844" s="21">
        <v>24</v>
      </c>
      <c r="E1844" s="19">
        <v>2</v>
      </c>
      <c r="F1844" s="16" t="s">
        <v>507</v>
      </c>
      <c r="G1844" s="16" t="s">
        <v>510</v>
      </c>
      <c r="H1844" s="11" t="s">
        <v>99</v>
      </c>
      <c r="I1844" s="16" t="s">
        <v>556</v>
      </c>
      <c r="J1844" s="80">
        <v>20101904874</v>
      </c>
      <c r="K1844" s="84" t="s">
        <v>73</v>
      </c>
      <c r="L1844" s="16" t="s">
        <v>544</v>
      </c>
      <c r="M1844" s="16" t="s">
        <v>474</v>
      </c>
      <c r="N1844" s="11"/>
      <c r="O1844" s="11"/>
      <c r="P1844" s="16" t="s">
        <v>513</v>
      </c>
      <c r="Q1844" s="16" t="s">
        <v>526</v>
      </c>
      <c r="R1844" s="16" t="s">
        <v>505</v>
      </c>
      <c r="S1844" s="11"/>
    </row>
    <row r="1845" spans="1:19" ht="21.75" hidden="1" customHeight="1" x14ac:dyDescent="0.25">
      <c r="A1845" s="84" t="s">
        <v>2786</v>
      </c>
      <c r="B1845" s="84" t="s">
        <v>2787</v>
      </c>
      <c r="C1845" s="18">
        <v>46179</v>
      </c>
      <c r="D1845" s="21">
        <v>12</v>
      </c>
      <c r="E1845" s="19">
        <v>1</v>
      </c>
      <c r="F1845" s="16" t="s">
        <v>85</v>
      </c>
      <c r="G1845" s="16" t="s">
        <v>90</v>
      </c>
      <c r="H1845" s="11" t="s">
        <v>99</v>
      </c>
      <c r="I1845" s="16" t="s">
        <v>581</v>
      </c>
      <c r="J1845" s="17">
        <v>20101904874</v>
      </c>
      <c r="K1845" s="84" t="s">
        <v>73</v>
      </c>
      <c r="L1845" s="16" t="s">
        <v>545</v>
      </c>
      <c r="M1845" s="16" t="s">
        <v>299</v>
      </c>
      <c r="N1845" s="11"/>
      <c r="O1845" s="11"/>
      <c r="P1845" s="16" t="s">
        <v>513</v>
      </c>
      <c r="Q1845" s="16" t="s">
        <v>527</v>
      </c>
      <c r="R1845" s="16" t="s">
        <v>505</v>
      </c>
      <c r="S1845" s="11"/>
    </row>
    <row r="1846" spans="1:19" ht="21.75" hidden="1" customHeight="1" x14ac:dyDescent="0.25">
      <c r="A1846" s="84" t="s">
        <v>2786</v>
      </c>
      <c r="B1846" s="84" t="s">
        <v>2787</v>
      </c>
      <c r="C1846" s="18">
        <v>46179</v>
      </c>
      <c r="D1846" s="21">
        <v>12</v>
      </c>
      <c r="E1846" s="19">
        <v>1</v>
      </c>
      <c r="F1846" s="16" t="s">
        <v>507</v>
      </c>
      <c r="G1846" s="16" t="s">
        <v>510</v>
      </c>
      <c r="H1846" s="11" t="s">
        <v>99</v>
      </c>
      <c r="I1846" s="16" t="s">
        <v>581</v>
      </c>
      <c r="J1846" s="17">
        <v>20101904874</v>
      </c>
      <c r="K1846" s="84" t="s">
        <v>73</v>
      </c>
      <c r="L1846" s="16" t="s">
        <v>545</v>
      </c>
      <c r="M1846" s="16" t="s">
        <v>299</v>
      </c>
      <c r="N1846" s="11"/>
      <c r="O1846" s="11"/>
      <c r="P1846" s="16" t="s">
        <v>513</v>
      </c>
      <c r="Q1846" s="16" t="s">
        <v>527</v>
      </c>
      <c r="R1846" s="16" t="s">
        <v>505</v>
      </c>
      <c r="S1846" s="11"/>
    </row>
    <row r="1847" spans="1:19" s="20" customFormat="1" ht="21.75" hidden="1" customHeight="1" x14ac:dyDescent="0.2">
      <c r="A1847" s="84" t="s">
        <v>2786</v>
      </c>
      <c r="B1847" s="84" t="s">
        <v>2787</v>
      </c>
      <c r="C1847" s="18">
        <v>46179</v>
      </c>
      <c r="D1847" s="21">
        <v>25</v>
      </c>
      <c r="E1847" s="19">
        <v>3</v>
      </c>
      <c r="F1847" s="16" t="s">
        <v>507</v>
      </c>
      <c r="G1847" s="16" t="s">
        <v>510</v>
      </c>
      <c r="H1847" s="11" t="s">
        <v>99</v>
      </c>
      <c r="I1847" s="16" t="s">
        <v>557</v>
      </c>
      <c r="J1847" s="80">
        <v>20101904874</v>
      </c>
      <c r="K1847" s="84" t="s">
        <v>73</v>
      </c>
      <c r="L1847" s="16" t="s">
        <v>547</v>
      </c>
      <c r="M1847" s="16" t="s">
        <v>474</v>
      </c>
      <c r="N1847" s="11"/>
      <c r="O1847" s="11"/>
      <c r="P1847" s="16" t="s">
        <v>513</v>
      </c>
      <c r="Q1847" s="16" t="s">
        <v>529</v>
      </c>
      <c r="R1847" s="16" t="s">
        <v>505</v>
      </c>
      <c r="S1847" s="11"/>
    </row>
    <row r="1848" spans="1:19" s="20" customFormat="1" ht="21.75" hidden="1" customHeight="1" x14ac:dyDescent="0.2">
      <c r="A1848" s="84" t="s">
        <v>2786</v>
      </c>
      <c r="B1848" s="84" t="s">
        <v>2787</v>
      </c>
      <c r="C1848" s="18">
        <v>46179</v>
      </c>
      <c r="D1848" s="21">
        <v>12</v>
      </c>
      <c r="E1848" s="19">
        <v>1</v>
      </c>
      <c r="F1848" s="16" t="s">
        <v>507</v>
      </c>
      <c r="G1848" s="16" t="s">
        <v>510</v>
      </c>
      <c r="H1848" s="11" t="s">
        <v>99</v>
      </c>
      <c r="I1848" s="16" t="s">
        <v>583</v>
      </c>
      <c r="J1848" s="17">
        <v>20101904874</v>
      </c>
      <c r="K1848" s="84" t="s">
        <v>73</v>
      </c>
      <c r="L1848" s="16" t="s">
        <v>548</v>
      </c>
      <c r="M1848" s="16" t="s">
        <v>312</v>
      </c>
      <c r="N1848" s="11"/>
      <c r="O1848" s="11"/>
      <c r="P1848" s="16" t="s">
        <v>514</v>
      </c>
      <c r="Q1848" s="16" t="s">
        <v>530</v>
      </c>
      <c r="R1848" s="16" t="s">
        <v>505</v>
      </c>
      <c r="S1848" s="11"/>
    </row>
    <row r="1849" spans="1:19" s="20" customFormat="1" ht="21.75" hidden="1" customHeight="1" x14ac:dyDescent="0.2">
      <c r="A1849" s="84" t="s">
        <v>2786</v>
      </c>
      <c r="B1849" s="84" t="s">
        <v>2787</v>
      </c>
      <c r="C1849" s="18">
        <v>46179</v>
      </c>
      <c r="D1849" s="21">
        <v>12</v>
      </c>
      <c r="E1849" s="19">
        <v>1</v>
      </c>
      <c r="F1849" s="16" t="s">
        <v>507</v>
      </c>
      <c r="G1849" s="16" t="s">
        <v>510</v>
      </c>
      <c r="H1849" s="16" t="s">
        <v>99</v>
      </c>
      <c r="I1849" s="16" t="s">
        <v>1897</v>
      </c>
      <c r="J1849" s="17">
        <v>20101904874</v>
      </c>
      <c r="K1849" s="84" t="s">
        <v>73</v>
      </c>
      <c r="L1849" s="16" t="s">
        <v>1374</v>
      </c>
      <c r="M1849" s="16" t="s">
        <v>286</v>
      </c>
      <c r="N1849" s="11"/>
      <c r="O1849" s="11"/>
      <c r="P1849" s="16" t="s">
        <v>514</v>
      </c>
      <c r="Q1849" s="16" t="s">
        <v>1370</v>
      </c>
      <c r="R1849" s="16" t="s">
        <v>505</v>
      </c>
      <c r="S1849" s="11"/>
    </row>
    <row r="1850" spans="1:19" s="20" customFormat="1" ht="21.75" hidden="1" customHeight="1" x14ac:dyDescent="0.2">
      <c r="A1850" s="84" t="s">
        <v>2786</v>
      </c>
      <c r="B1850" s="84" t="s">
        <v>2787</v>
      </c>
      <c r="C1850" s="18">
        <v>46179</v>
      </c>
      <c r="D1850" s="21">
        <v>6</v>
      </c>
      <c r="E1850" s="19">
        <v>1</v>
      </c>
      <c r="F1850" s="16" t="s">
        <v>85</v>
      </c>
      <c r="G1850" s="16" t="s">
        <v>90</v>
      </c>
      <c r="H1850" s="11" t="s">
        <v>99</v>
      </c>
      <c r="I1850" s="16" t="s">
        <v>558</v>
      </c>
      <c r="J1850" s="80">
        <v>20101904874</v>
      </c>
      <c r="K1850" s="84" t="s">
        <v>73</v>
      </c>
      <c r="L1850" s="16" t="s">
        <v>549</v>
      </c>
      <c r="M1850" s="16" t="s">
        <v>533</v>
      </c>
      <c r="N1850" s="11"/>
      <c r="O1850" s="11"/>
      <c r="P1850" s="16" t="s">
        <v>515</v>
      </c>
      <c r="Q1850" s="16" t="s">
        <v>531</v>
      </c>
      <c r="R1850" s="16" t="s">
        <v>505</v>
      </c>
      <c r="S1850" s="11"/>
    </row>
    <row r="1851" spans="1:19" s="20" customFormat="1" ht="21.75" hidden="1" customHeight="1" x14ac:dyDescent="0.2">
      <c r="A1851" s="84" t="s">
        <v>2786</v>
      </c>
      <c r="B1851" s="84" t="s">
        <v>2787</v>
      </c>
      <c r="C1851" s="18">
        <v>46179</v>
      </c>
      <c r="D1851" s="21">
        <v>6</v>
      </c>
      <c r="E1851" s="19">
        <v>1</v>
      </c>
      <c r="F1851" s="16" t="s">
        <v>507</v>
      </c>
      <c r="G1851" s="16" t="s">
        <v>510</v>
      </c>
      <c r="H1851" s="11" t="s">
        <v>99</v>
      </c>
      <c r="I1851" s="16" t="s">
        <v>558</v>
      </c>
      <c r="J1851" s="80">
        <v>20101904874</v>
      </c>
      <c r="K1851" s="84" t="s">
        <v>73</v>
      </c>
      <c r="L1851" s="16" t="s">
        <v>549</v>
      </c>
      <c r="M1851" s="16" t="s">
        <v>533</v>
      </c>
      <c r="N1851" s="11"/>
      <c r="O1851" s="11"/>
      <c r="P1851" s="16" t="s">
        <v>515</v>
      </c>
      <c r="Q1851" s="16" t="s">
        <v>531</v>
      </c>
      <c r="R1851" s="16" t="s">
        <v>505</v>
      </c>
      <c r="S1851" s="11"/>
    </row>
    <row r="1852" spans="1:19" s="20" customFormat="1" ht="21.75" hidden="1" customHeight="1" x14ac:dyDescent="0.2">
      <c r="A1852" s="84" t="s">
        <v>2786</v>
      </c>
      <c r="B1852" s="84" t="s">
        <v>2787</v>
      </c>
      <c r="C1852" s="18">
        <v>46179</v>
      </c>
      <c r="D1852" s="21">
        <v>12</v>
      </c>
      <c r="E1852" s="19">
        <v>1</v>
      </c>
      <c r="F1852" s="16" t="s">
        <v>85</v>
      </c>
      <c r="G1852" s="16" t="s">
        <v>90</v>
      </c>
      <c r="H1852" s="11" t="s">
        <v>99</v>
      </c>
      <c r="I1852" s="16" t="s">
        <v>559</v>
      </c>
      <c r="J1852" s="80">
        <v>20101904874</v>
      </c>
      <c r="K1852" s="84" t="s">
        <v>73</v>
      </c>
      <c r="L1852" s="16" t="s">
        <v>550</v>
      </c>
      <c r="M1852" s="16" t="s">
        <v>533</v>
      </c>
      <c r="N1852" s="11"/>
      <c r="O1852" s="11"/>
      <c r="P1852" s="16" t="s">
        <v>515</v>
      </c>
      <c r="Q1852" s="16" t="s">
        <v>532</v>
      </c>
      <c r="R1852" s="16" t="s">
        <v>505</v>
      </c>
      <c r="S1852" s="11"/>
    </row>
    <row r="1853" spans="1:19" s="20" customFormat="1" ht="21.75" hidden="1" customHeight="1" x14ac:dyDescent="0.2">
      <c r="A1853" s="118" t="s">
        <v>2786</v>
      </c>
      <c r="B1853" s="118" t="s">
        <v>2787</v>
      </c>
      <c r="C1853" s="126">
        <v>46179</v>
      </c>
      <c r="D1853" s="24">
        <v>12</v>
      </c>
      <c r="E1853" s="25">
        <v>1</v>
      </c>
      <c r="F1853" s="26" t="s">
        <v>507</v>
      </c>
      <c r="G1853" s="26" t="s">
        <v>510</v>
      </c>
      <c r="H1853" s="27" t="s">
        <v>99</v>
      </c>
      <c r="I1853" s="26" t="s">
        <v>559</v>
      </c>
      <c r="J1853" s="200">
        <v>20101904874</v>
      </c>
      <c r="K1853" s="118" t="s">
        <v>73</v>
      </c>
      <c r="L1853" s="26" t="s">
        <v>550</v>
      </c>
      <c r="M1853" s="26" t="s">
        <v>533</v>
      </c>
      <c r="N1853" s="27"/>
      <c r="O1853" s="27"/>
      <c r="P1853" s="26" t="s">
        <v>515</v>
      </c>
      <c r="Q1853" s="26" t="s">
        <v>532</v>
      </c>
      <c r="R1853" s="26" t="s">
        <v>505</v>
      </c>
      <c r="S1853" s="27"/>
    </row>
    <row r="1854" spans="1:19" s="20" customFormat="1" ht="21.75" hidden="1" customHeight="1" x14ac:dyDescent="0.2">
      <c r="A1854" s="17" t="s">
        <v>2792</v>
      </c>
      <c r="B1854" s="14" t="s">
        <v>73</v>
      </c>
      <c r="C1854" s="18">
        <v>46179</v>
      </c>
      <c r="D1854" s="19">
        <v>24</v>
      </c>
      <c r="E1854" s="19">
        <v>1</v>
      </c>
      <c r="F1854" s="11" t="s">
        <v>855</v>
      </c>
      <c r="G1854" s="14" t="s">
        <v>2793</v>
      </c>
      <c r="H1854" s="16" t="s">
        <v>1650</v>
      </c>
      <c r="I1854" s="16" t="s">
        <v>733</v>
      </c>
      <c r="J1854" s="17">
        <v>20610373608</v>
      </c>
      <c r="K1854" s="84" t="s">
        <v>73</v>
      </c>
      <c r="L1854" s="11"/>
      <c r="M1854" s="11"/>
      <c r="N1854" s="11" t="s">
        <v>2687</v>
      </c>
      <c r="O1854" s="201">
        <v>46178</v>
      </c>
      <c r="P1854" s="11" t="s">
        <v>987</v>
      </c>
      <c r="Q1854" s="202"/>
      <c r="R1854" s="11"/>
      <c r="S1854" s="11"/>
    </row>
    <row r="1855" spans="1:19" s="20" customFormat="1" ht="21.75" hidden="1" customHeight="1" x14ac:dyDescent="0.2">
      <c r="A1855" s="17" t="s">
        <v>2792</v>
      </c>
      <c r="B1855" s="14" t="s">
        <v>73</v>
      </c>
      <c r="C1855" s="18">
        <v>46179</v>
      </c>
      <c r="D1855" s="19">
        <v>24</v>
      </c>
      <c r="E1855" s="19">
        <v>2</v>
      </c>
      <c r="F1855" s="11" t="s">
        <v>2796</v>
      </c>
      <c r="G1855" s="14" t="s">
        <v>2794</v>
      </c>
      <c r="H1855" s="16" t="s">
        <v>1650</v>
      </c>
      <c r="I1855" s="16" t="s">
        <v>733</v>
      </c>
      <c r="J1855" s="17">
        <v>20610373608</v>
      </c>
      <c r="K1855" s="14">
        <v>981468403</v>
      </c>
      <c r="L1855" s="11" t="s">
        <v>2797</v>
      </c>
      <c r="M1855" s="11" t="s">
        <v>299</v>
      </c>
      <c r="N1855" s="11" t="s">
        <v>2689</v>
      </c>
      <c r="O1855" s="201">
        <v>46178</v>
      </c>
      <c r="P1855" s="11" t="s">
        <v>987</v>
      </c>
      <c r="Q1855" s="202"/>
      <c r="R1855" s="11"/>
      <c r="S1855" s="11"/>
    </row>
    <row r="1856" spans="1:19" s="20" customFormat="1" ht="21.75" hidden="1" customHeight="1" x14ac:dyDescent="0.2">
      <c r="A1856" s="17" t="s">
        <v>2792</v>
      </c>
      <c r="B1856" s="14" t="s">
        <v>73</v>
      </c>
      <c r="C1856" s="18">
        <v>46179</v>
      </c>
      <c r="D1856" s="19">
        <v>24</v>
      </c>
      <c r="E1856" s="19">
        <v>2</v>
      </c>
      <c r="F1856" s="11" t="s">
        <v>854</v>
      </c>
      <c r="G1856" s="14" t="s">
        <v>2795</v>
      </c>
      <c r="H1856" s="16" t="s">
        <v>1650</v>
      </c>
      <c r="I1856" s="16" t="s">
        <v>733</v>
      </c>
      <c r="J1856" s="17">
        <v>20610373608</v>
      </c>
      <c r="K1856" s="14">
        <v>981468403</v>
      </c>
      <c r="L1856" s="11" t="s">
        <v>2797</v>
      </c>
      <c r="M1856" s="11" t="s">
        <v>299</v>
      </c>
      <c r="N1856" s="11" t="s">
        <v>2689</v>
      </c>
      <c r="O1856" s="201">
        <v>46178</v>
      </c>
      <c r="P1856" s="11" t="s">
        <v>987</v>
      </c>
      <c r="Q1856" s="202"/>
      <c r="R1856" s="11"/>
      <c r="S1856" s="11"/>
    </row>
    <row r="1857" spans="1:19" s="20" customFormat="1" ht="21.75" hidden="1" customHeight="1" x14ac:dyDescent="0.2">
      <c r="A1857" s="17" t="s">
        <v>2792</v>
      </c>
      <c r="B1857" s="14" t="s">
        <v>73</v>
      </c>
      <c r="C1857" s="18">
        <v>46179</v>
      </c>
      <c r="D1857" s="19">
        <v>48</v>
      </c>
      <c r="E1857" s="19">
        <v>2</v>
      </c>
      <c r="F1857" s="11" t="s">
        <v>855</v>
      </c>
      <c r="G1857" s="14" t="s">
        <v>2793</v>
      </c>
      <c r="H1857" s="16" t="s">
        <v>1650</v>
      </c>
      <c r="I1857" s="16" t="s">
        <v>733</v>
      </c>
      <c r="J1857" s="17">
        <v>20610373608</v>
      </c>
      <c r="K1857" s="14">
        <v>981468403</v>
      </c>
      <c r="L1857" s="11" t="s">
        <v>2797</v>
      </c>
      <c r="M1857" s="11" t="s">
        <v>299</v>
      </c>
      <c r="N1857" s="11" t="s">
        <v>2689</v>
      </c>
      <c r="O1857" s="201">
        <v>46178</v>
      </c>
      <c r="P1857" s="11" t="s">
        <v>987</v>
      </c>
      <c r="Q1857" s="202"/>
      <c r="R1857" s="11"/>
      <c r="S1857" s="11"/>
    </row>
    <row r="1858" spans="1:19" s="20" customFormat="1" ht="21.75" hidden="1" customHeight="1" x14ac:dyDescent="0.2">
      <c r="A1858" s="14" t="s">
        <v>2789</v>
      </c>
      <c r="B1858" s="14" t="s">
        <v>2790</v>
      </c>
      <c r="C1858" s="18">
        <v>46181</v>
      </c>
      <c r="D1858" s="19">
        <v>1</v>
      </c>
      <c r="E1858" s="19">
        <v>1</v>
      </c>
      <c r="F1858" s="16" t="s">
        <v>443</v>
      </c>
      <c r="G1858" s="16" t="s">
        <v>450</v>
      </c>
      <c r="H1858" s="11" t="s">
        <v>99</v>
      </c>
      <c r="I1858" s="11" t="s">
        <v>343</v>
      </c>
      <c r="J1858" s="14">
        <v>20609463695</v>
      </c>
      <c r="K1858" s="84" t="s">
        <v>73</v>
      </c>
      <c r="L1858" s="11" t="s">
        <v>1654</v>
      </c>
      <c r="M1858" s="11" t="s">
        <v>347</v>
      </c>
      <c r="N1858" s="11" t="s">
        <v>2689</v>
      </c>
      <c r="O1858" s="201">
        <v>46181</v>
      </c>
      <c r="P1858" s="11" t="s">
        <v>2791</v>
      </c>
      <c r="Q1858" s="202"/>
      <c r="R1858" s="11" t="s">
        <v>342</v>
      </c>
      <c r="S1858" s="11"/>
    </row>
    <row r="1859" spans="1:19" s="20" customFormat="1" ht="21.75" hidden="1" customHeight="1" x14ac:dyDescent="0.2">
      <c r="A1859" s="14" t="s">
        <v>2789</v>
      </c>
      <c r="B1859" s="14" t="s">
        <v>2790</v>
      </c>
      <c r="C1859" s="18">
        <v>46181</v>
      </c>
      <c r="D1859" s="19">
        <v>1</v>
      </c>
      <c r="E1859" s="19">
        <v>1</v>
      </c>
      <c r="F1859" s="16" t="s">
        <v>316</v>
      </c>
      <c r="G1859" s="16" t="s">
        <v>329</v>
      </c>
      <c r="H1859" s="11" t="s">
        <v>99</v>
      </c>
      <c r="I1859" s="11" t="s">
        <v>343</v>
      </c>
      <c r="J1859" s="14">
        <v>20609463695</v>
      </c>
      <c r="K1859" s="84" t="s">
        <v>73</v>
      </c>
      <c r="L1859" s="11" t="s">
        <v>1654</v>
      </c>
      <c r="M1859" s="11" t="s">
        <v>347</v>
      </c>
      <c r="N1859" s="11" t="s">
        <v>2689</v>
      </c>
      <c r="O1859" s="201">
        <v>46181</v>
      </c>
      <c r="P1859" s="11" t="s">
        <v>2791</v>
      </c>
      <c r="Q1859" s="202"/>
      <c r="R1859" s="11" t="s">
        <v>342</v>
      </c>
      <c r="S1859" s="11"/>
    </row>
    <row r="1860" spans="1:19" s="20" customFormat="1" ht="21.75" hidden="1" customHeight="1" x14ac:dyDescent="0.2">
      <c r="A1860" s="14" t="s">
        <v>2789</v>
      </c>
      <c r="B1860" s="14" t="s">
        <v>2790</v>
      </c>
      <c r="C1860" s="18">
        <v>46181</v>
      </c>
      <c r="D1860" s="19">
        <v>2</v>
      </c>
      <c r="E1860" s="19">
        <v>1</v>
      </c>
      <c r="F1860" s="16" t="s">
        <v>317</v>
      </c>
      <c r="G1860" s="16" t="s">
        <v>330</v>
      </c>
      <c r="H1860" s="11" t="s">
        <v>99</v>
      </c>
      <c r="I1860" s="11" t="s">
        <v>343</v>
      </c>
      <c r="J1860" s="14">
        <v>20609463695</v>
      </c>
      <c r="K1860" s="84" t="s">
        <v>73</v>
      </c>
      <c r="L1860" s="11" t="s">
        <v>1654</v>
      </c>
      <c r="M1860" s="11" t="s">
        <v>347</v>
      </c>
      <c r="N1860" s="11" t="s">
        <v>2689</v>
      </c>
      <c r="O1860" s="201">
        <v>46181</v>
      </c>
      <c r="P1860" s="11" t="s">
        <v>2791</v>
      </c>
      <c r="Q1860" s="202"/>
      <c r="R1860" s="11" t="s">
        <v>342</v>
      </c>
      <c r="S1860" s="11"/>
    </row>
    <row r="1861" spans="1:19" s="20" customFormat="1" ht="21.75" hidden="1" customHeight="1" x14ac:dyDescent="0.2">
      <c r="A1861" s="14" t="s">
        <v>2789</v>
      </c>
      <c r="B1861" s="14" t="s">
        <v>2790</v>
      </c>
      <c r="C1861" s="18">
        <v>46181</v>
      </c>
      <c r="D1861" s="19">
        <v>2</v>
      </c>
      <c r="E1861" s="19">
        <v>1</v>
      </c>
      <c r="F1861" s="16" t="s">
        <v>953</v>
      </c>
      <c r="G1861" s="16" t="s">
        <v>955</v>
      </c>
      <c r="H1861" s="11" t="s">
        <v>99</v>
      </c>
      <c r="I1861" s="11" t="s">
        <v>343</v>
      </c>
      <c r="J1861" s="14">
        <v>20609463695</v>
      </c>
      <c r="K1861" s="84" t="s">
        <v>73</v>
      </c>
      <c r="L1861" s="11" t="s">
        <v>1654</v>
      </c>
      <c r="M1861" s="11" t="s">
        <v>347</v>
      </c>
      <c r="N1861" s="11" t="s">
        <v>2689</v>
      </c>
      <c r="O1861" s="201">
        <v>46181</v>
      </c>
      <c r="P1861" s="11" t="s">
        <v>2791</v>
      </c>
      <c r="Q1861" s="202"/>
      <c r="R1861" s="11" t="s">
        <v>342</v>
      </c>
      <c r="S1861" s="11"/>
    </row>
    <row r="1862" spans="1:19" s="20" customFormat="1" ht="21.75" hidden="1" customHeight="1" x14ac:dyDescent="0.2">
      <c r="A1862" s="14" t="s">
        <v>2789</v>
      </c>
      <c r="B1862" s="14" t="s">
        <v>2790</v>
      </c>
      <c r="C1862" s="18">
        <v>46181</v>
      </c>
      <c r="D1862" s="19">
        <v>3</v>
      </c>
      <c r="E1862" s="19">
        <v>2</v>
      </c>
      <c r="F1862" s="16" t="s">
        <v>321</v>
      </c>
      <c r="G1862" s="16" t="s">
        <v>334</v>
      </c>
      <c r="H1862" s="11" t="s">
        <v>99</v>
      </c>
      <c r="I1862" s="11" t="s">
        <v>343</v>
      </c>
      <c r="J1862" s="14">
        <v>20609463695</v>
      </c>
      <c r="K1862" s="84" t="s">
        <v>73</v>
      </c>
      <c r="L1862" s="11" t="s">
        <v>1654</v>
      </c>
      <c r="M1862" s="11" t="s">
        <v>347</v>
      </c>
      <c r="N1862" s="11" t="s">
        <v>2689</v>
      </c>
      <c r="O1862" s="201">
        <v>46181</v>
      </c>
      <c r="P1862" s="11" t="s">
        <v>2791</v>
      </c>
      <c r="Q1862" s="202"/>
      <c r="R1862" s="11" t="s">
        <v>342</v>
      </c>
      <c r="S1862" s="11"/>
    </row>
    <row r="1863" spans="1:19" s="20" customFormat="1" ht="21.75" hidden="1" customHeight="1" x14ac:dyDescent="0.2">
      <c r="A1863" s="14" t="s">
        <v>2789</v>
      </c>
      <c r="B1863" s="14" t="s">
        <v>2790</v>
      </c>
      <c r="C1863" s="18">
        <v>46181</v>
      </c>
      <c r="D1863" s="19">
        <v>3</v>
      </c>
      <c r="E1863" s="19">
        <v>1</v>
      </c>
      <c r="F1863" s="16" t="s">
        <v>602</v>
      </c>
      <c r="G1863" s="16" t="s">
        <v>2760</v>
      </c>
      <c r="H1863" s="11" t="s">
        <v>99</v>
      </c>
      <c r="I1863" s="11" t="s">
        <v>343</v>
      </c>
      <c r="J1863" s="14">
        <v>20609463695</v>
      </c>
      <c r="K1863" s="84" t="s">
        <v>73</v>
      </c>
      <c r="L1863" s="11" t="s">
        <v>1654</v>
      </c>
      <c r="M1863" s="11" t="s">
        <v>347</v>
      </c>
      <c r="N1863" s="11" t="s">
        <v>2689</v>
      </c>
      <c r="O1863" s="201">
        <v>46181</v>
      </c>
      <c r="P1863" s="11" t="s">
        <v>2791</v>
      </c>
      <c r="Q1863" s="202"/>
      <c r="R1863" s="11" t="s">
        <v>342</v>
      </c>
      <c r="S1863" s="11"/>
    </row>
    <row r="1864" spans="1:19" s="20" customFormat="1" ht="21.75" hidden="1" customHeight="1" x14ac:dyDescent="0.2">
      <c r="A1864" s="14" t="s">
        <v>2789</v>
      </c>
      <c r="B1864" s="14" t="s">
        <v>2790</v>
      </c>
      <c r="C1864" s="18">
        <v>46181</v>
      </c>
      <c r="D1864" s="19">
        <v>3</v>
      </c>
      <c r="E1864" s="19">
        <v>1</v>
      </c>
      <c r="F1864" s="16" t="s">
        <v>323</v>
      </c>
      <c r="G1864" s="16" t="s">
        <v>2788</v>
      </c>
      <c r="H1864" s="11" t="s">
        <v>99</v>
      </c>
      <c r="I1864" s="11" t="s">
        <v>343</v>
      </c>
      <c r="J1864" s="14">
        <v>20609463695</v>
      </c>
      <c r="K1864" s="84" t="s">
        <v>73</v>
      </c>
      <c r="L1864" s="11" t="s">
        <v>1654</v>
      </c>
      <c r="M1864" s="11" t="s">
        <v>347</v>
      </c>
      <c r="N1864" s="11" t="s">
        <v>2689</v>
      </c>
      <c r="O1864" s="201">
        <v>46181</v>
      </c>
      <c r="P1864" s="11" t="s">
        <v>2791</v>
      </c>
      <c r="Q1864" s="202"/>
      <c r="R1864" s="11" t="s">
        <v>342</v>
      </c>
      <c r="S1864" s="11"/>
    </row>
    <row r="1865" spans="1:19" s="20" customFormat="1" ht="21.75" hidden="1" customHeight="1" x14ac:dyDescent="0.2">
      <c r="A1865" s="14" t="s">
        <v>2789</v>
      </c>
      <c r="B1865" s="14" t="s">
        <v>2790</v>
      </c>
      <c r="C1865" s="18">
        <v>46181</v>
      </c>
      <c r="D1865" s="19">
        <v>3</v>
      </c>
      <c r="E1865" s="19">
        <v>1</v>
      </c>
      <c r="F1865" s="16" t="s">
        <v>324</v>
      </c>
      <c r="G1865" s="16" t="s">
        <v>337</v>
      </c>
      <c r="H1865" s="11" t="s">
        <v>99</v>
      </c>
      <c r="I1865" s="11" t="s">
        <v>343</v>
      </c>
      <c r="J1865" s="14">
        <v>20609463695</v>
      </c>
      <c r="K1865" s="84" t="s">
        <v>73</v>
      </c>
      <c r="L1865" s="11" t="s">
        <v>1654</v>
      </c>
      <c r="M1865" s="11" t="s">
        <v>347</v>
      </c>
      <c r="N1865" s="11" t="s">
        <v>2689</v>
      </c>
      <c r="O1865" s="201">
        <v>46181</v>
      </c>
      <c r="P1865" s="11" t="s">
        <v>2791</v>
      </c>
      <c r="Q1865" s="202"/>
      <c r="R1865" s="11" t="s">
        <v>342</v>
      </c>
      <c r="S1865" s="11"/>
    </row>
    <row r="1866" spans="1:19" s="20" customFormat="1" ht="21.75" hidden="1" customHeight="1" x14ac:dyDescent="0.2">
      <c r="A1866" s="14" t="s">
        <v>2789</v>
      </c>
      <c r="B1866" s="14" t="s">
        <v>2790</v>
      </c>
      <c r="C1866" s="18">
        <v>46181</v>
      </c>
      <c r="D1866" s="19">
        <v>3</v>
      </c>
      <c r="E1866" s="19">
        <v>2</v>
      </c>
      <c r="F1866" s="16" t="s">
        <v>327</v>
      </c>
      <c r="G1866" s="16" t="s">
        <v>340</v>
      </c>
      <c r="H1866" s="11" t="s">
        <v>99</v>
      </c>
      <c r="I1866" s="11" t="s">
        <v>343</v>
      </c>
      <c r="J1866" s="14">
        <v>20609463695</v>
      </c>
      <c r="K1866" s="84" t="s">
        <v>73</v>
      </c>
      <c r="L1866" s="11" t="s">
        <v>1654</v>
      </c>
      <c r="M1866" s="11" t="s">
        <v>347</v>
      </c>
      <c r="N1866" s="11" t="s">
        <v>2689</v>
      </c>
      <c r="O1866" s="201">
        <v>46181</v>
      </c>
      <c r="P1866" s="11" t="s">
        <v>2791</v>
      </c>
      <c r="Q1866" s="202"/>
      <c r="R1866" s="11" t="s">
        <v>342</v>
      </c>
      <c r="S1866" s="11"/>
    </row>
    <row r="1867" spans="1:19" s="20" customFormat="1" ht="21.75" hidden="1" customHeight="1" x14ac:dyDescent="0.2">
      <c r="A1867" s="11" t="s">
        <v>2798</v>
      </c>
      <c r="B1867" s="14" t="s">
        <v>73</v>
      </c>
      <c r="C1867" s="18">
        <v>46179</v>
      </c>
      <c r="D1867" s="19">
        <v>1</v>
      </c>
      <c r="E1867" s="19">
        <v>1</v>
      </c>
      <c r="F1867" s="11" t="s">
        <v>2413</v>
      </c>
      <c r="G1867" s="14" t="s">
        <v>2757</v>
      </c>
      <c r="H1867" s="11" t="s">
        <v>1650</v>
      </c>
      <c r="I1867" s="11" t="s">
        <v>1239</v>
      </c>
      <c r="J1867" s="19">
        <v>10106005376</v>
      </c>
      <c r="K1867" s="17">
        <v>51966080675</v>
      </c>
      <c r="L1867" s="11" t="s">
        <v>2800</v>
      </c>
      <c r="M1867" s="11" t="s">
        <v>347</v>
      </c>
      <c r="N1867" s="16" t="s">
        <v>2689</v>
      </c>
      <c r="O1867" s="201">
        <v>46180</v>
      </c>
      <c r="P1867" s="11" t="s">
        <v>2801</v>
      </c>
      <c r="Q1867" s="202"/>
      <c r="R1867" s="11"/>
      <c r="S1867" s="11"/>
    </row>
    <row r="1868" spans="1:19" s="20" customFormat="1" ht="21.75" hidden="1" customHeight="1" x14ac:dyDescent="0.2">
      <c r="A1868" s="11" t="s">
        <v>2799</v>
      </c>
      <c r="B1868" s="14" t="s">
        <v>73</v>
      </c>
      <c r="C1868" s="18">
        <v>46179</v>
      </c>
      <c r="D1868" s="19">
        <v>4</v>
      </c>
      <c r="E1868" s="19">
        <v>1</v>
      </c>
      <c r="F1868" s="11" t="s">
        <v>33</v>
      </c>
      <c r="G1868" s="14" t="s">
        <v>2758</v>
      </c>
      <c r="H1868" s="11" t="s">
        <v>1650</v>
      </c>
      <c r="I1868" s="11" t="s">
        <v>1239</v>
      </c>
      <c r="J1868" s="19">
        <v>10106005376</v>
      </c>
      <c r="K1868" s="17">
        <v>51966080675</v>
      </c>
      <c r="L1868" s="11" t="s">
        <v>2800</v>
      </c>
      <c r="M1868" s="11" t="s">
        <v>347</v>
      </c>
      <c r="N1868" s="11"/>
      <c r="O1868" s="201"/>
      <c r="P1868" s="11"/>
      <c r="Q1868" s="202"/>
      <c r="R1868" s="11"/>
      <c r="S1868" s="11"/>
    </row>
    <row r="1869" spans="1:19" ht="21.75" hidden="1" customHeight="1" x14ac:dyDescent="0.25">
      <c r="A1869" s="16" t="s">
        <v>2802</v>
      </c>
      <c r="B1869" s="17" t="s">
        <v>2803</v>
      </c>
      <c r="C1869" s="18">
        <v>46182</v>
      </c>
      <c r="D1869" s="19">
        <v>1</v>
      </c>
      <c r="E1869" s="19">
        <v>1</v>
      </c>
      <c r="F1869" s="16" t="s">
        <v>443</v>
      </c>
      <c r="G1869" s="16" t="s">
        <v>450</v>
      </c>
      <c r="H1869" s="11" t="s">
        <v>99</v>
      </c>
      <c r="I1869" s="16" t="s">
        <v>2804</v>
      </c>
      <c r="J1869" s="17">
        <v>42316562</v>
      </c>
      <c r="K1869" s="17" t="s">
        <v>2806</v>
      </c>
      <c r="L1869" s="16" t="s">
        <v>2805</v>
      </c>
      <c r="M1869" s="16" t="s">
        <v>347</v>
      </c>
      <c r="N1869" s="11"/>
      <c r="O1869" s="11"/>
      <c r="P1869" s="16" t="s">
        <v>1673</v>
      </c>
      <c r="Q1869" s="11"/>
      <c r="R1869" s="16" t="s">
        <v>442</v>
      </c>
      <c r="S1869" s="11"/>
    </row>
    <row r="1870" spans="1:19" s="20" customFormat="1" ht="21.75" hidden="1" customHeight="1" x14ac:dyDescent="0.2">
      <c r="A1870" s="16" t="s">
        <v>2807</v>
      </c>
      <c r="B1870" s="17" t="s">
        <v>2808</v>
      </c>
      <c r="C1870" s="18">
        <v>46182</v>
      </c>
      <c r="D1870" s="21">
        <v>240</v>
      </c>
      <c r="E1870" s="19">
        <v>20</v>
      </c>
      <c r="F1870" s="16" t="s">
        <v>1323</v>
      </c>
      <c r="G1870" s="16" t="s">
        <v>1324</v>
      </c>
      <c r="H1870" s="16" t="s">
        <v>76</v>
      </c>
      <c r="I1870" s="16" t="s">
        <v>1322</v>
      </c>
      <c r="J1870" s="17">
        <v>20298674611</v>
      </c>
      <c r="K1870" s="17" t="s">
        <v>73</v>
      </c>
      <c r="L1870" s="16" t="s">
        <v>1755</v>
      </c>
      <c r="M1870" s="16" t="s">
        <v>347</v>
      </c>
      <c r="N1870" s="11"/>
      <c r="O1870" s="11"/>
      <c r="P1870" s="16" t="s">
        <v>2809</v>
      </c>
      <c r="Q1870" s="16" t="s">
        <v>1692</v>
      </c>
      <c r="R1870" s="16" t="s">
        <v>1511</v>
      </c>
      <c r="S1870" s="11" t="s">
        <v>2659</v>
      </c>
    </row>
    <row r="1871" spans="1:19" s="20" customFormat="1" ht="21.75" hidden="1" customHeight="1" x14ac:dyDescent="0.2">
      <c r="A1871" s="16" t="s">
        <v>2814</v>
      </c>
      <c r="B1871" s="17">
        <v>114378</v>
      </c>
      <c r="C1871" s="18">
        <v>46183</v>
      </c>
      <c r="D1871" s="21">
        <v>12</v>
      </c>
      <c r="E1871" s="19">
        <v>2</v>
      </c>
      <c r="F1871" s="16" t="s">
        <v>2812</v>
      </c>
      <c r="G1871" s="16" t="s">
        <v>2813</v>
      </c>
      <c r="H1871" s="16" t="s">
        <v>76</v>
      </c>
      <c r="I1871" s="16" t="s">
        <v>844</v>
      </c>
      <c r="J1871" s="17">
        <v>20136847237</v>
      </c>
      <c r="K1871" s="17" t="s">
        <v>2022</v>
      </c>
      <c r="L1871" s="16" t="s">
        <v>876</v>
      </c>
      <c r="M1871" s="16" t="s">
        <v>2021</v>
      </c>
      <c r="N1871" s="11"/>
      <c r="O1871" s="11"/>
      <c r="P1871" s="16" t="s">
        <v>2020</v>
      </c>
      <c r="Q1871" s="11" t="s">
        <v>2019</v>
      </c>
      <c r="R1871" s="16" t="s">
        <v>395</v>
      </c>
      <c r="S1871" s="11"/>
    </row>
    <row r="1872" spans="1:19" s="20" customFormat="1" ht="21.75" hidden="1" customHeight="1" x14ac:dyDescent="0.2">
      <c r="A1872" s="16" t="s">
        <v>2814</v>
      </c>
      <c r="B1872" s="17">
        <v>114378</v>
      </c>
      <c r="C1872" s="18">
        <v>46183</v>
      </c>
      <c r="D1872" s="21">
        <v>12</v>
      </c>
      <c r="E1872" s="19">
        <v>2</v>
      </c>
      <c r="F1872" s="16" t="s">
        <v>354</v>
      </c>
      <c r="G1872" s="16" t="s">
        <v>366</v>
      </c>
      <c r="H1872" s="16" t="s">
        <v>76</v>
      </c>
      <c r="I1872" s="16" t="s">
        <v>844</v>
      </c>
      <c r="J1872" s="17">
        <v>20136847237</v>
      </c>
      <c r="K1872" s="17" t="s">
        <v>2022</v>
      </c>
      <c r="L1872" s="16" t="s">
        <v>876</v>
      </c>
      <c r="M1872" s="16" t="s">
        <v>2021</v>
      </c>
      <c r="N1872" s="11"/>
      <c r="O1872" s="11"/>
      <c r="P1872" s="16" t="s">
        <v>2020</v>
      </c>
      <c r="Q1872" s="11" t="s">
        <v>2019</v>
      </c>
      <c r="R1872" s="16" t="s">
        <v>395</v>
      </c>
      <c r="S1872" s="11"/>
    </row>
    <row r="1873" spans="1:19" s="20" customFormat="1" ht="21.75" hidden="1" customHeight="1" x14ac:dyDescent="0.2">
      <c r="A1873" s="16" t="s">
        <v>2814</v>
      </c>
      <c r="B1873" s="17">
        <v>114378</v>
      </c>
      <c r="C1873" s="18">
        <v>46183</v>
      </c>
      <c r="D1873" s="21">
        <v>12</v>
      </c>
      <c r="E1873" s="19">
        <v>1</v>
      </c>
      <c r="F1873" s="16" t="s">
        <v>2006</v>
      </c>
      <c r="G1873" s="16" t="s">
        <v>2008</v>
      </c>
      <c r="H1873" s="11" t="s">
        <v>76</v>
      </c>
      <c r="I1873" s="16" t="s">
        <v>844</v>
      </c>
      <c r="J1873" s="17">
        <v>20136847237</v>
      </c>
      <c r="K1873" s="17">
        <v>962673399</v>
      </c>
      <c r="L1873" s="16" t="s">
        <v>2639</v>
      </c>
      <c r="M1873" s="16" t="s">
        <v>306</v>
      </c>
      <c r="N1873" s="11"/>
      <c r="O1873" s="11"/>
      <c r="P1873" s="16" t="s">
        <v>2638</v>
      </c>
      <c r="Q1873" s="11" t="s">
        <v>2642</v>
      </c>
      <c r="R1873" s="16" t="s">
        <v>395</v>
      </c>
      <c r="S1873" s="11"/>
    </row>
    <row r="1874" spans="1:19" s="20" customFormat="1" ht="21.75" hidden="1" customHeight="1" x14ac:dyDescent="0.2">
      <c r="A1874" s="16" t="s">
        <v>2811</v>
      </c>
      <c r="B1874" s="17" t="s">
        <v>2810</v>
      </c>
      <c r="C1874" s="18">
        <v>46183</v>
      </c>
      <c r="D1874" s="21">
        <v>240</v>
      </c>
      <c r="E1874" s="19">
        <v>20</v>
      </c>
      <c r="F1874" s="16" t="s">
        <v>1323</v>
      </c>
      <c r="G1874" s="16" t="s">
        <v>1324</v>
      </c>
      <c r="H1874" s="16" t="s">
        <v>76</v>
      </c>
      <c r="I1874" s="16" t="s">
        <v>1322</v>
      </c>
      <c r="J1874" s="17">
        <v>20298674611</v>
      </c>
      <c r="K1874" s="17" t="s">
        <v>73</v>
      </c>
      <c r="L1874" s="16" t="s">
        <v>1755</v>
      </c>
      <c r="M1874" s="16" t="s">
        <v>347</v>
      </c>
      <c r="N1874" s="11"/>
      <c r="O1874" s="11"/>
      <c r="P1874" s="16" t="s">
        <v>2821</v>
      </c>
      <c r="Q1874" s="16" t="s">
        <v>1692</v>
      </c>
      <c r="R1874" s="16" t="s">
        <v>1511</v>
      </c>
      <c r="S1874" s="11" t="s">
        <v>2659</v>
      </c>
    </row>
    <row r="1875" spans="1:19" ht="21.75" hidden="1" customHeight="1" x14ac:dyDescent="0.25">
      <c r="A1875" s="16" t="s">
        <v>2815</v>
      </c>
      <c r="B1875" s="17" t="s">
        <v>2816</v>
      </c>
      <c r="C1875" s="18">
        <v>46184</v>
      </c>
      <c r="D1875" s="21">
        <v>1</v>
      </c>
      <c r="E1875" s="19">
        <v>1</v>
      </c>
      <c r="F1875" s="16" t="s">
        <v>53</v>
      </c>
      <c r="G1875" s="16" t="s">
        <v>121</v>
      </c>
      <c r="H1875" s="16" t="s">
        <v>99</v>
      </c>
      <c r="I1875" s="16" t="s">
        <v>2817</v>
      </c>
      <c r="J1875" s="17" t="s">
        <v>2820</v>
      </c>
      <c r="K1875" s="17" t="s">
        <v>2819</v>
      </c>
      <c r="L1875" s="16" t="s">
        <v>2818</v>
      </c>
      <c r="M1875" s="16" t="s">
        <v>392</v>
      </c>
      <c r="N1875" s="11"/>
      <c r="O1875" s="11"/>
      <c r="P1875" s="16" t="s">
        <v>1673</v>
      </c>
      <c r="Q1875" s="11"/>
      <c r="R1875" s="16" t="s">
        <v>441</v>
      </c>
      <c r="S1875" s="11"/>
    </row>
    <row r="1876" spans="1:19" s="20" customFormat="1" ht="21.75" hidden="1" customHeight="1" x14ac:dyDescent="0.2">
      <c r="A1876" s="16" t="s">
        <v>2822</v>
      </c>
      <c r="B1876" s="17">
        <v>14146617</v>
      </c>
      <c r="C1876" s="18">
        <v>46186</v>
      </c>
      <c r="D1876" s="21">
        <v>36</v>
      </c>
      <c r="E1876" s="19">
        <v>3</v>
      </c>
      <c r="F1876" s="16" t="s">
        <v>19</v>
      </c>
      <c r="G1876" s="16" t="s">
        <v>120</v>
      </c>
      <c r="H1876" s="16" t="s">
        <v>76</v>
      </c>
      <c r="I1876" s="16" t="s">
        <v>134</v>
      </c>
      <c r="J1876" s="17">
        <v>20100070970</v>
      </c>
      <c r="K1876" s="17" t="s">
        <v>73</v>
      </c>
      <c r="L1876" s="16" t="s">
        <v>1632</v>
      </c>
      <c r="M1876" s="16" t="s">
        <v>77</v>
      </c>
      <c r="N1876" s="11"/>
      <c r="O1876" s="11"/>
      <c r="P1876" s="16" t="s">
        <v>1912</v>
      </c>
      <c r="Q1876" s="11"/>
      <c r="R1876" s="16" t="s">
        <v>143</v>
      </c>
      <c r="S1876" s="11"/>
    </row>
    <row r="1877" spans="1:19" s="20" customFormat="1" ht="21.75" hidden="1" customHeight="1" x14ac:dyDescent="0.2">
      <c r="A1877" s="16" t="s">
        <v>2822</v>
      </c>
      <c r="B1877" s="17">
        <v>14146617</v>
      </c>
      <c r="C1877" s="18">
        <v>46186</v>
      </c>
      <c r="D1877" s="21">
        <v>24</v>
      </c>
      <c r="E1877" s="19">
        <v>2</v>
      </c>
      <c r="F1877" s="16" t="s">
        <v>21</v>
      </c>
      <c r="G1877" s="16" t="s">
        <v>115</v>
      </c>
      <c r="H1877" s="16" t="s">
        <v>76</v>
      </c>
      <c r="I1877" s="16" t="s">
        <v>134</v>
      </c>
      <c r="J1877" s="17">
        <v>20100070970</v>
      </c>
      <c r="K1877" s="17" t="s">
        <v>73</v>
      </c>
      <c r="L1877" s="16" t="s">
        <v>1632</v>
      </c>
      <c r="M1877" s="16" t="s">
        <v>77</v>
      </c>
      <c r="N1877" s="11"/>
      <c r="O1877" s="11"/>
      <c r="P1877" s="16" t="s">
        <v>1912</v>
      </c>
      <c r="Q1877" s="11"/>
      <c r="R1877" s="16" t="s">
        <v>143</v>
      </c>
      <c r="S1877" s="11"/>
    </row>
    <row r="1878" spans="1:19" s="20" customFormat="1" ht="21.75" hidden="1" customHeight="1" x14ac:dyDescent="0.2">
      <c r="A1878" s="16" t="s">
        <v>2822</v>
      </c>
      <c r="B1878" s="17">
        <v>14146617</v>
      </c>
      <c r="C1878" s="18">
        <v>46186</v>
      </c>
      <c r="D1878" s="21">
        <v>192</v>
      </c>
      <c r="E1878" s="19">
        <f>192/48</f>
        <v>4</v>
      </c>
      <c r="F1878" s="16" t="s">
        <v>22</v>
      </c>
      <c r="G1878" s="16" t="s">
        <v>108</v>
      </c>
      <c r="H1878" s="16" t="s">
        <v>76</v>
      </c>
      <c r="I1878" s="16" t="s">
        <v>134</v>
      </c>
      <c r="J1878" s="17">
        <v>20100070970</v>
      </c>
      <c r="K1878" s="17" t="s">
        <v>73</v>
      </c>
      <c r="L1878" s="16" t="s">
        <v>1632</v>
      </c>
      <c r="M1878" s="16" t="s">
        <v>77</v>
      </c>
      <c r="N1878" s="11"/>
      <c r="O1878" s="11"/>
      <c r="P1878" s="16" t="s">
        <v>1912</v>
      </c>
      <c r="Q1878" s="11"/>
      <c r="R1878" s="16" t="s">
        <v>143</v>
      </c>
      <c r="S1878" s="11"/>
    </row>
    <row r="1879" spans="1:19" s="20" customFormat="1" ht="21.75" hidden="1" customHeight="1" x14ac:dyDescent="0.2">
      <c r="A1879" s="16" t="s">
        <v>2822</v>
      </c>
      <c r="B1879" s="17">
        <v>14146617</v>
      </c>
      <c r="C1879" s="18">
        <v>46186</v>
      </c>
      <c r="D1879" s="21">
        <v>24</v>
      </c>
      <c r="E1879" s="19">
        <v>2</v>
      </c>
      <c r="F1879" s="16" t="s">
        <v>24</v>
      </c>
      <c r="G1879" s="16" t="s">
        <v>112</v>
      </c>
      <c r="H1879" s="16" t="s">
        <v>76</v>
      </c>
      <c r="I1879" s="16" t="s">
        <v>134</v>
      </c>
      <c r="J1879" s="17">
        <v>20100070970</v>
      </c>
      <c r="K1879" s="17" t="s">
        <v>73</v>
      </c>
      <c r="L1879" s="16" t="s">
        <v>1632</v>
      </c>
      <c r="M1879" s="16" t="s">
        <v>77</v>
      </c>
      <c r="N1879" s="11"/>
      <c r="O1879" s="11"/>
      <c r="P1879" s="16" t="s">
        <v>1912</v>
      </c>
      <c r="Q1879" s="11"/>
      <c r="R1879" s="16" t="s">
        <v>143</v>
      </c>
      <c r="S1879" s="11"/>
    </row>
    <row r="1880" spans="1:19" s="20" customFormat="1" ht="21.75" hidden="1" customHeight="1" x14ac:dyDescent="0.2">
      <c r="A1880" s="16" t="s">
        <v>2822</v>
      </c>
      <c r="B1880" s="17">
        <v>14146617</v>
      </c>
      <c r="C1880" s="18">
        <v>46186</v>
      </c>
      <c r="D1880" s="21">
        <v>36</v>
      </c>
      <c r="E1880" s="19">
        <v>3</v>
      </c>
      <c r="F1880" s="16" t="s">
        <v>25</v>
      </c>
      <c r="G1880" s="16" t="s">
        <v>136</v>
      </c>
      <c r="H1880" s="16" t="s">
        <v>76</v>
      </c>
      <c r="I1880" s="16" t="s">
        <v>134</v>
      </c>
      <c r="J1880" s="17">
        <v>20100070970</v>
      </c>
      <c r="K1880" s="17" t="s">
        <v>73</v>
      </c>
      <c r="L1880" s="16" t="s">
        <v>1632</v>
      </c>
      <c r="M1880" s="16" t="s">
        <v>77</v>
      </c>
      <c r="N1880" s="11"/>
      <c r="O1880" s="11"/>
      <c r="P1880" s="16" t="s">
        <v>1912</v>
      </c>
      <c r="Q1880" s="11"/>
      <c r="R1880" s="16" t="s">
        <v>143</v>
      </c>
      <c r="S1880" s="11"/>
    </row>
    <row r="1881" spans="1:19" s="20" customFormat="1" ht="21.75" hidden="1" customHeight="1" x14ac:dyDescent="0.2">
      <c r="A1881" s="16" t="s">
        <v>2822</v>
      </c>
      <c r="B1881" s="17">
        <v>14146617</v>
      </c>
      <c r="C1881" s="18">
        <v>46186</v>
      </c>
      <c r="D1881" s="21">
        <v>42</v>
      </c>
      <c r="E1881" s="19">
        <v>7</v>
      </c>
      <c r="F1881" s="16" t="s">
        <v>26</v>
      </c>
      <c r="G1881" s="16" t="s">
        <v>111</v>
      </c>
      <c r="H1881" s="16" t="s">
        <v>76</v>
      </c>
      <c r="I1881" s="16" t="s">
        <v>134</v>
      </c>
      <c r="J1881" s="17">
        <v>20100070970</v>
      </c>
      <c r="K1881" s="17" t="s">
        <v>73</v>
      </c>
      <c r="L1881" s="16" t="s">
        <v>1632</v>
      </c>
      <c r="M1881" s="16" t="s">
        <v>77</v>
      </c>
      <c r="N1881" s="11"/>
      <c r="O1881" s="11"/>
      <c r="P1881" s="16" t="s">
        <v>1912</v>
      </c>
      <c r="Q1881" s="11"/>
      <c r="R1881" s="16" t="s">
        <v>143</v>
      </c>
      <c r="S1881" s="11"/>
    </row>
    <row r="1882" spans="1:19" s="20" customFormat="1" ht="21.75" hidden="1" customHeight="1" x14ac:dyDescent="0.2">
      <c r="A1882" s="16" t="s">
        <v>2822</v>
      </c>
      <c r="B1882" s="17">
        <v>14146617</v>
      </c>
      <c r="C1882" s="18">
        <v>46186</v>
      </c>
      <c r="D1882" s="21">
        <v>48</v>
      </c>
      <c r="E1882" s="19">
        <v>4</v>
      </c>
      <c r="F1882" s="16" t="s">
        <v>27</v>
      </c>
      <c r="G1882" s="16" t="s">
        <v>103</v>
      </c>
      <c r="H1882" s="16" t="s">
        <v>76</v>
      </c>
      <c r="I1882" s="16" t="s">
        <v>134</v>
      </c>
      <c r="J1882" s="17">
        <v>20100070970</v>
      </c>
      <c r="K1882" s="17" t="s">
        <v>73</v>
      </c>
      <c r="L1882" s="16" t="s">
        <v>1632</v>
      </c>
      <c r="M1882" s="16" t="s">
        <v>77</v>
      </c>
      <c r="N1882" s="11"/>
      <c r="O1882" s="11"/>
      <c r="P1882" s="16" t="s">
        <v>1912</v>
      </c>
      <c r="Q1882" s="11"/>
      <c r="R1882" s="16" t="s">
        <v>143</v>
      </c>
      <c r="S1882" s="11"/>
    </row>
    <row r="1883" spans="1:19" s="20" customFormat="1" ht="21.75" hidden="1" customHeight="1" x14ac:dyDescent="0.2">
      <c r="A1883" s="16" t="s">
        <v>2822</v>
      </c>
      <c r="B1883" s="17">
        <v>14146617</v>
      </c>
      <c r="C1883" s="18">
        <v>46186</v>
      </c>
      <c r="D1883" s="21">
        <v>96</v>
      </c>
      <c r="E1883" s="19">
        <v>4</v>
      </c>
      <c r="F1883" s="16" t="s">
        <v>18</v>
      </c>
      <c r="G1883" s="16" t="s">
        <v>109</v>
      </c>
      <c r="H1883" s="16" t="s">
        <v>76</v>
      </c>
      <c r="I1883" s="16" t="s">
        <v>134</v>
      </c>
      <c r="J1883" s="17">
        <v>20100070970</v>
      </c>
      <c r="K1883" s="17" t="s">
        <v>73</v>
      </c>
      <c r="L1883" s="16" t="s">
        <v>1632</v>
      </c>
      <c r="M1883" s="16" t="s">
        <v>77</v>
      </c>
      <c r="N1883" s="11"/>
      <c r="O1883" s="11"/>
      <c r="P1883" s="16" t="s">
        <v>1912</v>
      </c>
      <c r="Q1883" s="11"/>
      <c r="R1883" s="16" t="s">
        <v>143</v>
      </c>
      <c r="S1883" s="11"/>
    </row>
    <row r="1884" spans="1:19" s="20" customFormat="1" ht="21.75" hidden="1" customHeight="1" x14ac:dyDescent="0.2">
      <c r="A1884" s="16" t="s">
        <v>2822</v>
      </c>
      <c r="B1884" s="17">
        <v>14146617</v>
      </c>
      <c r="C1884" s="18">
        <v>46186</v>
      </c>
      <c r="D1884" s="21">
        <v>24</v>
      </c>
      <c r="E1884" s="19">
        <v>2</v>
      </c>
      <c r="F1884" s="16" t="s">
        <v>20</v>
      </c>
      <c r="G1884" s="16" t="s">
        <v>2756</v>
      </c>
      <c r="H1884" s="16" t="s">
        <v>76</v>
      </c>
      <c r="I1884" s="16" t="s">
        <v>134</v>
      </c>
      <c r="J1884" s="17">
        <v>20100070970</v>
      </c>
      <c r="K1884" s="17" t="s">
        <v>73</v>
      </c>
      <c r="L1884" s="16" t="s">
        <v>1632</v>
      </c>
      <c r="M1884" s="16" t="s">
        <v>77</v>
      </c>
      <c r="N1884" s="11"/>
      <c r="O1884" s="11"/>
      <c r="P1884" s="16" t="s">
        <v>1912</v>
      </c>
      <c r="Q1884" s="11"/>
      <c r="R1884" s="16" t="s">
        <v>143</v>
      </c>
      <c r="S1884" s="11"/>
    </row>
    <row r="1885" spans="1:19" s="20" customFormat="1" ht="21.75" hidden="1" customHeight="1" x14ac:dyDescent="0.2">
      <c r="A1885" s="16" t="s">
        <v>2822</v>
      </c>
      <c r="B1885" s="17">
        <v>14146617</v>
      </c>
      <c r="C1885" s="18">
        <v>46186</v>
      </c>
      <c r="D1885" s="21">
        <v>108</v>
      </c>
      <c r="E1885" s="19">
        <f>108/6</f>
        <v>18</v>
      </c>
      <c r="F1885" s="16" t="s">
        <v>23</v>
      </c>
      <c r="G1885" s="16" t="s">
        <v>119</v>
      </c>
      <c r="H1885" s="16" t="s">
        <v>76</v>
      </c>
      <c r="I1885" s="16" t="s">
        <v>134</v>
      </c>
      <c r="J1885" s="17">
        <v>20100070970</v>
      </c>
      <c r="K1885" s="17" t="s">
        <v>73</v>
      </c>
      <c r="L1885" s="16" t="s">
        <v>1632</v>
      </c>
      <c r="M1885" s="16" t="s">
        <v>77</v>
      </c>
      <c r="N1885" s="11"/>
      <c r="O1885" s="11"/>
      <c r="P1885" s="16" t="s">
        <v>1912</v>
      </c>
      <c r="Q1885" s="11"/>
      <c r="R1885" s="16" t="s">
        <v>143</v>
      </c>
      <c r="S1885" s="11"/>
    </row>
    <row r="1886" spans="1:19" s="20" customFormat="1" ht="21.75" hidden="1" customHeight="1" x14ac:dyDescent="0.2">
      <c r="A1886" s="16" t="s">
        <v>2823</v>
      </c>
      <c r="B1886" s="17" t="s">
        <v>2825</v>
      </c>
      <c r="C1886" s="18">
        <v>46184</v>
      </c>
      <c r="D1886" s="21">
        <v>84</v>
      </c>
      <c r="E1886" s="19">
        <v>7</v>
      </c>
      <c r="F1886" s="16" t="s">
        <v>2827</v>
      </c>
      <c r="G1886" s="16" t="s">
        <v>2829</v>
      </c>
      <c r="H1886" s="16" t="s">
        <v>76</v>
      </c>
      <c r="I1886" s="16" t="s">
        <v>2831</v>
      </c>
      <c r="J1886" s="17">
        <v>20303972821</v>
      </c>
      <c r="K1886" s="17">
        <v>994260164</v>
      </c>
      <c r="L1886" s="16" t="s">
        <v>2833</v>
      </c>
      <c r="M1886" s="16" t="s">
        <v>299</v>
      </c>
      <c r="N1886" s="11"/>
      <c r="O1886" s="11"/>
      <c r="P1886" s="16" t="s">
        <v>1579</v>
      </c>
      <c r="Q1886" s="11" t="s">
        <v>2836</v>
      </c>
      <c r="R1886" s="16" t="s">
        <v>395</v>
      </c>
      <c r="S1886" s="11"/>
    </row>
    <row r="1887" spans="1:19" s="20" customFormat="1" ht="21.75" hidden="1" customHeight="1" x14ac:dyDescent="0.2">
      <c r="A1887" s="16" t="s">
        <v>2824</v>
      </c>
      <c r="B1887" s="17" t="s">
        <v>2826</v>
      </c>
      <c r="C1887" s="18">
        <v>46184</v>
      </c>
      <c r="D1887" s="21">
        <v>1</v>
      </c>
      <c r="E1887" s="19">
        <v>1</v>
      </c>
      <c r="F1887" s="16" t="s">
        <v>2828</v>
      </c>
      <c r="G1887" s="16" t="s">
        <v>2830</v>
      </c>
      <c r="H1887" s="16" t="s">
        <v>99</v>
      </c>
      <c r="I1887" s="16" t="s">
        <v>2832</v>
      </c>
      <c r="J1887" s="17">
        <v>10302377</v>
      </c>
      <c r="K1887" s="17">
        <v>51932284445</v>
      </c>
      <c r="L1887" s="16" t="s">
        <v>2834</v>
      </c>
      <c r="M1887" s="16" t="s">
        <v>2835</v>
      </c>
      <c r="N1887" s="11"/>
      <c r="O1887" s="11"/>
      <c r="P1887" s="16" t="s">
        <v>1673</v>
      </c>
      <c r="Q1887" s="11"/>
      <c r="R1887" s="16" t="s">
        <v>442</v>
      </c>
      <c r="S1887" s="11"/>
    </row>
    <row r="1888" spans="1:19" s="128" customFormat="1" ht="21.75" hidden="1" customHeight="1" x14ac:dyDescent="0.2">
      <c r="A1888" s="11" t="s">
        <v>2837</v>
      </c>
      <c r="B1888" s="193" t="s">
        <v>73</v>
      </c>
      <c r="C1888" s="203">
        <v>46185</v>
      </c>
      <c r="D1888" s="31">
        <v>240</v>
      </c>
      <c r="E1888" s="185">
        <v>20</v>
      </c>
      <c r="F1888" s="22" t="s">
        <v>162</v>
      </c>
      <c r="G1888" s="22" t="s">
        <v>163</v>
      </c>
      <c r="H1888" s="22" t="s">
        <v>2843</v>
      </c>
      <c r="I1888" s="22" t="s">
        <v>787</v>
      </c>
      <c r="J1888" s="15">
        <v>20524246661</v>
      </c>
      <c r="K1888" s="15">
        <v>960628425</v>
      </c>
      <c r="L1888" s="22" t="s">
        <v>796</v>
      </c>
      <c r="M1888" s="22" t="s">
        <v>347</v>
      </c>
      <c r="N1888" s="11"/>
      <c r="O1888" s="11"/>
      <c r="P1888" s="22" t="s">
        <v>2847</v>
      </c>
      <c r="Q1888" s="11"/>
      <c r="R1888" s="22" t="s">
        <v>396</v>
      </c>
      <c r="S1888" s="11"/>
    </row>
    <row r="1889" spans="1:19" s="128" customFormat="1" ht="21.75" hidden="1" customHeight="1" x14ac:dyDescent="0.2">
      <c r="A1889" s="11" t="s">
        <v>2837</v>
      </c>
      <c r="B1889" s="193" t="s">
        <v>73</v>
      </c>
      <c r="C1889" s="203">
        <v>46185</v>
      </c>
      <c r="D1889" s="204">
        <v>2880</v>
      </c>
      <c r="E1889" s="185">
        <v>60</v>
      </c>
      <c r="F1889" s="22" t="s">
        <v>159</v>
      </c>
      <c r="G1889" s="22" t="s">
        <v>140</v>
      </c>
      <c r="H1889" s="22" t="s">
        <v>2843</v>
      </c>
      <c r="I1889" s="22" t="s">
        <v>787</v>
      </c>
      <c r="J1889" s="15">
        <v>20524246661</v>
      </c>
      <c r="K1889" s="15">
        <v>960628425</v>
      </c>
      <c r="L1889" s="22" t="s">
        <v>796</v>
      </c>
      <c r="M1889" s="22" t="s">
        <v>347</v>
      </c>
      <c r="N1889" s="11"/>
      <c r="O1889" s="11"/>
      <c r="P1889" s="22" t="s">
        <v>2847</v>
      </c>
      <c r="Q1889" s="11"/>
      <c r="R1889" s="22" t="s">
        <v>396</v>
      </c>
      <c r="S1889" s="11"/>
    </row>
    <row r="1890" spans="1:19" s="128" customFormat="1" ht="21.75" hidden="1" customHeight="1" x14ac:dyDescent="0.2">
      <c r="A1890" s="11" t="s">
        <v>2838</v>
      </c>
      <c r="B1890" s="15" t="s">
        <v>2840</v>
      </c>
      <c r="C1890" s="203">
        <v>46185</v>
      </c>
      <c r="D1890" s="31">
        <v>1</v>
      </c>
      <c r="E1890" s="185">
        <v>1</v>
      </c>
      <c r="F1890" s="22" t="s">
        <v>17</v>
      </c>
      <c r="G1890" s="22" t="s">
        <v>91</v>
      </c>
      <c r="H1890" s="22" t="s">
        <v>99</v>
      </c>
      <c r="I1890" s="22" t="s">
        <v>2841</v>
      </c>
      <c r="J1890" s="15">
        <v>1716666</v>
      </c>
      <c r="K1890" s="15">
        <v>51908819670</v>
      </c>
      <c r="L1890" s="22" t="s">
        <v>2844</v>
      </c>
      <c r="M1890" s="22" t="s">
        <v>312</v>
      </c>
      <c r="N1890" s="11"/>
      <c r="O1890" s="11"/>
      <c r="P1890" s="22" t="s">
        <v>1673</v>
      </c>
      <c r="Q1890" s="11"/>
      <c r="R1890" s="22" t="s">
        <v>442</v>
      </c>
      <c r="S1890" s="11"/>
    </row>
    <row r="1891" spans="1:19" s="128" customFormat="1" ht="21.75" hidden="1" customHeight="1" x14ac:dyDescent="0.2">
      <c r="A1891" s="11" t="s">
        <v>2839</v>
      </c>
      <c r="B1891" s="193" t="s">
        <v>73</v>
      </c>
      <c r="C1891" s="203">
        <v>46185</v>
      </c>
      <c r="D1891" s="31">
        <v>1</v>
      </c>
      <c r="E1891" s="185">
        <v>1</v>
      </c>
      <c r="F1891" s="22" t="s">
        <v>445</v>
      </c>
      <c r="G1891" s="22" t="s">
        <v>452</v>
      </c>
      <c r="H1891" s="22" t="s">
        <v>99</v>
      </c>
      <c r="I1891" s="22" t="s">
        <v>2842</v>
      </c>
      <c r="J1891" s="15">
        <v>40242106</v>
      </c>
      <c r="K1891" s="15">
        <v>992336125</v>
      </c>
      <c r="L1891" s="22" t="s">
        <v>2845</v>
      </c>
      <c r="M1891" s="22" t="s">
        <v>2846</v>
      </c>
      <c r="N1891" s="11"/>
      <c r="O1891" s="11"/>
      <c r="P1891" s="22" t="s">
        <v>1673</v>
      </c>
      <c r="Q1891" s="11"/>
      <c r="R1891" s="22" t="s">
        <v>820</v>
      </c>
      <c r="S1891" s="11"/>
    </row>
    <row r="1892" spans="1:19" s="128" customFormat="1" ht="21.75" hidden="1" customHeight="1" x14ac:dyDescent="0.2">
      <c r="A1892" s="11" t="s">
        <v>2839</v>
      </c>
      <c r="B1892" s="193" t="s">
        <v>73</v>
      </c>
      <c r="C1892" s="203">
        <v>46185</v>
      </c>
      <c r="D1892" s="31">
        <v>1</v>
      </c>
      <c r="E1892" s="185">
        <v>1</v>
      </c>
      <c r="F1892" s="22" t="s">
        <v>2211</v>
      </c>
      <c r="G1892" s="22" t="s">
        <v>2212</v>
      </c>
      <c r="H1892" s="22" t="s">
        <v>99</v>
      </c>
      <c r="I1892" s="22" t="s">
        <v>2842</v>
      </c>
      <c r="J1892" s="15">
        <v>40242106</v>
      </c>
      <c r="K1892" s="15">
        <v>992336125</v>
      </c>
      <c r="L1892" s="22" t="s">
        <v>2845</v>
      </c>
      <c r="M1892" s="22" t="s">
        <v>2846</v>
      </c>
      <c r="N1892" s="11"/>
      <c r="O1892" s="11"/>
      <c r="P1892" s="22" t="s">
        <v>1673</v>
      </c>
      <c r="Q1892" s="11"/>
      <c r="R1892" s="22" t="s">
        <v>820</v>
      </c>
      <c r="S1892" s="11"/>
    </row>
    <row r="1893" spans="1:19" s="20" customFormat="1" ht="21.75" hidden="1" customHeight="1" x14ac:dyDescent="0.2">
      <c r="A1893" s="17" t="s">
        <v>2848</v>
      </c>
      <c r="B1893" s="14" t="s">
        <v>73</v>
      </c>
      <c r="C1893" s="18">
        <v>46186</v>
      </c>
      <c r="D1893" s="21">
        <v>1</v>
      </c>
      <c r="E1893" s="19">
        <v>1</v>
      </c>
      <c r="F1893" s="16" t="s">
        <v>755</v>
      </c>
      <c r="G1893" s="16" t="s">
        <v>769</v>
      </c>
      <c r="H1893" s="16" t="s">
        <v>99</v>
      </c>
      <c r="I1893" s="16" t="s">
        <v>2851</v>
      </c>
      <c r="J1893" s="17">
        <v>25682454</v>
      </c>
      <c r="K1893" s="17">
        <v>980701937</v>
      </c>
      <c r="L1893" s="16" t="s">
        <v>2852</v>
      </c>
      <c r="M1893" s="16" t="s">
        <v>2854</v>
      </c>
      <c r="N1893" s="11"/>
      <c r="O1893" s="11"/>
      <c r="P1893" s="16" t="s">
        <v>1673</v>
      </c>
      <c r="Q1893" s="16"/>
      <c r="R1893" s="16" t="s">
        <v>933</v>
      </c>
      <c r="S1893" s="11"/>
    </row>
    <row r="1894" spans="1:19" s="20" customFormat="1" ht="21.75" hidden="1" customHeight="1" x14ac:dyDescent="0.2">
      <c r="A1894" s="17" t="s">
        <v>2849</v>
      </c>
      <c r="B1894" s="14" t="s">
        <v>73</v>
      </c>
      <c r="C1894" s="18">
        <v>46188</v>
      </c>
      <c r="D1894" s="21">
        <v>24</v>
      </c>
      <c r="E1894" s="19">
        <v>2</v>
      </c>
      <c r="F1894" s="16" t="s">
        <v>24</v>
      </c>
      <c r="G1894" s="16" t="s">
        <v>2850</v>
      </c>
      <c r="H1894" s="16" t="s">
        <v>1650</v>
      </c>
      <c r="I1894" s="16" t="s">
        <v>39</v>
      </c>
      <c r="J1894" s="17">
        <v>20606036711</v>
      </c>
      <c r="K1894" s="17">
        <v>997942928</v>
      </c>
      <c r="L1894" s="16" t="s">
        <v>2853</v>
      </c>
      <c r="M1894" s="16" t="s">
        <v>347</v>
      </c>
      <c r="N1894" s="11"/>
      <c r="O1894" s="11"/>
      <c r="P1894" s="16" t="s">
        <v>2855</v>
      </c>
      <c r="Q1894" s="16" t="s">
        <v>2856</v>
      </c>
      <c r="R1894" s="16" t="s">
        <v>396</v>
      </c>
      <c r="S1894" s="11"/>
    </row>
    <row r="1895" spans="1:19" ht="21.75" customHeight="1" x14ac:dyDescent="0.25">
      <c r="A1895" s="17" t="s">
        <v>2857</v>
      </c>
      <c r="B1895" s="14" t="s">
        <v>2859</v>
      </c>
      <c r="C1895" s="18">
        <v>46189</v>
      </c>
      <c r="D1895" s="21">
        <v>1</v>
      </c>
      <c r="E1895" s="19">
        <v>1</v>
      </c>
      <c r="F1895" s="16" t="s">
        <v>755</v>
      </c>
      <c r="G1895" s="16" t="s">
        <v>2861</v>
      </c>
      <c r="H1895" s="16"/>
      <c r="I1895" s="16" t="s">
        <v>2863</v>
      </c>
      <c r="J1895" s="17" t="s">
        <v>2865</v>
      </c>
      <c r="K1895" s="17">
        <v>51949265949</v>
      </c>
      <c r="L1895" s="16" t="s">
        <v>2867</v>
      </c>
      <c r="M1895" s="16" t="s">
        <v>393</v>
      </c>
      <c r="N1895" s="125"/>
      <c r="O1895" s="125"/>
      <c r="P1895" s="125" t="s">
        <v>1673</v>
      </c>
      <c r="Q1895" s="125"/>
      <c r="R1895" s="125" t="s">
        <v>2863</v>
      </c>
      <c r="S1895" s="125"/>
    </row>
    <row r="1896" spans="1:19" ht="21.75" customHeight="1" x14ac:dyDescent="0.25">
      <c r="A1896" s="17" t="s">
        <v>2858</v>
      </c>
      <c r="B1896" s="14" t="s">
        <v>73</v>
      </c>
      <c r="C1896" s="18">
        <v>46189</v>
      </c>
      <c r="D1896" s="21">
        <v>6</v>
      </c>
      <c r="E1896" s="19">
        <v>1</v>
      </c>
      <c r="F1896" s="16" t="s">
        <v>2860</v>
      </c>
      <c r="G1896" s="16" t="s">
        <v>2862</v>
      </c>
      <c r="H1896" s="16"/>
      <c r="I1896" s="16" t="s">
        <v>2864</v>
      </c>
      <c r="J1896" s="17" t="s">
        <v>2866</v>
      </c>
      <c r="K1896" s="17">
        <v>15007878</v>
      </c>
      <c r="L1896" s="16" t="s">
        <v>2258</v>
      </c>
      <c r="M1896" s="16" t="s">
        <v>960</v>
      </c>
      <c r="N1896" s="125"/>
      <c r="O1896" s="125"/>
      <c r="P1896" s="125" t="s">
        <v>1673</v>
      </c>
      <c r="Q1896" s="125" t="s">
        <v>2868</v>
      </c>
      <c r="R1896" s="125" t="s">
        <v>2864</v>
      </c>
      <c r="S1896" s="125"/>
    </row>
    <row r="1034908" spans="3:3" x14ac:dyDescent="0.25">
      <c r="C1034908" s="173"/>
    </row>
    <row r="1034990" spans="18:18" x14ac:dyDescent="0.25">
      <c r="R1034990" s="3"/>
    </row>
    <row r="1038092" spans="18:18" x14ac:dyDescent="0.25">
      <c r="R1038092" s="6"/>
    </row>
    <row r="1038167" spans="18:18" x14ac:dyDescent="0.25">
      <c r="R1038167" s="7"/>
    </row>
  </sheetData>
  <autoFilter ref="A1:S1896" xr:uid="{00000000-0001-0000-0000-000000000000}">
    <filterColumn colId="2">
      <filters>
        <dateGroupItem year="2026" month="6" day="16" dateTimeGrouping="day"/>
      </filters>
    </filterColumn>
  </autoFilter>
  <mergeCells count="56">
    <mergeCell ref="M752:M753"/>
    <mergeCell ref="E815:E817"/>
    <mergeCell ref="E1106:E1107"/>
    <mergeCell ref="E1095:E1096"/>
    <mergeCell ref="E864:E876"/>
    <mergeCell ref="E860:E863"/>
    <mergeCell ref="E1076:E1086"/>
    <mergeCell ref="E818:E829"/>
    <mergeCell ref="M188:M189"/>
    <mergeCell ref="E36:E49"/>
    <mergeCell ref="E62:E63"/>
    <mergeCell ref="E172:E173"/>
    <mergeCell ref="E175:E180"/>
    <mergeCell ref="E80:E81"/>
    <mergeCell ref="E207:E216"/>
    <mergeCell ref="E270:E275"/>
    <mergeCell ref="E434:E436"/>
    <mergeCell ref="E559:E561"/>
    <mergeCell ref="E445:E454"/>
    <mergeCell ref="E218:E219"/>
    <mergeCell ref="E303:E304"/>
    <mergeCell ref="E258:E260"/>
    <mergeCell ref="E261:E263"/>
    <mergeCell ref="E264:E269"/>
    <mergeCell ref="E601:E603"/>
    <mergeCell ref="E562:E564"/>
    <mergeCell ref="E442:E444"/>
    <mergeCell ref="E438:E441"/>
    <mergeCell ref="E530:E532"/>
    <mergeCell ref="E533:E538"/>
    <mergeCell ref="E565:E570"/>
    <mergeCell ref="E539:E542"/>
    <mergeCell ref="E1211:E1241"/>
    <mergeCell ref="E1186:E1191"/>
    <mergeCell ref="E1555:E1568"/>
    <mergeCell ref="E1453:E1461"/>
    <mergeCell ref="E634:E636"/>
    <mergeCell ref="E1435:E1438"/>
    <mergeCell ref="E1439:E1445"/>
    <mergeCell ref="E1448:E1452"/>
    <mergeCell ref="E1683:E1701"/>
    <mergeCell ref="E1660:E1669"/>
    <mergeCell ref="E1655:E1659"/>
    <mergeCell ref="E1478:E1493"/>
    <mergeCell ref="E695:E701"/>
    <mergeCell ref="E1462:E1463"/>
    <mergeCell ref="E1464:E1477"/>
    <mergeCell ref="E1570:E1580"/>
    <mergeCell ref="E740:E742"/>
    <mergeCell ref="E743:E745"/>
    <mergeCell ref="E1149:E1154"/>
    <mergeCell ref="E1422:E1428"/>
    <mergeCell ref="E1429:E1434"/>
    <mergeCell ref="E1293:E1295"/>
    <mergeCell ref="E1325:E1334"/>
    <mergeCell ref="E1246:E1247"/>
  </mergeCells>
  <phoneticPr fontId="2" type="noConversion"/>
  <pageMargins left="0.23622047244094491" right="0" top="0.74803149606299213" bottom="0.74803149606299213" header="0.31496062992125984" footer="0.31496062992125984"/>
  <pageSetup orientation="landscape" r:id="rId1"/>
  <ignoredErrors>
    <ignoredError sqref="J658 J665 J688 J924:J938 J1555:J15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2:J110"/>
  <sheetViews>
    <sheetView zoomScale="90" zoomScaleNormal="90" workbookViewId="0">
      <pane ySplit="4" topLeftCell="A55" activePane="bottomLeft" state="frozen"/>
      <selection pane="bottomLeft" activeCell="A55" sqref="A55"/>
    </sheetView>
  </sheetViews>
  <sheetFormatPr baseColWidth="10" defaultRowHeight="15" x14ac:dyDescent="0.25"/>
  <cols>
    <col min="1" max="1" width="18.28515625" customWidth="1"/>
    <col min="2" max="2" width="15" customWidth="1"/>
    <col min="3" max="3" width="16.140625" bestFit="1" customWidth="1"/>
    <col min="4" max="4" width="7.5703125" customWidth="1"/>
    <col min="5" max="5" width="8.5703125" customWidth="1"/>
    <col min="6" max="6" width="11.42578125" customWidth="1"/>
    <col min="7" max="7" width="46.28515625" customWidth="1"/>
    <col min="8" max="8" width="32.5703125" customWidth="1"/>
    <col min="9" max="9" width="15.42578125" customWidth="1"/>
    <col min="10" max="10" width="25.85546875" bestFit="1" customWidth="1"/>
  </cols>
  <sheetData>
    <row r="2" spans="1:10" ht="15.75" thickBot="1" x14ac:dyDescent="0.3">
      <c r="A2" t="s">
        <v>72</v>
      </c>
      <c r="B2" s="9">
        <f ca="1">TODAY()</f>
        <v>46189</v>
      </c>
      <c r="E2" s="220" t="s">
        <v>51</v>
      </c>
      <c r="F2" s="220"/>
      <c r="G2" s="220"/>
      <c r="H2" s="220"/>
      <c r="I2" s="13"/>
    </row>
    <row r="4" spans="1:10" x14ac:dyDescent="0.25">
      <c r="A4" s="1" t="s">
        <v>0</v>
      </c>
      <c r="B4" s="1" t="s">
        <v>1</v>
      </c>
      <c r="C4" s="1" t="s">
        <v>2</v>
      </c>
      <c r="D4" s="4" t="s">
        <v>4</v>
      </c>
      <c r="E4" s="4" t="s">
        <v>5</v>
      </c>
      <c r="F4" s="1" t="s">
        <v>6</v>
      </c>
      <c r="G4" s="1" t="s">
        <v>7</v>
      </c>
      <c r="H4" s="1" t="s">
        <v>8</v>
      </c>
      <c r="I4" s="1" t="s">
        <v>101</v>
      </c>
      <c r="J4" s="4" t="s">
        <v>49</v>
      </c>
    </row>
    <row r="5" spans="1:10" ht="42" hidden="1" customHeight="1" x14ac:dyDescent="0.25">
      <c r="A5" s="16" t="s">
        <v>182</v>
      </c>
      <c r="B5" s="17" t="s">
        <v>183</v>
      </c>
      <c r="C5" s="28">
        <v>45958</v>
      </c>
      <c r="D5" s="21">
        <v>24</v>
      </c>
      <c r="E5" s="19">
        <v>2</v>
      </c>
      <c r="F5" s="37" t="s">
        <v>85</v>
      </c>
      <c r="G5" s="16" t="s">
        <v>90</v>
      </c>
      <c r="H5" s="17" t="s">
        <v>184</v>
      </c>
      <c r="I5" s="11" t="s">
        <v>210</v>
      </c>
      <c r="J5" s="32" t="s">
        <v>167</v>
      </c>
    </row>
    <row r="6" spans="1:10" ht="42" hidden="1" customHeight="1" x14ac:dyDescent="0.25">
      <c r="A6" s="22" t="s">
        <v>185</v>
      </c>
      <c r="B6" s="15">
        <v>4582</v>
      </c>
      <c r="C6" s="28">
        <v>45958</v>
      </c>
      <c r="D6" s="21">
        <v>60</v>
      </c>
      <c r="E6" s="19">
        <v>5</v>
      </c>
      <c r="F6" s="16" t="s">
        <v>19</v>
      </c>
      <c r="G6" s="16" t="s">
        <v>120</v>
      </c>
      <c r="H6" s="22" t="s">
        <v>41</v>
      </c>
      <c r="I6" s="11" t="s">
        <v>211</v>
      </c>
      <c r="J6" s="22" t="s">
        <v>137</v>
      </c>
    </row>
    <row r="7" spans="1:10" ht="42" hidden="1" customHeight="1" x14ac:dyDescent="0.25">
      <c r="A7" s="22" t="s">
        <v>185</v>
      </c>
      <c r="B7" s="15">
        <v>4582</v>
      </c>
      <c r="C7" s="28">
        <v>45958</v>
      </c>
      <c r="D7" s="21">
        <v>36</v>
      </c>
      <c r="E7" s="19">
        <v>3</v>
      </c>
      <c r="F7" s="16" t="s">
        <v>23</v>
      </c>
      <c r="G7" s="16" t="s">
        <v>119</v>
      </c>
      <c r="H7" s="22" t="s">
        <v>41</v>
      </c>
      <c r="I7" s="11" t="s">
        <v>211</v>
      </c>
      <c r="J7" s="22" t="s">
        <v>137</v>
      </c>
    </row>
    <row r="8" spans="1:10" ht="42" hidden="1" customHeight="1" x14ac:dyDescent="0.25">
      <c r="A8" s="22" t="s">
        <v>185</v>
      </c>
      <c r="B8" s="15">
        <v>4582</v>
      </c>
      <c r="C8" s="28">
        <v>45958</v>
      </c>
      <c r="D8" s="21">
        <v>120</v>
      </c>
      <c r="E8" s="19">
        <v>5</v>
      </c>
      <c r="F8" s="16" t="s">
        <v>56</v>
      </c>
      <c r="G8" s="16" t="s">
        <v>86</v>
      </c>
      <c r="H8" s="22" t="s">
        <v>41</v>
      </c>
      <c r="I8" s="11" t="s">
        <v>211</v>
      </c>
      <c r="J8" s="22" t="s">
        <v>137</v>
      </c>
    </row>
    <row r="9" spans="1:10" ht="42" hidden="1" customHeight="1" x14ac:dyDescent="0.25">
      <c r="A9" s="22" t="s">
        <v>185</v>
      </c>
      <c r="B9" s="15">
        <v>4582</v>
      </c>
      <c r="C9" s="28">
        <v>45958</v>
      </c>
      <c r="D9" s="21">
        <v>96</v>
      </c>
      <c r="E9" s="19">
        <v>2</v>
      </c>
      <c r="F9" s="16" t="s">
        <v>65</v>
      </c>
      <c r="G9" s="16" t="s">
        <v>102</v>
      </c>
      <c r="H9" s="22" t="s">
        <v>41</v>
      </c>
      <c r="I9" s="11" t="s">
        <v>211</v>
      </c>
      <c r="J9" s="22" t="s">
        <v>137</v>
      </c>
    </row>
    <row r="10" spans="1:10" ht="42" hidden="1" customHeight="1" x14ac:dyDescent="0.25">
      <c r="A10" s="22" t="s">
        <v>186</v>
      </c>
      <c r="B10" s="15">
        <v>3206817812</v>
      </c>
      <c r="C10" s="28">
        <v>45958</v>
      </c>
      <c r="D10" s="21">
        <v>1</v>
      </c>
      <c r="E10" s="209">
        <v>1</v>
      </c>
      <c r="F10" s="16" t="s">
        <v>69</v>
      </c>
      <c r="G10" s="16" t="s">
        <v>195</v>
      </c>
      <c r="H10" s="22" t="s">
        <v>199</v>
      </c>
      <c r="I10" s="11" t="s">
        <v>212</v>
      </c>
      <c r="J10" s="22" t="s">
        <v>135</v>
      </c>
    </row>
    <row r="11" spans="1:10" ht="42" hidden="1" customHeight="1" x14ac:dyDescent="0.25">
      <c r="A11" s="22" t="s">
        <v>186</v>
      </c>
      <c r="B11" s="15">
        <v>3206817812</v>
      </c>
      <c r="C11" s="28">
        <v>45958</v>
      </c>
      <c r="D11" s="21">
        <v>1</v>
      </c>
      <c r="E11" s="209"/>
      <c r="F11" s="16" t="s">
        <v>74</v>
      </c>
      <c r="G11" s="16" t="s">
        <v>196</v>
      </c>
      <c r="H11" s="22" t="s">
        <v>199</v>
      </c>
      <c r="I11" s="11" t="s">
        <v>212</v>
      </c>
      <c r="J11" s="22" t="s">
        <v>135</v>
      </c>
    </row>
    <row r="12" spans="1:10" ht="42" hidden="1" customHeight="1" x14ac:dyDescent="0.25">
      <c r="A12" s="16" t="s">
        <v>187</v>
      </c>
      <c r="B12" s="17">
        <v>3207204217</v>
      </c>
      <c r="C12" s="28">
        <v>45958</v>
      </c>
      <c r="D12" s="21">
        <v>1</v>
      </c>
      <c r="E12" s="19">
        <v>1</v>
      </c>
      <c r="F12" s="16" t="s">
        <v>53</v>
      </c>
      <c r="G12" s="16" t="s">
        <v>121</v>
      </c>
      <c r="H12" s="16" t="s">
        <v>200</v>
      </c>
      <c r="I12" s="11" t="s">
        <v>213</v>
      </c>
      <c r="J12" s="16" t="s">
        <v>135</v>
      </c>
    </row>
    <row r="13" spans="1:10" ht="42" hidden="1" customHeight="1" x14ac:dyDescent="0.25">
      <c r="A13" s="16" t="s">
        <v>188</v>
      </c>
      <c r="B13" s="17">
        <v>3207815441</v>
      </c>
      <c r="C13" s="28">
        <v>45958</v>
      </c>
      <c r="D13" s="21">
        <v>1</v>
      </c>
      <c r="E13" s="19">
        <v>1</v>
      </c>
      <c r="F13" s="16" t="s">
        <v>17</v>
      </c>
      <c r="G13" s="16" t="s">
        <v>91</v>
      </c>
      <c r="H13" s="16" t="s">
        <v>201</v>
      </c>
      <c r="I13" s="11" t="s">
        <v>214</v>
      </c>
      <c r="J13" s="16" t="s">
        <v>135</v>
      </c>
    </row>
    <row r="14" spans="1:10" ht="42" hidden="1" customHeight="1" x14ac:dyDescent="0.25">
      <c r="A14" s="16" t="s">
        <v>189</v>
      </c>
      <c r="B14" s="17">
        <v>3208347818</v>
      </c>
      <c r="C14" s="28">
        <v>45958</v>
      </c>
      <c r="D14" s="21">
        <v>1</v>
      </c>
      <c r="E14" s="19">
        <v>1</v>
      </c>
      <c r="F14" s="16" t="s">
        <v>42</v>
      </c>
      <c r="G14" s="16" t="s">
        <v>197</v>
      </c>
      <c r="H14" s="16" t="s">
        <v>202</v>
      </c>
      <c r="I14" s="11" t="s">
        <v>215</v>
      </c>
      <c r="J14" s="16" t="s">
        <v>135</v>
      </c>
    </row>
    <row r="15" spans="1:10" ht="42" hidden="1" customHeight="1" x14ac:dyDescent="0.25">
      <c r="A15" s="22" t="s">
        <v>190</v>
      </c>
      <c r="B15" s="22"/>
      <c r="C15" s="28">
        <v>45958</v>
      </c>
      <c r="D15" s="21">
        <v>240</v>
      </c>
      <c r="E15" s="19">
        <v>5</v>
      </c>
      <c r="F15" s="16" t="s">
        <v>158</v>
      </c>
      <c r="G15" s="16" t="s">
        <v>150</v>
      </c>
      <c r="H15" s="22" t="s">
        <v>203</v>
      </c>
      <c r="I15" s="11" t="s">
        <v>216</v>
      </c>
      <c r="J15" s="22" t="s">
        <v>205</v>
      </c>
    </row>
    <row r="16" spans="1:10" ht="42" hidden="1" customHeight="1" x14ac:dyDescent="0.25">
      <c r="A16" s="22" t="s">
        <v>190</v>
      </c>
      <c r="B16" s="22"/>
      <c r="C16" s="28">
        <v>45958</v>
      </c>
      <c r="D16" s="21">
        <v>72</v>
      </c>
      <c r="E16" s="19">
        <v>6</v>
      </c>
      <c r="F16" s="16" t="s">
        <v>173</v>
      </c>
      <c r="G16" s="16" t="s">
        <v>131</v>
      </c>
      <c r="H16" s="22" t="s">
        <v>203</v>
      </c>
      <c r="I16" s="11" t="s">
        <v>216</v>
      </c>
      <c r="J16" s="22" t="s">
        <v>205</v>
      </c>
    </row>
    <row r="17" spans="1:10" ht="42" hidden="1" customHeight="1" x14ac:dyDescent="0.25">
      <c r="A17" s="22" t="s">
        <v>190</v>
      </c>
      <c r="B17" s="22"/>
      <c r="C17" s="28">
        <v>45958</v>
      </c>
      <c r="D17" s="21">
        <v>120</v>
      </c>
      <c r="E17" s="19">
        <v>5</v>
      </c>
      <c r="F17" s="16" t="s">
        <v>152</v>
      </c>
      <c r="G17" s="16" t="s">
        <v>149</v>
      </c>
      <c r="H17" s="22" t="s">
        <v>203</v>
      </c>
      <c r="I17" s="11" t="s">
        <v>216</v>
      </c>
      <c r="J17" s="22" t="s">
        <v>205</v>
      </c>
    </row>
    <row r="18" spans="1:10" ht="42" hidden="1" customHeight="1" x14ac:dyDescent="0.25">
      <c r="A18" s="22" t="s">
        <v>190</v>
      </c>
      <c r="B18" s="22"/>
      <c r="C18" s="28">
        <v>45958</v>
      </c>
      <c r="D18" s="21">
        <v>120</v>
      </c>
      <c r="E18" s="19">
        <v>5</v>
      </c>
      <c r="F18" s="16" t="s">
        <v>153</v>
      </c>
      <c r="G18" s="16" t="s">
        <v>124</v>
      </c>
      <c r="H18" s="22" t="s">
        <v>203</v>
      </c>
      <c r="I18" s="11" t="s">
        <v>216</v>
      </c>
      <c r="J18" s="22" t="s">
        <v>205</v>
      </c>
    </row>
    <row r="19" spans="1:10" ht="42" hidden="1" customHeight="1" x14ac:dyDescent="0.25">
      <c r="A19" s="22" t="s">
        <v>190</v>
      </c>
      <c r="B19" s="22"/>
      <c r="C19" s="28">
        <v>45958</v>
      </c>
      <c r="D19" s="21">
        <v>72</v>
      </c>
      <c r="E19" s="19">
        <v>12</v>
      </c>
      <c r="F19" s="16" t="s">
        <v>155</v>
      </c>
      <c r="G19" s="16" t="s">
        <v>125</v>
      </c>
      <c r="H19" s="22" t="s">
        <v>203</v>
      </c>
      <c r="I19" s="11" t="s">
        <v>216</v>
      </c>
      <c r="J19" s="22" t="s">
        <v>205</v>
      </c>
    </row>
    <row r="20" spans="1:10" ht="42" hidden="1" customHeight="1" x14ac:dyDescent="0.25">
      <c r="A20" s="22" t="s">
        <v>191</v>
      </c>
      <c r="B20" s="22" t="s">
        <v>73</v>
      </c>
      <c r="C20" s="28">
        <v>45958</v>
      </c>
      <c r="D20" s="21">
        <v>60</v>
      </c>
      <c r="E20" s="19">
        <v>10</v>
      </c>
      <c r="F20" s="16" t="s">
        <v>155</v>
      </c>
      <c r="G20" s="16" t="s">
        <v>125</v>
      </c>
      <c r="H20" s="22" t="s">
        <v>138</v>
      </c>
      <c r="I20" s="11" t="s">
        <v>217</v>
      </c>
      <c r="J20" s="22" t="s">
        <v>206</v>
      </c>
    </row>
    <row r="21" spans="1:10" ht="42" hidden="1" customHeight="1" x14ac:dyDescent="0.25">
      <c r="A21" s="22" t="s">
        <v>191</v>
      </c>
      <c r="B21" s="22" t="s">
        <v>73</v>
      </c>
      <c r="C21" s="28">
        <v>45958</v>
      </c>
      <c r="D21" s="21">
        <v>60</v>
      </c>
      <c r="E21" s="19">
        <v>10</v>
      </c>
      <c r="F21" s="16" t="s">
        <v>174</v>
      </c>
      <c r="G21" s="16" t="s">
        <v>130</v>
      </c>
      <c r="H21" s="22" t="s">
        <v>138</v>
      </c>
      <c r="I21" s="11" t="s">
        <v>217</v>
      </c>
      <c r="J21" s="22" t="s">
        <v>206</v>
      </c>
    </row>
    <row r="22" spans="1:10" ht="42" hidden="1" customHeight="1" x14ac:dyDescent="0.25">
      <c r="A22" s="22" t="s">
        <v>191</v>
      </c>
      <c r="B22" s="22" t="s">
        <v>73</v>
      </c>
      <c r="C22" s="28">
        <v>45958</v>
      </c>
      <c r="D22" s="21">
        <v>60</v>
      </c>
      <c r="E22" s="19">
        <v>5</v>
      </c>
      <c r="F22" s="16" t="s">
        <v>194</v>
      </c>
      <c r="G22" s="16" t="s">
        <v>198</v>
      </c>
      <c r="H22" s="22" t="s">
        <v>138</v>
      </c>
      <c r="I22" s="11" t="s">
        <v>217</v>
      </c>
      <c r="J22" s="22" t="s">
        <v>206</v>
      </c>
    </row>
    <row r="23" spans="1:10" ht="42" hidden="1" customHeight="1" x14ac:dyDescent="0.25">
      <c r="A23" s="22" t="s">
        <v>191</v>
      </c>
      <c r="B23" s="22" t="s">
        <v>73</v>
      </c>
      <c r="C23" s="28">
        <v>45958</v>
      </c>
      <c r="D23" s="21">
        <v>60</v>
      </c>
      <c r="E23" s="19">
        <v>5</v>
      </c>
      <c r="F23" s="16" t="s">
        <v>157</v>
      </c>
      <c r="G23" s="16" t="s">
        <v>126</v>
      </c>
      <c r="H23" s="22" t="s">
        <v>138</v>
      </c>
      <c r="I23" s="11" t="s">
        <v>217</v>
      </c>
      <c r="J23" s="22" t="s">
        <v>206</v>
      </c>
    </row>
    <row r="24" spans="1:10" ht="42" hidden="1" customHeight="1" x14ac:dyDescent="0.25">
      <c r="A24" s="22" t="s">
        <v>218</v>
      </c>
      <c r="B24" s="30" t="s">
        <v>67</v>
      </c>
      <c r="C24" s="28">
        <v>45958</v>
      </c>
      <c r="D24" s="21">
        <v>1</v>
      </c>
      <c r="E24" s="209">
        <v>1</v>
      </c>
      <c r="F24" s="16" t="s">
        <v>64</v>
      </c>
      <c r="G24" s="16" t="s">
        <v>169</v>
      </c>
      <c r="H24" s="22" t="s">
        <v>66</v>
      </c>
      <c r="I24" s="2"/>
      <c r="J24" s="38" t="s">
        <v>207</v>
      </c>
    </row>
    <row r="25" spans="1:10" ht="42" hidden="1" customHeight="1" x14ac:dyDescent="0.25">
      <c r="A25" s="22" t="s">
        <v>218</v>
      </c>
      <c r="B25" s="30" t="s">
        <v>67</v>
      </c>
      <c r="C25" s="28">
        <v>45958</v>
      </c>
      <c r="D25" s="21">
        <v>1</v>
      </c>
      <c r="E25" s="209"/>
      <c r="F25" s="16" t="s">
        <v>168</v>
      </c>
      <c r="G25" s="16" t="s">
        <v>170</v>
      </c>
      <c r="H25" s="22" t="s">
        <v>66</v>
      </c>
      <c r="I25" s="2"/>
      <c r="J25" s="38" t="s">
        <v>207</v>
      </c>
    </row>
    <row r="26" spans="1:10" ht="42" hidden="1" customHeight="1" x14ac:dyDescent="0.25">
      <c r="A26" s="16" t="s">
        <v>219</v>
      </c>
      <c r="B26" s="16" t="s">
        <v>220</v>
      </c>
      <c r="C26" s="28">
        <v>45959</v>
      </c>
      <c r="D26" s="19">
        <v>2</v>
      </c>
      <c r="E26" s="19">
        <v>1</v>
      </c>
      <c r="F26" s="16" t="s">
        <v>53</v>
      </c>
      <c r="G26" s="16" t="s">
        <v>121</v>
      </c>
      <c r="H26" s="37" t="s">
        <v>221</v>
      </c>
      <c r="I26" s="11" t="s">
        <v>222</v>
      </c>
      <c r="J26" s="37" t="s">
        <v>135</v>
      </c>
    </row>
    <row r="27" spans="1:10" ht="42" hidden="1" customHeight="1" x14ac:dyDescent="0.25">
      <c r="A27" s="16" t="s">
        <v>223</v>
      </c>
      <c r="B27" s="16" t="s">
        <v>73</v>
      </c>
      <c r="C27" s="28">
        <v>45959</v>
      </c>
      <c r="D27" s="19">
        <v>144</v>
      </c>
      <c r="E27" s="19">
        <f>144/24</f>
        <v>6</v>
      </c>
      <c r="F27" s="16" t="s">
        <v>59</v>
      </c>
      <c r="G27" s="16" t="s">
        <v>84</v>
      </c>
      <c r="H27" s="16" t="s">
        <v>166</v>
      </c>
      <c r="I27" s="11" t="s">
        <v>224</v>
      </c>
      <c r="J27" s="16" t="s">
        <v>225</v>
      </c>
    </row>
    <row r="28" spans="1:10" ht="42" hidden="1" customHeight="1" x14ac:dyDescent="0.25">
      <c r="A28" s="22" t="s">
        <v>226</v>
      </c>
      <c r="B28" s="15" t="s">
        <v>73</v>
      </c>
      <c r="C28" s="28">
        <v>45960</v>
      </c>
      <c r="D28" s="21">
        <v>120</v>
      </c>
      <c r="E28" s="19">
        <v>5</v>
      </c>
      <c r="F28" s="16" t="s">
        <v>154</v>
      </c>
      <c r="G28" s="16" t="s">
        <v>123</v>
      </c>
      <c r="H28" s="22" t="s">
        <v>82</v>
      </c>
      <c r="I28" s="11" t="s">
        <v>242</v>
      </c>
      <c r="J28" s="22" t="s">
        <v>235</v>
      </c>
    </row>
    <row r="29" spans="1:10" ht="42" hidden="1" customHeight="1" x14ac:dyDescent="0.25">
      <c r="A29" s="22" t="s">
        <v>226</v>
      </c>
      <c r="B29" s="15" t="s">
        <v>73</v>
      </c>
      <c r="C29" s="28">
        <v>45960</v>
      </c>
      <c r="D29" s="21">
        <v>120</v>
      </c>
      <c r="E29" s="19">
        <v>5</v>
      </c>
      <c r="F29" s="16" t="s">
        <v>153</v>
      </c>
      <c r="G29" s="16" t="s">
        <v>124</v>
      </c>
      <c r="H29" s="22" t="s">
        <v>82</v>
      </c>
      <c r="I29" s="11" t="s">
        <v>242</v>
      </c>
      <c r="J29" s="22" t="s">
        <v>235</v>
      </c>
    </row>
    <row r="30" spans="1:10" ht="42" hidden="1" customHeight="1" x14ac:dyDescent="0.25">
      <c r="A30" s="22" t="s">
        <v>226</v>
      </c>
      <c r="B30" s="15" t="s">
        <v>73</v>
      </c>
      <c r="C30" s="28">
        <v>45960</v>
      </c>
      <c r="D30" s="21">
        <v>120</v>
      </c>
      <c r="E30" s="19">
        <v>5</v>
      </c>
      <c r="F30" s="16" t="s">
        <v>152</v>
      </c>
      <c r="G30" s="16" t="s">
        <v>149</v>
      </c>
      <c r="H30" s="22" t="s">
        <v>82</v>
      </c>
      <c r="I30" s="11" t="s">
        <v>242</v>
      </c>
      <c r="J30" s="22" t="s">
        <v>235</v>
      </c>
    </row>
    <row r="31" spans="1:10" ht="42" hidden="1" customHeight="1" x14ac:dyDescent="0.25">
      <c r="A31" s="22" t="s">
        <v>226</v>
      </c>
      <c r="B31" s="15" t="s">
        <v>73</v>
      </c>
      <c r="C31" s="28">
        <v>45960</v>
      </c>
      <c r="D31" s="21">
        <v>60</v>
      </c>
      <c r="E31" s="19">
        <v>5</v>
      </c>
      <c r="F31" s="16" t="s">
        <v>151</v>
      </c>
      <c r="G31" s="16" t="s">
        <v>141</v>
      </c>
      <c r="H31" s="22" t="s">
        <v>82</v>
      </c>
      <c r="I31" s="11" t="s">
        <v>242</v>
      </c>
      <c r="J31" s="22" t="s">
        <v>235</v>
      </c>
    </row>
    <row r="32" spans="1:10" ht="42" hidden="1" customHeight="1" x14ac:dyDescent="0.25">
      <c r="A32" s="22" t="s">
        <v>226</v>
      </c>
      <c r="B32" s="15" t="s">
        <v>73</v>
      </c>
      <c r="C32" s="28">
        <v>45960</v>
      </c>
      <c r="D32" s="21">
        <v>120</v>
      </c>
      <c r="E32" s="19">
        <v>10</v>
      </c>
      <c r="F32" s="16" t="s">
        <v>157</v>
      </c>
      <c r="G32" s="16" t="s">
        <v>126</v>
      </c>
      <c r="H32" s="22" t="s">
        <v>82</v>
      </c>
      <c r="I32" s="11" t="s">
        <v>242</v>
      </c>
      <c r="J32" s="22" t="s">
        <v>235</v>
      </c>
    </row>
    <row r="33" spans="1:10" ht="42" hidden="1" customHeight="1" x14ac:dyDescent="0.25">
      <c r="A33" s="22" t="s">
        <v>226</v>
      </c>
      <c r="B33" s="15" t="s">
        <v>73</v>
      </c>
      <c r="C33" s="28">
        <v>45960</v>
      </c>
      <c r="D33" s="21">
        <v>24</v>
      </c>
      <c r="E33" s="19">
        <v>2</v>
      </c>
      <c r="F33" s="16" t="s">
        <v>162</v>
      </c>
      <c r="G33" s="16" t="s">
        <v>163</v>
      </c>
      <c r="H33" s="22" t="s">
        <v>82</v>
      </c>
      <c r="I33" s="11" t="s">
        <v>242</v>
      </c>
      <c r="J33" s="22" t="s">
        <v>235</v>
      </c>
    </row>
    <row r="34" spans="1:10" ht="42" hidden="1" customHeight="1" x14ac:dyDescent="0.25">
      <c r="A34" s="22" t="s">
        <v>226</v>
      </c>
      <c r="B34" s="15" t="s">
        <v>73</v>
      </c>
      <c r="C34" s="28">
        <v>45960</v>
      </c>
      <c r="D34" s="21">
        <v>96</v>
      </c>
      <c r="E34" s="19">
        <v>4</v>
      </c>
      <c r="F34" s="16" t="s">
        <v>36</v>
      </c>
      <c r="G34" s="16" t="s">
        <v>128</v>
      </c>
      <c r="H34" s="22" t="s">
        <v>82</v>
      </c>
      <c r="I34" s="11" t="s">
        <v>242</v>
      </c>
      <c r="J34" s="22" t="s">
        <v>235</v>
      </c>
    </row>
    <row r="35" spans="1:10" ht="42" hidden="1" customHeight="1" x14ac:dyDescent="0.25">
      <c r="A35" s="22" t="s">
        <v>226</v>
      </c>
      <c r="B35" s="15" t="s">
        <v>73</v>
      </c>
      <c r="C35" s="28">
        <v>45960</v>
      </c>
      <c r="D35" s="21">
        <v>24</v>
      </c>
      <c r="E35" s="19">
        <v>2</v>
      </c>
      <c r="F35" s="16" t="s">
        <v>35</v>
      </c>
      <c r="G35" s="16" t="s">
        <v>106</v>
      </c>
      <c r="H35" s="22" t="s">
        <v>82</v>
      </c>
      <c r="I35" s="11" t="s">
        <v>242</v>
      </c>
      <c r="J35" s="22" t="s">
        <v>235</v>
      </c>
    </row>
    <row r="36" spans="1:10" ht="42" hidden="1" customHeight="1" x14ac:dyDescent="0.25">
      <c r="A36" s="22" t="s">
        <v>226</v>
      </c>
      <c r="B36" s="15" t="s">
        <v>73</v>
      </c>
      <c r="C36" s="28">
        <v>45960</v>
      </c>
      <c r="D36" s="21">
        <v>4</v>
      </c>
      <c r="E36" s="19">
        <v>1</v>
      </c>
      <c r="F36" s="16" t="s">
        <v>45</v>
      </c>
      <c r="G36" s="16" t="s">
        <v>116</v>
      </c>
      <c r="H36" s="22" t="s">
        <v>82</v>
      </c>
      <c r="I36" s="11" t="s">
        <v>242</v>
      </c>
      <c r="J36" s="22" t="s">
        <v>235</v>
      </c>
    </row>
    <row r="37" spans="1:10" ht="42" hidden="1" customHeight="1" x14ac:dyDescent="0.25">
      <c r="A37" s="22" t="s">
        <v>226</v>
      </c>
      <c r="B37" s="15" t="s">
        <v>73</v>
      </c>
      <c r="C37" s="28">
        <v>45960</v>
      </c>
      <c r="D37" s="21">
        <v>4</v>
      </c>
      <c r="E37" s="19">
        <v>1</v>
      </c>
      <c r="F37" s="16" t="s">
        <v>40</v>
      </c>
      <c r="G37" s="16" t="s">
        <v>117</v>
      </c>
      <c r="H37" s="22" t="s">
        <v>82</v>
      </c>
      <c r="I37" s="11" t="s">
        <v>242</v>
      </c>
      <c r="J37" s="22" t="s">
        <v>235</v>
      </c>
    </row>
    <row r="38" spans="1:10" ht="42" hidden="1" customHeight="1" x14ac:dyDescent="0.25">
      <c r="A38" s="22" t="s">
        <v>226</v>
      </c>
      <c r="B38" s="15" t="s">
        <v>73</v>
      </c>
      <c r="C38" s="28">
        <v>45960</v>
      </c>
      <c r="D38" s="21">
        <v>8</v>
      </c>
      <c r="E38" s="19">
        <v>2</v>
      </c>
      <c r="F38" s="16" t="s">
        <v>44</v>
      </c>
      <c r="G38" s="16" t="s">
        <v>118</v>
      </c>
      <c r="H38" s="22" t="s">
        <v>82</v>
      </c>
      <c r="I38" s="11" t="s">
        <v>242</v>
      </c>
      <c r="J38" s="22" t="s">
        <v>235</v>
      </c>
    </row>
    <row r="39" spans="1:10" ht="42" hidden="1" customHeight="1" x14ac:dyDescent="0.25">
      <c r="A39" s="16" t="s">
        <v>228</v>
      </c>
      <c r="B39" s="17">
        <v>3210034932</v>
      </c>
      <c r="C39" s="28">
        <v>45960</v>
      </c>
      <c r="D39" s="21">
        <v>1</v>
      </c>
      <c r="E39" s="19">
        <v>1</v>
      </c>
      <c r="F39" s="16" t="s">
        <v>14</v>
      </c>
      <c r="G39" s="16" t="s">
        <v>114</v>
      </c>
      <c r="H39" s="16" t="s">
        <v>232</v>
      </c>
      <c r="I39" s="11" t="s">
        <v>240</v>
      </c>
      <c r="J39" s="16" t="s">
        <v>135</v>
      </c>
    </row>
    <row r="40" spans="1:10" ht="42" hidden="1" customHeight="1" x14ac:dyDescent="0.25">
      <c r="A40" s="16" t="s">
        <v>229</v>
      </c>
      <c r="B40" s="17">
        <v>3210392451</v>
      </c>
      <c r="C40" s="28">
        <v>45960</v>
      </c>
      <c r="D40" s="21">
        <v>1</v>
      </c>
      <c r="E40" s="19">
        <v>1</v>
      </c>
      <c r="F40" s="16" t="s">
        <v>57</v>
      </c>
      <c r="G40" s="16" t="s">
        <v>87</v>
      </c>
      <c r="H40" s="16" t="s">
        <v>233</v>
      </c>
      <c r="I40" s="11" t="s">
        <v>241</v>
      </c>
      <c r="J40" s="16" t="s">
        <v>135</v>
      </c>
    </row>
    <row r="41" spans="1:10" ht="42" hidden="1" customHeight="1" x14ac:dyDescent="0.25">
      <c r="A41" s="16" t="s">
        <v>230</v>
      </c>
      <c r="B41" s="17">
        <v>3210646924</v>
      </c>
      <c r="C41" s="28">
        <v>45960</v>
      </c>
      <c r="D41" s="21">
        <v>1</v>
      </c>
      <c r="E41" s="19">
        <v>1</v>
      </c>
      <c r="F41" s="16" t="s">
        <v>80</v>
      </c>
      <c r="G41" s="16" t="s">
        <v>231</v>
      </c>
      <c r="H41" s="16" t="s">
        <v>234</v>
      </c>
      <c r="I41" s="11" t="s">
        <v>239</v>
      </c>
      <c r="J41" s="16" t="s">
        <v>135</v>
      </c>
    </row>
    <row r="42" spans="1:10" ht="42" hidden="1" customHeight="1" x14ac:dyDescent="0.25">
      <c r="A42" s="16" t="s">
        <v>243</v>
      </c>
      <c r="B42" s="14">
        <v>4511978850</v>
      </c>
      <c r="C42" s="28">
        <v>45960</v>
      </c>
      <c r="D42" s="21">
        <v>4</v>
      </c>
      <c r="E42" s="19">
        <v>1</v>
      </c>
      <c r="F42" s="16" t="s">
        <v>38</v>
      </c>
      <c r="G42" s="14" t="s">
        <v>97</v>
      </c>
      <c r="H42" s="16" t="s">
        <v>146</v>
      </c>
      <c r="I42" s="11" t="s">
        <v>244</v>
      </c>
      <c r="J42" s="16" t="s">
        <v>255</v>
      </c>
    </row>
    <row r="43" spans="1:10" ht="42" hidden="1" customHeight="1" x14ac:dyDescent="0.25">
      <c r="A43" s="16" t="s">
        <v>245</v>
      </c>
      <c r="B43" s="14">
        <v>4511978724</v>
      </c>
      <c r="C43" s="28">
        <v>45960</v>
      </c>
      <c r="D43" s="21">
        <v>4</v>
      </c>
      <c r="E43" s="19">
        <v>1</v>
      </c>
      <c r="F43" s="16" t="s">
        <v>16</v>
      </c>
      <c r="G43" s="14" t="s">
        <v>89</v>
      </c>
      <c r="H43" s="16" t="s">
        <v>145</v>
      </c>
      <c r="I43" s="11" t="s">
        <v>246</v>
      </c>
      <c r="J43" s="16" t="s">
        <v>256</v>
      </c>
    </row>
    <row r="44" spans="1:10" ht="42" hidden="1" customHeight="1" x14ac:dyDescent="0.25">
      <c r="A44" s="16" t="s">
        <v>247</v>
      </c>
      <c r="B44" s="14">
        <v>4511978698</v>
      </c>
      <c r="C44" s="28">
        <v>45960</v>
      </c>
      <c r="D44" s="21">
        <v>4</v>
      </c>
      <c r="E44" s="19">
        <v>1</v>
      </c>
      <c r="F44" s="16" t="s">
        <v>38</v>
      </c>
      <c r="G44" s="14" t="s">
        <v>97</v>
      </c>
      <c r="H44" s="16" t="s">
        <v>164</v>
      </c>
      <c r="I44" s="11" t="s">
        <v>248</v>
      </c>
      <c r="J44" s="16" t="s">
        <v>257</v>
      </c>
    </row>
    <row r="45" spans="1:10" ht="42" hidden="1" customHeight="1" x14ac:dyDescent="0.25">
      <c r="A45" s="16" t="s">
        <v>249</v>
      </c>
      <c r="B45" s="14">
        <v>4511978067</v>
      </c>
      <c r="C45" s="28">
        <v>45960</v>
      </c>
      <c r="D45" s="21">
        <v>4</v>
      </c>
      <c r="E45" s="19">
        <v>1</v>
      </c>
      <c r="F45" s="11" t="s">
        <v>28</v>
      </c>
      <c r="G45" s="14" t="s">
        <v>95</v>
      </c>
      <c r="H45" s="11" t="s">
        <v>147</v>
      </c>
      <c r="I45" s="11" t="s">
        <v>250</v>
      </c>
      <c r="J45" s="16" t="s">
        <v>258</v>
      </c>
    </row>
    <row r="46" spans="1:10" ht="42" hidden="1" customHeight="1" x14ac:dyDescent="0.25">
      <c r="A46" s="16" t="s">
        <v>251</v>
      </c>
      <c r="B46" s="14">
        <v>4511978812</v>
      </c>
      <c r="C46" s="28">
        <v>45960</v>
      </c>
      <c r="D46" s="21">
        <v>4</v>
      </c>
      <c r="E46" s="19">
        <v>1</v>
      </c>
      <c r="F46" s="16" t="s">
        <v>29</v>
      </c>
      <c r="G46" s="14" t="s">
        <v>94</v>
      </c>
      <c r="H46" s="16" t="s">
        <v>148</v>
      </c>
      <c r="I46" s="11" t="s">
        <v>252</v>
      </c>
      <c r="J46" s="16" t="s">
        <v>63</v>
      </c>
    </row>
    <row r="47" spans="1:10" ht="42" hidden="1" customHeight="1" x14ac:dyDescent="0.25">
      <c r="A47" s="16" t="s">
        <v>251</v>
      </c>
      <c r="B47" s="14">
        <v>4511978812</v>
      </c>
      <c r="C47" s="28">
        <v>45960</v>
      </c>
      <c r="D47" s="21">
        <v>4</v>
      </c>
      <c r="E47" s="19">
        <v>1</v>
      </c>
      <c r="F47" s="16" t="s">
        <v>15</v>
      </c>
      <c r="G47" s="14" t="s">
        <v>96</v>
      </c>
      <c r="H47" s="16" t="s">
        <v>148</v>
      </c>
      <c r="I47" s="11" t="s">
        <v>252</v>
      </c>
      <c r="J47" s="16" t="s">
        <v>63</v>
      </c>
    </row>
    <row r="48" spans="1:10" ht="42" hidden="1" customHeight="1" x14ac:dyDescent="0.25">
      <c r="A48" s="16" t="s">
        <v>253</v>
      </c>
      <c r="B48" s="14">
        <v>4511978020</v>
      </c>
      <c r="C48" s="28">
        <v>45960</v>
      </c>
      <c r="D48" s="21">
        <v>4</v>
      </c>
      <c r="E48" s="19">
        <v>1</v>
      </c>
      <c r="F48" s="11" t="s">
        <v>30</v>
      </c>
      <c r="G48" s="14" t="s">
        <v>122</v>
      </c>
      <c r="H48" s="16" t="s">
        <v>88</v>
      </c>
      <c r="I48" s="11" t="s">
        <v>254</v>
      </c>
      <c r="J48" s="16" t="s">
        <v>60</v>
      </c>
    </row>
    <row r="49" spans="1:10" ht="42" hidden="1" customHeight="1" x14ac:dyDescent="0.25">
      <c r="A49" s="16" t="s">
        <v>253</v>
      </c>
      <c r="B49" s="14">
        <v>4511978020</v>
      </c>
      <c r="C49" s="28">
        <v>45960</v>
      </c>
      <c r="D49" s="21">
        <v>8</v>
      </c>
      <c r="E49" s="19">
        <v>1</v>
      </c>
      <c r="F49" s="39" t="s">
        <v>31</v>
      </c>
      <c r="G49" s="14" t="s">
        <v>98</v>
      </c>
      <c r="H49" s="16" t="s">
        <v>88</v>
      </c>
      <c r="I49" s="11" t="s">
        <v>254</v>
      </c>
      <c r="J49" s="16" t="s">
        <v>60</v>
      </c>
    </row>
    <row r="50" spans="1:10" ht="42" hidden="1" customHeight="1" x14ac:dyDescent="0.25">
      <c r="A50" s="16" t="s">
        <v>253</v>
      </c>
      <c r="B50" s="14">
        <v>4511978020</v>
      </c>
      <c r="C50" s="28">
        <v>45960</v>
      </c>
      <c r="D50" s="21">
        <v>4</v>
      </c>
      <c r="E50" s="19">
        <v>1</v>
      </c>
      <c r="F50" s="11" t="s">
        <v>16</v>
      </c>
      <c r="G50" s="14" t="s">
        <v>89</v>
      </c>
      <c r="H50" s="16" t="s">
        <v>88</v>
      </c>
      <c r="I50" s="11" t="s">
        <v>254</v>
      </c>
      <c r="J50" s="16" t="s">
        <v>259</v>
      </c>
    </row>
    <row r="51" spans="1:10" ht="42" hidden="1" customHeight="1" x14ac:dyDescent="0.25">
      <c r="A51" s="16" t="s">
        <v>253</v>
      </c>
      <c r="B51" s="14">
        <v>4511978020</v>
      </c>
      <c r="C51" s="28">
        <v>45960</v>
      </c>
      <c r="D51" s="21">
        <v>4</v>
      </c>
      <c r="E51" s="19">
        <v>1</v>
      </c>
      <c r="F51" s="11" t="s">
        <v>37</v>
      </c>
      <c r="G51" s="14" t="s">
        <v>133</v>
      </c>
      <c r="H51" s="16" t="s">
        <v>88</v>
      </c>
      <c r="I51" s="11" t="s">
        <v>254</v>
      </c>
      <c r="J51" s="16" t="s">
        <v>259</v>
      </c>
    </row>
    <row r="52" spans="1:10" s="12" customFormat="1" ht="21.75" hidden="1" customHeight="1" x14ac:dyDescent="0.25">
      <c r="A52" s="16" t="s">
        <v>253</v>
      </c>
      <c r="B52" s="14">
        <v>4511978020</v>
      </c>
      <c r="C52" s="28">
        <v>45960</v>
      </c>
      <c r="D52" s="21">
        <v>6</v>
      </c>
      <c r="E52" s="19">
        <v>3</v>
      </c>
      <c r="F52" s="11" t="s">
        <v>32</v>
      </c>
      <c r="G52" s="14" t="s">
        <v>78</v>
      </c>
      <c r="H52" s="16" t="s">
        <v>88</v>
      </c>
      <c r="I52" s="11" t="s">
        <v>254</v>
      </c>
      <c r="J52" s="16" t="s">
        <v>259</v>
      </c>
    </row>
    <row r="53" spans="1:10" s="12" customFormat="1" ht="21.75" customHeight="1" x14ac:dyDescent="0.25">
      <c r="A53" s="22" t="s">
        <v>193</v>
      </c>
      <c r="B53" s="22" t="s">
        <v>73</v>
      </c>
      <c r="C53" s="28">
        <v>45961</v>
      </c>
      <c r="D53" s="21">
        <v>24</v>
      </c>
      <c r="E53" s="19">
        <v>2</v>
      </c>
      <c r="F53" s="16" t="s">
        <v>151</v>
      </c>
      <c r="G53" s="16" t="s">
        <v>141</v>
      </c>
      <c r="H53" s="22" t="s">
        <v>204</v>
      </c>
      <c r="I53" s="11" t="s">
        <v>265</v>
      </c>
      <c r="J53" s="11"/>
    </row>
    <row r="54" spans="1:10" s="12" customFormat="1" ht="21.75" customHeight="1" x14ac:dyDescent="0.25">
      <c r="A54" s="22" t="s">
        <v>193</v>
      </c>
      <c r="B54" s="22" t="s">
        <v>73</v>
      </c>
      <c r="C54" s="28">
        <v>45961</v>
      </c>
      <c r="D54" s="21">
        <v>120</v>
      </c>
      <c r="E54" s="19">
        <v>5</v>
      </c>
      <c r="F54" s="16" t="s">
        <v>152</v>
      </c>
      <c r="G54" s="16" t="s">
        <v>149</v>
      </c>
      <c r="H54" s="22" t="s">
        <v>204</v>
      </c>
      <c r="I54" s="11" t="s">
        <v>265</v>
      </c>
      <c r="J54" s="11"/>
    </row>
    <row r="55" spans="1:10" s="12" customFormat="1" ht="21.75" customHeight="1" x14ac:dyDescent="0.25">
      <c r="A55" s="22" t="s">
        <v>193</v>
      </c>
      <c r="B55" s="22" t="s">
        <v>73</v>
      </c>
      <c r="C55" s="28">
        <v>45961</v>
      </c>
      <c r="D55" s="21">
        <v>48</v>
      </c>
      <c r="E55" s="19">
        <v>2</v>
      </c>
      <c r="F55" s="16" t="s">
        <v>154</v>
      </c>
      <c r="G55" s="16" t="s">
        <v>123</v>
      </c>
      <c r="H55" s="22" t="s">
        <v>204</v>
      </c>
      <c r="I55" s="11" t="s">
        <v>265</v>
      </c>
      <c r="J55" s="11"/>
    </row>
    <row r="56" spans="1:10" s="12" customFormat="1" ht="21.75" customHeight="1" x14ac:dyDescent="0.25">
      <c r="A56" s="22" t="s">
        <v>193</v>
      </c>
      <c r="B56" s="22" t="s">
        <v>73</v>
      </c>
      <c r="C56" s="28">
        <v>45961</v>
      </c>
      <c r="D56" s="21">
        <v>96</v>
      </c>
      <c r="E56" s="19">
        <v>4</v>
      </c>
      <c r="F56" s="16" t="s">
        <v>153</v>
      </c>
      <c r="G56" s="16" t="s">
        <v>124</v>
      </c>
      <c r="H56" s="22" t="s">
        <v>204</v>
      </c>
      <c r="I56" s="11" t="s">
        <v>265</v>
      </c>
      <c r="J56" s="11"/>
    </row>
    <row r="57" spans="1:10" s="12" customFormat="1" ht="21.75" customHeight="1" x14ac:dyDescent="0.25">
      <c r="A57" s="22" t="s">
        <v>193</v>
      </c>
      <c r="B57" s="22" t="s">
        <v>73</v>
      </c>
      <c r="C57" s="28">
        <v>45961</v>
      </c>
      <c r="D57" s="21">
        <v>72</v>
      </c>
      <c r="E57" s="19">
        <v>6</v>
      </c>
      <c r="F57" s="16" t="s">
        <v>172</v>
      </c>
      <c r="G57" s="16" t="s">
        <v>175</v>
      </c>
      <c r="H57" s="22" t="s">
        <v>204</v>
      </c>
      <c r="I57" s="11" t="s">
        <v>265</v>
      </c>
      <c r="J57" s="11"/>
    </row>
    <row r="58" spans="1:10" s="12" customFormat="1" ht="21.75" customHeight="1" x14ac:dyDescent="0.25">
      <c r="A58" s="22" t="s">
        <v>193</v>
      </c>
      <c r="B58" s="22" t="s">
        <v>73</v>
      </c>
      <c r="C58" s="28">
        <v>45961</v>
      </c>
      <c r="D58" s="21">
        <v>48</v>
      </c>
      <c r="E58" s="19">
        <v>1</v>
      </c>
      <c r="F58" s="16" t="s">
        <v>158</v>
      </c>
      <c r="G58" s="16" t="s">
        <v>150</v>
      </c>
      <c r="H58" s="22" t="s">
        <v>204</v>
      </c>
      <c r="I58" s="11" t="s">
        <v>265</v>
      </c>
      <c r="J58" s="11"/>
    </row>
    <row r="59" spans="1:10" s="12" customFormat="1" ht="21.75" customHeight="1" x14ac:dyDescent="0.25">
      <c r="A59" s="22" t="s">
        <v>193</v>
      </c>
      <c r="B59" s="22" t="s">
        <v>73</v>
      </c>
      <c r="C59" s="28">
        <v>45961</v>
      </c>
      <c r="D59" s="21">
        <v>36</v>
      </c>
      <c r="E59" s="19">
        <v>3</v>
      </c>
      <c r="F59" s="16" t="s">
        <v>34</v>
      </c>
      <c r="G59" s="16" t="s">
        <v>93</v>
      </c>
      <c r="H59" s="22" t="s">
        <v>204</v>
      </c>
      <c r="I59" s="11" t="s">
        <v>265</v>
      </c>
      <c r="J59" s="11"/>
    </row>
    <row r="60" spans="1:10" s="12" customFormat="1" ht="21.75" customHeight="1" x14ac:dyDescent="0.25">
      <c r="A60" s="22" t="s">
        <v>193</v>
      </c>
      <c r="B60" s="22" t="s">
        <v>73</v>
      </c>
      <c r="C60" s="28">
        <v>45961</v>
      </c>
      <c r="D60" s="21">
        <v>24</v>
      </c>
      <c r="E60" s="19">
        <v>4</v>
      </c>
      <c r="F60" s="16" t="s">
        <v>43</v>
      </c>
      <c r="G60" s="16" t="s">
        <v>171</v>
      </c>
      <c r="H60" s="22" t="s">
        <v>204</v>
      </c>
      <c r="I60" s="11" t="s">
        <v>265</v>
      </c>
      <c r="J60" s="11"/>
    </row>
    <row r="61" spans="1:10" s="12" customFormat="1" ht="21.75" customHeight="1" x14ac:dyDescent="0.25">
      <c r="A61" s="22" t="s">
        <v>193</v>
      </c>
      <c r="B61" s="22" t="s">
        <v>73</v>
      </c>
      <c r="C61" s="28">
        <v>45961</v>
      </c>
      <c r="D61" s="21">
        <v>36</v>
      </c>
      <c r="E61" s="19">
        <v>6</v>
      </c>
      <c r="F61" s="16" t="s">
        <v>71</v>
      </c>
      <c r="G61" s="16" t="s">
        <v>176</v>
      </c>
      <c r="H61" s="22" t="s">
        <v>204</v>
      </c>
      <c r="I61" s="11" t="s">
        <v>265</v>
      </c>
      <c r="J61" s="11"/>
    </row>
    <row r="62" spans="1:10" s="12" customFormat="1" ht="21.75" customHeight="1" x14ac:dyDescent="0.25">
      <c r="A62" s="22" t="s">
        <v>193</v>
      </c>
      <c r="B62" s="22" t="s">
        <v>73</v>
      </c>
      <c r="C62" s="28">
        <v>45961</v>
      </c>
      <c r="D62" s="21">
        <v>120</v>
      </c>
      <c r="E62" s="19">
        <v>5</v>
      </c>
      <c r="F62" s="16" t="s">
        <v>52</v>
      </c>
      <c r="G62" s="16" t="s">
        <v>110</v>
      </c>
      <c r="H62" s="22" t="s">
        <v>204</v>
      </c>
      <c r="I62" s="11" t="s">
        <v>265</v>
      </c>
      <c r="J62" s="11"/>
    </row>
    <row r="63" spans="1:10" s="12" customFormat="1" ht="21.75" customHeight="1" x14ac:dyDescent="0.25">
      <c r="A63" s="22" t="s">
        <v>193</v>
      </c>
      <c r="B63" s="22" t="s">
        <v>73</v>
      </c>
      <c r="C63" s="28">
        <v>45961</v>
      </c>
      <c r="D63" s="21">
        <v>24</v>
      </c>
      <c r="E63" s="19">
        <v>2</v>
      </c>
      <c r="F63" s="16" t="s">
        <v>54</v>
      </c>
      <c r="G63" s="16" t="s">
        <v>92</v>
      </c>
      <c r="H63" s="22" t="s">
        <v>204</v>
      </c>
      <c r="I63" s="11" t="s">
        <v>265</v>
      </c>
      <c r="J63" s="11"/>
    </row>
    <row r="64" spans="1:10" s="12" customFormat="1" ht="21.75" customHeight="1" x14ac:dyDescent="0.25">
      <c r="A64" s="22" t="s">
        <v>261</v>
      </c>
      <c r="B64" s="34" t="s">
        <v>260</v>
      </c>
      <c r="C64" s="28">
        <v>45961</v>
      </c>
      <c r="D64" s="19">
        <v>3</v>
      </c>
      <c r="E64" s="19">
        <v>1</v>
      </c>
      <c r="F64" s="11" t="s">
        <v>33</v>
      </c>
      <c r="G64" s="14" t="s">
        <v>107</v>
      </c>
      <c r="H64" s="11" t="s">
        <v>47</v>
      </c>
      <c r="I64" s="11" t="s">
        <v>269</v>
      </c>
      <c r="J64" s="29" t="s">
        <v>260</v>
      </c>
    </row>
    <row r="65" spans="1:10" s="12" customFormat="1" ht="21.75" customHeight="1" x14ac:dyDescent="0.25">
      <c r="A65" s="22" t="s">
        <v>262</v>
      </c>
      <c r="B65" s="22" t="s">
        <v>73</v>
      </c>
      <c r="C65" s="28">
        <v>45961</v>
      </c>
      <c r="D65" s="41">
        <v>360</v>
      </c>
      <c r="E65" s="19">
        <v>15</v>
      </c>
      <c r="F65" s="37" t="s">
        <v>36</v>
      </c>
      <c r="G65" s="37" t="s">
        <v>128</v>
      </c>
      <c r="H65" s="22" t="s">
        <v>79</v>
      </c>
      <c r="I65" s="11" t="s">
        <v>266</v>
      </c>
      <c r="J65" s="11"/>
    </row>
    <row r="66" spans="1:10" s="12" customFormat="1" ht="21.75" customHeight="1" x14ac:dyDescent="0.25">
      <c r="A66" s="22" t="s">
        <v>262</v>
      </c>
      <c r="B66" s="22" t="s">
        <v>73</v>
      </c>
      <c r="C66" s="28">
        <v>45961</v>
      </c>
      <c r="D66" s="40">
        <v>60</v>
      </c>
      <c r="E66" s="19">
        <v>5</v>
      </c>
      <c r="F66" s="36" t="s">
        <v>35</v>
      </c>
      <c r="G66" s="36" t="s">
        <v>106</v>
      </c>
      <c r="H66" s="22" t="s">
        <v>79</v>
      </c>
      <c r="I66" s="11" t="s">
        <v>266</v>
      </c>
      <c r="J66" s="11"/>
    </row>
    <row r="67" spans="1:10" s="12" customFormat="1" ht="21.75" customHeight="1" x14ac:dyDescent="0.25">
      <c r="A67" s="22" t="s">
        <v>262</v>
      </c>
      <c r="B67" s="22" t="s">
        <v>73</v>
      </c>
      <c r="C67" s="28">
        <v>45961</v>
      </c>
      <c r="D67" s="40">
        <v>60</v>
      </c>
      <c r="E67" s="19">
        <v>5</v>
      </c>
      <c r="F67" s="36" t="s">
        <v>33</v>
      </c>
      <c r="G67" s="36" t="s">
        <v>107</v>
      </c>
      <c r="H67" s="22" t="s">
        <v>79</v>
      </c>
      <c r="I67" s="11" t="s">
        <v>266</v>
      </c>
      <c r="J67" s="11"/>
    </row>
    <row r="68" spans="1:10" s="12" customFormat="1" ht="21.75" customHeight="1" x14ac:dyDescent="0.25">
      <c r="A68" s="22" t="s">
        <v>262</v>
      </c>
      <c r="B68" s="22" t="s">
        <v>73</v>
      </c>
      <c r="C68" s="28">
        <v>45961</v>
      </c>
      <c r="D68" s="40">
        <v>240</v>
      </c>
      <c r="E68" s="19">
        <v>5</v>
      </c>
      <c r="F68" s="36" t="s">
        <v>48</v>
      </c>
      <c r="G68" s="36" t="s">
        <v>160</v>
      </c>
      <c r="H68" s="22" t="s">
        <v>79</v>
      </c>
      <c r="I68" s="11" t="s">
        <v>266</v>
      </c>
      <c r="J68" s="11"/>
    </row>
    <row r="69" spans="1:10" s="12" customFormat="1" ht="21.75" customHeight="1" x14ac:dyDescent="0.25">
      <c r="A69" s="22" t="s">
        <v>262</v>
      </c>
      <c r="B69" s="22" t="s">
        <v>73</v>
      </c>
      <c r="C69" s="28">
        <v>45961</v>
      </c>
      <c r="D69" s="40">
        <v>384</v>
      </c>
      <c r="E69" s="19">
        <v>8</v>
      </c>
      <c r="F69" s="36" t="s">
        <v>22</v>
      </c>
      <c r="G69" s="36" t="s">
        <v>108</v>
      </c>
      <c r="H69" s="22" t="s">
        <v>79</v>
      </c>
      <c r="I69" s="11" t="s">
        <v>266</v>
      </c>
      <c r="J69" s="11"/>
    </row>
    <row r="70" spans="1:10" s="12" customFormat="1" ht="21.75" customHeight="1" x14ac:dyDescent="0.25">
      <c r="A70" s="22" t="s">
        <v>262</v>
      </c>
      <c r="B70" s="22" t="s">
        <v>73</v>
      </c>
      <c r="C70" s="28">
        <v>45961</v>
      </c>
      <c r="D70" s="40">
        <v>120</v>
      </c>
      <c r="E70" s="19">
        <v>10</v>
      </c>
      <c r="F70" s="36" t="s">
        <v>46</v>
      </c>
      <c r="G70" s="36" t="s">
        <v>104</v>
      </c>
      <c r="H70" s="22" t="s">
        <v>79</v>
      </c>
      <c r="I70" s="11" t="s">
        <v>266</v>
      </c>
      <c r="J70" s="11"/>
    </row>
    <row r="71" spans="1:10" s="12" customFormat="1" ht="21.75" customHeight="1" x14ac:dyDescent="0.25">
      <c r="A71" s="22" t="s">
        <v>262</v>
      </c>
      <c r="B71" s="22" t="s">
        <v>73</v>
      </c>
      <c r="C71" s="28">
        <v>45961</v>
      </c>
      <c r="D71" s="40">
        <v>240</v>
      </c>
      <c r="E71" s="19">
        <v>10</v>
      </c>
      <c r="F71" s="36" t="s">
        <v>52</v>
      </c>
      <c r="G71" s="36" t="s">
        <v>110</v>
      </c>
      <c r="H71" s="22" t="s">
        <v>79</v>
      </c>
      <c r="I71" s="11" t="s">
        <v>266</v>
      </c>
      <c r="J71" s="11"/>
    </row>
    <row r="72" spans="1:10" s="12" customFormat="1" ht="21.75" customHeight="1" x14ac:dyDescent="0.25">
      <c r="A72" s="22" t="s">
        <v>263</v>
      </c>
      <c r="B72" s="22" t="s">
        <v>73</v>
      </c>
      <c r="C72" s="28">
        <v>45961</v>
      </c>
      <c r="D72" s="40">
        <v>72</v>
      </c>
      <c r="E72" s="19">
        <v>6</v>
      </c>
      <c r="F72" s="36" t="s">
        <v>62</v>
      </c>
      <c r="G72" s="36" t="s">
        <v>83</v>
      </c>
      <c r="H72" s="22" t="s">
        <v>81</v>
      </c>
      <c r="I72" s="11" t="s">
        <v>267</v>
      </c>
      <c r="J72" s="11"/>
    </row>
    <row r="73" spans="1:10" s="12" customFormat="1" ht="21.75" customHeight="1" x14ac:dyDescent="0.25">
      <c r="A73" s="22" t="s">
        <v>263</v>
      </c>
      <c r="B73" s="22" t="s">
        <v>73</v>
      </c>
      <c r="C73" s="28">
        <v>45961</v>
      </c>
      <c r="D73" s="40">
        <v>120</v>
      </c>
      <c r="E73" s="19">
        <v>10</v>
      </c>
      <c r="F73" s="36" t="s">
        <v>162</v>
      </c>
      <c r="G73" s="36" t="s">
        <v>163</v>
      </c>
      <c r="H73" s="22" t="s">
        <v>81</v>
      </c>
      <c r="I73" s="11" t="s">
        <v>267</v>
      </c>
      <c r="J73" s="11"/>
    </row>
    <row r="74" spans="1:10" s="12" customFormat="1" ht="21.75" customHeight="1" x14ac:dyDescent="0.25">
      <c r="A74" s="22" t="s">
        <v>264</v>
      </c>
      <c r="B74" s="22" t="s">
        <v>73</v>
      </c>
      <c r="C74" s="28">
        <v>45961</v>
      </c>
      <c r="D74" s="40">
        <v>60</v>
      </c>
      <c r="E74" s="19">
        <v>5</v>
      </c>
      <c r="F74" s="36" t="s">
        <v>162</v>
      </c>
      <c r="G74" s="36" t="s">
        <v>163</v>
      </c>
      <c r="H74" s="22" t="s">
        <v>39</v>
      </c>
      <c r="I74" s="11" t="s">
        <v>268</v>
      </c>
      <c r="J74" s="11"/>
    </row>
    <row r="75" spans="1:10" s="12" customFormat="1" ht="21.75" customHeight="1" x14ac:dyDescent="0.25">
      <c r="A75" s="22" t="s">
        <v>264</v>
      </c>
      <c r="B75" s="22" t="s">
        <v>73</v>
      </c>
      <c r="C75" s="28">
        <v>45961</v>
      </c>
      <c r="D75" s="40">
        <v>240</v>
      </c>
      <c r="E75" s="19">
        <v>5</v>
      </c>
      <c r="F75" s="36" t="s">
        <v>159</v>
      </c>
      <c r="G75" s="36" t="s">
        <v>140</v>
      </c>
      <c r="H75" s="22" t="s">
        <v>39</v>
      </c>
      <c r="I75" s="11" t="s">
        <v>268</v>
      </c>
      <c r="J75" s="11"/>
    </row>
    <row r="76" spans="1:10" s="12" customFormat="1" ht="21.75" customHeight="1" x14ac:dyDescent="0.25">
      <c r="A76" s="22" t="s">
        <v>264</v>
      </c>
      <c r="B76" s="22" t="s">
        <v>73</v>
      </c>
      <c r="C76" s="28">
        <v>45961</v>
      </c>
      <c r="D76" s="40">
        <v>60</v>
      </c>
      <c r="E76" s="19">
        <v>10</v>
      </c>
      <c r="F76" s="36" t="s">
        <v>174</v>
      </c>
      <c r="G76" s="36" t="s">
        <v>130</v>
      </c>
      <c r="H76" s="22" t="s">
        <v>39</v>
      </c>
      <c r="I76" s="11" t="s">
        <v>268</v>
      </c>
      <c r="J76" s="11"/>
    </row>
    <row r="77" spans="1:10" s="12" customFormat="1" ht="21.75" customHeight="1" x14ac:dyDescent="0.25">
      <c r="A77" s="22" t="s">
        <v>264</v>
      </c>
      <c r="B77" s="22" t="s">
        <v>73</v>
      </c>
      <c r="C77" s="28">
        <v>45961</v>
      </c>
      <c r="D77" s="40">
        <v>120</v>
      </c>
      <c r="E77" s="19">
        <v>10</v>
      </c>
      <c r="F77" s="36" t="s">
        <v>161</v>
      </c>
      <c r="G77" s="36" t="s">
        <v>132</v>
      </c>
      <c r="H77" s="22" t="s">
        <v>39</v>
      </c>
      <c r="I77" s="11" t="s">
        <v>268</v>
      </c>
      <c r="J77" s="11"/>
    </row>
    <row r="78" spans="1:10" s="12" customFormat="1" ht="21.75" customHeight="1" x14ac:dyDescent="0.25">
      <c r="A78" s="42"/>
      <c r="B78" s="35"/>
      <c r="C78" s="43"/>
      <c r="D78" s="44"/>
      <c r="E78" s="45"/>
      <c r="F78" s="20"/>
      <c r="G78" s="35"/>
      <c r="H78" s="42"/>
      <c r="I78" s="20"/>
      <c r="J78" s="42"/>
    </row>
    <row r="79" spans="1:10" s="12" customFormat="1" ht="21.75" customHeight="1" x14ac:dyDescent="0.25">
      <c r="A79" s="42"/>
      <c r="B79" s="35"/>
      <c r="C79" s="43"/>
      <c r="D79" s="44"/>
      <c r="E79" s="45"/>
      <c r="F79" s="20"/>
      <c r="G79" s="35"/>
      <c r="H79" s="42"/>
      <c r="I79" s="20"/>
      <c r="J79" s="42"/>
    </row>
    <row r="80" spans="1:10" s="12" customFormat="1" ht="21.75" customHeight="1" x14ac:dyDescent="0.25">
      <c r="A80" s="42"/>
      <c r="B80" s="35"/>
      <c r="C80" s="43"/>
      <c r="D80" s="44"/>
      <c r="E80" s="45"/>
      <c r="F80" s="20"/>
      <c r="G80" s="35"/>
      <c r="H80" s="42"/>
      <c r="I80" s="20"/>
      <c r="J80" s="42"/>
    </row>
    <row r="81" spans="1:10" s="12" customFormat="1" ht="21.75" customHeight="1" x14ac:dyDescent="0.25">
      <c r="A81" s="42"/>
      <c r="B81" s="35"/>
      <c r="C81" s="43"/>
      <c r="D81" s="44"/>
      <c r="E81" s="45"/>
      <c r="F81" s="20"/>
      <c r="G81" s="35"/>
      <c r="H81" s="42"/>
      <c r="I81" s="20"/>
      <c r="J81" s="42"/>
    </row>
    <row r="82" spans="1:10" s="12" customFormat="1" ht="21.75" customHeight="1" x14ac:dyDescent="0.25">
      <c r="A82" s="42"/>
      <c r="B82" s="35"/>
      <c r="C82" s="43"/>
      <c r="D82" s="44"/>
      <c r="E82" s="45"/>
      <c r="F82" s="20"/>
      <c r="G82" s="35"/>
      <c r="H82" s="42"/>
      <c r="I82" s="20"/>
      <c r="J82" s="42"/>
    </row>
    <row r="83" spans="1:10" s="12" customFormat="1" ht="21.75" customHeight="1" x14ac:dyDescent="0.25">
      <c r="A83" s="42"/>
      <c r="B83" s="35"/>
      <c r="C83" s="43"/>
      <c r="D83" s="44"/>
      <c r="E83" s="45"/>
      <c r="F83" s="20"/>
      <c r="G83" s="35"/>
      <c r="H83" s="42"/>
      <c r="I83" s="20"/>
      <c r="J83" s="42"/>
    </row>
    <row r="84" spans="1:10" s="12" customFormat="1" ht="21.75" customHeight="1" x14ac:dyDescent="0.25">
      <c r="A84" s="42"/>
      <c r="B84" s="35"/>
      <c r="C84" s="43"/>
      <c r="D84" s="44"/>
      <c r="E84" s="45"/>
      <c r="F84" s="20"/>
      <c r="G84" s="35"/>
      <c r="H84" s="42"/>
      <c r="I84" s="20"/>
      <c r="J84" s="42"/>
    </row>
    <row r="85" spans="1:10" s="12" customFormat="1" ht="21.75" customHeight="1" x14ac:dyDescent="0.25">
      <c r="A85" s="42"/>
      <c r="B85" s="35"/>
      <c r="C85" s="43"/>
      <c r="D85" s="44"/>
      <c r="E85" s="45"/>
      <c r="F85" s="20"/>
      <c r="G85" s="35"/>
      <c r="H85" s="42"/>
      <c r="I85" s="20"/>
      <c r="J85" s="42"/>
    </row>
    <row r="86" spans="1:10" s="12" customFormat="1" ht="21.75" customHeight="1" x14ac:dyDescent="0.25">
      <c r="A86" s="42"/>
      <c r="B86" s="35"/>
      <c r="C86" s="43"/>
      <c r="D86" s="44"/>
      <c r="E86" s="45"/>
      <c r="F86" s="20"/>
      <c r="G86" s="35"/>
      <c r="H86" s="42"/>
      <c r="I86" s="20"/>
      <c r="J86" s="42"/>
    </row>
    <row r="87" spans="1:10" s="12" customFormat="1" ht="21.75" customHeight="1" x14ac:dyDescent="0.25">
      <c r="A87" s="42"/>
      <c r="B87" s="35"/>
      <c r="C87" s="43"/>
      <c r="D87" s="44"/>
      <c r="E87" s="45"/>
      <c r="F87" s="20"/>
      <c r="G87" s="35"/>
      <c r="H87" s="42"/>
      <c r="I87" s="20"/>
      <c r="J87" s="42"/>
    </row>
    <row r="88" spans="1:10" s="12" customFormat="1" ht="21.75" customHeight="1" x14ac:dyDescent="0.25">
      <c r="A88" s="42"/>
      <c r="B88" s="35"/>
      <c r="C88" s="43"/>
      <c r="D88" s="44"/>
      <c r="E88" s="45"/>
      <c r="F88" s="20"/>
      <c r="G88" s="35"/>
      <c r="H88" s="42"/>
      <c r="I88" s="20"/>
      <c r="J88" s="42"/>
    </row>
    <row r="89" spans="1:10" s="12" customFormat="1" ht="21.75" customHeight="1" x14ac:dyDescent="0.25">
      <c r="A89" s="42"/>
      <c r="B89" s="35"/>
      <c r="C89" s="43"/>
      <c r="D89" s="44"/>
      <c r="E89" s="45"/>
      <c r="F89" s="20"/>
      <c r="G89" s="35"/>
      <c r="H89" s="42"/>
      <c r="I89" s="20"/>
      <c r="J89" s="42"/>
    </row>
    <row r="90" spans="1:10" s="12" customFormat="1" ht="21.75" customHeight="1" x14ac:dyDescent="0.25">
      <c r="A90" s="42"/>
      <c r="B90" s="35"/>
      <c r="C90" s="43"/>
      <c r="D90" s="44"/>
      <c r="E90" s="45"/>
      <c r="F90" s="20"/>
      <c r="G90" s="35"/>
      <c r="H90" s="42"/>
      <c r="I90" s="20"/>
      <c r="J90" s="42"/>
    </row>
    <row r="91" spans="1:10" s="12" customFormat="1" ht="21.75" customHeight="1" x14ac:dyDescent="0.25">
      <c r="A91" s="42"/>
      <c r="B91" s="35"/>
      <c r="C91" s="43"/>
      <c r="D91" s="44"/>
      <c r="E91" s="45"/>
      <c r="F91" s="20"/>
      <c r="G91" s="35"/>
      <c r="H91" s="42"/>
      <c r="I91" s="20"/>
      <c r="J91" s="42"/>
    </row>
    <row r="92" spans="1:10" s="12" customFormat="1" ht="21.75" customHeight="1" x14ac:dyDescent="0.25">
      <c r="A92" s="42"/>
      <c r="B92" s="35"/>
      <c r="C92" s="43"/>
      <c r="D92" s="44"/>
      <c r="E92" s="45"/>
      <c r="F92" s="20"/>
      <c r="G92" s="35"/>
      <c r="H92" s="42"/>
      <c r="I92" s="20"/>
      <c r="J92" s="42"/>
    </row>
    <row r="93" spans="1:10" s="12" customFormat="1" ht="21.75" customHeight="1" x14ac:dyDescent="0.25">
      <c r="A93" s="42"/>
      <c r="B93" s="35"/>
      <c r="C93" s="43"/>
      <c r="D93" s="44"/>
      <c r="E93" s="45"/>
      <c r="F93" s="20"/>
      <c r="G93" s="35"/>
      <c r="H93" s="42"/>
      <c r="I93" s="20"/>
      <c r="J93" s="42"/>
    </row>
    <row r="94" spans="1:10" s="12" customFormat="1" ht="21.75" customHeight="1" x14ac:dyDescent="0.25">
      <c r="A94" s="42"/>
      <c r="B94" s="35"/>
      <c r="C94" s="43"/>
      <c r="D94" s="44"/>
      <c r="E94" s="45"/>
      <c r="F94" s="20"/>
      <c r="G94" s="35"/>
      <c r="H94" s="42"/>
      <c r="I94" s="20"/>
      <c r="J94" s="42"/>
    </row>
    <row r="95" spans="1:10" s="12" customFormat="1" ht="21.75" customHeight="1" x14ac:dyDescent="0.25">
      <c r="A95" s="42"/>
      <c r="B95" s="35"/>
      <c r="C95" s="43"/>
      <c r="D95" s="44"/>
      <c r="E95" s="45"/>
      <c r="F95" s="20"/>
      <c r="G95" s="35"/>
      <c r="H95" s="42"/>
      <c r="I95" s="20"/>
      <c r="J95" s="42"/>
    </row>
    <row r="96" spans="1:10" s="12" customFormat="1" ht="21.75" customHeight="1" x14ac:dyDescent="0.25">
      <c r="A96" s="42"/>
      <c r="B96" s="35"/>
      <c r="C96" s="43"/>
      <c r="D96" s="44"/>
      <c r="E96" s="45"/>
      <c r="F96" s="20"/>
      <c r="G96" s="35"/>
      <c r="H96" s="42"/>
      <c r="I96" s="20"/>
      <c r="J96" s="42"/>
    </row>
    <row r="97" spans="1:10" s="12" customFormat="1" ht="21.75" customHeight="1" x14ac:dyDescent="0.25">
      <c r="A97" s="42"/>
      <c r="B97" s="35"/>
      <c r="C97" s="43"/>
      <c r="D97" s="44"/>
      <c r="E97" s="45"/>
      <c r="F97" s="20"/>
      <c r="G97" s="35"/>
      <c r="H97" s="42"/>
      <c r="I97" s="20"/>
      <c r="J97" s="42"/>
    </row>
    <row r="98" spans="1:10" s="12" customFormat="1" ht="21.75" customHeight="1" x14ac:dyDescent="0.25">
      <c r="A98" s="42"/>
      <c r="B98" s="35"/>
      <c r="C98" s="43"/>
      <c r="D98" s="44"/>
      <c r="E98" s="45"/>
      <c r="F98" s="20"/>
      <c r="G98" s="35"/>
      <c r="H98" s="42"/>
      <c r="I98" s="20"/>
      <c r="J98" s="42"/>
    </row>
    <row r="99" spans="1:10" s="12" customFormat="1" ht="21.75" customHeight="1" x14ac:dyDescent="0.25">
      <c r="A99" s="42"/>
      <c r="B99" s="35"/>
      <c r="C99" s="43"/>
      <c r="D99" s="44"/>
      <c r="E99" s="45"/>
      <c r="F99" s="20"/>
      <c r="G99" s="35"/>
      <c r="H99" s="42"/>
      <c r="I99" s="20"/>
      <c r="J99" s="42"/>
    </row>
    <row r="100" spans="1:10" s="12" customFormat="1" ht="21.75" customHeight="1" x14ac:dyDescent="0.25">
      <c r="A100" s="42"/>
      <c r="B100" s="35"/>
      <c r="C100" s="43"/>
      <c r="D100" s="44"/>
      <c r="E100" s="45"/>
      <c r="F100" s="20"/>
      <c r="G100" s="35"/>
      <c r="H100" s="42"/>
      <c r="I100" s="20"/>
      <c r="J100" s="42"/>
    </row>
    <row r="101" spans="1:10" s="12" customFormat="1" ht="21.75" customHeight="1" x14ac:dyDescent="0.25">
      <c r="A101" s="42"/>
      <c r="B101" s="35"/>
      <c r="C101" s="43"/>
      <c r="D101" s="44"/>
      <c r="E101" s="45"/>
      <c r="F101" s="20"/>
      <c r="G101" s="35"/>
      <c r="H101" s="42"/>
      <c r="I101" s="20"/>
      <c r="J101" s="42"/>
    </row>
    <row r="102" spans="1:10" s="12" customFormat="1" ht="21.75" customHeight="1" x14ac:dyDescent="0.25">
      <c r="A102" s="42"/>
      <c r="B102" s="35"/>
      <c r="C102" s="43"/>
      <c r="D102" s="44"/>
      <c r="E102" s="45"/>
      <c r="F102" s="20"/>
      <c r="G102" s="35"/>
      <c r="H102" s="42"/>
      <c r="I102" s="20"/>
      <c r="J102" s="42"/>
    </row>
    <row r="103" spans="1:10" s="12" customFormat="1" ht="21.75" customHeight="1" x14ac:dyDescent="0.25">
      <c r="A103" s="42"/>
      <c r="B103" s="35"/>
      <c r="C103" s="43"/>
      <c r="D103" s="44"/>
      <c r="E103" s="45"/>
      <c r="F103" s="20"/>
      <c r="G103" s="35"/>
      <c r="H103" s="42"/>
      <c r="I103" s="20"/>
      <c r="J103" s="42"/>
    </row>
    <row r="104" spans="1:10" s="12" customFormat="1" ht="21.75" customHeight="1" x14ac:dyDescent="0.25">
      <c r="A104" s="42"/>
      <c r="B104" s="35"/>
      <c r="C104" s="43"/>
      <c r="D104" s="44"/>
      <c r="E104" s="45"/>
      <c r="F104" s="20"/>
      <c r="G104" s="35"/>
      <c r="H104" s="42"/>
      <c r="I104" s="20"/>
      <c r="J104" s="42"/>
    </row>
    <row r="105" spans="1:10" s="12" customFormat="1" ht="21.75" customHeight="1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</row>
    <row r="106" spans="1:10" ht="13.5" customHeight="1" x14ac:dyDescent="0.25">
      <c r="E106" s="33"/>
    </row>
    <row r="107" spans="1:10" ht="14.25" customHeight="1" x14ac:dyDescent="0.25">
      <c r="E107" s="33"/>
    </row>
    <row r="108" spans="1:10" ht="14.25" customHeight="1" x14ac:dyDescent="0.25">
      <c r="B108" s="219" t="s">
        <v>55</v>
      </c>
      <c r="C108" s="219"/>
      <c r="E108" s="33"/>
      <c r="H108" s="8" t="s">
        <v>50</v>
      </c>
      <c r="I108" s="5"/>
    </row>
    <row r="109" spans="1:10" ht="14.25" customHeight="1" x14ac:dyDescent="0.25"/>
    <row r="110" spans="1:10" ht="14.25" customHeight="1" x14ac:dyDescent="0.25"/>
  </sheetData>
  <autoFilter ref="A4:J77" xr:uid="{00000000-0001-0000-0100-000000000000}">
    <filterColumn colId="2">
      <filters>
        <dateGroupItem year="2025" month="10" day="31" dateTimeGrouping="day"/>
      </filters>
    </filterColumn>
  </autoFilter>
  <mergeCells count="4">
    <mergeCell ref="B108:C108"/>
    <mergeCell ref="E2:H2"/>
    <mergeCell ref="E10:E11"/>
    <mergeCell ref="E24:E25"/>
  </mergeCells>
  <conditionalFormatting sqref="B106:D106 F106:H106">
    <cfRule type="expression" dxfId="0" priority="1">
      <formula>$A106=#REF!</formula>
    </cfRule>
  </conditionalFormatting>
  <pageMargins left="0.12" right="0.12" top="0.11811023622047245" bottom="0.11811023622047245" header="0.11811023622047245" footer="0.11811023622047245"/>
  <pageSetup paperSize="9"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Programación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Tiamer Diaz</dc:creator>
  <cp:lastModifiedBy>Almacén Akuarian</cp:lastModifiedBy>
  <cp:lastPrinted>2025-10-28T22:04:34Z</cp:lastPrinted>
  <dcterms:created xsi:type="dcterms:W3CDTF">2023-03-16T20:35:43Z</dcterms:created>
  <dcterms:modified xsi:type="dcterms:W3CDTF">2026-06-16T13:29:40Z</dcterms:modified>
</cp:coreProperties>
</file>